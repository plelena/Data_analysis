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/>
  <mc:AlternateContent xmlns:mc="http://schemas.openxmlformats.org/markup-compatibility/2006">
    <mc:Choice Requires="x15">
      <x15ac:absPath xmlns:x15ac="http://schemas.microsoft.com/office/spreadsheetml/2010/11/ac" url="/Users/elena/Desktop/Upwork/ABC analysis/"/>
    </mc:Choice>
  </mc:AlternateContent>
  <xr:revisionPtr revIDLastSave="0" documentId="13_ncr:1_{4CBA9536-08DD-B645-ACF8-EE48EB10A819}" xr6:coauthVersionLast="47" xr6:coauthVersionMax="47" xr10:uidLastSave="{00000000-0000-0000-0000-000000000000}"/>
  <bookViews>
    <workbookView xWindow="2740" yWindow="2380" windowWidth="24120" windowHeight="14500" activeTab="4" xr2:uid="{00000000-000D-0000-FFFF-FFFF00000000}"/>
  </bookViews>
  <sheets>
    <sheet name="Pharmacy_Receipts" sheetId="1" r:id="rId1"/>
    <sheet name="Pivot_table" sheetId="2" r:id="rId2"/>
    <sheet name="ABC" sheetId="3" r:id="rId3"/>
    <sheet name="XYZ" sheetId="5" r:id="rId4"/>
    <sheet name="Paretto_diagram" sheetId="6" r:id="rId5"/>
  </sheets>
  <definedNames>
    <definedName name="_xlnm._FilterDatabase" localSheetId="2" hidden="1">ABC!$A$3:$D$93</definedName>
    <definedName name="_xlnm._FilterDatabase" localSheetId="4" hidden="1">Paretto_diagram!$A$2:$B$92</definedName>
    <definedName name="_xlchart.v1.0" hidden="1">Paretto_diagram!$A$3:$A$93</definedName>
    <definedName name="_xlchart.v1.1" hidden="1">Paretto_diagram!$B$2</definedName>
    <definedName name="_xlchart.v1.10" hidden="1">Paretto_diagram!$A$3:$A$93</definedName>
    <definedName name="_xlchart.v1.11" hidden="1">Paretto_diagram!$B$2</definedName>
    <definedName name="_xlchart.v1.12" hidden="1">Paretto_diagram!$B$3:$B$93</definedName>
    <definedName name="_xlchart.v1.13" hidden="1">Paretto_diagram!$D$2</definedName>
    <definedName name="_xlchart.v1.14" hidden="1">Paretto_diagram!$D$3:$D$93</definedName>
    <definedName name="_xlchart.v1.15" hidden="1">Paretto_diagram!$A$3:$A$93</definedName>
    <definedName name="_xlchart.v1.16" hidden="1">Paretto_diagram!$B$2</definedName>
    <definedName name="_xlchart.v1.17" hidden="1">Paretto_diagram!$B$3:$B$93</definedName>
    <definedName name="_xlchart.v1.18" hidden="1">Paretto_diagram!$D$2</definedName>
    <definedName name="_xlchart.v1.19" hidden="1">Paretto_diagram!$D$3:$D$93</definedName>
    <definedName name="_xlchart.v1.2" hidden="1">Paretto_diagram!$B$3:$B$93</definedName>
    <definedName name="_xlchart.v1.20" hidden="1">Paretto_diagram!$A$3:$A$93</definedName>
    <definedName name="_xlchart.v1.21" hidden="1">Paretto_diagram!$B$2</definedName>
    <definedName name="_xlchart.v1.22" hidden="1">Paretto_diagram!$B$3:$B$93</definedName>
    <definedName name="_xlchart.v1.23" hidden="1">Paretto_diagram!$D$2</definedName>
    <definedName name="_xlchart.v1.24" hidden="1">Paretto_diagram!$D$3:$D$93</definedName>
    <definedName name="_xlchart.v1.25" hidden="1">Paretto_diagram!$A$3:$A$93</definedName>
    <definedName name="_xlchart.v1.26" hidden="1">Paretto_diagram!$B$2</definedName>
    <definedName name="_xlchart.v1.27" hidden="1">Paretto_diagram!$B$3:$B$93</definedName>
    <definedName name="_xlchart.v1.28" hidden="1">Paretto_diagram!$D$2</definedName>
    <definedName name="_xlchart.v1.29" hidden="1">Paretto_diagram!$D$3:$D$93</definedName>
    <definedName name="_xlchart.v1.3" hidden="1">Paretto_diagram!$D$2</definedName>
    <definedName name="_xlchart.v1.30" hidden="1">Paretto_diagram!$A$3:$A$93</definedName>
    <definedName name="_xlchart.v1.31" hidden="1">Paretto_diagram!$B$2</definedName>
    <definedName name="_xlchart.v1.32" hidden="1">Paretto_diagram!$B$3:$B$93</definedName>
    <definedName name="_xlchart.v1.33" hidden="1">Paretto_diagram!$D$2</definedName>
    <definedName name="_xlchart.v1.34" hidden="1">Paretto_diagram!$D$3:$D$93</definedName>
    <definedName name="_xlchart.v1.35" hidden="1">Paretto_diagram!$A$3:$A$93</definedName>
    <definedName name="_xlchart.v1.36" hidden="1">Paretto_diagram!$B$2</definedName>
    <definedName name="_xlchart.v1.37" hidden="1">Paretto_diagram!$B$3:$B$93</definedName>
    <definedName name="_xlchart.v1.38" hidden="1">Paretto_diagram!$D$2</definedName>
    <definedName name="_xlchart.v1.39" hidden="1">Paretto_diagram!$D$3:$D$93</definedName>
    <definedName name="_xlchart.v1.4" hidden="1">Paretto_diagram!$D$3:$D$93</definedName>
    <definedName name="_xlchart.v1.40" hidden="1">Paretto_diagram!$A$3:$A$93</definedName>
    <definedName name="_xlchart.v1.41" hidden="1">Paretto_diagram!$B$2</definedName>
    <definedName name="_xlchart.v1.42" hidden="1">Paretto_diagram!$B$3:$B$93</definedName>
    <definedName name="_xlchart.v1.43" hidden="1">Paretto_diagram!$D$2</definedName>
    <definedName name="_xlchart.v1.44" hidden="1">Paretto_diagram!$D$3:$D$93</definedName>
    <definedName name="_xlchart.v1.45" hidden="1">Paretto_diagram!$A$3:$A$93</definedName>
    <definedName name="_xlchart.v1.46" hidden="1">Paretto_diagram!$B$2</definedName>
    <definedName name="_xlchart.v1.47" hidden="1">Paretto_diagram!$B$3:$B$93</definedName>
    <definedName name="_xlchart.v1.48" hidden="1">Paretto_diagram!$D$2</definedName>
    <definedName name="_xlchart.v1.49" hidden="1">Paretto_diagram!$D$3:$D$93</definedName>
    <definedName name="_xlchart.v1.5" hidden="1">Paretto_diagram!$A$3:$A$93</definedName>
    <definedName name="_xlchart.v1.50" hidden="1">Paretto_diagram!$A$3:$A$93</definedName>
    <definedName name="_xlchart.v1.51" hidden="1">Paretto_diagram!$B$2</definedName>
    <definedName name="_xlchart.v1.52" hidden="1">Paretto_diagram!$B$3:$B$93</definedName>
    <definedName name="_xlchart.v1.53" hidden="1">Paretto_diagram!$D$2</definedName>
    <definedName name="_xlchart.v1.54" hidden="1">Paretto_diagram!$D$3:$D$93</definedName>
    <definedName name="_xlchart.v1.6" hidden="1">Paretto_diagram!$B$2</definedName>
    <definedName name="_xlchart.v1.7" hidden="1">Paretto_diagram!$B$3:$B$93</definedName>
    <definedName name="_xlchart.v1.8" hidden="1">Paretto_diagram!$D$2</definedName>
    <definedName name="_xlchart.v1.9" hidden="1">Paretto_diagram!$D$3:$D$93</definedName>
  </definedNames>
  <calcPr calcId="191029"/>
  <pivotCaches>
    <pivotCache cacheId="8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1" i="6"/>
  <c r="D15" i="6"/>
  <c r="D16" i="6"/>
  <c r="D17" i="6"/>
  <c r="D18" i="6"/>
  <c r="D19" i="6"/>
  <c r="D23" i="6"/>
  <c r="D24" i="6"/>
  <c r="D25" i="6"/>
  <c r="D26" i="6"/>
  <c r="D27" i="6"/>
  <c r="D31" i="6"/>
  <c r="D32" i="6"/>
  <c r="D33" i="6"/>
  <c r="D34" i="6"/>
  <c r="D35" i="6"/>
  <c r="D39" i="6"/>
  <c r="D40" i="6"/>
  <c r="D41" i="6"/>
  <c r="D42" i="6"/>
  <c r="D43" i="6"/>
  <c r="D47" i="6"/>
  <c r="D48" i="6"/>
  <c r="D49" i="6"/>
  <c r="D50" i="6"/>
  <c r="D51" i="6"/>
  <c r="D55" i="6"/>
  <c r="D56" i="6"/>
  <c r="D57" i="6"/>
  <c r="D58" i="6"/>
  <c r="D59" i="6"/>
  <c r="D63" i="6"/>
  <c r="D64" i="6"/>
  <c r="D65" i="6"/>
  <c r="D66" i="6"/>
  <c r="D67" i="6"/>
  <c r="D71" i="6"/>
  <c r="D72" i="6"/>
  <c r="D73" i="6"/>
  <c r="D74" i="6"/>
  <c r="D75" i="6"/>
  <c r="D79" i="6"/>
  <c r="D80" i="6"/>
  <c r="D81" i="6"/>
  <c r="D82" i="6"/>
  <c r="D83" i="6"/>
  <c r="D87" i="6"/>
  <c r="D88" i="6"/>
  <c r="D89" i="6"/>
  <c r="D90" i="6"/>
  <c r="D91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D92" i="6" s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4" i="3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5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5" i="5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4" i="3"/>
  <c r="M4" i="3" s="1"/>
  <c r="N4" i="3" s="1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2" i="2"/>
  <c r="D10" i="6" l="1"/>
  <c r="D86" i="6"/>
  <c r="D78" i="6"/>
  <c r="D70" i="6"/>
  <c r="D62" i="6"/>
  <c r="D54" i="6"/>
  <c r="D46" i="6"/>
  <c r="D38" i="6"/>
  <c r="D30" i="6"/>
  <c r="D22" i="6"/>
  <c r="D14" i="6"/>
  <c r="D6" i="6"/>
  <c r="D3" i="6"/>
  <c r="D85" i="6"/>
  <c r="D77" i="6"/>
  <c r="D69" i="6"/>
  <c r="D61" i="6"/>
  <c r="D53" i="6"/>
  <c r="D45" i="6"/>
  <c r="D37" i="6"/>
  <c r="D29" i="6"/>
  <c r="D21" i="6"/>
  <c r="D13" i="6"/>
  <c r="D5" i="6"/>
  <c r="D84" i="6"/>
  <c r="D76" i="6"/>
  <c r="D68" i="6"/>
  <c r="D60" i="6"/>
  <c r="D52" i="6"/>
  <c r="D44" i="6"/>
  <c r="D36" i="6"/>
  <c r="D28" i="6"/>
  <c r="D20" i="6"/>
  <c r="D12" i="6"/>
  <c r="D4" i="6"/>
  <c r="P4" i="3"/>
  <c r="M5" i="3"/>
  <c r="N5" i="3" l="1"/>
  <c r="P5" i="3" s="1"/>
  <c r="M6" i="3"/>
  <c r="M7" i="3" l="1"/>
  <c r="N6" i="3"/>
  <c r="P6" i="3" s="1"/>
  <c r="M8" i="3" l="1"/>
  <c r="N7" i="3"/>
  <c r="P7" i="3" s="1"/>
  <c r="M9" i="3" l="1"/>
  <c r="N8" i="3"/>
  <c r="P8" i="3" s="1"/>
  <c r="M10" i="3" l="1"/>
  <c r="N9" i="3"/>
  <c r="P9" i="3" s="1"/>
  <c r="N10" i="3" l="1"/>
  <c r="P10" i="3" s="1"/>
  <c r="M11" i="3"/>
  <c r="M12" i="3" l="1"/>
  <c r="N11" i="3"/>
  <c r="P11" i="3" s="1"/>
  <c r="N12" i="3" l="1"/>
  <c r="P12" i="3" s="1"/>
  <c r="M13" i="3"/>
  <c r="N13" i="3" l="1"/>
  <c r="P13" i="3" s="1"/>
  <c r="M14" i="3"/>
  <c r="M15" i="3" l="1"/>
  <c r="N14" i="3"/>
  <c r="P14" i="3" s="1"/>
  <c r="M16" i="3" l="1"/>
  <c r="N15" i="3"/>
  <c r="P15" i="3" s="1"/>
  <c r="M17" i="3" l="1"/>
  <c r="N16" i="3"/>
  <c r="P16" i="3" s="1"/>
  <c r="M18" i="3" l="1"/>
  <c r="N17" i="3"/>
  <c r="P17" i="3" s="1"/>
  <c r="N18" i="3" l="1"/>
  <c r="P18" i="3" s="1"/>
  <c r="M19" i="3"/>
  <c r="M20" i="3" l="1"/>
  <c r="N19" i="3"/>
  <c r="P19" i="3" s="1"/>
  <c r="N20" i="3" l="1"/>
  <c r="P20" i="3" s="1"/>
  <c r="M21" i="3"/>
  <c r="N21" i="3" l="1"/>
  <c r="P21" i="3" s="1"/>
  <c r="M22" i="3"/>
  <c r="M23" i="3" l="1"/>
  <c r="N22" i="3"/>
  <c r="P22" i="3" s="1"/>
  <c r="M24" i="3" l="1"/>
  <c r="N23" i="3"/>
  <c r="P23" i="3" s="1"/>
  <c r="M25" i="3" l="1"/>
  <c r="N24" i="3"/>
  <c r="P24" i="3" s="1"/>
  <c r="N25" i="3" l="1"/>
  <c r="P25" i="3" s="1"/>
  <c r="M26" i="3"/>
  <c r="N26" i="3" l="1"/>
  <c r="P26" i="3" s="1"/>
  <c r="M27" i="3"/>
  <c r="M28" i="3" l="1"/>
  <c r="N27" i="3"/>
  <c r="P27" i="3" s="1"/>
  <c r="M29" i="3" l="1"/>
  <c r="N28" i="3"/>
  <c r="P28" i="3" s="1"/>
  <c r="N29" i="3" l="1"/>
  <c r="P29" i="3" s="1"/>
  <c r="M30" i="3"/>
  <c r="M31" i="3" l="1"/>
  <c r="N30" i="3"/>
  <c r="P30" i="3" s="1"/>
  <c r="M32" i="3" l="1"/>
  <c r="N31" i="3"/>
  <c r="P31" i="3" s="1"/>
  <c r="M33" i="3" l="1"/>
  <c r="N32" i="3"/>
  <c r="P32" i="3" s="1"/>
  <c r="N33" i="3" l="1"/>
  <c r="P33" i="3" s="1"/>
  <c r="M34" i="3"/>
  <c r="N34" i="3" l="1"/>
  <c r="P34" i="3" s="1"/>
  <c r="M35" i="3"/>
  <c r="M36" i="3" l="1"/>
  <c r="N35" i="3"/>
  <c r="P35" i="3" s="1"/>
  <c r="M37" i="3" l="1"/>
  <c r="N36" i="3"/>
  <c r="P36" i="3" s="1"/>
  <c r="N37" i="3" l="1"/>
  <c r="P37" i="3" s="1"/>
  <c r="M38" i="3"/>
  <c r="M39" i="3" l="1"/>
  <c r="N38" i="3"/>
  <c r="P38" i="3" s="1"/>
  <c r="M40" i="3" l="1"/>
  <c r="N39" i="3"/>
  <c r="P39" i="3" s="1"/>
  <c r="M41" i="3" l="1"/>
  <c r="N40" i="3"/>
  <c r="P40" i="3" s="1"/>
  <c r="N41" i="3" l="1"/>
  <c r="P41" i="3" s="1"/>
  <c r="M42" i="3"/>
  <c r="N42" i="3" l="1"/>
  <c r="P42" i="3" s="1"/>
  <c r="M43" i="3"/>
  <c r="N43" i="3" l="1"/>
  <c r="P43" i="3" s="1"/>
  <c r="M44" i="3"/>
  <c r="M45" i="3" l="1"/>
  <c r="N44" i="3"/>
  <c r="P44" i="3" s="1"/>
  <c r="N45" i="3" l="1"/>
  <c r="P45" i="3" s="1"/>
  <c r="M46" i="3"/>
  <c r="M47" i="3" l="1"/>
  <c r="N46" i="3"/>
  <c r="P46" i="3" s="1"/>
  <c r="M48" i="3" l="1"/>
  <c r="N47" i="3"/>
  <c r="P47" i="3" s="1"/>
  <c r="M49" i="3" l="1"/>
  <c r="N48" i="3"/>
  <c r="P48" i="3" s="1"/>
  <c r="M50" i="3" l="1"/>
  <c r="N49" i="3"/>
  <c r="P49" i="3" s="1"/>
  <c r="N50" i="3" l="1"/>
  <c r="P50" i="3" s="1"/>
  <c r="M51" i="3"/>
  <c r="M52" i="3" l="1"/>
  <c r="N51" i="3"/>
  <c r="P51" i="3" s="1"/>
  <c r="N52" i="3" l="1"/>
  <c r="P52" i="3" s="1"/>
  <c r="M53" i="3"/>
  <c r="N53" i="3" l="1"/>
  <c r="P53" i="3" s="1"/>
  <c r="M54" i="3"/>
  <c r="M55" i="3" l="1"/>
  <c r="N54" i="3"/>
  <c r="P54" i="3" s="1"/>
  <c r="M56" i="3" l="1"/>
  <c r="N55" i="3"/>
  <c r="P55" i="3" s="1"/>
  <c r="M57" i="3" l="1"/>
  <c r="N56" i="3"/>
  <c r="P56" i="3" s="1"/>
  <c r="M58" i="3" l="1"/>
  <c r="N57" i="3"/>
  <c r="P57" i="3" s="1"/>
  <c r="N58" i="3" l="1"/>
  <c r="P58" i="3" s="1"/>
  <c r="M59" i="3"/>
  <c r="M60" i="3" l="1"/>
  <c r="N59" i="3"/>
  <c r="P59" i="3" s="1"/>
  <c r="M61" i="3" l="1"/>
  <c r="N60" i="3"/>
  <c r="P60" i="3" s="1"/>
  <c r="N61" i="3" l="1"/>
  <c r="P61" i="3" s="1"/>
  <c r="M62" i="3"/>
  <c r="M63" i="3" l="1"/>
  <c r="N62" i="3"/>
  <c r="P62" i="3" s="1"/>
  <c r="M64" i="3" l="1"/>
  <c r="N63" i="3"/>
  <c r="P63" i="3" s="1"/>
  <c r="M65" i="3" l="1"/>
  <c r="N64" i="3"/>
  <c r="P64" i="3" s="1"/>
  <c r="M66" i="3" l="1"/>
  <c r="N65" i="3"/>
  <c r="P65" i="3" s="1"/>
  <c r="N66" i="3" l="1"/>
  <c r="P66" i="3" s="1"/>
  <c r="M67" i="3"/>
  <c r="M68" i="3" l="1"/>
  <c r="N67" i="3"/>
  <c r="P67" i="3" s="1"/>
  <c r="M69" i="3" l="1"/>
  <c r="N68" i="3"/>
  <c r="P68" i="3" s="1"/>
  <c r="N69" i="3" l="1"/>
  <c r="P69" i="3" s="1"/>
  <c r="M70" i="3"/>
  <c r="M71" i="3" l="1"/>
  <c r="N70" i="3"/>
  <c r="P70" i="3" s="1"/>
  <c r="M72" i="3" l="1"/>
  <c r="N71" i="3"/>
  <c r="P71" i="3" s="1"/>
  <c r="M73" i="3" l="1"/>
  <c r="N72" i="3"/>
  <c r="P72" i="3" s="1"/>
  <c r="N73" i="3" l="1"/>
  <c r="P73" i="3" s="1"/>
  <c r="M74" i="3"/>
  <c r="N74" i="3" l="1"/>
  <c r="P74" i="3" s="1"/>
  <c r="M75" i="3"/>
  <c r="M76" i="3" l="1"/>
  <c r="N75" i="3"/>
  <c r="P75" i="3" s="1"/>
  <c r="M77" i="3" l="1"/>
  <c r="N76" i="3"/>
  <c r="P76" i="3" s="1"/>
  <c r="N77" i="3" l="1"/>
  <c r="P77" i="3" s="1"/>
  <c r="M78" i="3"/>
  <c r="M79" i="3" l="1"/>
  <c r="N78" i="3"/>
  <c r="P78" i="3" s="1"/>
  <c r="M80" i="3" l="1"/>
  <c r="N79" i="3"/>
  <c r="P79" i="3" s="1"/>
  <c r="M81" i="3" l="1"/>
  <c r="N80" i="3"/>
  <c r="P80" i="3" s="1"/>
  <c r="M82" i="3" l="1"/>
  <c r="N81" i="3"/>
  <c r="P81" i="3" s="1"/>
  <c r="N82" i="3" l="1"/>
  <c r="P82" i="3" s="1"/>
  <c r="M83" i="3"/>
  <c r="M84" i="3" l="1"/>
  <c r="N83" i="3"/>
  <c r="P83" i="3" s="1"/>
  <c r="M85" i="3" l="1"/>
  <c r="N84" i="3"/>
  <c r="P84" i="3" s="1"/>
  <c r="N85" i="3" l="1"/>
  <c r="P85" i="3" s="1"/>
  <c r="M86" i="3"/>
  <c r="M87" i="3" l="1"/>
  <c r="N86" i="3"/>
  <c r="P86" i="3" s="1"/>
  <c r="M88" i="3" l="1"/>
  <c r="N87" i="3"/>
  <c r="P87" i="3" s="1"/>
  <c r="M89" i="3" l="1"/>
  <c r="N88" i="3"/>
  <c r="P88" i="3" s="1"/>
  <c r="M90" i="3" l="1"/>
  <c r="N89" i="3"/>
  <c r="P89" i="3" s="1"/>
  <c r="N90" i="3" l="1"/>
  <c r="P90" i="3" s="1"/>
  <c r="M91" i="3"/>
  <c r="M92" i="3" l="1"/>
  <c r="N91" i="3"/>
  <c r="P91" i="3" s="1"/>
  <c r="M93" i="3" l="1"/>
  <c r="N93" i="3" s="1"/>
  <c r="P93" i="3" s="1"/>
  <c r="N92" i="3"/>
  <c r="P92" i="3" s="1"/>
</calcChain>
</file>

<file path=xl/sharedStrings.xml><?xml version="1.0" encoding="utf-8"?>
<sst xmlns="http://schemas.openxmlformats.org/spreadsheetml/2006/main" count="20185" uniqueCount="158">
  <si>
    <t>DR_Date</t>
  </si>
  <si>
    <t>DR_Time</t>
  </si>
  <si>
    <t>DR_CheckNo</t>
  </si>
  <si>
    <t>DR_DocNo</t>
  </si>
  <si>
    <t>DR_Department</t>
  </si>
  <si>
    <t>DR_KKM</t>
  </si>
  <si>
    <t>DR_DocType</t>
  </si>
  <si>
    <t>DR_PaymentType</t>
  </si>
  <si>
    <t>DR_DrugCode</t>
  </si>
  <si>
    <t>DR_DrugName</t>
  </si>
  <si>
    <t>DR_Supplier</t>
  </si>
  <si>
    <t>DR_Producer</t>
  </si>
  <si>
    <t>DR_Qty</t>
  </si>
  <si>
    <t>DR_PurchasePrice</t>
  </si>
  <si>
    <t>DR_RetailPrice</t>
  </si>
  <si>
    <t>DR_SaleDiscount</t>
  </si>
  <si>
    <t>DR_CardDiscount</t>
  </si>
  <si>
    <t>DR_BonusCard</t>
  </si>
  <si>
    <t>DR_EmployeeTab</t>
  </si>
  <si>
    <t>DR_SaleType</t>
  </si>
  <si>
    <t>DR_Position</t>
  </si>
  <si>
    <t>Amount</t>
  </si>
  <si>
    <t>BillNo</t>
  </si>
  <si>
    <t>Retail Sale</t>
  </si>
  <si>
    <t>Drug Item 86 Ointment</t>
  </si>
  <si>
    <t>Pulse</t>
  </si>
  <si>
    <t>Bayer</t>
  </si>
  <si>
    <t>Drug Item 54 Tablets</t>
  </si>
  <si>
    <t>Avesta</t>
  </si>
  <si>
    <t>Dr. Reddy's</t>
  </si>
  <si>
    <t>BONUS_CARD</t>
  </si>
  <si>
    <t>Drug Item 17 Drops</t>
  </si>
  <si>
    <t>Novartis</t>
  </si>
  <si>
    <t>Drug Item 48 Injection</t>
  </si>
  <si>
    <t>Sanofi</t>
  </si>
  <si>
    <t>Drug Item 5 Ointment</t>
  </si>
  <si>
    <t>Takeda</t>
  </si>
  <si>
    <t>Drug Item 76 Cream</t>
  </si>
  <si>
    <t>Grand Capital</t>
  </si>
  <si>
    <t>TEVA</t>
  </si>
  <si>
    <t>Drug Item 14 Ointment</t>
  </si>
  <si>
    <t>Drug Item 80 Drops</t>
  </si>
  <si>
    <t>Drug Item 31 Cream</t>
  </si>
  <si>
    <t>Drug Item 89 Drops</t>
  </si>
  <si>
    <t>Katren</t>
  </si>
  <si>
    <t>Protek</t>
  </si>
  <si>
    <t>Drug Item 62 Drops</t>
  </si>
  <si>
    <t>KRKA</t>
  </si>
  <si>
    <t>Drug Item 45 Tablets</t>
  </si>
  <si>
    <t>Drug Item 1 Capsules</t>
  </si>
  <si>
    <t>Drug Item 4 Cream</t>
  </si>
  <si>
    <t>Pfizer</t>
  </si>
  <si>
    <t>Drug Item 39 Injection</t>
  </si>
  <si>
    <t>Drug Item 26 Drops</t>
  </si>
  <si>
    <t>Drug Item 49 Cream</t>
  </si>
  <si>
    <t>Drug Item 20 Syrup</t>
  </si>
  <si>
    <t>Drug Item 50 Ointment</t>
  </si>
  <si>
    <t>Drug Item 36 Tablets</t>
  </si>
  <si>
    <t>Drug Item 53 Drops</t>
  </si>
  <si>
    <t>Drug Item 3 Injection</t>
  </si>
  <si>
    <t>Pharmcomplect</t>
  </si>
  <si>
    <t>Drug Item 85 Cream</t>
  </si>
  <si>
    <t>Drug Item 16 Spray</t>
  </si>
  <si>
    <t>Drug Item 34 Spray</t>
  </si>
  <si>
    <t>Drug Item 81 Tablets</t>
  </si>
  <si>
    <t>Drug Item 87 Gel</t>
  </si>
  <si>
    <t>Drug Item 71 Drops</t>
  </si>
  <si>
    <t>Drug Item 11 Syrup</t>
  </si>
  <si>
    <t>Drug Item 90 Tablets</t>
  </si>
  <si>
    <t>Drug Item 60 Gel</t>
  </si>
  <si>
    <t>Drug Item 18 Tablets</t>
  </si>
  <si>
    <t>Drug Item 88 Spray</t>
  </si>
  <si>
    <t>Drug Item 77 Ointment</t>
  </si>
  <si>
    <t>Drug Item 32 Ointment</t>
  </si>
  <si>
    <t>Drug Item 42 Gel</t>
  </si>
  <si>
    <t>Drug Item 33 Gel</t>
  </si>
  <si>
    <t>Drug Item 57 Injection</t>
  </si>
  <si>
    <t>Drug Item 10 Capsules</t>
  </si>
  <si>
    <t>Drug Item 56 Syrup</t>
  </si>
  <si>
    <t>Drug Item 68 Ointment</t>
  </si>
  <si>
    <t>Drug Item 78 Gel</t>
  </si>
  <si>
    <t>Drug Item 37 Capsules</t>
  </si>
  <si>
    <t>Drug Item 74 Syrup</t>
  </si>
  <si>
    <t>Drug Item 82 Capsules</t>
  </si>
  <si>
    <t>Drug Item 83 Syrup</t>
  </si>
  <si>
    <t>Drug Item 41 Ointment</t>
  </si>
  <si>
    <t>Drug Item 35 Drops</t>
  </si>
  <si>
    <t>Drug Item 46 Capsules</t>
  </si>
  <si>
    <t>Drug Item 67 Cream</t>
  </si>
  <si>
    <t>Drug Item 2 Syrup</t>
  </si>
  <si>
    <t>Drug Item 69 Gel</t>
  </si>
  <si>
    <t>Drug Item 29 Syrup</t>
  </si>
  <si>
    <t>Drug Item 79 Spray</t>
  </si>
  <si>
    <t>Drug Item 70 Spray</t>
  </si>
  <si>
    <t>Drug Item 44 Drops</t>
  </si>
  <si>
    <t>Drug Item 51 Gel</t>
  </si>
  <si>
    <t>Drug Item 21 Injection</t>
  </si>
  <si>
    <t>Drug Item 47 Syrup</t>
  </si>
  <si>
    <t>Drug Item 6 Gel</t>
  </si>
  <si>
    <t>Drug Item 55 Capsules</t>
  </si>
  <si>
    <t>Drug Item 22 Cream</t>
  </si>
  <si>
    <t>Drug Item 38 Syrup</t>
  </si>
  <si>
    <t>Drug Item 19 Capsules</t>
  </si>
  <si>
    <t>Drug Item 7 Spray</t>
  </si>
  <si>
    <t>Drug Item 23 Ointment</t>
  </si>
  <si>
    <t>Drug Item 64 Capsules</t>
  </si>
  <si>
    <t>Drug Item 84 Injection</t>
  </si>
  <si>
    <t>Drug Item 15 Gel</t>
  </si>
  <si>
    <t>Drug Item 58 Cream</t>
  </si>
  <si>
    <t>Drug Item 65 Syrup</t>
  </si>
  <si>
    <t>Drug Item 63 Tablets</t>
  </si>
  <si>
    <t>Drug Item 28 Capsules</t>
  </si>
  <si>
    <t>Drug Item 75 Injection</t>
  </si>
  <si>
    <t>Drug Item 9 Tablets</t>
  </si>
  <si>
    <t>Drug Item 73 Capsules</t>
  </si>
  <si>
    <t>Drug Item 43 Spray</t>
  </si>
  <si>
    <t>Drug Item 30 Injection</t>
  </si>
  <si>
    <t>Drug Item 40 Cream</t>
  </si>
  <si>
    <t>Drug Item 61 Spray</t>
  </si>
  <si>
    <t>Drug Item 27 Tablets</t>
  </si>
  <si>
    <t>Drug Item 52 Spray</t>
  </si>
  <si>
    <t>Drug Item 12 Injection</t>
  </si>
  <si>
    <t>Drug Item 24 Gel</t>
  </si>
  <si>
    <t>Drug Item 72 Tablets</t>
  </si>
  <si>
    <t>Drug Item 13 Cream</t>
  </si>
  <si>
    <t>Drug Item 66 Injection</t>
  </si>
  <si>
    <t>Drug Item 59 Ointment</t>
  </si>
  <si>
    <t>Drug Item 25 Spray</t>
  </si>
  <si>
    <t>Drug Item 8 Drops</t>
  </si>
  <si>
    <t>Row Labels</t>
  </si>
  <si>
    <t>Grand Total</t>
  </si>
  <si>
    <t>Sum of Amount</t>
  </si>
  <si>
    <t>Sum of DR_Qty</t>
  </si>
  <si>
    <t>average sales</t>
  </si>
  <si>
    <t>Quantity</t>
  </si>
  <si>
    <t>Average sales</t>
  </si>
  <si>
    <t>ABC Quantity</t>
  </si>
  <si>
    <t>ABC Amount</t>
  </si>
  <si>
    <t>%</t>
  </si>
  <si>
    <t>ABC</t>
  </si>
  <si>
    <t>Sum</t>
  </si>
  <si>
    <t>A</t>
  </si>
  <si>
    <t>B</t>
  </si>
  <si>
    <t>C</t>
  </si>
  <si>
    <t>ABC Average sales</t>
  </si>
  <si>
    <t>Column Labels</t>
  </si>
  <si>
    <t>Days, &gt;20</t>
  </si>
  <si>
    <t>X</t>
  </si>
  <si>
    <t>Y</t>
  </si>
  <si>
    <t>Z</t>
  </si>
  <si>
    <t>items to monitor: potential A-category candidates.</t>
  </si>
  <si>
    <t>most important items:  generate ~80% of revenue</t>
  </si>
  <si>
    <t>low-impact items: insignificant revenue</t>
  </si>
  <si>
    <t>stable demand items. Must always be available.</t>
  </si>
  <si>
    <t>medium or seasonal demand. No need for large stock.</t>
  </si>
  <si>
    <t>rare demand items</t>
  </si>
  <si>
    <t>Sales Quantity</t>
  </si>
  <si>
    <t>cumul_sum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</si>
</sst>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FFCD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2" fillId="6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3" fillId="0" borderId="0" xfId="0" applyNumberFormat="1" applyFont="1" applyAlignment="1">
      <alignment textRotation="45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15">
    <dxf>
      <fill>
        <patternFill>
          <bgColor theme="5" tint="0.79998168889431442"/>
        </patternFill>
      </fill>
    </dxf>
    <dxf>
      <fill>
        <patternFill>
          <bgColor rgb="FFFFFCD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FCD1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FCD1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FCD1"/>
        </patternFill>
      </fill>
    </dxf>
    <dxf>
      <fill>
        <patternFill>
          <bgColor theme="5" tint="0.79998168889431442"/>
        </patternFill>
      </fill>
    </dxf>
    <dxf>
      <font>
        <sz val="9"/>
      </font>
    </dxf>
    <dxf>
      <alignment textRotation="45"/>
    </dxf>
    <dxf>
      <font>
        <sz val="8"/>
      </font>
    </dxf>
  </dxfs>
  <tableStyles count="0" defaultTableStyle="TableStyleMedium9" defaultPivotStyle="PivotStyleLight16"/>
  <colors>
    <mruColors>
      <color rgb="FFFFF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  <cx:data id="1">
      <cx:strDim type="cat">
        <cx:f>_xlchart.v1.35</cx:f>
      </cx:strDim>
      <cx:numDim type="val">
        <cx:f>_xlchart.v1.39</cx:f>
      </cx:numDim>
    </cx:data>
  </cx:chartData>
  <cx:chart>
    <cx:title pos="t" align="ctr" overlay="0"/>
    <cx:plotArea>
      <cx:plotAreaRegion>
        <cx:series layoutId="clusteredColumn" uniqueId="{2CF38EEE-E015-164D-9E46-17AFCE1D956D}" formatIdx="0">
          <cx:tx>
            <cx:txData>
              <cx:f>_xlchart.v1.36</cx:f>
              <cx:v>Sum of Amount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64707BD-5729-8441-B0A9-045E384F451A}" formatIdx="1">
          <cx:axisId val="2"/>
        </cx:series>
        <cx:series layoutId="clusteredColumn" hidden="1" uniqueId="{3381AE09-8C0C-2A4E-AB12-33AE86A7367E}" formatIdx="2">
          <cx:tx>
            <cx:txData>
              <cx:f>_xlchart.v1.38</cx:f>
              <cx:v/>
            </cx:txData>
          </cx:tx>
          <cx:dataId val="1"/>
          <cx:layoutPr>
            <cx:aggregation/>
          </cx:layoutPr>
          <cx:axisId val="1"/>
        </cx:series>
        <cx:series layoutId="paretoLine" ownerIdx="2" uniqueId="{1A665799-F98A-2D4B-B1F8-F6A2BF9282B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711200</xdr:colOff>
      <xdr:row>4</xdr:row>
      <xdr:rowOff>12700</xdr:rowOff>
    </xdr:from>
    <xdr:to>
      <xdr:col>14</xdr:col>
      <xdr:colOff>571500</xdr:colOff>
      <xdr:row>31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6203233-0CBF-0E79-3E05-61B5E9CF51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8000" y="774700"/>
              <a:ext cx="8115300" cy="514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05.516965740739" createdVersion="8" refreshedVersion="8" minRefreshableVersion="3" recordCount="4200" xr:uid="{8BAA633F-6333-5040-92F6-56E727BF2FEA}">
  <cacheSource type="worksheet">
    <worksheetSource ref="A1:W4201" sheet="Pharmacy_Receipts"/>
  </cacheSource>
  <cacheFields count="23">
    <cacheField name="DR_Date" numFmtId="164">
      <sharedItems containsSemiMixedTypes="0" containsNonDate="0" containsDate="1" containsString="0" minDate="2022-08-01T00:00:00" maxDate="2022-09-01T00:00:00" count="31">
        <d v="2022-08-15T00:00:00"/>
        <d v="2022-08-05T00:00:00"/>
        <d v="2022-08-27T00:00:00"/>
        <d v="2022-08-28T00:00:00"/>
        <d v="2022-08-14T00:00:00"/>
        <d v="2022-08-24T00:00:00"/>
        <d v="2022-08-25T00:00:00"/>
        <d v="2022-08-08T00:00:00"/>
        <d v="2022-08-30T00:00:00"/>
        <d v="2022-08-01T00:00:00"/>
        <d v="2022-08-07T00:00:00"/>
        <d v="2022-08-26T00:00:00"/>
        <d v="2022-08-10T00:00:00"/>
        <d v="2022-08-16T00:00:00"/>
        <d v="2022-08-31T00:00:00"/>
        <d v="2022-08-03T00:00:00"/>
        <d v="2022-08-23T00:00:00"/>
        <d v="2022-08-11T00:00:00"/>
        <d v="2022-08-02T00:00:00"/>
        <d v="2022-08-19T00:00:00"/>
        <d v="2022-08-12T00:00:00"/>
        <d v="2022-08-09T00:00:00"/>
        <d v="2022-08-06T00:00:00"/>
        <d v="2022-08-20T00:00:00"/>
        <d v="2022-08-29T00:00:00"/>
        <d v="2022-08-22T00:00:00"/>
        <d v="2022-08-17T00:00:00"/>
        <d v="2022-08-13T00:00:00"/>
        <d v="2022-08-18T00:00:00"/>
        <d v="2022-08-21T00:00:00"/>
        <d v="2022-08-04T00:00:00"/>
      </sharedItems>
    </cacheField>
    <cacheField name="DR_Time" numFmtId="21">
      <sharedItems containsSemiMixedTypes="0" containsNonDate="0" containsDate="1" containsString="0" minDate="1899-12-30T08:00:11" maxDate="1899-12-30T22:59:59"/>
    </cacheField>
    <cacheField name="DR_CheckNo" numFmtId="0">
      <sharedItems containsSemiMixedTypes="0" containsString="0" containsNumber="1" containsInteger="1" minValue="1000" maxValue="5199"/>
    </cacheField>
    <cacheField name="DR_DocNo" numFmtId="0">
      <sharedItems containsSemiMixedTypes="0" containsString="0" containsNumber="1" containsInteger="1" minValue="13002561" maxValue="13002561"/>
    </cacheField>
    <cacheField name="DR_Department" numFmtId="0">
      <sharedItems containsSemiMixedTypes="0" containsString="0" containsNumber="1" containsInteger="1" minValue="13" maxValue="13"/>
    </cacheField>
    <cacheField name="DR_KKM" numFmtId="0">
      <sharedItems containsSemiMixedTypes="0" containsString="0" containsNumber="1" containsInteger="1" minValue="22589" maxValue="22589"/>
    </cacheField>
    <cacheField name="DR_DocType" numFmtId="0">
      <sharedItems/>
    </cacheField>
    <cacheField name="DR_PaymentType" numFmtId="0">
      <sharedItems containsSemiMixedTypes="0" containsString="0" containsNumber="1" containsInteger="1" minValue="15" maxValue="18"/>
    </cacheField>
    <cacheField name="DR_DrugCode" numFmtId="0">
      <sharedItems containsSemiMixedTypes="0" containsString="0" containsNumber="1" containsInteger="1" minValue="10016" maxValue="99994"/>
    </cacheField>
    <cacheField name="DR_DrugName" numFmtId="0">
      <sharedItems count="90">
        <s v="Drug Item 86 Ointment"/>
        <s v="Drug Item 54 Tablets"/>
        <s v="Drug Item 17 Drops"/>
        <s v="Drug Item 48 Injection"/>
        <s v="Drug Item 5 Ointment"/>
        <s v="Drug Item 76 Cream"/>
        <s v="Drug Item 14 Ointment"/>
        <s v="Drug Item 80 Drops"/>
        <s v="Drug Item 31 Cream"/>
        <s v="Drug Item 89 Drops"/>
        <s v="Drug Item 62 Drops"/>
        <s v="Drug Item 45 Tablets"/>
        <s v="Drug Item 1 Capsules"/>
        <s v="Drug Item 4 Cream"/>
        <s v="Drug Item 39 Injection"/>
        <s v="Drug Item 26 Drops"/>
        <s v="Drug Item 49 Cream"/>
        <s v="Drug Item 20 Syrup"/>
        <s v="Drug Item 50 Ointment"/>
        <s v="Drug Item 36 Tablets"/>
        <s v="Drug Item 53 Drops"/>
        <s v="Drug Item 3 Injection"/>
        <s v="Drug Item 85 Cream"/>
        <s v="Drug Item 16 Spray"/>
        <s v="Drug Item 34 Spray"/>
        <s v="Drug Item 81 Tablets"/>
        <s v="Drug Item 87 Gel"/>
        <s v="Drug Item 71 Drops"/>
        <s v="Drug Item 11 Syrup"/>
        <s v="Drug Item 90 Tablets"/>
        <s v="Drug Item 60 Gel"/>
        <s v="Drug Item 18 Tablets"/>
        <s v="Drug Item 88 Spray"/>
        <s v="Drug Item 77 Ointment"/>
        <s v="Drug Item 32 Ointment"/>
        <s v="Drug Item 42 Gel"/>
        <s v="Drug Item 33 Gel"/>
        <s v="Drug Item 57 Injection"/>
        <s v="Drug Item 10 Capsules"/>
        <s v="Drug Item 56 Syrup"/>
        <s v="Drug Item 68 Ointment"/>
        <s v="Drug Item 78 Gel"/>
        <s v="Drug Item 37 Capsules"/>
        <s v="Drug Item 74 Syrup"/>
        <s v="Drug Item 82 Capsules"/>
        <s v="Drug Item 83 Syrup"/>
        <s v="Drug Item 41 Ointment"/>
        <s v="Drug Item 35 Drops"/>
        <s v="Drug Item 46 Capsules"/>
        <s v="Drug Item 67 Cream"/>
        <s v="Drug Item 2 Syrup"/>
        <s v="Drug Item 69 Gel"/>
        <s v="Drug Item 29 Syrup"/>
        <s v="Drug Item 79 Spray"/>
        <s v="Drug Item 70 Spray"/>
        <s v="Drug Item 44 Drops"/>
        <s v="Drug Item 51 Gel"/>
        <s v="Drug Item 21 Injection"/>
        <s v="Drug Item 47 Syrup"/>
        <s v="Drug Item 6 Gel"/>
        <s v="Drug Item 55 Capsules"/>
        <s v="Drug Item 22 Cream"/>
        <s v="Drug Item 38 Syrup"/>
        <s v="Drug Item 19 Capsules"/>
        <s v="Drug Item 7 Spray"/>
        <s v="Drug Item 23 Ointment"/>
        <s v="Drug Item 64 Capsules"/>
        <s v="Drug Item 84 Injection"/>
        <s v="Drug Item 15 Gel"/>
        <s v="Drug Item 58 Cream"/>
        <s v="Drug Item 65 Syrup"/>
        <s v="Drug Item 63 Tablets"/>
        <s v="Drug Item 28 Capsules"/>
        <s v="Drug Item 75 Injection"/>
        <s v="Drug Item 9 Tablets"/>
        <s v="Drug Item 73 Capsules"/>
        <s v="Drug Item 43 Spray"/>
        <s v="Drug Item 30 Injection"/>
        <s v="Drug Item 40 Cream"/>
        <s v="Drug Item 61 Spray"/>
        <s v="Drug Item 27 Tablets"/>
        <s v="Drug Item 52 Spray"/>
        <s v="Drug Item 12 Injection"/>
        <s v="Drug Item 24 Gel"/>
        <s v="Drug Item 72 Tablets"/>
        <s v="Drug Item 13 Cream"/>
        <s v="Drug Item 66 Injection"/>
        <s v="Drug Item 59 Ointment"/>
        <s v="Drug Item 25 Spray"/>
        <s v="Drug Item 8 Drops"/>
      </sharedItems>
    </cacheField>
    <cacheField name="DR_Supplier" numFmtId="0">
      <sharedItems/>
    </cacheField>
    <cacheField name="DR_Producer" numFmtId="0">
      <sharedItems/>
    </cacheField>
    <cacheField name="DR_Qty" numFmtId="0">
      <sharedItems containsSemiMixedTypes="0" containsString="0" containsNumber="1" containsInteger="1" minValue="1" maxValue="3"/>
    </cacheField>
    <cacheField name="DR_PurchasePrice" numFmtId="0">
      <sharedItems containsSemiMixedTypes="0" containsString="0" containsNumber="1" minValue="5.07" maxValue="599.79"/>
    </cacheField>
    <cacheField name="DR_RetailPrice" numFmtId="0">
      <sharedItems containsSemiMixedTypes="0" containsString="0" containsNumber="1" minValue="6.39" maxValue="1002.62"/>
    </cacheField>
    <cacheField name="DR_SaleDiscount" numFmtId="0">
      <sharedItems containsSemiMixedTypes="0" containsString="0" containsNumber="1" minValue="0" maxValue="100.14"/>
    </cacheField>
    <cacheField name="DR_CardDiscount" numFmtId="0">
      <sharedItems containsSemiMixedTypes="0" containsString="0" containsNumber="1" minValue="0" maxValue="100.14"/>
    </cacheField>
    <cacheField name="DR_BonusCard" numFmtId="0">
      <sharedItems containsBlank="1"/>
    </cacheField>
    <cacheField name="DR_EmployeeTab" numFmtId="0">
      <sharedItems containsSemiMixedTypes="0" containsString="0" containsNumber="1" containsInteger="1" minValue="29" maxValue="29"/>
    </cacheField>
    <cacheField name="DR_SaleType" numFmtId="0">
      <sharedItems containsSemiMixedTypes="0" containsString="0" containsNumber="1" containsInteger="1" minValue="1" maxValue="1"/>
    </cacheField>
    <cacheField name="DR_Position" numFmtId="0">
      <sharedItems containsSemiMixedTypes="0" containsString="0" containsNumber="1" containsInteger="1" minValue="1" maxValue="6"/>
    </cacheField>
    <cacheField name="Amount" numFmtId="0">
      <sharedItems containsSemiMixedTypes="0" containsString="0" containsNumber="1" minValue="6.07" maxValue="997.78"/>
    </cacheField>
    <cacheField name="BillNo" numFmtId="0">
      <sharedItems containsSemiMixedTypes="0" containsString="0" containsNumber="1" containsInteger="1" minValue="13130000000" maxValue="13130004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x v="0"/>
    <d v="1899-12-30T08:41:39"/>
    <n v="1000"/>
    <n v="13002561"/>
    <n v="13"/>
    <n v="22589"/>
    <s v="Retail Sale"/>
    <n v="15"/>
    <n v="62322"/>
    <x v="0"/>
    <s v="Pulse"/>
    <s v="Bayer"/>
    <n v="3"/>
    <n v="219.73"/>
    <n v="367.66"/>
    <n v="0"/>
    <n v="0"/>
    <m/>
    <n v="29"/>
    <n v="1"/>
    <n v="4"/>
    <n v="367.66"/>
    <n v="13130000000"/>
  </r>
  <r>
    <x v="1"/>
    <d v="1899-12-30T16:58:58"/>
    <n v="1001"/>
    <n v="13002561"/>
    <n v="13"/>
    <n v="22589"/>
    <s v="Retail Sale"/>
    <n v="18"/>
    <n v="78979"/>
    <x v="1"/>
    <s v="Avesta"/>
    <s v="Dr. Reddy's"/>
    <n v="2"/>
    <n v="47.12"/>
    <n v="62.37"/>
    <n v="6.24"/>
    <n v="6.24"/>
    <s v="BONUS_CARD"/>
    <n v="29"/>
    <n v="1"/>
    <n v="5"/>
    <n v="56.13"/>
    <n v="13130000001"/>
  </r>
  <r>
    <x v="2"/>
    <d v="1899-12-30T17:47:56"/>
    <n v="1002"/>
    <n v="13002561"/>
    <n v="13"/>
    <n v="22589"/>
    <s v="Retail Sale"/>
    <n v="18"/>
    <n v="15418"/>
    <x v="2"/>
    <s v="Avesta"/>
    <s v="Novartis"/>
    <n v="3"/>
    <n v="426.75"/>
    <n v="695.12"/>
    <n v="0"/>
    <n v="0"/>
    <m/>
    <n v="29"/>
    <n v="1"/>
    <n v="6"/>
    <n v="695.12"/>
    <n v="13130000002"/>
  </r>
  <r>
    <x v="3"/>
    <d v="1899-12-30T11:24:08"/>
    <n v="1003"/>
    <n v="13002561"/>
    <n v="13"/>
    <n v="22589"/>
    <s v="Retail Sale"/>
    <n v="18"/>
    <n v="51597"/>
    <x v="3"/>
    <s v="Pulse"/>
    <s v="Sanofi"/>
    <n v="1"/>
    <n v="522.30999999999995"/>
    <n v="675.15"/>
    <n v="33.76"/>
    <n v="33.76"/>
    <s v="BONUS_CARD"/>
    <n v="29"/>
    <n v="1"/>
    <n v="1"/>
    <n v="641.39"/>
    <n v="13130000003"/>
  </r>
  <r>
    <x v="4"/>
    <d v="1899-12-30T10:28:48"/>
    <n v="1004"/>
    <n v="13002561"/>
    <n v="13"/>
    <n v="22589"/>
    <s v="Retail Sale"/>
    <n v="15"/>
    <n v="36786"/>
    <x v="4"/>
    <s v="Pulse"/>
    <s v="Takeda"/>
    <n v="1"/>
    <n v="48.97"/>
    <n v="81.78"/>
    <n v="4.09"/>
    <n v="4.09"/>
    <s v="BONUS_CARD"/>
    <n v="29"/>
    <n v="1"/>
    <n v="1"/>
    <n v="77.69"/>
    <n v="13130000004"/>
  </r>
  <r>
    <x v="3"/>
    <d v="1899-12-30T16:02:07"/>
    <n v="1005"/>
    <n v="13002561"/>
    <n v="13"/>
    <n v="22589"/>
    <s v="Retail Sale"/>
    <n v="18"/>
    <n v="83535"/>
    <x v="5"/>
    <s v="Grand Capital"/>
    <s v="TEVA"/>
    <n v="3"/>
    <n v="162.72"/>
    <n v="219.99"/>
    <n v="0"/>
    <n v="0"/>
    <m/>
    <n v="29"/>
    <n v="1"/>
    <n v="3"/>
    <n v="219.99"/>
    <n v="13130000005"/>
  </r>
  <r>
    <x v="5"/>
    <d v="1899-12-30T15:17:56"/>
    <n v="1006"/>
    <n v="13002561"/>
    <n v="13"/>
    <n v="22589"/>
    <s v="Retail Sale"/>
    <n v="18"/>
    <n v="17154"/>
    <x v="6"/>
    <s v="Grand Capital"/>
    <s v="Novartis"/>
    <n v="3"/>
    <n v="456.34"/>
    <n v="766.02"/>
    <n v="38.299999999999997"/>
    <n v="38.299999999999997"/>
    <s v="BONUS_CARD"/>
    <n v="29"/>
    <n v="1"/>
    <n v="4"/>
    <n v="727.72"/>
    <n v="13130000006"/>
  </r>
  <r>
    <x v="5"/>
    <d v="1899-12-30T18:11:37"/>
    <n v="1007"/>
    <n v="13002561"/>
    <n v="13"/>
    <n v="22589"/>
    <s v="Retail Sale"/>
    <n v="18"/>
    <n v="62677"/>
    <x v="7"/>
    <s v="Pulse"/>
    <s v="Sanofi"/>
    <n v="3"/>
    <n v="455.3"/>
    <n v="625.23"/>
    <n v="31.26"/>
    <n v="31.26"/>
    <s v="BONUS_CARD"/>
    <n v="29"/>
    <n v="1"/>
    <n v="4"/>
    <n v="593.97"/>
    <n v="13130000007"/>
  </r>
  <r>
    <x v="1"/>
    <d v="1899-12-30T09:56:56"/>
    <n v="1008"/>
    <n v="13002561"/>
    <n v="13"/>
    <n v="22589"/>
    <s v="Retail Sale"/>
    <n v="15"/>
    <n v="24428"/>
    <x v="5"/>
    <s v="Grand Capital"/>
    <s v="Dr. Reddy's"/>
    <n v="2"/>
    <n v="359.78"/>
    <n v="481.52"/>
    <n v="0"/>
    <n v="0"/>
    <m/>
    <n v="29"/>
    <n v="1"/>
    <n v="3"/>
    <n v="481.52"/>
    <n v="13130000008"/>
  </r>
  <r>
    <x v="6"/>
    <d v="1899-12-30T16:28:54"/>
    <n v="1009"/>
    <n v="13002561"/>
    <n v="13"/>
    <n v="22589"/>
    <s v="Retail Sale"/>
    <n v="18"/>
    <n v="69547"/>
    <x v="8"/>
    <s v="Grand Capital"/>
    <s v="TEVA"/>
    <n v="1"/>
    <n v="110"/>
    <n v="141.38"/>
    <n v="7.07"/>
    <n v="7.07"/>
    <s v="BONUS_CARD"/>
    <n v="29"/>
    <n v="1"/>
    <n v="3"/>
    <n v="134.31"/>
    <n v="13130000009"/>
  </r>
  <r>
    <x v="7"/>
    <d v="1899-12-30T08:18:37"/>
    <n v="1010"/>
    <n v="13002561"/>
    <n v="13"/>
    <n v="22589"/>
    <s v="Retail Sale"/>
    <n v="15"/>
    <n v="83441"/>
    <x v="9"/>
    <s v="Katren"/>
    <s v="Takeda"/>
    <n v="2"/>
    <n v="579.29"/>
    <n v="843.98"/>
    <n v="84.4"/>
    <n v="84.4"/>
    <s v="BONUS_CARD"/>
    <n v="29"/>
    <n v="1"/>
    <n v="6"/>
    <n v="759.58"/>
    <n v="13130000010"/>
  </r>
  <r>
    <x v="8"/>
    <d v="1899-12-30T21:19:47"/>
    <n v="1011"/>
    <n v="13002561"/>
    <n v="13"/>
    <n v="22589"/>
    <s v="Retail Sale"/>
    <n v="15"/>
    <n v="62573"/>
    <x v="0"/>
    <s v="Protek"/>
    <s v="Novartis"/>
    <n v="3"/>
    <n v="155.22"/>
    <n v="199.26"/>
    <n v="19.93"/>
    <n v="19.93"/>
    <s v="BONUS_CARD"/>
    <n v="29"/>
    <n v="1"/>
    <n v="1"/>
    <n v="179.33"/>
    <n v="13130000011"/>
  </r>
  <r>
    <x v="9"/>
    <d v="1899-12-30T21:44:22"/>
    <n v="1012"/>
    <n v="13002561"/>
    <n v="13"/>
    <n v="22589"/>
    <s v="Retail Sale"/>
    <n v="15"/>
    <n v="12185"/>
    <x v="10"/>
    <s v="Protek"/>
    <s v="KRKA"/>
    <n v="1"/>
    <n v="345.11"/>
    <n v="519.76"/>
    <n v="25.99"/>
    <n v="25.99"/>
    <s v="BONUS_CARD"/>
    <n v="29"/>
    <n v="1"/>
    <n v="3"/>
    <n v="493.77"/>
    <n v="13130000012"/>
  </r>
  <r>
    <x v="10"/>
    <d v="1899-12-30T13:36:42"/>
    <n v="1013"/>
    <n v="13002561"/>
    <n v="13"/>
    <n v="22589"/>
    <s v="Retail Sale"/>
    <n v="18"/>
    <n v="99935"/>
    <x v="11"/>
    <s v="Protek"/>
    <s v="Dr. Reddy's"/>
    <n v="1"/>
    <n v="457.19"/>
    <n v="746.15"/>
    <n v="0"/>
    <n v="0"/>
    <m/>
    <n v="29"/>
    <n v="1"/>
    <n v="3"/>
    <n v="746.15"/>
    <n v="13130000013"/>
  </r>
  <r>
    <x v="11"/>
    <d v="1899-12-30T14:52:36"/>
    <n v="1014"/>
    <n v="13002561"/>
    <n v="13"/>
    <n v="22589"/>
    <s v="Retail Sale"/>
    <n v="15"/>
    <n v="64118"/>
    <x v="12"/>
    <s v="Avesta"/>
    <s v="Novartis"/>
    <n v="3"/>
    <n v="61.15"/>
    <n v="103.4"/>
    <n v="10.34"/>
    <n v="10.34"/>
    <s v="BONUS_CARD"/>
    <n v="29"/>
    <n v="1"/>
    <n v="3"/>
    <n v="93.06"/>
    <n v="13130000014"/>
  </r>
  <r>
    <x v="10"/>
    <d v="1899-12-30T10:42:17"/>
    <n v="1015"/>
    <n v="13002561"/>
    <n v="13"/>
    <n v="22589"/>
    <s v="Retail Sale"/>
    <n v="15"/>
    <n v="12583"/>
    <x v="13"/>
    <s v="Pulse"/>
    <s v="Pfizer"/>
    <n v="2"/>
    <n v="210.41"/>
    <n v="334.92"/>
    <n v="0"/>
    <n v="0"/>
    <m/>
    <n v="29"/>
    <n v="1"/>
    <n v="2"/>
    <n v="334.92"/>
    <n v="13130000015"/>
  </r>
  <r>
    <x v="0"/>
    <d v="1899-12-30T16:46:31"/>
    <n v="1016"/>
    <n v="13002561"/>
    <n v="13"/>
    <n v="22589"/>
    <s v="Retail Sale"/>
    <n v="15"/>
    <n v="74327"/>
    <x v="14"/>
    <s v="Pulse"/>
    <s v="Pfizer"/>
    <n v="2"/>
    <n v="557.52"/>
    <n v="744.91"/>
    <n v="0"/>
    <n v="0"/>
    <m/>
    <n v="29"/>
    <n v="1"/>
    <n v="5"/>
    <n v="744.91"/>
    <n v="13130000016"/>
  </r>
  <r>
    <x v="12"/>
    <d v="1899-12-30T11:48:30"/>
    <n v="1017"/>
    <n v="13002561"/>
    <n v="13"/>
    <n v="22589"/>
    <s v="Retail Sale"/>
    <n v="18"/>
    <n v="45437"/>
    <x v="15"/>
    <s v="Grand Capital"/>
    <s v="Takeda"/>
    <n v="3"/>
    <n v="195.09"/>
    <n v="312.2"/>
    <n v="15.61"/>
    <n v="15.61"/>
    <s v="BONUS_CARD"/>
    <n v="29"/>
    <n v="1"/>
    <n v="3"/>
    <n v="296.58999999999997"/>
    <n v="13130000017"/>
  </r>
  <r>
    <x v="13"/>
    <d v="1899-12-30T21:19:18"/>
    <n v="1018"/>
    <n v="13002561"/>
    <n v="13"/>
    <n v="22589"/>
    <s v="Retail Sale"/>
    <n v="18"/>
    <n v="37457"/>
    <x v="16"/>
    <s v="Katren"/>
    <s v="Bayer"/>
    <n v="1"/>
    <n v="178.09"/>
    <n v="286.41000000000003"/>
    <n v="28.64"/>
    <n v="28.64"/>
    <s v="BONUS_CARD"/>
    <n v="29"/>
    <n v="1"/>
    <n v="6"/>
    <n v="257.77"/>
    <n v="13130000018"/>
  </r>
  <r>
    <x v="4"/>
    <d v="1899-12-30T19:29:29"/>
    <n v="1019"/>
    <n v="13002561"/>
    <n v="13"/>
    <n v="22589"/>
    <s v="Retail Sale"/>
    <n v="18"/>
    <n v="92747"/>
    <x v="17"/>
    <s v="Katren"/>
    <s v="Novartis"/>
    <n v="2"/>
    <n v="400.67"/>
    <n v="551"/>
    <n v="55.1"/>
    <n v="55.1"/>
    <s v="BONUS_CARD"/>
    <n v="29"/>
    <n v="1"/>
    <n v="3"/>
    <n v="495.9"/>
    <n v="13130000019"/>
  </r>
  <r>
    <x v="14"/>
    <d v="1899-12-30T14:01:10"/>
    <n v="1020"/>
    <n v="13002561"/>
    <n v="13"/>
    <n v="22589"/>
    <s v="Retail Sale"/>
    <n v="18"/>
    <n v="17699"/>
    <x v="18"/>
    <s v="Katren"/>
    <s v="TEVA"/>
    <n v="3"/>
    <n v="78.69"/>
    <n v="116.24"/>
    <n v="11.62"/>
    <n v="11.62"/>
    <s v="BONUS_CARD"/>
    <n v="29"/>
    <n v="1"/>
    <n v="4"/>
    <n v="104.62"/>
    <n v="13130000020"/>
  </r>
  <r>
    <x v="15"/>
    <d v="1899-12-30T09:29:58"/>
    <n v="1021"/>
    <n v="13002561"/>
    <n v="13"/>
    <n v="22589"/>
    <s v="Retail Sale"/>
    <n v="15"/>
    <n v="22329"/>
    <x v="19"/>
    <s v="Katren"/>
    <s v="Novartis"/>
    <n v="2"/>
    <n v="598.53"/>
    <n v="839.18"/>
    <n v="41.96"/>
    <n v="41.96"/>
    <s v="BONUS_CARD"/>
    <n v="29"/>
    <n v="1"/>
    <n v="6"/>
    <n v="797.22"/>
    <n v="13130000021"/>
  </r>
  <r>
    <x v="9"/>
    <d v="1899-12-30T20:56:42"/>
    <n v="1022"/>
    <n v="13002561"/>
    <n v="13"/>
    <n v="22589"/>
    <s v="Retail Sale"/>
    <n v="15"/>
    <n v="72796"/>
    <x v="20"/>
    <s v="Protek"/>
    <s v="Novartis"/>
    <n v="3"/>
    <n v="551.38"/>
    <n v="733.39"/>
    <n v="36.67"/>
    <n v="36.67"/>
    <s v="BONUS_CARD"/>
    <n v="29"/>
    <n v="1"/>
    <n v="2"/>
    <n v="696.72"/>
    <n v="13130000022"/>
  </r>
  <r>
    <x v="14"/>
    <d v="1899-12-30T12:22:43"/>
    <n v="1023"/>
    <n v="13002561"/>
    <n v="13"/>
    <n v="22589"/>
    <s v="Retail Sale"/>
    <n v="15"/>
    <n v="58541"/>
    <x v="21"/>
    <s v="Pharmcomplect"/>
    <s v="Novartis"/>
    <n v="1"/>
    <n v="431.25"/>
    <n v="649.36"/>
    <n v="32.47"/>
    <n v="32.47"/>
    <s v="BONUS_CARD"/>
    <n v="29"/>
    <n v="1"/>
    <n v="6"/>
    <n v="616.89"/>
    <n v="13130000023"/>
  </r>
  <r>
    <x v="16"/>
    <d v="1899-12-30T12:10:04"/>
    <n v="1024"/>
    <n v="13002561"/>
    <n v="13"/>
    <n v="22589"/>
    <s v="Retail Sale"/>
    <n v="15"/>
    <n v="58374"/>
    <x v="22"/>
    <s v="Pulse"/>
    <s v="Pfizer"/>
    <n v="3"/>
    <n v="279.77999999999997"/>
    <n v="409.16"/>
    <n v="0"/>
    <n v="0"/>
    <m/>
    <n v="29"/>
    <n v="1"/>
    <n v="3"/>
    <n v="409.16"/>
    <n v="13130000024"/>
  </r>
  <r>
    <x v="11"/>
    <d v="1899-12-30T09:56:20"/>
    <n v="1025"/>
    <n v="13002561"/>
    <n v="13"/>
    <n v="22589"/>
    <s v="Retail Sale"/>
    <n v="15"/>
    <n v="83109"/>
    <x v="7"/>
    <s v="Grand Capital"/>
    <s v="Sanofi"/>
    <n v="2"/>
    <n v="422.8"/>
    <n v="547.39"/>
    <n v="27.37"/>
    <n v="27.37"/>
    <s v="BONUS_CARD"/>
    <n v="29"/>
    <n v="1"/>
    <n v="5"/>
    <n v="520.02"/>
    <n v="13130000025"/>
  </r>
  <r>
    <x v="17"/>
    <d v="1899-12-30T18:47:49"/>
    <n v="1026"/>
    <n v="13002561"/>
    <n v="13"/>
    <n v="22589"/>
    <s v="Retail Sale"/>
    <n v="18"/>
    <n v="29788"/>
    <x v="23"/>
    <s v="Avesta"/>
    <s v="TEVA"/>
    <n v="1"/>
    <n v="471.03"/>
    <n v="747.49"/>
    <n v="37.369999999999997"/>
    <n v="37.369999999999997"/>
    <s v="BONUS_CARD"/>
    <n v="29"/>
    <n v="1"/>
    <n v="5"/>
    <n v="710.12"/>
    <n v="13130000026"/>
  </r>
  <r>
    <x v="18"/>
    <d v="1899-12-30T15:41:25"/>
    <n v="1027"/>
    <n v="13002561"/>
    <n v="13"/>
    <n v="22589"/>
    <s v="Retail Sale"/>
    <n v="18"/>
    <n v="67352"/>
    <x v="24"/>
    <s v="Katren"/>
    <s v="KRKA"/>
    <n v="1"/>
    <n v="177.33"/>
    <n v="273.62"/>
    <n v="0"/>
    <n v="0"/>
    <m/>
    <n v="29"/>
    <n v="1"/>
    <n v="1"/>
    <n v="273.62"/>
    <n v="13130000027"/>
  </r>
  <r>
    <x v="1"/>
    <d v="1899-12-30T13:12:01"/>
    <n v="1028"/>
    <n v="13002561"/>
    <n v="13"/>
    <n v="22589"/>
    <s v="Retail Sale"/>
    <n v="15"/>
    <n v="30822"/>
    <x v="25"/>
    <s v="Protek"/>
    <s v="Pfizer"/>
    <n v="1"/>
    <n v="209.03"/>
    <n v="306.95"/>
    <n v="15.35"/>
    <n v="15.35"/>
    <s v="BONUS_CARD"/>
    <n v="29"/>
    <n v="1"/>
    <n v="3"/>
    <n v="291.60000000000002"/>
    <n v="13130000028"/>
  </r>
  <r>
    <x v="10"/>
    <d v="1899-12-30T09:11:37"/>
    <n v="1029"/>
    <n v="13002561"/>
    <n v="13"/>
    <n v="22589"/>
    <s v="Retail Sale"/>
    <n v="15"/>
    <n v="99791"/>
    <x v="26"/>
    <s v="Grand Capital"/>
    <s v="Sanofi"/>
    <n v="2"/>
    <n v="481.35"/>
    <n v="616.25"/>
    <n v="30.81"/>
    <n v="30.81"/>
    <s v="BONUS_CARD"/>
    <n v="29"/>
    <n v="1"/>
    <n v="3"/>
    <n v="585.44000000000005"/>
    <n v="13130000029"/>
  </r>
  <r>
    <x v="5"/>
    <d v="1899-12-30T19:19:15"/>
    <n v="1030"/>
    <n v="13002561"/>
    <n v="13"/>
    <n v="22589"/>
    <s v="Retail Sale"/>
    <n v="15"/>
    <n v="45085"/>
    <x v="27"/>
    <s v="Pharmcomplect"/>
    <s v="Novartis"/>
    <n v="2"/>
    <n v="202.75"/>
    <n v="314.70999999999998"/>
    <n v="0"/>
    <n v="0"/>
    <m/>
    <n v="29"/>
    <n v="1"/>
    <n v="5"/>
    <n v="314.70999999999998"/>
    <n v="13130000030"/>
  </r>
  <r>
    <x v="14"/>
    <d v="1899-12-30T20:23:47"/>
    <n v="1031"/>
    <n v="13002561"/>
    <n v="13"/>
    <n v="22589"/>
    <s v="Retail Sale"/>
    <n v="18"/>
    <n v="64341"/>
    <x v="28"/>
    <s v="Grand Capital"/>
    <s v="Takeda"/>
    <n v="1"/>
    <n v="541.58000000000004"/>
    <n v="694.38"/>
    <n v="34.72"/>
    <n v="34.72"/>
    <s v="BONUS_CARD"/>
    <n v="29"/>
    <n v="1"/>
    <n v="3"/>
    <n v="659.66"/>
    <n v="13130000031"/>
  </r>
  <r>
    <x v="19"/>
    <d v="1899-12-30T19:49:19"/>
    <n v="1032"/>
    <n v="13002561"/>
    <n v="13"/>
    <n v="22589"/>
    <s v="Retail Sale"/>
    <n v="15"/>
    <n v="67951"/>
    <x v="29"/>
    <s v="Pulse"/>
    <s v="Bayer"/>
    <n v="3"/>
    <n v="372.78"/>
    <n v="563.36"/>
    <n v="0"/>
    <n v="0"/>
    <m/>
    <n v="29"/>
    <n v="1"/>
    <n v="6"/>
    <n v="563.36"/>
    <n v="13130000032"/>
  </r>
  <r>
    <x v="10"/>
    <d v="1899-12-30T21:36:50"/>
    <n v="1033"/>
    <n v="13002561"/>
    <n v="13"/>
    <n v="22589"/>
    <s v="Retail Sale"/>
    <n v="18"/>
    <n v="38944"/>
    <x v="28"/>
    <s v="Avesta"/>
    <s v="TEVA"/>
    <n v="2"/>
    <n v="306.39"/>
    <n v="452.69"/>
    <n v="22.63"/>
    <n v="22.63"/>
    <s v="BONUS_CARD"/>
    <n v="29"/>
    <n v="1"/>
    <n v="5"/>
    <n v="430.06"/>
    <n v="13130000033"/>
  </r>
  <r>
    <x v="11"/>
    <d v="1899-12-30T11:49:15"/>
    <n v="1034"/>
    <n v="13002561"/>
    <n v="13"/>
    <n v="22589"/>
    <s v="Retail Sale"/>
    <n v="15"/>
    <n v="26854"/>
    <x v="30"/>
    <s v="Grand Capital"/>
    <s v="Takeda"/>
    <n v="3"/>
    <n v="408.08"/>
    <n v="670.44"/>
    <n v="67.040000000000006"/>
    <n v="67.040000000000006"/>
    <s v="BONUS_CARD"/>
    <n v="29"/>
    <n v="1"/>
    <n v="3"/>
    <n v="603.4"/>
    <n v="13130000034"/>
  </r>
  <r>
    <x v="13"/>
    <d v="1899-12-30T09:27:06"/>
    <n v="1035"/>
    <n v="13002561"/>
    <n v="13"/>
    <n v="22589"/>
    <s v="Retail Sale"/>
    <n v="15"/>
    <n v="26775"/>
    <x v="31"/>
    <s v="Avesta"/>
    <s v="Sanofi"/>
    <n v="2"/>
    <n v="52.98"/>
    <n v="72.459999999999994"/>
    <n v="3.62"/>
    <n v="3.62"/>
    <s v="BONUS_CARD"/>
    <n v="29"/>
    <n v="1"/>
    <n v="2"/>
    <n v="68.84"/>
    <n v="13130000035"/>
  </r>
  <r>
    <x v="20"/>
    <d v="1899-12-30T13:58:23"/>
    <n v="1036"/>
    <n v="13002561"/>
    <n v="13"/>
    <n v="22589"/>
    <s v="Retail Sale"/>
    <n v="18"/>
    <n v="42575"/>
    <x v="4"/>
    <s v="Pulse"/>
    <s v="Pfizer"/>
    <n v="1"/>
    <n v="145.46"/>
    <n v="186.11"/>
    <n v="18.61"/>
    <n v="18.61"/>
    <s v="BONUS_CARD"/>
    <n v="29"/>
    <n v="1"/>
    <n v="4"/>
    <n v="167.5"/>
    <n v="13130000036"/>
  </r>
  <r>
    <x v="4"/>
    <d v="1899-12-30T18:53:26"/>
    <n v="1037"/>
    <n v="13002561"/>
    <n v="13"/>
    <n v="22589"/>
    <s v="Retail Sale"/>
    <n v="18"/>
    <n v="38901"/>
    <x v="32"/>
    <s v="Protek"/>
    <s v="Novartis"/>
    <n v="3"/>
    <n v="293.27"/>
    <n v="404.37"/>
    <n v="40.44"/>
    <n v="40.44"/>
    <s v="BONUS_CARD"/>
    <n v="29"/>
    <n v="1"/>
    <n v="2"/>
    <n v="363.93"/>
    <n v="13130000037"/>
  </r>
  <r>
    <x v="21"/>
    <d v="1899-12-30T15:21:38"/>
    <n v="1038"/>
    <n v="13002561"/>
    <n v="13"/>
    <n v="22589"/>
    <s v="Retail Sale"/>
    <n v="15"/>
    <n v="40966"/>
    <x v="1"/>
    <s v="Pharmcomplect"/>
    <s v="TEVA"/>
    <n v="2"/>
    <n v="206.36"/>
    <n v="289.99"/>
    <n v="14.5"/>
    <n v="14.5"/>
    <s v="BONUS_CARD"/>
    <n v="29"/>
    <n v="1"/>
    <n v="2"/>
    <n v="275.49"/>
    <n v="13130000038"/>
  </r>
  <r>
    <x v="22"/>
    <d v="1899-12-30T10:25:47"/>
    <n v="1039"/>
    <n v="13002561"/>
    <n v="13"/>
    <n v="22589"/>
    <s v="Retail Sale"/>
    <n v="18"/>
    <n v="27087"/>
    <x v="28"/>
    <s v="Katren"/>
    <s v="Dr. Reddy's"/>
    <n v="3"/>
    <n v="546.44000000000005"/>
    <n v="708.01"/>
    <n v="0"/>
    <n v="0"/>
    <m/>
    <n v="29"/>
    <n v="1"/>
    <n v="3"/>
    <n v="708.01"/>
    <n v="13130000039"/>
  </r>
  <r>
    <x v="23"/>
    <d v="1899-12-30T15:44:31"/>
    <n v="1040"/>
    <n v="13002561"/>
    <n v="13"/>
    <n v="22589"/>
    <s v="Retail Sale"/>
    <n v="18"/>
    <n v="84850"/>
    <x v="33"/>
    <s v="Pulse"/>
    <s v="Sanofi"/>
    <n v="2"/>
    <n v="242.45"/>
    <n v="411.77"/>
    <n v="20.59"/>
    <n v="20.59"/>
    <s v="BONUS_CARD"/>
    <n v="29"/>
    <n v="1"/>
    <n v="6"/>
    <n v="391.18"/>
    <n v="13130000040"/>
  </r>
  <r>
    <x v="5"/>
    <d v="1899-12-30T08:53:38"/>
    <n v="1041"/>
    <n v="13002561"/>
    <n v="13"/>
    <n v="22589"/>
    <s v="Retail Sale"/>
    <n v="18"/>
    <n v="27996"/>
    <x v="1"/>
    <s v="Pulse"/>
    <s v="Bayer"/>
    <n v="3"/>
    <n v="222.1"/>
    <n v="328.61"/>
    <n v="16.43"/>
    <n v="16.43"/>
    <s v="BONUS_CARD"/>
    <n v="29"/>
    <n v="1"/>
    <n v="4"/>
    <n v="312.18"/>
    <n v="13130000041"/>
  </r>
  <r>
    <x v="24"/>
    <d v="1899-12-30T15:08:02"/>
    <n v="1042"/>
    <n v="13002561"/>
    <n v="13"/>
    <n v="22589"/>
    <s v="Retail Sale"/>
    <n v="18"/>
    <n v="74968"/>
    <x v="14"/>
    <s v="Protek"/>
    <s v="Sanofi"/>
    <n v="3"/>
    <n v="471.03"/>
    <n v="692.06"/>
    <n v="0"/>
    <n v="0"/>
    <m/>
    <n v="29"/>
    <n v="1"/>
    <n v="3"/>
    <n v="692.06"/>
    <n v="13130000042"/>
  </r>
  <r>
    <x v="6"/>
    <d v="1899-12-30T11:59:53"/>
    <n v="1043"/>
    <n v="13002561"/>
    <n v="13"/>
    <n v="22589"/>
    <s v="Retail Sale"/>
    <n v="15"/>
    <n v="93326"/>
    <x v="34"/>
    <s v="Pharmcomplect"/>
    <s v="Takeda"/>
    <n v="2"/>
    <n v="511.95"/>
    <n v="655.48"/>
    <n v="32.770000000000003"/>
    <n v="32.770000000000003"/>
    <s v="BONUS_CARD"/>
    <n v="29"/>
    <n v="1"/>
    <n v="3"/>
    <n v="622.71"/>
    <n v="13130000043"/>
  </r>
  <r>
    <x v="0"/>
    <d v="1899-12-30T11:45:06"/>
    <n v="1044"/>
    <n v="13002561"/>
    <n v="13"/>
    <n v="22589"/>
    <s v="Retail Sale"/>
    <n v="18"/>
    <n v="73888"/>
    <x v="35"/>
    <s v="Pharmcomplect"/>
    <s v="Novartis"/>
    <n v="1"/>
    <n v="527.76"/>
    <n v="892.67"/>
    <n v="89.27"/>
    <n v="89.27"/>
    <s v="BONUS_CARD"/>
    <n v="29"/>
    <n v="1"/>
    <n v="2"/>
    <n v="803.4"/>
    <n v="13130000044"/>
  </r>
  <r>
    <x v="25"/>
    <d v="1899-12-30T20:04:21"/>
    <n v="1045"/>
    <n v="13002561"/>
    <n v="13"/>
    <n v="22589"/>
    <s v="Retail Sale"/>
    <n v="18"/>
    <n v="19129"/>
    <x v="11"/>
    <s v="Pulse"/>
    <s v="Sanofi"/>
    <n v="2"/>
    <n v="315.27999999999997"/>
    <n v="453.92"/>
    <n v="22.7"/>
    <n v="22.7"/>
    <s v="BONUS_CARD"/>
    <n v="29"/>
    <n v="1"/>
    <n v="5"/>
    <n v="431.22"/>
    <n v="13130000045"/>
  </r>
  <r>
    <x v="12"/>
    <d v="1899-12-30T12:06:58"/>
    <n v="1046"/>
    <n v="13002561"/>
    <n v="13"/>
    <n v="22589"/>
    <s v="Retail Sale"/>
    <n v="18"/>
    <n v="56085"/>
    <x v="36"/>
    <s v="Avesta"/>
    <s v="Pfizer"/>
    <n v="2"/>
    <n v="69.900000000000006"/>
    <n v="114.23"/>
    <n v="0"/>
    <n v="0"/>
    <m/>
    <n v="29"/>
    <n v="1"/>
    <n v="5"/>
    <n v="114.23"/>
    <n v="13130000046"/>
  </r>
  <r>
    <x v="26"/>
    <d v="1899-12-30T11:20:42"/>
    <n v="1047"/>
    <n v="13002561"/>
    <n v="13"/>
    <n v="22589"/>
    <s v="Retail Sale"/>
    <n v="15"/>
    <n v="43260"/>
    <x v="17"/>
    <s v="Protek"/>
    <s v="Bayer"/>
    <n v="1"/>
    <n v="137.09"/>
    <n v="205.99"/>
    <n v="20.6"/>
    <n v="20.6"/>
    <s v="BONUS_CARD"/>
    <n v="29"/>
    <n v="1"/>
    <n v="4"/>
    <n v="185.39"/>
    <n v="13130000047"/>
  </r>
  <r>
    <x v="26"/>
    <d v="1899-12-30T14:44:37"/>
    <n v="1048"/>
    <n v="13002561"/>
    <n v="13"/>
    <n v="22589"/>
    <s v="Retail Sale"/>
    <n v="18"/>
    <n v="45305"/>
    <x v="37"/>
    <s v="Avesta"/>
    <s v="Pfizer"/>
    <n v="3"/>
    <n v="246.45"/>
    <n v="382.79"/>
    <n v="19.14"/>
    <n v="19.14"/>
    <s v="BONUS_CARD"/>
    <n v="29"/>
    <n v="1"/>
    <n v="3"/>
    <n v="363.65"/>
    <n v="13130000048"/>
  </r>
  <r>
    <x v="21"/>
    <d v="1899-12-30T08:52:21"/>
    <n v="1049"/>
    <n v="13002561"/>
    <n v="13"/>
    <n v="22589"/>
    <s v="Retail Sale"/>
    <n v="18"/>
    <n v="19578"/>
    <x v="17"/>
    <s v="Pharmcomplect"/>
    <s v="TEVA"/>
    <n v="1"/>
    <n v="449.5"/>
    <n v="685.66"/>
    <n v="0"/>
    <n v="0"/>
    <m/>
    <n v="29"/>
    <n v="1"/>
    <n v="5"/>
    <n v="685.66"/>
    <n v="13130000049"/>
  </r>
  <r>
    <x v="13"/>
    <d v="1899-12-30T20:30:13"/>
    <n v="1050"/>
    <n v="13002561"/>
    <n v="13"/>
    <n v="22589"/>
    <s v="Retail Sale"/>
    <n v="18"/>
    <n v="49755"/>
    <x v="38"/>
    <s v="Katren"/>
    <s v="Novartis"/>
    <n v="2"/>
    <n v="294.35000000000002"/>
    <n v="400.83"/>
    <n v="20.04"/>
    <n v="20.04"/>
    <s v="BONUS_CARD"/>
    <n v="29"/>
    <n v="1"/>
    <n v="1"/>
    <n v="380.79"/>
    <n v="13130000050"/>
  </r>
  <r>
    <x v="27"/>
    <d v="1899-12-30T11:34:28"/>
    <n v="1051"/>
    <n v="13002561"/>
    <n v="13"/>
    <n v="22589"/>
    <s v="Retail Sale"/>
    <n v="15"/>
    <n v="97792"/>
    <x v="39"/>
    <s v="Pharmcomplect"/>
    <s v="Takeda"/>
    <n v="2"/>
    <n v="166.17"/>
    <n v="275.08999999999997"/>
    <n v="27.51"/>
    <n v="27.51"/>
    <s v="BONUS_CARD"/>
    <n v="29"/>
    <n v="1"/>
    <n v="3"/>
    <n v="247.58"/>
    <n v="13130000051"/>
  </r>
  <r>
    <x v="1"/>
    <d v="1899-12-30T16:34:30"/>
    <n v="1052"/>
    <n v="13002561"/>
    <n v="13"/>
    <n v="22589"/>
    <s v="Retail Sale"/>
    <n v="18"/>
    <n v="32029"/>
    <x v="1"/>
    <s v="Pulse"/>
    <s v="TEVA"/>
    <n v="3"/>
    <n v="194.25"/>
    <n v="288.07"/>
    <n v="28.81"/>
    <n v="28.81"/>
    <s v="BONUS_CARD"/>
    <n v="29"/>
    <n v="1"/>
    <n v="3"/>
    <n v="259.26"/>
    <n v="13130000052"/>
  </r>
  <r>
    <x v="26"/>
    <d v="1899-12-30T13:36:08"/>
    <n v="1053"/>
    <n v="13002561"/>
    <n v="13"/>
    <n v="22589"/>
    <s v="Retail Sale"/>
    <n v="15"/>
    <n v="70316"/>
    <x v="19"/>
    <s v="Katren"/>
    <s v="Pfizer"/>
    <n v="1"/>
    <n v="42.71"/>
    <n v="56.19"/>
    <n v="0"/>
    <n v="0"/>
    <m/>
    <n v="29"/>
    <n v="1"/>
    <n v="6"/>
    <n v="56.19"/>
    <n v="13130000053"/>
  </r>
  <r>
    <x v="28"/>
    <d v="1899-12-30T12:55:08"/>
    <n v="1054"/>
    <n v="13002561"/>
    <n v="13"/>
    <n v="22589"/>
    <s v="Retail Sale"/>
    <n v="15"/>
    <n v="71917"/>
    <x v="33"/>
    <s v="Pulse"/>
    <s v="Pfizer"/>
    <n v="2"/>
    <n v="198.64"/>
    <n v="248.47"/>
    <n v="24.85"/>
    <n v="24.85"/>
    <s v="BONUS_CARD"/>
    <n v="29"/>
    <n v="1"/>
    <n v="2"/>
    <n v="223.62"/>
    <n v="13130000054"/>
  </r>
  <r>
    <x v="24"/>
    <d v="1899-12-30T16:20:45"/>
    <n v="1055"/>
    <n v="13002561"/>
    <n v="13"/>
    <n v="22589"/>
    <s v="Retail Sale"/>
    <n v="18"/>
    <n v="23240"/>
    <x v="40"/>
    <s v="Avesta"/>
    <s v="Sanofi"/>
    <n v="2"/>
    <n v="302.02999999999997"/>
    <n v="400.56"/>
    <n v="0"/>
    <n v="0"/>
    <m/>
    <n v="29"/>
    <n v="1"/>
    <n v="4"/>
    <n v="400.56"/>
    <n v="13130000055"/>
  </r>
  <r>
    <x v="8"/>
    <d v="1899-12-30T11:16:11"/>
    <n v="1056"/>
    <n v="13002561"/>
    <n v="13"/>
    <n v="22589"/>
    <s v="Retail Sale"/>
    <n v="15"/>
    <n v="63702"/>
    <x v="18"/>
    <s v="Pharmcomplect"/>
    <s v="Sanofi"/>
    <n v="2"/>
    <n v="499.78"/>
    <n v="816.19"/>
    <n v="40.81"/>
    <n v="40.81"/>
    <s v="BONUS_CARD"/>
    <n v="29"/>
    <n v="1"/>
    <n v="6"/>
    <n v="775.38"/>
    <n v="13130000056"/>
  </r>
  <r>
    <x v="20"/>
    <d v="1899-12-30T13:48:30"/>
    <n v="1057"/>
    <n v="13002561"/>
    <n v="13"/>
    <n v="22589"/>
    <s v="Retail Sale"/>
    <n v="15"/>
    <n v="52177"/>
    <x v="2"/>
    <s v="Avesta"/>
    <s v="Sanofi"/>
    <n v="1"/>
    <n v="260.72000000000003"/>
    <n v="421.49"/>
    <n v="0"/>
    <n v="0"/>
    <m/>
    <n v="29"/>
    <n v="1"/>
    <n v="3"/>
    <n v="421.49"/>
    <n v="13130000057"/>
  </r>
  <r>
    <x v="15"/>
    <d v="1899-12-30T15:15:47"/>
    <n v="1058"/>
    <n v="13002561"/>
    <n v="13"/>
    <n v="22589"/>
    <s v="Retail Sale"/>
    <n v="18"/>
    <n v="10141"/>
    <x v="16"/>
    <s v="Katren"/>
    <s v="Pfizer"/>
    <n v="3"/>
    <n v="567.17999999999995"/>
    <n v="734.09"/>
    <n v="36.700000000000003"/>
    <n v="36.700000000000003"/>
    <s v="BONUS_CARD"/>
    <n v="29"/>
    <n v="1"/>
    <n v="6"/>
    <n v="697.39"/>
    <n v="13130000058"/>
  </r>
  <r>
    <x v="13"/>
    <d v="1899-12-30T14:54:26"/>
    <n v="1059"/>
    <n v="13002561"/>
    <n v="13"/>
    <n v="22589"/>
    <s v="Retail Sale"/>
    <n v="18"/>
    <n v="20196"/>
    <x v="41"/>
    <s v="Avesta"/>
    <s v="TEVA"/>
    <n v="3"/>
    <n v="327.77"/>
    <n v="547.1"/>
    <n v="54.71"/>
    <n v="54.71"/>
    <s v="BONUS_CARD"/>
    <n v="29"/>
    <n v="1"/>
    <n v="1"/>
    <n v="492.39"/>
    <n v="13130000059"/>
  </r>
  <r>
    <x v="10"/>
    <d v="1899-12-30T19:57:16"/>
    <n v="1060"/>
    <n v="13002561"/>
    <n v="13"/>
    <n v="22589"/>
    <s v="Retail Sale"/>
    <n v="18"/>
    <n v="30071"/>
    <x v="42"/>
    <s v="Grand Capital"/>
    <s v="Takeda"/>
    <n v="2"/>
    <n v="382.34"/>
    <n v="546.94000000000005"/>
    <n v="54.69"/>
    <n v="54.69"/>
    <s v="BONUS_CARD"/>
    <n v="29"/>
    <n v="1"/>
    <n v="5"/>
    <n v="492.25"/>
    <n v="13130000060"/>
  </r>
  <r>
    <x v="3"/>
    <d v="1899-12-30T14:18:05"/>
    <n v="1061"/>
    <n v="13002561"/>
    <n v="13"/>
    <n v="22589"/>
    <s v="Retail Sale"/>
    <n v="15"/>
    <n v="14973"/>
    <x v="26"/>
    <s v="Pulse"/>
    <s v="KRKA"/>
    <n v="2"/>
    <n v="342.5"/>
    <n v="489.04"/>
    <n v="48.9"/>
    <n v="48.9"/>
    <s v="BONUS_CARD"/>
    <n v="29"/>
    <n v="1"/>
    <n v="6"/>
    <n v="440.14"/>
    <n v="13130000061"/>
  </r>
  <r>
    <x v="27"/>
    <d v="1899-12-30T13:12:37"/>
    <n v="1062"/>
    <n v="13002561"/>
    <n v="13"/>
    <n v="22589"/>
    <s v="Retail Sale"/>
    <n v="15"/>
    <n v="55859"/>
    <x v="39"/>
    <s v="Protek"/>
    <s v="KRKA"/>
    <n v="3"/>
    <n v="58.28"/>
    <n v="91.44"/>
    <n v="9.14"/>
    <n v="9.14"/>
    <s v="BONUS_CARD"/>
    <n v="29"/>
    <n v="1"/>
    <n v="3"/>
    <n v="82.3"/>
    <n v="13130000062"/>
  </r>
  <r>
    <x v="2"/>
    <d v="1899-12-30T15:33:07"/>
    <n v="1063"/>
    <n v="13002561"/>
    <n v="13"/>
    <n v="22589"/>
    <s v="Retail Sale"/>
    <n v="15"/>
    <n v="45075"/>
    <x v="43"/>
    <s v="Pharmcomplect"/>
    <s v="Sanofi"/>
    <n v="2"/>
    <n v="556.46"/>
    <n v="760.56"/>
    <n v="0"/>
    <n v="0"/>
    <m/>
    <n v="29"/>
    <n v="1"/>
    <n v="1"/>
    <n v="760.56"/>
    <n v="13130000063"/>
  </r>
  <r>
    <x v="22"/>
    <d v="1899-12-30T15:48:38"/>
    <n v="1064"/>
    <n v="13002561"/>
    <n v="13"/>
    <n v="22589"/>
    <s v="Retail Sale"/>
    <n v="15"/>
    <n v="14770"/>
    <x v="32"/>
    <s v="Avesta"/>
    <s v="Novartis"/>
    <n v="3"/>
    <n v="242.6"/>
    <n v="358.33"/>
    <n v="17.920000000000002"/>
    <n v="17.920000000000002"/>
    <s v="BONUS_CARD"/>
    <n v="29"/>
    <n v="1"/>
    <n v="2"/>
    <n v="340.41"/>
    <n v="13130000064"/>
  </r>
  <r>
    <x v="14"/>
    <d v="1899-12-30T13:05:02"/>
    <n v="1065"/>
    <n v="13002561"/>
    <n v="13"/>
    <n v="22589"/>
    <s v="Retail Sale"/>
    <n v="18"/>
    <n v="49370"/>
    <x v="16"/>
    <s v="Avesta"/>
    <s v="KRKA"/>
    <n v="2"/>
    <n v="257.25"/>
    <n v="358.33"/>
    <n v="0"/>
    <n v="0"/>
    <m/>
    <n v="29"/>
    <n v="1"/>
    <n v="1"/>
    <n v="358.33"/>
    <n v="13130000065"/>
  </r>
  <r>
    <x v="1"/>
    <d v="1899-12-30T20:34:44"/>
    <n v="1066"/>
    <n v="13002561"/>
    <n v="13"/>
    <n v="22589"/>
    <s v="Retail Sale"/>
    <n v="18"/>
    <n v="83864"/>
    <x v="44"/>
    <s v="Pharmcomplect"/>
    <s v="Bayer"/>
    <n v="3"/>
    <n v="332.85"/>
    <n v="481.71"/>
    <n v="48.17"/>
    <n v="48.17"/>
    <s v="BONUS_CARD"/>
    <n v="29"/>
    <n v="1"/>
    <n v="6"/>
    <n v="433.54"/>
    <n v="13130000066"/>
  </r>
  <r>
    <x v="10"/>
    <d v="1899-12-30T22:41:49"/>
    <n v="1067"/>
    <n v="13002561"/>
    <n v="13"/>
    <n v="22589"/>
    <s v="Retail Sale"/>
    <n v="18"/>
    <n v="68698"/>
    <x v="45"/>
    <s v="Avesta"/>
    <s v="Bayer"/>
    <n v="2"/>
    <n v="411.65"/>
    <n v="522.84"/>
    <n v="0"/>
    <n v="0"/>
    <m/>
    <n v="29"/>
    <n v="1"/>
    <n v="5"/>
    <n v="522.84"/>
    <n v="13130000067"/>
  </r>
  <r>
    <x v="1"/>
    <d v="1899-12-30T17:08:09"/>
    <n v="1068"/>
    <n v="13002561"/>
    <n v="13"/>
    <n v="22589"/>
    <s v="Retail Sale"/>
    <n v="18"/>
    <n v="99359"/>
    <x v="8"/>
    <s v="Pulse"/>
    <s v="Dr. Reddy's"/>
    <n v="1"/>
    <n v="406.15"/>
    <n v="625.01"/>
    <n v="0"/>
    <n v="0"/>
    <m/>
    <n v="29"/>
    <n v="1"/>
    <n v="1"/>
    <n v="625.01"/>
    <n v="13130000068"/>
  </r>
  <r>
    <x v="8"/>
    <d v="1899-12-30T21:12:17"/>
    <n v="1069"/>
    <n v="13002561"/>
    <n v="13"/>
    <n v="22589"/>
    <s v="Retail Sale"/>
    <n v="15"/>
    <n v="49037"/>
    <x v="46"/>
    <s v="Pharmcomplect"/>
    <s v="Bayer"/>
    <n v="3"/>
    <n v="9.89"/>
    <n v="15.71"/>
    <n v="1.57"/>
    <n v="1.57"/>
    <s v="BONUS_CARD"/>
    <n v="29"/>
    <n v="1"/>
    <n v="2"/>
    <n v="14.14"/>
    <n v="13130000069"/>
  </r>
  <r>
    <x v="12"/>
    <d v="1899-12-30T20:24:43"/>
    <n v="1070"/>
    <n v="13002561"/>
    <n v="13"/>
    <n v="22589"/>
    <s v="Retail Sale"/>
    <n v="15"/>
    <n v="26675"/>
    <x v="45"/>
    <s v="Pulse"/>
    <s v="KRKA"/>
    <n v="2"/>
    <n v="369.62"/>
    <n v="521.58000000000004"/>
    <n v="52.16"/>
    <n v="52.16"/>
    <s v="BONUS_CARD"/>
    <n v="29"/>
    <n v="1"/>
    <n v="3"/>
    <n v="469.42"/>
    <n v="13130000070"/>
  </r>
  <r>
    <x v="17"/>
    <d v="1899-12-30T19:54:34"/>
    <n v="1071"/>
    <n v="13002561"/>
    <n v="13"/>
    <n v="22589"/>
    <s v="Retail Sale"/>
    <n v="15"/>
    <n v="35088"/>
    <x v="11"/>
    <s v="Katren"/>
    <s v="Pfizer"/>
    <n v="1"/>
    <n v="118.62"/>
    <n v="164.34"/>
    <n v="8.2200000000000006"/>
    <n v="8.2200000000000006"/>
    <s v="BONUS_CARD"/>
    <n v="29"/>
    <n v="1"/>
    <n v="6"/>
    <n v="156.12"/>
    <n v="13130000071"/>
  </r>
  <r>
    <x v="12"/>
    <d v="1899-12-30T13:53:27"/>
    <n v="1072"/>
    <n v="13002561"/>
    <n v="13"/>
    <n v="22589"/>
    <s v="Retail Sale"/>
    <n v="15"/>
    <n v="92416"/>
    <x v="47"/>
    <s v="Katren"/>
    <s v="TEVA"/>
    <n v="1"/>
    <n v="552.52"/>
    <n v="897.49"/>
    <n v="89.75"/>
    <n v="89.75"/>
    <s v="BONUS_CARD"/>
    <n v="29"/>
    <n v="1"/>
    <n v="3"/>
    <n v="807.74"/>
    <n v="13130000072"/>
  </r>
  <r>
    <x v="19"/>
    <d v="1899-12-30T19:15:33"/>
    <n v="1073"/>
    <n v="13002561"/>
    <n v="13"/>
    <n v="22589"/>
    <s v="Retail Sale"/>
    <n v="15"/>
    <n v="33196"/>
    <x v="19"/>
    <s v="Grand Capital"/>
    <s v="Sanofi"/>
    <n v="3"/>
    <n v="60.69"/>
    <n v="87.12"/>
    <n v="8.7100000000000009"/>
    <n v="8.7100000000000009"/>
    <s v="BONUS_CARD"/>
    <n v="29"/>
    <n v="1"/>
    <n v="4"/>
    <n v="78.41"/>
    <n v="13130000073"/>
  </r>
  <r>
    <x v="29"/>
    <d v="1899-12-30T13:55:43"/>
    <n v="1074"/>
    <n v="13002561"/>
    <n v="13"/>
    <n v="22589"/>
    <s v="Retail Sale"/>
    <n v="15"/>
    <n v="16083"/>
    <x v="48"/>
    <s v="Katren"/>
    <s v="TEVA"/>
    <n v="2"/>
    <n v="478.88"/>
    <n v="685.77"/>
    <n v="0"/>
    <n v="0"/>
    <m/>
    <n v="29"/>
    <n v="1"/>
    <n v="4"/>
    <n v="685.77"/>
    <n v="13130000074"/>
  </r>
  <r>
    <x v="22"/>
    <d v="1899-12-30T18:24:56"/>
    <n v="1075"/>
    <n v="13002561"/>
    <n v="13"/>
    <n v="22589"/>
    <s v="Retail Sale"/>
    <n v="18"/>
    <n v="12084"/>
    <x v="6"/>
    <s v="Grand Capital"/>
    <s v="KRKA"/>
    <n v="2"/>
    <n v="152.51"/>
    <n v="207.69"/>
    <n v="10.38"/>
    <n v="10.38"/>
    <s v="BONUS_CARD"/>
    <n v="29"/>
    <n v="1"/>
    <n v="1"/>
    <n v="197.31"/>
    <n v="13130000075"/>
  </r>
  <r>
    <x v="25"/>
    <d v="1899-12-30T16:46:30"/>
    <n v="1076"/>
    <n v="13002561"/>
    <n v="13"/>
    <n v="22589"/>
    <s v="Retail Sale"/>
    <n v="15"/>
    <n v="53784"/>
    <x v="34"/>
    <s v="Grand Capital"/>
    <s v="Sanofi"/>
    <n v="3"/>
    <n v="79.95"/>
    <n v="105.45"/>
    <n v="0"/>
    <n v="0"/>
    <m/>
    <n v="29"/>
    <n v="1"/>
    <n v="6"/>
    <n v="105.45"/>
    <n v="13130000076"/>
  </r>
  <r>
    <x v="13"/>
    <d v="1899-12-30T19:49:35"/>
    <n v="1077"/>
    <n v="13002561"/>
    <n v="13"/>
    <n v="22589"/>
    <s v="Retail Sale"/>
    <n v="18"/>
    <n v="76143"/>
    <x v="4"/>
    <s v="Pharmcomplect"/>
    <s v="Bayer"/>
    <n v="3"/>
    <n v="391.61"/>
    <n v="556.80999999999995"/>
    <n v="55.68"/>
    <n v="55.68"/>
    <s v="BONUS_CARD"/>
    <n v="29"/>
    <n v="1"/>
    <n v="6"/>
    <n v="501.13"/>
    <n v="13130000077"/>
  </r>
  <r>
    <x v="26"/>
    <d v="1899-12-30T21:17:16"/>
    <n v="1078"/>
    <n v="13002561"/>
    <n v="13"/>
    <n v="22589"/>
    <s v="Retail Sale"/>
    <n v="18"/>
    <n v="17063"/>
    <x v="49"/>
    <s v="Katren"/>
    <s v="KRKA"/>
    <n v="1"/>
    <n v="374.86"/>
    <n v="479.99"/>
    <n v="0"/>
    <n v="0"/>
    <m/>
    <n v="29"/>
    <n v="1"/>
    <n v="5"/>
    <n v="479.99"/>
    <n v="13130000078"/>
  </r>
  <r>
    <x v="21"/>
    <d v="1899-12-30T10:12:43"/>
    <n v="1079"/>
    <n v="13002561"/>
    <n v="13"/>
    <n v="22589"/>
    <s v="Retail Sale"/>
    <n v="15"/>
    <n v="67099"/>
    <x v="13"/>
    <s v="Avesta"/>
    <s v="KRKA"/>
    <n v="2"/>
    <n v="275.14999999999998"/>
    <n v="348.31"/>
    <n v="17.420000000000002"/>
    <n v="17.420000000000002"/>
    <s v="BONUS_CARD"/>
    <n v="29"/>
    <n v="1"/>
    <n v="1"/>
    <n v="330.89"/>
    <n v="13130000079"/>
  </r>
  <r>
    <x v="15"/>
    <d v="1899-12-30T17:34:07"/>
    <n v="1080"/>
    <n v="13002561"/>
    <n v="13"/>
    <n v="22589"/>
    <s v="Retail Sale"/>
    <n v="18"/>
    <n v="34600"/>
    <x v="50"/>
    <s v="Katren"/>
    <s v="TEVA"/>
    <n v="1"/>
    <n v="427.21"/>
    <n v="713.09"/>
    <n v="35.65"/>
    <n v="35.65"/>
    <s v="BONUS_CARD"/>
    <n v="29"/>
    <n v="1"/>
    <n v="2"/>
    <n v="677.44"/>
    <n v="13130000080"/>
  </r>
  <r>
    <x v="12"/>
    <d v="1899-12-30T08:57:54"/>
    <n v="1081"/>
    <n v="13002561"/>
    <n v="13"/>
    <n v="22589"/>
    <s v="Retail Sale"/>
    <n v="15"/>
    <n v="12936"/>
    <x v="43"/>
    <s v="Grand Capital"/>
    <s v="TEVA"/>
    <n v="1"/>
    <n v="30.24"/>
    <n v="47.71"/>
    <n v="2.39"/>
    <n v="2.39"/>
    <s v="BONUS_CARD"/>
    <n v="29"/>
    <n v="1"/>
    <n v="3"/>
    <n v="45.32"/>
    <n v="13130000081"/>
  </r>
  <r>
    <x v="28"/>
    <d v="1899-12-30T18:43:17"/>
    <n v="1082"/>
    <n v="13002561"/>
    <n v="13"/>
    <n v="22589"/>
    <s v="Retail Sale"/>
    <n v="15"/>
    <n v="58426"/>
    <x v="51"/>
    <s v="Katren"/>
    <s v="Dr. Reddy's"/>
    <n v="2"/>
    <n v="455.43"/>
    <n v="669.98"/>
    <n v="33.5"/>
    <n v="33.5"/>
    <s v="BONUS_CARD"/>
    <n v="29"/>
    <n v="1"/>
    <n v="5"/>
    <n v="636.48"/>
    <n v="13130000082"/>
  </r>
  <r>
    <x v="2"/>
    <d v="1899-12-30T10:13:51"/>
    <n v="1083"/>
    <n v="13002561"/>
    <n v="13"/>
    <n v="22589"/>
    <s v="Retail Sale"/>
    <n v="15"/>
    <n v="26233"/>
    <x v="41"/>
    <s v="Katren"/>
    <s v="Dr. Reddy's"/>
    <n v="1"/>
    <n v="590.46"/>
    <n v="960.24"/>
    <n v="96.02"/>
    <n v="96.02"/>
    <s v="BONUS_CARD"/>
    <n v="29"/>
    <n v="1"/>
    <n v="3"/>
    <n v="864.22"/>
    <n v="13130000083"/>
  </r>
  <r>
    <x v="7"/>
    <d v="1899-12-30T13:45:41"/>
    <n v="1084"/>
    <n v="13002561"/>
    <n v="13"/>
    <n v="22589"/>
    <s v="Retail Sale"/>
    <n v="18"/>
    <n v="93525"/>
    <x v="52"/>
    <s v="Katren"/>
    <s v="KRKA"/>
    <n v="3"/>
    <n v="146.71"/>
    <n v="245.58"/>
    <n v="0"/>
    <n v="0"/>
    <m/>
    <n v="29"/>
    <n v="1"/>
    <n v="2"/>
    <n v="245.58"/>
    <n v="13130000084"/>
  </r>
  <r>
    <x v="9"/>
    <d v="1899-12-30T16:05:13"/>
    <n v="1085"/>
    <n v="13002561"/>
    <n v="13"/>
    <n v="22589"/>
    <s v="Retail Sale"/>
    <n v="18"/>
    <n v="70301"/>
    <x v="28"/>
    <s v="Pharmcomplect"/>
    <s v="TEVA"/>
    <n v="1"/>
    <n v="228.6"/>
    <n v="375.03"/>
    <n v="37.5"/>
    <n v="37.5"/>
    <s v="BONUS_CARD"/>
    <n v="29"/>
    <n v="1"/>
    <n v="2"/>
    <n v="337.53"/>
    <n v="13130000085"/>
  </r>
  <r>
    <x v="29"/>
    <d v="1899-12-30T14:46:51"/>
    <n v="1086"/>
    <n v="13002561"/>
    <n v="13"/>
    <n v="22589"/>
    <s v="Retail Sale"/>
    <n v="15"/>
    <n v="17674"/>
    <x v="37"/>
    <s v="Protek"/>
    <s v="Bayer"/>
    <n v="2"/>
    <n v="512.57000000000005"/>
    <n v="770.57"/>
    <n v="38.53"/>
    <n v="38.53"/>
    <s v="BONUS_CARD"/>
    <n v="29"/>
    <n v="1"/>
    <n v="1"/>
    <n v="732.04"/>
    <n v="13130000086"/>
  </r>
  <r>
    <x v="12"/>
    <d v="1899-12-30T12:20:36"/>
    <n v="1087"/>
    <n v="13002561"/>
    <n v="13"/>
    <n v="22589"/>
    <s v="Retail Sale"/>
    <n v="18"/>
    <n v="53707"/>
    <x v="53"/>
    <s v="Pulse"/>
    <s v="Takeda"/>
    <n v="1"/>
    <n v="58.37"/>
    <n v="88.72"/>
    <n v="0"/>
    <n v="0"/>
    <m/>
    <n v="29"/>
    <n v="1"/>
    <n v="6"/>
    <n v="88.72"/>
    <n v="13130000087"/>
  </r>
  <r>
    <x v="22"/>
    <d v="1899-12-30T10:44:23"/>
    <n v="1088"/>
    <n v="13002561"/>
    <n v="13"/>
    <n v="22589"/>
    <s v="Retail Sale"/>
    <n v="15"/>
    <n v="24440"/>
    <x v="8"/>
    <s v="Avesta"/>
    <s v="TEVA"/>
    <n v="2"/>
    <n v="518.92999999999995"/>
    <n v="744.31"/>
    <n v="74.430000000000007"/>
    <n v="74.430000000000007"/>
    <s v="BONUS_CARD"/>
    <n v="29"/>
    <n v="1"/>
    <n v="1"/>
    <n v="669.88"/>
    <n v="13130000088"/>
  </r>
  <r>
    <x v="28"/>
    <d v="1899-12-30T22:02:30"/>
    <n v="1089"/>
    <n v="13002561"/>
    <n v="13"/>
    <n v="22589"/>
    <s v="Retail Sale"/>
    <n v="18"/>
    <n v="41255"/>
    <x v="54"/>
    <s v="Protek"/>
    <s v="KRKA"/>
    <n v="3"/>
    <n v="526.58000000000004"/>
    <n v="799.61"/>
    <n v="0"/>
    <n v="0"/>
    <m/>
    <n v="29"/>
    <n v="1"/>
    <n v="6"/>
    <n v="799.61"/>
    <n v="13130000089"/>
  </r>
  <r>
    <x v="11"/>
    <d v="1899-12-30T11:18:13"/>
    <n v="1090"/>
    <n v="13002561"/>
    <n v="13"/>
    <n v="22589"/>
    <s v="Retail Sale"/>
    <n v="18"/>
    <n v="16134"/>
    <x v="55"/>
    <s v="Grand Capital"/>
    <s v="Dr. Reddy's"/>
    <n v="1"/>
    <n v="551.54999999999995"/>
    <n v="714.77"/>
    <n v="0"/>
    <n v="0"/>
    <m/>
    <n v="29"/>
    <n v="1"/>
    <n v="3"/>
    <n v="714.77"/>
    <n v="13130000090"/>
  </r>
  <r>
    <x v="8"/>
    <d v="1899-12-30T21:49:40"/>
    <n v="1091"/>
    <n v="13002561"/>
    <n v="13"/>
    <n v="22589"/>
    <s v="Retail Sale"/>
    <n v="18"/>
    <n v="85721"/>
    <x v="50"/>
    <s v="Avesta"/>
    <s v="Bayer"/>
    <n v="3"/>
    <n v="519.41999999999996"/>
    <n v="740.67"/>
    <n v="37.03"/>
    <n v="37.03"/>
    <s v="BONUS_CARD"/>
    <n v="29"/>
    <n v="1"/>
    <n v="3"/>
    <n v="703.64"/>
    <n v="13130000091"/>
  </r>
  <r>
    <x v="18"/>
    <d v="1899-12-30T22:57:53"/>
    <n v="1092"/>
    <n v="13002561"/>
    <n v="13"/>
    <n v="22589"/>
    <s v="Retail Sale"/>
    <n v="15"/>
    <n v="44445"/>
    <x v="36"/>
    <s v="Avesta"/>
    <s v="Bayer"/>
    <n v="2"/>
    <n v="359.77"/>
    <n v="602"/>
    <n v="30.1"/>
    <n v="30.1"/>
    <s v="BONUS_CARD"/>
    <n v="29"/>
    <n v="1"/>
    <n v="6"/>
    <n v="571.9"/>
    <n v="13130000092"/>
  </r>
  <r>
    <x v="28"/>
    <d v="1899-12-30T17:57:06"/>
    <n v="1093"/>
    <n v="13002561"/>
    <n v="13"/>
    <n v="22589"/>
    <s v="Retail Sale"/>
    <n v="15"/>
    <n v="55655"/>
    <x v="10"/>
    <s v="Avesta"/>
    <s v="KRKA"/>
    <n v="3"/>
    <n v="140.55000000000001"/>
    <n v="208.52"/>
    <n v="0"/>
    <n v="0"/>
    <m/>
    <n v="29"/>
    <n v="1"/>
    <n v="4"/>
    <n v="208.52"/>
    <n v="13130000093"/>
  </r>
  <r>
    <x v="3"/>
    <d v="1899-12-30T11:26:29"/>
    <n v="1094"/>
    <n v="13002561"/>
    <n v="13"/>
    <n v="22589"/>
    <s v="Retail Sale"/>
    <n v="18"/>
    <n v="53772"/>
    <x v="56"/>
    <s v="Avesta"/>
    <s v="Bayer"/>
    <n v="2"/>
    <n v="415.35"/>
    <n v="679.96"/>
    <n v="34"/>
    <n v="34"/>
    <s v="BONUS_CARD"/>
    <n v="29"/>
    <n v="1"/>
    <n v="3"/>
    <n v="645.96"/>
    <n v="13130000094"/>
  </r>
  <r>
    <x v="14"/>
    <d v="1899-12-30T21:30:21"/>
    <n v="1095"/>
    <n v="13002561"/>
    <n v="13"/>
    <n v="22589"/>
    <s v="Retail Sale"/>
    <n v="18"/>
    <n v="20811"/>
    <x v="57"/>
    <s v="Grand Capital"/>
    <s v="Dr. Reddy's"/>
    <n v="2"/>
    <n v="276.25"/>
    <n v="371.67"/>
    <n v="0"/>
    <n v="0"/>
    <m/>
    <n v="29"/>
    <n v="1"/>
    <n v="4"/>
    <n v="371.67"/>
    <n v="13130000095"/>
  </r>
  <r>
    <x v="14"/>
    <d v="1899-12-30T12:45:00"/>
    <n v="1096"/>
    <n v="13002561"/>
    <n v="13"/>
    <n v="22589"/>
    <s v="Retail Sale"/>
    <n v="18"/>
    <n v="86659"/>
    <x v="5"/>
    <s v="Protek"/>
    <s v="Sanofi"/>
    <n v="2"/>
    <n v="26.56"/>
    <n v="33.74"/>
    <n v="0"/>
    <n v="0"/>
    <m/>
    <n v="29"/>
    <n v="1"/>
    <n v="4"/>
    <n v="33.74"/>
    <n v="13130000096"/>
  </r>
  <r>
    <x v="14"/>
    <d v="1899-12-30T16:22:15"/>
    <n v="1097"/>
    <n v="13002561"/>
    <n v="13"/>
    <n v="22589"/>
    <s v="Retail Sale"/>
    <n v="18"/>
    <n v="43715"/>
    <x v="20"/>
    <s v="Avesta"/>
    <s v="Bayer"/>
    <n v="2"/>
    <n v="319.2"/>
    <n v="517.05999999999995"/>
    <n v="25.85"/>
    <n v="25.85"/>
    <s v="BONUS_CARD"/>
    <n v="29"/>
    <n v="1"/>
    <n v="1"/>
    <n v="491.21"/>
    <n v="13130000097"/>
  </r>
  <r>
    <x v="2"/>
    <d v="1899-12-30T13:08:37"/>
    <n v="1098"/>
    <n v="13002561"/>
    <n v="13"/>
    <n v="22589"/>
    <s v="Retail Sale"/>
    <n v="15"/>
    <n v="84226"/>
    <x v="22"/>
    <s v="Pharmcomplect"/>
    <s v="Sanofi"/>
    <n v="1"/>
    <n v="391.72"/>
    <n v="655.95"/>
    <n v="0"/>
    <n v="0"/>
    <m/>
    <n v="29"/>
    <n v="1"/>
    <n v="2"/>
    <n v="655.95"/>
    <n v="13130000098"/>
  </r>
  <r>
    <x v="16"/>
    <d v="1899-12-30T21:34:50"/>
    <n v="1099"/>
    <n v="13002561"/>
    <n v="13"/>
    <n v="22589"/>
    <s v="Retail Sale"/>
    <n v="15"/>
    <n v="78565"/>
    <x v="28"/>
    <s v="Avesta"/>
    <s v="Novartis"/>
    <n v="2"/>
    <n v="319.12"/>
    <n v="424.87"/>
    <n v="42.49"/>
    <n v="42.49"/>
    <s v="BONUS_CARD"/>
    <n v="29"/>
    <n v="1"/>
    <n v="5"/>
    <n v="382.38"/>
    <n v="13130000099"/>
  </r>
  <r>
    <x v="23"/>
    <d v="1899-12-30T16:34:18"/>
    <n v="1100"/>
    <n v="13002561"/>
    <n v="13"/>
    <n v="22589"/>
    <s v="Retail Sale"/>
    <n v="15"/>
    <n v="68782"/>
    <x v="18"/>
    <s v="Protek"/>
    <s v="Novartis"/>
    <n v="1"/>
    <n v="558.9"/>
    <n v="723.33"/>
    <n v="72.33"/>
    <n v="72.33"/>
    <s v="BONUS_CARD"/>
    <n v="29"/>
    <n v="1"/>
    <n v="5"/>
    <n v="651"/>
    <n v="13130000100"/>
  </r>
  <r>
    <x v="24"/>
    <d v="1899-12-30T21:14:23"/>
    <n v="1101"/>
    <n v="13002561"/>
    <n v="13"/>
    <n v="22589"/>
    <s v="Retail Sale"/>
    <n v="15"/>
    <n v="16834"/>
    <x v="34"/>
    <s v="Protek"/>
    <s v="Bayer"/>
    <n v="3"/>
    <n v="381.32"/>
    <n v="543.58000000000004"/>
    <n v="0"/>
    <n v="0"/>
    <m/>
    <n v="29"/>
    <n v="1"/>
    <n v="2"/>
    <n v="543.58000000000004"/>
    <n v="13130000101"/>
  </r>
  <r>
    <x v="10"/>
    <d v="1899-12-30T11:59:58"/>
    <n v="1102"/>
    <n v="13002561"/>
    <n v="13"/>
    <n v="22589"/>
    <s v="Retail Sale"/>
    <n v="15"/>
    <n v="83435"/>
    <x v="28"/>
    <s v="Pulse"/>
    <s v="Dr. Reddy's"/>
    <n v="2"/>
    <n v="133.19999999999999"/>
    <n v="204.4"/>
    <n v="0"/>
    <n v="0"/>
    <m/>
    <n v="29"/>
    <n v="1"/>
    <n v="3"/>
    <n v="204.4"/>
    <n v="13130000102"/>
  </r>
  <r>
    <x v="9"/>
    <d v="1899-12-30T16:49:43"/>
    <n v="1103"/>
    <n v="13002561"/>
    <n v="13"/>
    <n v="22589"/>
    <s v="Retail Sale"/>
    <n v="18"/>
    <n v="40423"/>
    <x v="47"/>
    <s v="Avesta"/>
    <s v="Takeda"/>
    <n v="1"/>
    <n v="405.34"/>
    <n v="682.15"/>
    <n v="0"/>
    <n v="0"/>
    <m/>
    <n v="29"/>
    <n v="1"/>
    <n v="3"/>
    <n v="682.15"/>
    <n v="13130000103"/>
  </r>
  <r>
    <x v="22"/>
    <d v="1899-12-30T08:03:49"/>
    <n v="1104"/>
    <n v="13002561"/>
    <n v="13"/>
    <n v="22589"/>
    <s v="Retail Sale"/>
    <n v="18"/>
    <n v="94281"/>
    <x v="28"/>
    <s v="Protek"/>
    <s v="TEVA"/>
    <n v="1"/>
    <n v="342.72"/>
    <n v="467.53"/>
    <n v="46.75"/>
    <n v="46.75"/>
    <s v="BONUS_CARD"/>
    <n v="29"/>
    <n v="1"/>
    <n v="3"/>
    <n v="420.78"/>
    <n v="13130000104"/>
  </r>
  <r>
    <x v="14"/>
    <d v="1899-12-30T18:16:32"/>
    <n v="1105"/>
    <n v="13002561"/>
    <n v="13"/>
    <n v="22589"/>
    <s v="Retail Sale"/>
    <n v="15"/>
    <n v="56473"/>
    <x v="9"/>
    <s v="Protek"/>
    <s v="Sanofi"/>
    <n v="1"/>
    <n v="129.74"/>
    <n v="192.97"/>
    <n v="0"/>
    <n v="0"/>
    <m/>
    <n v="29"/>
    <n v="1"/>
    <n v="5"/>
    <n v="192.97"/>
    <n v="13130000105"/>
  </r>
  <r>
    <x v="8"/>
    <d v="1899-12-30T19:01:49"/>
    <n v="1106"/>
    <n v="13002561"/>
    <n v="13"/>
    <n v="22589"/>
    <s v="Retail Sale"/>
    <n v="15"/>
    <n v="46486"/>
    <x v="6"/>
    <s v="Pharmcomplect"/>
    <s v="Pfizer"/>
    <n v="3"/>
    <n v="317.47000000000003"/>
    <n v="498.01"/>
    <n v="49.8"/>
    <n v="49.8"/>
    <s v="BONUS_CARD"/>
    <n v="29"/>
    <n v="1"/>
    <n v="4"/>
    <n v="448.21"/>
    <n v="13130000106"/>
  </r>
  <r>
    <x v="17"/>
    <d v="1899-12-30T17:01:37"/>
    <n v="1107"/>
    <n v="13002561"/>
    <n v="13"/>
    <n v="22589"/>
    <s v="Retail Sale"/>
    <n v="18"/>
    <n v="57296"/>
    <x v="58"/>
    <s v="Katren"/>
    <s v="Sanofi"/>
    <n v="2"/>
    <n v="40.07"/>
    <n v="56.41"/>
    <n v="2.82"/>
    <n v="2.82"/>
    <s v="BONUS_CARD"/>
    <n v="29"/>
    <n v="1"/>
    <n v="4"/>
    <n v="53.59"/>
    <n v="13130000107"/>
  </r>
  <r>
    <x v="29"/>
    <d v="1899-12-30T09:07:39"/>
    <n v="1108"/>
    <n v="13002561"/>
    <n v="13"/>
    <n v="22589"/>
    <s v="Retail Sale"/>
    <n v="18"/>
    <n v="85669"/>
    <x v="59"/>
    <s v="Pulse"/>
    <s v="TEVA"/>
    <n v="3"/>
    <n v="217.98"/>
    <n v="342.58"/>
    <n v="34.26"/>
    <n v="34.26"/>
    <s v="BONUS_CARD"/>
    <n v="29"/>
    <n v="1"/>
    <n v="6"/>
    <n v="308.32"/>
    <n v="13130000108"/>
  </r>
  <r>
    <x v="26"/>
    <d v="1899-12-30T13:28:02"/>
    <n v="1109"/>
    <n v="13002561"/>
    <n v="13"/>
    <n v="22589"/>
    <s v="Retail Sale"/>
    <n v="18"/>
    <n v="80665"/>
    <x v="60"/>
    <s v="Grand Capital"/>
    <s v="Novartis"/>
    <n v="2"/>
    <n v="352.03"/>
    <n v="447.53"/>
    <n v="0"/>
    <n v="0"/>
    <m/>
    <n v="29"/>
    <n v="1"/>
    <n v="5"/>
    <n v="447.53"/>
    <n v="13130000109"/>
  </r>
  <r>
    <x v="4"/>
    <d v="1899-12-30T19:42:51"/>
    <n v="1110"/>
    <n v="13002561"/>
    <n v="13"/>
    <n v="22589"/>
    <s v="Retail Sale"/>
    <n v="18"/>
    <n v="86814"/>
    <x v="61"/>
    <s v="Pharmcomplect"/>
    <s v="Sanofi"/>
    <n v="3"/>
    <n v="487.53"/>
    <n v="805.04"/>
    <n v="80.5"/>
    <n v="80.5"/>
    <s v="BONUS_CARD"/>
    <n v="29"/>
    <n v="1"/>
    <n v="5"/>
    <n v="724.54"/>
    <n v="13130000110"/>
  </r>
  <r>
    <x v="3"/>
    <d v="1899-12-30T16:24:30"/>
    <n v="1111"/>
    <n v="13002561"/>
    <n v="13"/>
    <n v="22589"/>
    <s v="Retail Sale"/>
    <n v="18"/>
    <n v="98189"/>
    <x v="62"/>
    <s v="Protek"/>
    <s v="Takeda"/>
    <n v="2"/>
    <n v="268.31"/>
    <n v="421.37"/>
    <n v="42.14"/>
    <n v="42.14"/>
    <s v="BONUS_CARD"/>
    <n v="29"/>
    <n v="1"/>
    <n v="1"/>
    <n v="379.23"/>
    <n v="13130000111"/>
  </r>
  <r>
    <x v="18"/>
    <d v="1899-12-30T22:20:35"/>
    <n v="1112"/>
    <n v="13002561"/>
    <n v="13"/>
    <n v="22589"/>
    <s v="Retail Sale"/>
    <n v="18"/>
    <n v="25939"/>
    <x v="47"/>
    <s v="Pharmcomplect"/>
    <s v="Novartis"/>
    <n v="1"/>
    <n v="460.1"/>
    <n v="643.67999999999995"/>
    <n v="64.37"/>
    <n v="64.37"/>
    <s v="BONUS_CARD"/>
    <n v="29"/>
    <n v="1"/>
    <n v="6"/>
    <n v="579.30999999999995"/>
    <n v="13130000112"/>
  </r>
  <r>
    <x v="25"/>
    <d v="1899-12-30T21:04:20"/>
    <n v="1113"/>
    <n v="13002561"/>
    <n v="13"/>
    <n v="22589"/>
    <s v="Retail Sale"/>
    <n v="18"/>
    <n v="76369"/>
    <x v="45"/>
    <s v="Katren"/>
    <s v="TEVA"/>
    <n v="1"/>
    <n v="561.27"/>
    <n v="742.04"/>
    <n v="74.2"/>
    <n v="74.2"/>
    <s v="BONUS_CARD"/>
    <n v="29"/>
    <n v="1"/>
    <n v="1"/>
    <n v="667.84"/>
    <n v="13130000113"/>
  </r>
  <r>
    <x v="2"/>
    <d v="1899-12-30T19:19:07"/>
    <n v="1114"/>
    <n v="13002561"/>
    <n v="13"/>
    <n v="22589"/>
    <s v="Retail Sale"/>
    <n v="18"/>
    <n v="88709"/>
    <x v="22"/>
    <s v="Pharmcomplect"/>
    <s v="Takeda"/>
    <n v="3"/>
    <n v="155.18"/>
    <n v="225.52"/>
    <n v="0"/>
    <n v="0"/>
    <m/>
    <n v="29"/>
    <n v="1"/>
    <n v="1"/>
    <n v="225.52"/>
    <n v="13130000114"/>
  </r>
  <r>
    <x v="1"/>
    <d v="1899-12-30T08:44:35"/>
    <n v="1115"/>
    <n v="13002561"/>
    <n v="13"/>
    <n v="22589"/>
    <s v="Retail Sale"/>
    <n v="15"/>
    <n v="54356"/>
    <x v="57"/>
    <s v="Grand Capital"/>
    <s v="Dr. Reddy's"/>
    <n v="1"/>
    <n v="35.1"/>
    <n v="51.84"/>
    <n v="5.18"/>
    <n v="5.18"/>
    <s v="BONUS_CARD"/>
    <n v="29"/>
    <n v="1"/>
    <n v="4"/>
    <n v="46.66"/>
    <n v="13130000115"/>
  </r>
  <r>
    <x v="20"/>
    <d v="1899-12-30T08:44:38"/>
    <n v="1116"/>
    <n v="13002561"/>
    <n v="13"/>
    <n v="22589"/>
    <s v="Retail Sale"/>
    <n v="15"/>
    <n v="78542"/>
    <x v="16"/>
    <s v="Protek"/>
    <s v="TEVA"/>
    <n v="3"/>
    <n v="437.8"/>
    <n v="588.19000000000005"/>
    <n v="0"/>
    <n v="0"/>
    <m/>
    <n v="29"/>
    <n v="1"/>
    <n v="4"/>
    <n v="588.19000000000005"/>
    <n v="13130000116"/>
  </r>
  <r>
    <x v="12"/>
    <d v="1899-12-30T08:29:31"/>
    <n v="1117"/>
    <n v="13002561"/>
    <n v="13"/>
    <n v="22589"/>
    <s v="Retail Sale"/>
    <n v="15"/>
    <n v="87319"/>
    <x v="1"/>
    <s v="Katren"/>
    <s v="Sanofi"/>
    <n v="2"/>
    <n v="386.02"/>
    <n v="556.55999999999995"/>
    <n v="55.66"/>
    <n v="55.66"/>
    <s v="BONUS_CARD"/>
    <n v="29"/>
    <n v="1"/>
    <n v="1"/>
    <n v="500.9"/>
    <n v="13130000117"/>
  </r>
  <r>
    <x v="12"/>
    <d v="1899-12-30T16:30:08"/>
    <n v="1118"/>
    <n v="13002561"/>
    <n v="13"/>
    <n v="22589"/>
    <s v="Retail Sale"/>
    <n v="18"/>
    <n v="63303"/>
    <x v="44"/>
    <s v="Protek"/>
    <s v="Sanofi"/>
    <n v="3"/>
    <n v="7.2"/>
    <n v="10.130000000000001"/>
    <n v="0.51"/>
    <n v="0.51"/>
    <s v="BONUS_CARD"/>
    <n v="29"/>
    <n v="1"/>
    <n v="2"/>
    <n v="9.6199999999999992"/>
    <n v="13130000118"/>
  </r>
  <r>
    <x v="28"/>
    <d v="1899-12-30T12:58:23"/>
    <n v="1119"/>
    <n v="13002561"/>
    <n v="13"/>
    <n v="22589"/>
    <s v="Retail Sale"/>
    <n v="15"/>
    <n v="78844"/>
    <x v="49"/>
    <s v="Grand Capital"/>
    <s v="TEVA"/>
    <n v="2"/>
    <n v="363.88"/>
    <n v="519.54"/>
    <n v="0"/>
    <n v="0"/>
    <m/>
    <n v="29"/>
    <n v="1"/>
    <n v="5"/>
    <n v="519.54"/>
    <n v="13130000119"/>
  </r>
  <r>
    <x v="21"/>
    <d v="1899-12-30T11:15:15"/>
    <n v="1120"/>
    <n v="13002561"/>
    <n v="13"/>
    <n v="22589"/>
    <s v="Retail Sale"/>
    <n v="15"/>
    <n v="73936"/>
    <x v="63"/>
    <s v="Katren"/>
    <s v="Bayer"/>
    <n v="2"/>
    <n v="320.57"/>
    <n v="413.33"/>
    <n v="41.33"/>
    <n v="41.33"/>
    <s v="BONUS_CARD"/>
    <n v="29"/>
    <n v="1"/>
    <n v="6"/>
    <n v="372"/>
    <n v="13130000120"/>
  </r>
  <r>
    <x v="3"/>
    <d v="1899-12-30T19:11:07"/>
    <n v="1121"/>
    <n v="13002561"/>
    <n v="13"/>
    <n v="22589"/>
    <s v="Retail Sale"/>
    <n v="15"/>
    <n v="93719"/>
    <x v="46"/>
    <s v="Katren"/>
    <s v="Bayer"/>
    <n v="3"/>
    <n v="51.94"/>
    <n v="79.790000000000006"/>
    <n v="3.99"/>
    <n v="3.99"/>
    <s v="BONUS_CARD"/>
    <n v="29"/>
    <n v="1"/>
    <n v="2"/>
    <n v="75.8"/>
    <n v="13130000121"/>
  </r>
  <r>
    <x v="2"/>
    <d v="1899-12-30T09:13:30"/>
    <n v="1122"/>
    <n v="13002561"/>
    <n v="13"/>
    <n v="22589"/>
    <s v="Retail Sale"/>
    <n v="18"/>
    <n v="33792"/>
    <x v="20"/>
    <s v="Protek"/>
    <s v="KRKA"/>
    <n v="2"/>
    <n v="174.59"/>
    <n v="267.56"/>
    <n v="0"/>
    <n v="0"/>
    <m/>
    <n v="29"/>
    <n v="1"/>
    <n v="2"/>
    <n v="267.56"/>
    <n v="13130000122"/>
  </r>
  <r>
    <x v="17"/>
    <d v="1899-12-30T12:34:21"/>
    <n v="1123"/>
    <n v="13002561"/>
    <n v="13"/>
    <n v="22589"/>
    <s v="Retail Sale"/>
    <n v="18"/>
    <n v="73515"/>
    <x v="34"/>
    <s v="Pharmcomplect"/>
    <s v="Pfizer"/>
    <n v="2"/>
    <n v="575.28"/>
    <n v="792.83"/>
    <n v="79.28"/>
    <n v="79.28"/>
    <s v="BONUS_CARD"/>
    <n v="29"/>
    <n v="1"/>
    <n v="3"/>
    <n v="713.55"/>
    <n v="13130000123"/>
  </r>
  <r>
    <x v="24"/>
    <d v="1899-12-30T08:57:39"/>
    <n v="1124"/>
    <n v="13002561"/>
    <n v="13"/>
    <n v="22589"/>
    <s v="Retail Sale"/>
    <n v="18"/>
    <n v="45056"/>
    <x v="23"/>
    <s v="Katren"/>
    <s v="Novartis"/>
    <n v="2"/>
    <n v="185.94"/>
    <n v="306.06"/>
    <n v="30.61"/>
    <n v="30.61"/>
    <s v="BONUS_CARD"/>
    <n v="29"/>
    <n v="1"/>
    <n v="6"/>
    <n v="275.45"/>
    <n v="13130000124"/>
  </r>
  <r>
    <x v="10"/>
    <d v="1899-12-30T20:45:16"/>
    <n v="1125"/>
    <n v="13002561"/>
    <n v="13"/>
    <n v="22589"/>
    <s v="Retail Sale"/>
    <n v="15"/>
    <n v="88229"/>
    <x v="15"/>
    <s v="Avesta"/>
    <s v="Sanofi"/>
    <n v="3"/>
    <n v="111.34"/>
    <n v="159.4"/>
    <n v="15.94"/>
    <n v="15.94"/>
    <s v="BONUS_CARD"/>
    <n v="29"/>
    <n v="1"/>
    <n v="2"/>
    <n v="143.46"/>
    <n v="13130000125"/>
  </r>
  <r>
    <x v="10"/>
    <d v="1899-12-30T17:16:40"/>
    <n v="1126"/>
    <n v="13002561"/>
    <n v="13"/>
    <n v="22589"/>
    <s v="Retail Sale"/>
    <n v="15"/>
    <n v="96608"/>
    <x v="39"/>
    <s v="Avesta"/>
    <s v="Novartis"/>
    <n v="2"/>
    <n v="366.81"/>
    <n v="458.86"/>
    <n v="0"/>
    <n v="0"/>
    <m/>
    <n v="29"/>
    <n v="1"/>
    <n v="4"/>
    <n v="458.86"/>
    <n v="13130000126"/>
  </r>
  <r>
    <x v="23"/>
    <d v="1899-12-30T16:05:39"/>
    <n v="1127"/>
    <n v="13002561"/>
    <n v="13"/>
    <n v="22589"/>
    <s v="Retail Sale"/>
    <n v="18"/>
    <n v="50280"/>
    <x v="2"/>
    <s v="Protek"/>
    <s v="Novartis"/>
    <n v="3"/>
    <n v="343.96"/>
    <n v="567.11"/>
    <n v="0"/>
    <n v="0"/>
    <m/>
    <n v="29"/>
    <n v="1"/>
    <n v="2"/>
    <n v="567.11"/>
    <n v="13130000127"/>
  </r>
  <r>
    <x v="13"/>
    <d v="1899-12-30T09:01:44"/>
    <n v="1128"/>
    <n v="13002561"/>
    <n v="13"/>
    <n v="22589"/>
    <s v="Retail Sale"/>
    <n v="18"/>
    <n v="62823"/>
    <x v="20"/>
    <s v="Protek"/>
    <s v="TEVA"/>
    <n v="1"/>
    <n v="359.69"/>
    <n v="526.48"/>
    <n v="0"/>
    <n v="0"/>
    <m/>
    <n v="29"/>
    <n v="1"/>
    <n v="6"/>
    <n v="526.48"/>
    <n v="13130000128"/>
  </r>
  <r>
    <x v="8"/>
    <d v="1899-12-30T17:42:15"/>
    <n v="1129"/>
    <n v="13002561"/>
    <n v="13"/>
    <n v="22589"/>
    <s v="Retail Sale"/>
    <n v="18"/>
    <n v="55978"/>
    <x v="32"/>
    <s v="Protek"/>
    <s v="Novartis"/>
    <n v="2"/>
    <n v="273.31"/>
    <n v="426.45"/>
    <n v="42.65"/>
    <n v="42.65"/>
    <s v="BONUS_CARD"/>
    <n v="29"/>
    <n v="1"/>
    <n v="3"/>
    <n v="383.8"/>
    <n v="13130000129"/>
  </r>
  <r>
    <x v="27"/>
    <d v="1899-12-30T18:39:13"/>
    <n v="1130"/>
    <n v="13002561"/>
    <n v="13"/>
    <n v="22589"/>
    <s v="Retail Sale"/>
    <n v="15"/>
    <n v="94420"/>
    <x v="53"/>
    <s v="Avesta"/>
    <s v="Sanofi"/>
    <n v="3"/>
    <n v="371.64"/>
    <n v="528.79999999999995"/>
    <n v="52.88"/>
    <n v="52.88"/>
    <s v="BONUS_CARD"/>
    <n v="29"/>
    <n v="1"/>
    <n v="5"/>
    <n v="475.92"/>
    <n v="13130000130"/>
  </r>
  <r>
    <x v="9"/>
    <d v="1899-12-30T22:04:32"/>
    <n v="1131"/>
    <n v="13002561"/>
    <n v="13"/>
    <n v="22589"/>
    <s v="Retail Sale"/>
    <n v="15"/>
    <n v="49609"/>
    <x v="61"/>
    <s v="Pharmcomplect"/>
    <s v="Dr. Reddy's"/>
    <n v="2"/>
    <n v="386.95"/>
    <n v="603.89"/>
    <n v="0"/>
    <n v="0"/>
    <m/>
    <n v="29"/>
    <n v="1"/>
    <n v="2"/>
    <n v="603.89"/>
    <n v="13130000131"/>
  </r>
  <r>
    <x v="26"/>
    <d v="1899-12-30T18:10:25"/>
    <n v="1132"/>
    <n v="13002561"/>
    <n v="13"/>
    <n v="22589"/>
    <s v="Retail Sale"/>
    <n v="15"/>
    <n v="14968"/>
    <x v="62"/>
    <s v="Grand Capital"/>
    <s v="Novartis"/>
    <n v="1"/>
    <n v="516.61"/>
    <n v="716.73"/>
    <n v="0"/>
    <n v="0"/>
    <m/>
    <n v="29"/>
    <n v="1"/>
    <n v="3"/>
    <n v="716.73"/>
    <n v="13130000132"/>
  </r>
  <r>
    <x v="17"/>
    <d v="1899-12-30T08:00:13"/>
    <n v="1133"/>
    <n v="13002561"/>
    <n v="13"/>
    <n v="22589"/>
    <s v="Retail Sale"/>
    <n v="18"/>
    <n v="71607"/>
    <x v="64"/>
    <s v="Protek"/>
    <s v="Pfizer"/>
    <n v="3"/>
    <n v="265.23"/>
    <n v="352.04"/>
    <n v="0"/>
    <n v="0"/>
    <m/>
    <n v="29"/>
    <n v="1"/>
    <n v="6"/>
    <n v="352.04"/>
    <n v="13130000133"/>
  </r>
  <r>
    <x v="11"/>
    <d v="1899-12-30T08:08:24"/>
    <n v="1134"/>
    <n v="13002561"/>
    <n v="13"/>
    <n v="22589"/>
    <s v="Retail Sale"/>
    <n v="15"/>
    <n v="19973"/>
    <x v="29"/>
    <s v="Katren"/>
    <s v="Sanofi"/>
    <n v="1"/>
    <n v="307.64999999999998"/>
    <n v="414.6"/>
    <n v="20.73"/>
    <n v="20.73"/>
    <s v="BONUS_CARD"/>
    <n v="29"/>
    <n v="1"/>
    <n v="3"/>
    <n v="393.87"/>
    <n v="13130000134"/>
  </r>
  <r>
    <x v="25"/>
    <d v="1899-12-30T14:06:56"/>
    <n v="1135"/>
    <n v="13002561"/>
    <n v="13"/>
    <n v="22589"/>
    <s v="Retail Sale"/>
    <n v="15"/>
    <n v="33402"/>
    <x v="8"/>
    <s v="Protek"/>
    <s v="Novartis"/>
    <n v="2"/>
    <n v="350.55"/>
    <n v="457.42"/>
    <n v="45.74"/>
    <n v="45.74"/>
    <s v="BONUS_CARD"/>
    <n v="29"/>
    <n v="1"/>
    <n v="3"/>
    <n v="411.68"/>
    <n v="13130000135"/>
  </r>
  <r>
    <x v="15"/>
    <d v="1899-12-30T14:28:09"/>
    <n v="1136"/>
    <n v="13002561"/>
    <n v="13"/>
    <n v="22589"/>
    <s v="Retail Sale"/>
    <n v="15"/>
    <n v="22022"/>
    <x v="10"/>
    <s v="Protek"/>
    <s v="Takeda"/>
    <n v="3"/>
    <n v="520.88"/>
    <n v="759.37"/>
    <n v="0"/>
    <n v="0"/>
    <m/>
    <n v="29"/>
    <n v="1"/>
    <n v="1"/>
    <n v="759.37"/>
    <n v="13130000136"/>
  </r>
  <r>
    <x v="14"/>
    <d v="1899-12-30T21:41:38"/>
    <n v="1137"/>
    <n v="13002561"/>
    <n v="13"/>
    <n v="22589"/>
    <s v="Retail Sale"/>
    <n v="18"/>
    <n v="82426"/>
    <x v="52"/>
    <s v="Protek"/>
    <s v="TEVA"/>
    <n v="2"/>
    <n v="131.08000000000001"/>
    <n v="220.65"/>
    <n v="22.07"/>
    <n v="22.07"/>
    <s v="BONUS_CARD"/>
    <n v="29"/>
    <n v="1"/>
    <n v="6"/>
    <n v="198.58"/>
    <n v="13130000137"/>
  </r>
  <r>
    <x v="21"/>
    <d v="1899-12-30T19:46:24"/>
    <n v="1138"/>
    <n v="13002561"/>
    <n v="13"/>
    <n v="22589"/>
    <s v="Retail Sale"/>
    <n v="18"/>
    <n v="16668"/>
    <x v="20"/>
    <s v="Pulse"/>
    <s v="Pfizer"/>
    <n v="2"/>
    <n v="84.14"/>
    <n v="114.2"/>
    <n v="11.42"/>
    <n v="11.42"/>
    <s v="BONUS_CARD"/>
    <n v="29"/>
    <n v="1"/>
    <n v="2"/>
    <n v="102.78"/>
    <n v="13130000138"/>
  </r>
  <r>
    <x v="24"/>
    <d v="1899-12-30T22:32:18"/>
    <n v="1139"/>
    <n v="13002561"/>
    <n v="13"/>
    <n v="22589"/>
    <s v="Retail Sale"/>
    <n v="18"/>
    <n v="32829"/>
    <x v="4"/>
    <s v="Grand Capital"/>
    <s v="Dr. Reddy's"/>
    <n v="3"/>
    <n v="84.89"/>
    <n v="106.67"/>
    <n v="5.33"/>
    <n v="5.33"/>
    <s v="BONUS_CARD"/>
    <n v="29"/>
    <n v="1"/>
    <n v="6"/>
    <n v="101.34"/>
    <n v="13130000139"/>
  </r>
  <r>
    <x v="17"/>
    <d v="1899-12-30T10:01:11"/>
    <n v="1140"/>
    <n v="13002561"/>
    <n v="13"/>
    <n v="22589"/>
    <s v="Retail Sale"/>
    <n v="18"/>
    <n v="82148"/>
    <x v="65"/>
    <s v="Katren"/>
    <s v="Dr. Reddy's"/>
    <n v="1"/>
    <n v="406.17"/>
    <n v="611.47"/>
    <n v="30.57"/>
    <n v="30.57"/>
    <s v="BONUS_CARD"/>
    <n v="29"/>
    <n v="1"/>
    <n v="3"/>
    <n v="580.9"/>
    <n v="13130000140"/>
  </r>
  <r>
    <x v="10"/>
    <d v="1899-12-30T20:46:39"/>
    <n v="1141"/>
    <n v="13002561"/>
    <n v="13"/>
    <n v="22589"/>
    <s v="Retail Sale"/>
    <n v="15"/>
    <n v="22035"/>
    <x v="55"/>
    <s v="Grand Capital"/>
    <s v="TEVA"/>
    <n v="1"/>
    <n v="491.88"/>
    <n v="615.41"/>
    <n v="0"/>
    <n v="0"/>
    <m/>
    <n v="29"/>
    <n v="1"/>
    <n v="2"/>
    <n v="615.41"/>
    <n v="13130000141"/>
  </r>
  <r>
    <x v="22"/>
    <d v="1899-12-30T16:02:30"/>
    <n v="1142"/>
    <n v="13002561"/>
    <n v="13"/>
    <n v="22589"/>
    <s v="Retail Sale"/>
    <n v="15"/>
    <n v="44962"/>
    <x v="59"/>
    <s v="Pharmcomplect"/>
    <s v="TEVA"/>
    <n v="3"/>
    <n v="27.98"/>
    <n v="41.45"/>
    <n v="0"/>
    <n v="0"/>
    <m/>
    <n v="29"/>
    <n v="1"/>
    <n v="3"/>
    <n v="41.45"/>
    <n v="13130000142"/>
  </r>
  <r>
    <x v="22"/>
    <d v="1899-12-30T08:28:04"/>
    <n v="1143"/>
    <n v="13002561"/>
    <n v="13"/>
    <n v="22589"/>
    <s v="Retail Sale"/>
    <n v="18"/>
    <n v="73355"/>
    <x v="15"/>
    <s v="Pharmcomplect"/>
    <s v="KRKA"/>
    <n v="3"/>
    <n v="406.43"/>
    <n v="622.1"/>
    <n v="31.11"/>
    <n v="31.11"/>
    <s v="BONUS_CARD"/>
    <n v="29"/>
    <n v="1"/>
    <n v="5"/>
    <n v="590.99"/>
    <n v="13130000143"/>
  </r>
  <r>
    <x v="18"/>
    <d v="1899-12-30T09:12:02"/>
    <n v="1144"/>
    <n v="13002561"/>
    <n v="13"/>
    <n v="22589"/>
    <s v="Retail Sale"/>
    <n v="18"/>
    <n v="33612"/>
    <x v="21"/>
    <s v="Avesta"/>
    <s v="Bayer"/>
    <n v="3"/>
    <n v="556.21"/>
    <n v="787.82"/>
    <n v="78.78"/>
    <n v="78.78"/>
    <s v="BONUS_CARD"/>
    <n v="29"/>
    <n v="1"/>
    <n v="2"/>
    <n v="709.04"/>
    <n v="13130000144"/>
  </r>
  <r>
    <x v="2"/>
    <d v="1899-12-30T17:59:32"/>
    <n v="1145"/>
    <n v="13002561"/>
    <n v="13"/>
    <n v="22589"/>
    <s v="Retail Sale"/>
    <n v="18"/>
    <n v="93823"/>
    <x v="22"/>
    <s v="Grand Capital"/>
    <s v="TEVA"/>
    <n v="1"/>
    <n v="343.14"/>
    <n v="504.88"/>
    <n v="25.24"/>
    <n v="25.24"/>
    <s v="BONUS_CARD"/>
    <n v="29"/>
    <n v="1"/>
    <n v="4"/>
    <n v="479.64"/>
    <n v="13130000145"/>
  </r>
  <r>
    <x v="24"/>
    <d v="1899-12-30T19:53:26"/>
    <n v="1146"/>
    <n v="13002561"/>
    <n v="13"/>
    <n v="22589"/>
    <s v="Retail Sale"/>
    <n v="15"/>
    <n v="98676"/>
    <x v="27"/>
    <s v="Pulse"/>
    <s v="Dr. Reddy's"/>
    <n v="3"/>
    <n v="236.49"/>
    <n v="400.99"/>
    <n v="40.1"/>
    <n v="40.1"/>
    <s v="BONUS_CARD"/>
    <n v="29"/>
    <n v="1"/>
    <n v="6"/>
    <n v="360.89"/>
    <n v="13130000146"/>
  </r>
  <r>
    <x v="17"/>
    <d v="1899-12-30T21:35:10"/>
    <n v="1147"/>
    <n v="13002561"/>
    <n v="13"/>
    <n v="22589"/>
    <s v="Retail Sale"/>
    <n v="15"/>
    <n v="91746"/>
    <x v="53"/>
    <s v="Katren"/>
    <s v="Pfizer"/>
    <n v="1"/>
    <n v="553.83000000000004"/>
    <n v="754.41"/>
    <n v="37.72"/>
    <n v="37.72"/>
    <s v="BONUS_CARD"/>
    <n v="29"/>
    <n v="1"/>
    <n v="1"/>
    <n v="716.69"/>
    <n v="13130000147"/>
  </r>
  <r>
    <x v="9"/>
    <d v="1899-12-30T20:42:48"/>
    <n v="1148"/>
    <n v="13002561"/>
    <n v="13"/>
    <n v="22589"/>
    <s v="Retail Sale"/>
    <n v="18"/>
    <n v="54953"/>
    <x v="66"/>
    <s v="Protek"/>
    <s v="KRKA"/>
    <n v="2"/>
    <n v="395.49"/>
    <n v="550.91"/>
    <n v="0"/>
    <n v="0"/>
    <m/>
    <n v="29"/>
    <n v="1"/>
    <n v="4"/>
    <n v="550.91"/>
    <n v="13130000148"/>
  </r>
  <r>
    <x v="10"/>
    <d v="1899-12-30T08:20:17"/>
    <n v="1149"/>
    <n v="13002561"/>
    <n v="13"/>
    <n v="22589"/>
    <s v="Retail Sale"/>
    <n v="18"/>
    <n v="31717"/>
    <x v="67"/>
    <s v="Grand Capital"/>
    <s v="Pfizer"/>
    <n v="3"/>
    <n v="90.01"/>
    <n v="119.88"/>
    <n v="11.99"/>
    <n v="11.99"/>
    <s v="BONUS_CARD"/>
    <n v="29"/>
    <n v="1"/>
    <n v="6"/>
    <n v="107.89"/>
    <n v="13130000149"/>
  </r>
  <r>
    <x v="14"/>
    <d v="1899-12-30T08:38:32"/>
    <n v="1150"/>
    <n v="13002561"/>
    <n v="13"/>
    <n v="22589"/>
    <s v="Retail Sale"/>
    <n v="15"/>
    <n v="45535"/>
    <x v="68"/>
    <s v="Avesta"/>
    <s v="Takeda"/>
    <n v="2"/>
    <n v="9.4499999999999993"/>
    <n v="12.8"/>
    <n v="0"/>
    <n v="0"/>
    <m/>
    <n v="29"/>
    <n v="1"/>
    <n v="3"/>
    <n v="12.8"/>
    <n v="13130000150"/>
  </r>
  <r>
    <x v="12"/>
    <d v="1899-12-30T22:50:23"/>
    <n v="1151"/>
    <n v="13002561"/>
    <n v="13"/>
    <n v="22589"/>
    <s v="Retail Sale"/>
    <n v="18"/>
    <n v="70077"/>
    <x v="69"/>
    <s v="Katren"/>
    <s v="TEVA"/>
    <n v="1"/>
    <n v="303.3"/>
    <n v="491.11"/>
    <n v="24.56"/>
    <n v="24.56"/>
    <s v="BONUS_CARD"/>
    <n v="29"/>
    <n v="1"/>
    <n v="1"/>
    <n v="466.55"/>
    <n v="13130000151"/>
  </r>
  <r>
    <x v="23"/>
    <d v="1899-12-30T16:47:57"/>
    <n v="1152"/>
    <n v="13002561"/>
    <n v="13"/>
    <n v="22589"/>
    <s v="Retail Sale"/>
    <n v="18"/>
    <n v="22040"/>
    <x v="46"/>
    <s v="Avesta"/>
    <s v="Novartis"/>
    <n v="1"/>
    <n v="371.48"/>
    <n v="600.6"/>
    <n v="0"/>
    <n v="0"/>
    <m/>
    <n v="29"/>
    <n v="1"/>
    <n v="3"/>
    <n v="600.6"/>
    <n v="13130000152"/>
  </r>
  <r>
    <x v="2"/>
    <d v="1899-12-30T08:06:25"/>
    <n v="1153"/>
    <n v="13002561"/>
    <n v="13"/>
    <n v="22589"/>
    <s v="Retail Sale"/>
    <n v="15"/>
    <n v="90734"/>
    <x v="64"/>
    <s v="Avesta"/>
    <s v="TEVA"/>
    <n v="2"/>
    <n v="592.92999999999995"/>
    <n v="814.14"/>
    <n v="81.41"/>
    <n v="81.41"/>
    <s v="BONUS_CARD"/>
    <n v="29"/>
    <n v="1"/>
    <n v="6"/>
    <n v="732.73"/>
    <n v="13130000153"/>
  </r>
  <r>
    <x v="19"/>
    <d v="1899-12-30T13:00:21"/>
    <n v="1154"/>
    <n v="13002561"/>
    <n v="13"/>
    <n v="22589"/>
    <s v="Retail Sale"/>
    <n v="18"/>
    <n v="32849"/>
    <x v="70"/>
    <s v="Avesta"/>
    <s v="Takeda"/>
    <n v="3"/>
    <n v="182.4"/>
    <n v="239.97"/>
    <n v="0"/>
    <n v="0"/>
    <m/>
    <n v="29"/>
    <n v="1"/>
    <n v="3"/>
    <n v="239.97"/>
    <n v="13130000154"/>
  </r>
  <r>
    <x v="29"/>
    <d v="1899-12-30T12:19:26"/>
    <n v="1155"/>
    <n v="13002561"/>
    <n v="13"/>
    <n v="22589"/>
    <s v="Retail Sale"/>
    <n v="18"/>
    <n v="10587"/>
    <x v="7"/>
    <s v="Grand Capital"/>
    <s v="Takeda"/>
    <n v="2"/>
    <n v="365.86"/>
    <n v="506.27"/>
    <n v="0"/>
    <n v="0"/>
    <m/>
    <n v="29"/>
    <n v="1"/>
    <n v="4"/>
    <n v="506.27"/>
    <n v="13130000155"/>
  </r>
  <r>
    <x v="28"/>
    <d v="1899-12-30T18:39:49"/>
    <n v="1156"/>
    <n v="13002561"/>
    <n v="13"/>
    <n v="22589"/>
    <s v="Retail Sale"/>
    <n v="15"/>
    <n v="69547"/>
    <x v="20"/>
    <s v="Grand Capital"/>
    <s v="TEVA"/>
    <n v="2"/>
    <n v="64.05"/>
    <n v="98.48"/>
    <n v="0"/>
    <n v="0"/>
    <m/>
    <n v="29"/>
    <n v="1"/>
    <n v="3"/>
    <n v="98.48"/>
    <n v="13130000156"/>
  </r>
  <r>
    <x v="17"/>
    <d v="1899-12-30T13:04:10"/>
    <n v="1157"/>
    <n v="13002561"/>
    <n v="13"/>
    <n v="22589"/>
    <s v="Retail Sale"/>
    <n v="18"/>
    <n v="32546"/>
    <x v="32"/>
    <s v="Grand Capital"/>
    <s v="Bayer"/>
    <n v="1"/>
    <n v="398.81"/>
    <n v="515.39"/>
    <n v="51.54"/>
    <n v="51.54"/>
    <s v="BONUS_CARD"/>
    <n v="29"/>
    <n v="1"/>
    <n v="4"/>
    <n v="463.85"/>
    <n v="13130000157"/>
  </r>
  <r>
    <x v="2"/>
    <d v="1899-12-30T16:17:26"/>
    <n v="1158"/>
    <n v="13002561"/>
    <n v="13"/>
    <n v="22589"/>
    <s v="Retail Sale"/>
    <n v="15"/>
    <n v="76438"/>
    <x v="34"/>
    <s v="Pharmcomplect"/>
    <s v="Pfizer"/>
    <n v="1"/>
    <n v="296.27999999999997"/>
    <n v="407.25"/>
    <n v="40.729999999999997"/>
    <n v="40.729999999999997"/>
    <s v="BONUS_CARD"/>
    <n v="29"/>
    <n v="1"/>
    <n v="5"/>
    <n v="366.52"/>
    <n v="13130000158"/>
  </r>
  <r>
    <x v="17"/>
    <d v="1899-12-30T22:52:19"/>
    <n v="1159"/>
    <n v="13002561"/>
    <n v="13"/>
    <n v="22589"/>
    <s v="Retail Sale"/>
    <n v="15"/>
    <n v="56967"/>
    <x v="42"/>
    <s v="Pharmcomplect"/>
    <s v="TEVA"/>
    <n v="2"/>
    <n v="482.87"/>
    <n v="656.86"/>
    <n v="0"/>
    <n v="0"/>
    <m/>
    <n v="29"/>
    <n v="1"/>
    <n v="3"/>
    <n v="656.86"/>
    <n v="13130000159"/>
  </r>
  <r>
    <x v="13"/>
    <d v="1899-12-30T14:28:42"/>
    <n v="1160"/>
    <n v="13002561"/>
    <n v="13"/>
    <n v="22589"/>
    <s v="Retail Sale"/>
    <n v="18"/>
    <n v="34421"/>
    <x v="69"/>
    <s v="Grand Capital"/>
    <s v="Novartis"/>
    <n v="3"/>
    <n v="244.54"/>
    <n v="334.46"/>
    <n v="0"/>
    <n v="0"/>
    <m/>
    <n v="29"/>
    <n v="1"/>
    <n v="5"/>
    <n v="334.46"/>
    <n v="13130000160"/>
  </r>
  <r>
    <x v="14"/>
    <d v="1899-12-30T14:07:45"/>
    <n v="1161"/>
    <n v="13002561"/>
    <n v="13"/>
    <n v="22589"/>
    <s v="Retail Sale"/>
    <n v="18"/>
    <n v="79137"/>
    <x v="1"/>
    <s v="Avesta"/>
    <s v="Pfizer"/>
    <n v="3"/>
    <n v="434.05"/>
    <n v="618.79"/>
    <n v="61.88"/>
    <n v="61.88"/>
    <s v="BONUS_CARD"/>
    <n v="29"/>
    <n v="1"/>
    <n v="1"/>
    <n v="556.91"/>
    <n v="13130000161"/>
  </r>
  <r>
    <x v="13"/>
    <d v="1899-12-30T10:59:30"/>
    <n v="1162"/>
    <n v="13002561"/>
    <n v="13"/>
    <n v="22589"/>
    <s v="Retail Sale"/>
    <n v="18"/>
    <n v="40955"/>
    <x v="48"/>
    <s v="Protek"/>
    <s v="Takeda"/>
    <n v="3"/>
    <n v="473.64"/>
    <n v="736.48"/>
    <n v="36.82"/>
    <n v="36.82"/>
    <s v="BONUS_CARD"/>
    <n v="29"/>
    <n v="1"/>
    <n v="5"/>
    <n v="699.66"/>
    <n v="13130000162"/>
  </r>
  <r>
    <x v="0"/>
    <d v="1899-12-30T12:51:02"/>
    <n v="1163"/>
    <n v="13002561"/>
    <n v="13"/>
    <n v="22589"/>
    <s v="Retail Sale"/>
    <n v="18"/>
    <n v="92795"/>
    <x v="48"/>
    <s v="Pharmcomplect"/>
    <s v="Novartis"/>
    <n v="1"/>
    <n v="190.31"/>
    <n v="309.29000000000002"/>
    <n v="15.46"/>
    <n v="15.46"/>
    <s v="BONUS_CARD"/>
    <n v="29"/>
    <n v="1"/>
    <n v="4"/>
    <n v="293.83"/>
    <n v="13130000163"/>
  </r>
  <r>
    <x v="23"/>
    <d v="1899-12-30T10:52:13"/>
    <n v="1164"/>
    <n v="13002561"/>
    <n v="13"/>
    <n v="22589"/>
    <s v="Retail Sale"/>
    <n v="15"/>
    <n v="70496"/>
    <x v="10"/>
    <s v="Pulse"/>
    <s v="Sanofi"/>
    <n v="2"/>
    <n v="291.57"/>
    <n v="435.21"/>
    <n v="43.52"/>
    <n v="43.52"/>
    <s v="BONUS_CARD"/>
    <n v="29"/>
    <n v="1"/>
    <n v="3"/>
    <n v="391.69"/>
    <n v="13130000164"/>
  </r>
  <r>
    <x v="23"/>
    <d v="1899-12-30T16:00:08"/>
    <n v="1165"/>
    <n v="13002561"/>
    <n v="13"/>
    <n v="22589"/>
    <s v="Retail Sale"/>
    <n v="18"/>
    <n v="77219"/>
    <x v="54"/>
    <s v="Pharmcomplect"/>
    <s v="Takeda"/>
    <n v="1"/>
    <n v="503.98"/>
    <n v="748.09"/>
    <n v="0"/>
    <n v="0"/>
    <m/>
    <n v="29"/>
    <n v="1"/>
    <n v="1"/>
    <n v="748.09"/>
    <n v="13130000165"/>
  </r>
  <r>
    <x v="28"/>
    <d v="1899-12-30T15:51:13"/>
    <n v="1166"/>
    <n v="13002561"/>
    <n v="13"/>
    <n v="22589"/>
    <s v="Retail Sale"/>
    <n v="18"/>
    <n v="33544"/>
    <x v="28"/>
    <s v="Protek"/>
    <s v="Bayer"/>
    <n v="2"/>
    <n v="298.11"/>
    <n v="463.58"/>
    <n v="23.18"/>
    <n v="23.18"/>
    <s v="BONUS_CARD"/>
    <n v="29"/>
    <n v="1"/>
    <n v="5"/>
    <n v="440.4"/>
    <n v="13130000166"/>
  </r>
  <r>
    <x v="19"/>
    <d v="1899-12-30T17:00:37"/>
    <n v="1167"/>
    <n v="13002561"/>
    <n v="13"/>
    <n v="22589"/>
    <s v="Retail Sale"/>
    <n v="15"/>
    <n v="69147"/>
    <x v="5"/>
    <s v="Avesta"/>
    <s v="Novartis"/>
    <n v="2"/>
    <n v="372.73"/>
    <n v="550.85"/>
    <n v="27.54"/>
    <n v="27.54"/>
    <s v="BONUS_CARD"/>
    <n v="29"/>
    <n v="1"/>
    <n v="6"/>
    <n v="523.30999999999995"/>
    <n v="13130000167"/>
  </r>
  <r>
    <x v="16"/>
    <d v="1899-12-30T10:02:31"/>
    <n v="1168"/>
    <n v="13002561"/>
    <n v="13"/>
    <n v="22589"/>
    <s v="Retail Sale"/>
    <n v="18"/>
    <n v="97648"/>
    <x v="27"/>
    <s v="Pharmcomplect"/>
    <s v="Takeda"/>
    <n v="1"/>
    <n v="481.29"/>
    <n v="671.68"/>
    <n v="67.17"/>
    <n v="67.17"/>
    <s v="BONUS_CARD"/>
    <n v="29"/>
    <n v="1"/>
    <n v="6"/>
    <n v="604.51"/>
    <n v="13130000168"/>
  </r>
  <r>
    <x v="17"/>
    <d v="1899-12-30T20:15:46"/>
    <n v="1169"/>
    <n v="13002561"/>
    <n v="13"/>
    <n v="22589"/>
    <s v="Retail Sale"/>
    <n v="15"/>
    <n v="82041"/>
    <x v="54"/>
    <s v="Protek"/>
    <s v="Dr. Reddy's"/>
    <n v="3"/>
    <n v="48.05"/>
    <n v="79.62"/>
    <n v="3.98"/>
    <n v="3.98"/>
    <s v="BONUS_CARD"/>
    <n v="29"/>
    <n v="1"/>
    <n v="2"/>
    <n v="75.64"/>
    <n v="13130000169"/>
  </r>
  <r>
    <x v="4"/>
    <d v="1899-12-30T14:11:44"/>
    <n v="1170"/>
    <n v="13002561"/>
    <n v="13"/>
    <n v="22589"/>
    <s v="Retail Sale"/>
    <n v="18"/>
    <n v="56296"/>
    <x v="4"/>
    <s v="Avesta"/>
    <s v="TEVA"/>
    <n v="3"/>
    <n v="241.82"/>
    <n v="397.62"/>
    <n v="0"/>
    <n v="0"/>
    <m/>
    <n v="29"/>
    <n v="1"/>
    <n v="5"/>
    <n v="397.62"/>
    <n v="13130000170"/>
  </r>
  <r>
    <x v="8"/>
    <d v="1899-12-30T19:47:21"/>
    <n v="1171"/>
    <n v="13002561"/>
    <n v="13"/>
    <n v="22589"/>
    <s v="Retail Sale"/>
    <n v="18"/>
    <n v="73715"/>
    <x v="71"/>
    <s v="Pharmcomplect"/>
    <s v="KRKA"/>
    <n v="3"/>
    <n v="346.41"/>
    <n v="569.6"/>
    <n v="56.96"/>
    <n v="56.96"/>
    <s v="BONUS_CARD"/>
    <n v="29"/>
    <n v="1"/>
    <n v="1"/>
    <n v="512.64"/>
    <n v="13130000171"/>
  </r>
  <r>
    <x v="21"/>
    <d v="1899-12-30T14:01:18"/>
    <n v="1172"/>
    <n v="13002561"/>
    <n v="13"/>
    <n v="22589"/>
    <s v="Retail Sale"/>
    <n v="18"/>
    <n v="88450"/>
    <x v="52"/>
    <s v="Grand Capital"/>
    <s v="Sanofi"/>
    <n v="1"/>
    <n v="400.47"/>
    <n v="520.13"/>
    <n v="26.01"/>
    <n v="26.01"/>
    <s v="BONUS_CARD"/>
    <n v="29"/>
    <n v="1"/>
    <n v="1"/>
    <n v="494.12"/>
    <n v="13130000172"/>
  </r>
  <r>
    <x v="30"/>
    <d v="1899-12-30T09:52:21"/>
    <n v="1173"/>
    <n v="13002561"/>
    <n v="13"/>
    <n v="22589"/>
    <s v="Retail Sale"/>
    <n v="15"/>
    <n v="75655"/>
    <x v="72"/>
    <s v="Grand Capital"/>
    <s v="Sanofi"/>
    <n v="2"/>
    <n v="398.41"/>
    <n v="586.27"/>
    <n v="58.63"/>
    <n v="58.63"/>
    <s v="BONUS_CARD"/>
    <n v="29"/>
    <n v="1"/>
    <n v="5"/>
    <n v="527.64"/>
    <n v="13130000173"/>
  </r>
  <r>
    <x v="6"/>
    <d v="1899-12-30T08:19:28"/>
    <n v="1174"/>
    <n v="13002561"/>
    <n v="13"/>
    <n v="22589"/>
    <s v="Retail Sale"/>
    <n v="15"/>
    <n v="29051"/>
    <x v="25"/>
    <s v="Grand Capital"/>
    <s v="Sanofi"/>
    <n v="3"/>
    <n v="311.25"/>
    <n v="496.02"/>
    <n v="24.8"/>
    <n v="24.8"/>
    <s v="BONUS_CARD"/>
    <n v="29"/>
    <n v="1"/>
    <n v="4"/>
    <n v="471.22"/>
    <n v="13130000174"/>
  </r>
  <r>
    <x v="1"/>
    <d v="1899-12-30T11:02:45"/>
    <n v="1175"/>
    <n v="13002561"/>
    <n v="13"/>
    <n v="22589"/>
    <s v="Retail Sale"/>
    <n v="18"/>
    <n v="61172"/>
    <x v="17"/>
    <s v="Pulse"/>
    <s v="Dr. Reddy's"/>
    <n v="2"/>
    <n v="477.76"/>
    <n v="664.96"/>
    <n v="66.5"/>
    <n v="66.5"/>
    <s v="BONUS_CARD"/>
    <n v="29"/>
    <n v="1"/>
    <n v="4"/>
    <n v="598.46"/>
    <n v="13130000175"/>
  </r>
  <r>
    <x v="11"/>
    <d v="1899-12-30T08:05:01"/>
    <n v="1176"/>
    <n v="13002561"/>
    <n v="13"/>
    <n v="22589"/>
    <s v="Retail Sale"/>
    <n v="15"/>
    <n v="53108"/>
    <x v="20"/>
    <s v="Protek"/>
    <s v="KRKA"/>
    <n v="1"/>
    <n v="504.74"/>
    <n v="804.45"/>
    <n v="80.45"/>
    <n v="80.45"/>
    <s v="BONUS_CARD"/>
    <n v="29"/>
    <n v="1"/>
    <n v="5"/>
    <n v="724"/>
    <n v="13130000176"/>
  </r>
  <r>
    <x v="5"/>
    <d v="1899-12-30T08:55:22"/>
    <n v="1177"/>
    <n v="13002561"/>
    <n v="13"/>
    <n v="22589"/>
    <s v="Retail Sale"/>
    <n v="15"/>
    <n v="10604"/>
    <x v="46"/>
    <s v="Katren"/>
    <s v="TEVA"/>
    <n v="1"/>
    <n v="431.88"/>
    <n v="635.20000000000005"/>
    <n v="0"/>
    <n v="0"/>
    <m/>
    <n v="29"/>
    <n v="1"/>
    <n v="4"/>
    <n v="635.20000000000005"/>
    <n v="13130000177"/>
  </r>
  <r>
    <x v="0"/>
    <d v="1899-12-30T14:46:05"/>
    <n v="1178"/>
    <n v="13002561"/>
    <n v="13"/>
    <n v="22589"/>
    <s v="Retail Sale"/>
    <n v="15"/>
    <n v="35596"/>
    <x v="7"/>
    <s v="Pharmcomplect"/>
    <s v="Pfizer"/>
    <n v="2"/>
    <n v="579.66"/>
    <n v="789.33"/>
    <n v="78.930000000000007"/>
    <n v="78.930000000000007"/>
    <s v="BONUS_CARD"/>
    <n v="29"/>
    <n v="1"/>
    <n v="3"/>
    <n v="710.4"/>
    <n v="13130000178"/>
  </r>
  <r>
    <x v="27"/>
    <d v="1899-12-30T12:02:48"/>
    <n v="1179"/>
    <n v="13002561"/>
    <n v="13"/>
    <n v="22589"/>
    <s v="Retail Sale"/>
    <n v="18"/>
    <n v="68625"/>
    <x v="73"/>
    <s v="Pulse"/>
    <s v="KRKA"/>
    <n v="1"/>
    <n v="506.54"/>
    <n v="649.84"/>
    <n v="0"/>
    <n v="0"/>
    <m/>
    <n v="29"/>
    <n v="1"/>
    <n v="4"/>
    <n v="649.84"/>
    <n v="13130000179"/>
  </r>
  <r>
    <x v="17"/>
    <d v="1899-12-30T19:16:51"/>
    <n v="1180"/>
    <n v="13002561"/>
    <n v="13"/>
    <n v="22589"/>
    <s v="Retail Sale"/>
    <n v="15"/>
    <n v="47633"/>
    <x v="33"/>
    <s v="Pharmcomplect"/>
    <s v="Dr. Reddy's"/>
    <n v="1"/>
    <n v="285.48"/>
    <n v="440.85"/>
    <n v="0"/>
    <n v="0"/>
    <m/>
    <n v="29"/>
    <n v="1"/>
    <n v="2"/>
    <n v="440.85"/>
    <n v="13130000180"/>
  </r>
  <r>
    <x v="12"/>
    <d v="1899-12-30T18:23:47"/>
    <n v="1181"/>
    <n v="13002561"/>
    <n v="13"/>
    <n v="22589"/>
    <s v="Retail Sale"/>
    <n v="18"/>
    <n v="38493"/>
    <x v="3"/>
    <s v="Grand Capital"/>
    <s v="Sanofi"/>
    <n v="1"/>
    <n v="263.70999999999998"/>
    <n v="337.41"/>
    <n v="33.74"/>
    <n v="33.74"/>
    <s v="BONUS_CARD"/>
    <n v="29"/>
    <n v="1"/>
    <n v="1"/>
    <n v="303.67"/>
    <n v="13130000181"/>
  </r>
  <r>
    <x v="17"/>
    <d v="1899-12-30T20:00:16"/>
    <n v="1182"/>
    <n v="13002561"/>
    <n v="13"/>
    <n v="22589"/>
    <s v="Retail Sale"/>
    <n v="18"/>
    <n v="78056"/>
    <x v="6"/>
    <s v="Protek"/>
    <s v="Pfizer"/>
    <n v="1"/>
    <n v="414.15"/>
    <n v="565.07000000000005"/>
    <n v="28.25"/>
    <n v="28.25"/>
    <s v="BONUS_CARD"/>
    <n v="29"/>
    <n v="1"/>
    <n v="4"/>
    <n v="536.82000000000005"/>
    <n v="13130000182"/>
  </r>
  <r>
    <x v="4"/>
    <d v="1899-12-30T11:41:47"/>
    <n v="1183"/>
    <n v="13002561"/>
    <n v="13"/>
    <n v="22589"/>
    <s v="Retail Sale"/>
    <n v="18"/>
    <n v="46485"/>
    <x v="44"/>
    <s v="Grand Capital"/>
    <s v="Pfizer"/>
    <n v="3"/>
    <n v="199.76"/>
    <n v="252.1"/>
    <n v="25.21"/>
    <n v="25.21"/>
    <s v="BONUS_CARD"/>
    <n v="29"/>
    <n v="1"/>
    <n v="3"/>
    <n v="226.89"/>
    <n v="13130000183"/>
  </r>
  <r>
    <x v="26"/>
    <d v="1899-12-30T11:00:45"/>
    <n v="1184"/>
    <n v="13002561"/>
    <n v="13"/>
    <n v="22589"/>
    <s v="Retail Sale"/>
    <n v="18"/>
    <n v="73391"/>
    <x v="3"/>
    <s v="Avesta"/>
    <s v="Novartis"/>
    <n v="1"/>
    <n v="503.57"/>
    <n v="814.6"/>
    <n v="0"/>
    <n v="0"/>
    <m/>
    <n v="29"/>
    <n v="1"/>
    <n v="3"/>
    <n v="814.6"/>
    <n v="13130000184"/>
  </r>
  <r>
    <x v="6"/>
    <d v="1899-12-30T11:31:29"/>
    <n v="1185"/>
    <n v="13002561"/>
    <n v="13"/>
    <n v="22589"/>
    <s v="Retail Sale"/>
    <n v="18"/>
    <n v="40481"/>
    <x v="64"/>
    <s v="Grand Capital"/>
    <s v="Takeda"/>
    <n v="3"/>
    <n v="201.1"/>
    <n v="261.33999999999997"/>
    <n v="26.13"/>
    <n v="26.13"/>
    <s v="BONUS_CARD"/>
    <n v="29"/>
    <n v="1"/>
    <n v="5"/>
    <n v="235.21"/>
    <n v="13130000185"/>
  </r>
  <r>
    <x v="5"/>
    <d v="1899-12-30T19:58:50"/>
    <n v="1186"/>
    <n v="13002561"/>
    <n v="13"/>
    <n v="22589"/>
    <s v="Retail Sale"/>
    <n v="18"/>
    <n v="39317"/>
    <x v="74"/>
    <s v="Grand Capital"/>
    <s v="Pfizer"/>
    <n v="3"/>
    <n v="159.11000000000001"/>
    <n v="211.98"/>
    <n v="0"/>
    <n v="0"/>
    <m/>
    <n v="29"/>
    <n v="1"/>
    <n v="1"/>
    <n v="211.98"/>
    <n v="13130000186"/>
  </r>
  <r>
    <x v="4"/>
    <d v="1899-12-30T12:33:30"/>
    <n v="1187"/>
    <n v="13002561"/>
    <n v="13"/>
    <n v="22589"/>
    <s v="Retail Sale"/>
    <n v="18"/>
    <n v="88398"/>
    <x v="27"/>
    <s v="Pharmcomplect"/>
    <s v="TEVA"/>
    <n v="1"/>
    <n v="215"/>
    <n v="345.32"/>
    <n v="0"/>
    <n v="0"/>
    <m/>
    <n v="29"/>
    <n v="1"/>
    <n v="2"/>
    <n v="345.32"/>
    <n v="13130000187"/>
  </r>
  <r>
    <x v="19"/>
    <d v="1899-12-30T08:56:48"/>
    <n v="1188"/>
    <n v="13002561"/>
    <n v="13"/>
    <n v="22589"/>
    <s v="Retail Sale"/>
    <n v="15"/>
    <n v="12124"/>
    <x v="43"/>
    <s v="Katren"/>
    <s v="Pfizer"/>
    <n v="2"/>
    <n v="424.98"/>
    <n v="560.57000000000005"/>
    <n v="0"/>
    <n v="0"/>
    <m/>
    <n v="29"/>
    <n v="1"/>
    <n v="6"/>
    <n v="560.57000000000005"/>
    <n v="13130000188"/>
  </r>
  <r>
    <x v="19"/>
    <d v="1899-12-30T19:33:43"/>
    <n v="1189"/>
    <n v="13002561"/>
    <n v="13"/>
    <n v="22589"/>
    <s v="Retail Sale"/>
    <n v="15"/>
    <n v="28685"/>
    <x v="75"/>
    <s v="Katren"/>
    <s v="TEVA"/>
    <n v="2"/>
    <n v="94.15"/>
    <n v="139.84"/>
    <n v="6.99"/>
    <n v="6.99"/>
    <s v="BONUS_CARD"/>
    <n v="29"/>
    <n v="1"/>
    <n v="5"/>
    <n v="132.85"/>
    <n v="13130000189"/>
  </r>
  <r>
    <x v="10"/>
    <d v="1899-12-30T21:13:07"/>
    <n v="1190"/>
    <n v="13002561"/>
    <n v="13"/>
    <n v="22589"/>
    <s v="Retail Sale"/>
    <n v="18"/>
    <n v="72573"/>
    <x v="76"/>
    <s v="Avesta"/>
    <s v="Bayer"/>
    <n v="1"/>
    <n v="152.13999999999999"/>
    <n v="255.63"/>
    <n v="0"/>
    <n v="0"/>
    <m/>
    <n v="29"/>
    <n v="1"/>
    <n v="5"/>
    <n v="255.63"/>
    <n v="13130000190"/>
  </r>
  <r>
    <x v="1"/>
    <d v="1899-12-30T08:57:13"/>
    <n v="1191"/>
    <n v="13002561"/>
    <n v="13"/>
    <n v="22589"/>
    <s v="Retail Sale"/>
    <n v="18"/>
    <n v="80110"/>
    <x v="18"/>
    <s v="Grand Capital"/>
    <s v="Takeda"/>
    <n v="3"/>
    <n v="550.74"/>
    <n v="914.08"/>
    <n v="45.7"/>
    <n v="45.7"/>
    <s v="BONUS_CARD"/>
    <n v="29"/>
    <n v="1"/>
    <n v="6"/>
    <n v="868.38"/>
    <n v="13130000191"/>
  </r>
  <r>
    <x v="28"/>
    <d v="1899-12-30T15:37:24"/>
    <n v="1192"/>
    <n v="13002561"/>
    <n v="13"/>
    <n v="22589"/>
    <s v="Retail Sale"/>
    <n v="15"/>
    <n v="30628"/>
    <x v="68"/>
    <s v="Grand Capital"/>
    <s v="Takeda"/>
    <n v="2"/>
    <n v="35.18"/>
    <n v="47.32"/>
    <n v="0"/>
    <n v="0"/>
    <m/>
    <n v="29"/>
    <n v="1"/>
    <n v="3"/>
    <n v="47.32"/>
    <n v="13130000192"/>
  </r>
  <r>
    <x v="1"/>
    <d v="1899-12-30T16:12:15"/>
    <n v="1193"/>
    <n v="13002561"/>
    <n v="13"/>
    <n v="22589"/>
    <s v="Retail Sale"/>
    <n v="18"/>
    <n v="12556"/>
    <x v="67"/>
    <s v="Pulse"/>
    <s v="Takeda"/>
    <n v="1"/>
    <n v="129.08000000000001"/>
    <n v="161.44999999999999"/>
    <n v="0"/>
    <n v="0"/>
    <m/>
    <n v="29"/>
    <n v="1"/>
    <n v="4"/>
    <n v="161.44999999999999"/>
    <n v="13130000193"/>
  </r>
  <r>
    <x v="26"/>
    <d v="1899-12-30T13:10:01"/>
    <n v="1194"/>
    <n v="13002561"/>
    <n v="13"/>
    <n v="22589"/>
    <s v="Retail Sale"/>
    <n v="15"/>
    <n v="91173"/>
    <x v="62"/>
    <s v="Avesta"/>
    <s v="Novartis"/>
    <n v="1"/>
    <n v="461.85"/>
    <n v="659.15"/>
    <n v="0"/>
    <n v="0"/>
    <m/>
    <n v="29"/>
    <n v="1"/>
    <n v="6"/>
    <n v="659.15"/>
    <n v="13130000194"/>
  </r>
  <r>
    <x v="29"/>
    <d v="1899-12-30T11:06:05"/>
    <n v="1195"/>
    <n v="13002561"/>
    <n v="13"/>
    <n v="22589"/>
    <s v="Retail Sale"/>
    <n v="15"/>
    <n v="17883"/>
    <x v="27"/>
    <s v="Pulse"/>
    <s v="KRKA"/>
    <n v="2"/>
    <n v="413.06"/>
    <n v="606.28"/>
    <n v="30.31"/>
    <n v="30.31"/>
    <s v="BONUS_CARD"/>
    <n v="29"/>
    <n v="1"/>
    <n v="5"/>
    <n v="575.97"/>
    <n v="13130000195"/>
  </r>
  <r>
    <x v="2"/>
    <d v="1899-12-30T18:52:00"/>
    <n v="1196"/>
    <n v="13002561"/>
    <n v="13"/>
    <n v="22589"/>
    <s v="Retail Sale"/>
    <n v="15"/>
    <n v="20860"/>
    <x v="44"/>
    <s v="Avesta"/>
    <s v="KRKA"/>
    <n v="3"/>
    <n v="256.33999999999997"/>
    <n v="365.73"/>
    <n v="0"/>
    <n v="0"/>
    <m/>
    <n v="29"/>
    <n v="1"/>
    <n v="3"/>
    <n v="365.73"/>
    <n v="13130000196"/>
  </r>
  <r>
    <x v="16"/>
    <d v="1899-12-30T14:29:37"/>
    <n v="1197"/>
    <n v="13002561"/>
    <n v="13"/>
    <n v="22589"/>
    <s v="Retail Sale"/>
    <n v="15"/>
    <n v="48550"/>
    <x v="61"/>
    <s v="Pharmcomplect"/>
    <s v="Pfizer"/>
    <n v="3"/>
    <n v="117.67"/>
    <n v="167.83"/>
    <n v="0"/>
    <n v="0"/>
    <m/>
    <n v="29"/>
    <n v="1"/>
    <n v="4"/>
    <n v="167.83"/>
    <n v="13130000197"/>
  </r>
  <r>
    <x v="5"/>
    <d v="1899-12-30T17:44:56"/>
    <n v="1198"/>
    <n v="13002561"/>
    <n v="13"/>
    <n v="22589"/>
    <s v="Retail Sale"/>
    <n v="18"/>
    <n v="77352"/>
    <x v="51"/>
    <s v="Katren"/>
    <s v="Pfizer"/>
    <n v="1"/>
    <n v="266.49"/>
    <n v="446.35"/>
    <n v="0"/>
    <n v="0"/>
    <m/>
    <n v="29"/>
    <n v="1"/>
    <n v="6"/>
    <n v="446.35"/>
    <n v="13130000198"/>
  </r>
  <r>
    <x v="17"/>
    <d v="1899-12-30T19:54:13"/>
    <n v="1199"/>
    <n v="13002561"/>
    <n v="13"/>
    <n v="22589"/>
    <s v="Retail Sale"/>
    <n v="18"/>
    <n v="83339"/>
    <x v="39"/>
    <s v="Protek"/>
    <s v="KRKA"/>
    <n v="3"/>
    <n v="14.94"/>
    <n v="21.37"/>
    <n v="0"/>
    <n v="0"/>
    <m/>
    <n v="29"/>
    <n v="1"/>
    <n v="4"/>
    <n v="21.37"/>
    <n v="13130000199"/>
  </r>
  <r>
    <x v="9"/>
    <d v="1899-12-30T15:11:06"/>
    <n v="1200"/>
    <n v="13002561"/>
    <n v="13"/>
    <n v="22589"/>
    <s v="Retail Sale"/>
    <n v="18"/>
    <n v="78719"/>
    <x v="62"/>
    <s v="Pharmcomplect"/>
    <s v="Sanofi"/>
    <n v="1"/>
    <n v="23.27"/>
    <n v="37.659999999999997"/>
    <n v="0"/>
    <n v="0"/>
    <m/>
    <n v="29"/>
    <n v="1"/>
    <n v="5"/>
    <n v="37.659999999999997"/>
    <n v="13130000200"/>
  </r>
  <r>
    <x v="23"/>
    <d v="1899-12-30T18:55:14"/>
    <n v="1201"/>
    <n v="13002561"/>
    <n v="13"/>
    <n v="22589"/>
    <s v="Retail Sale"/>
    <n v="18"/>
    <n v="67218"/>
    <x v="17"/>
    <s v="Pharmcomplect"/>
    <s v="Pfizer"/>
    <n v="2"/>
    <n v="218.77"/>
    <n v="324.22000000000003"/>
    <n v="0"/>
    <n v="0"/>
    <m/>
    <n v="29"/>
    <n v="1"/>
    <n v="3"/>
    <n v="324.22000000000003"/>
    <n v="13130000201"/>
  </r>
  <r>
    <x v="19"/>
    <d v="1899-12-30T11:57:21"/>
    <n v="1202"/>
    <n v="13002561"/>
    <n v="13"/>
    <n v="22589"/>
    <s v="Retail Sale"/>
    <n v="15"/>
    <n v="81807"/>
    <x v="47"/>
    <s v="Pulse"/>
    <s v="Takeda"/>
    <n v="1"/>
    <n v="317.7"/>
    <n v="398.81"/>
    <n v="19.940000000000001"/>
    <n v="19.940000000000001"/>
    <s v="BONUS_CARD"/>
    <n v="29"/>
    <n v="1"/>
    <n v="2"/>
    <n v="378.87"/>
    <n v="13130000202"/>
  </r>
  <r>
    <x v="26"/>
    <d v="1899-12-30T20:36:19"/>
    <n v="1203"/>
    <n v="13002561"/>
    <n v="13"/>
    <n v="22589"/>
    <s v="Retail Sale"/>
    <n v="15"/>
    <n v="74970"/>
    <x v="77"/>
    <s v="Grand Capital"/>
    <s v="Takeda"/>
    <n v="2"/>
    <n v="154.79"/>
    <n v="227.74"/>
    <n v="11.39"/>
    <n v="11.39"/>
    <s v="BONUS_CARD"/>
    <n v="29"/>
    <n v="1"/>
    <n v="1"/>
    <n v="216.35"/>
    <n v="13130000203"/>
  </r>
  <r>
    <x v="13"/>
    <d v="1899-12-30T12:18:02"/>
    <n v="1204"/>
    <n v="13002561"/>
    <n v="13"/>
    <n v="22589"/>
    <s v="Retail Sale"/>
    <n v="18"/>
    <n v="41598"/>
    <x v="17"/>
    <s v="Katren"/>
    <s v="Dr. Reddy's"/>
    <n v="2"/>
    <n v="47.34"/>
    <n v="60.09"/>
    <n v="6.01"/>
    <n v="6.01"/>
    <s v="BONUS_CARD"/>
    <n v="29"/>
    <n v="1"/>
    <n v="2"/>
    <n v="54.08"/>
    <n v="13130000204"/>
  </r>
  <r>
    <x v="16"/>
    <d v="1899-12-30T11:24:33"/>
    <n v="1205"/>
    <n v="13002561"/>
    <n v="13"/>
    <n v="22589"/>
    <s v="Retail Sale"/>
    <n v="18"/>
    <n v="47985"/>
    <x v="21"/>
    <s v="Grand Capital"/>
    <s v="Novartis"/>
    <n v="3"/>
    <n v="269.89999999999998"/>
    <n v="428.67"/>
    <n v="42.87"/>
    <n v="42.87"/>
    <s v="BONUS_CARD"/>
    <n v="29"/>
    <n v="1"/>
    <n v="4"/>
    <n v="385.8"/>
    <n v="13130000205"/>
  </r>
  <r>
    <x v="30"/>
    <d v="1899-12-30T09:51:10"/>
    <n v="1206"/>
    <n v="13002561"/>
    <n v="13"/>
    <n v="22589"/>
    <s v="Retail Sale"/>
    <n v="18"/>
    <n v="43382"/>
    <x v="78"/>
    <s v="Grand Capital"/>
    <s v="Sanofi"/>
    <n v="2"/>
    <n v="436.54"/>
    <n v="558.21"/>
    <n v="27.91"/>
    <n v="27.91"/>
    <s v="BONUS_CARD"/>
    <n v="29"/>
    <n v="1"/>
    <n v="3"/>
    <n v="530.29999999999995"/>
    <n v="13130000206"/>
  </r>
  <r>
    <x v="7"/>
    <d v="1899-12-30T13:55:47"/>
    <n v="1207"/>
    <n v="13002561"/>
    <n v="13"/>
    <n v="22589"/>
    <s v="Retail Sale"/>
    <n v="18"/>
    <n v="14865"/>
    <x v="64"/>
    <s v="Protek"/>
    <s v="TEVA"/>
    <n v="1"/>
    <n v="558"/>
    <n v="747.44"/>
    <n v="37.369999999999997"/>
    <n v="37.369999999999997"/>
    <s v="BONUS_CARD"/>
    <n v="29"/>
    <n v="1"/>
    <n v="6"/>
    <n v="710.07"/>
    <n v="13130000207"/>
  </r>
  <r>
    <x v="24"/>
    <d v="1899-12-30T13:34:55"/>
    <n v="1208"/>
    <n v="13002561"/>
    <n v="13"/>
    <n v="22589"/>
    <s v="Retail Sale"/>
    <n v="18"/>
    <n v="96264"/>
    <x v="3"/>
    <s v="Protek"/>
    <s v="Takeda"/>
    <n v="1"/>
    <n v="171.58"/>
    <n v="273"/>
    <n v="27.3"/>
    <n v="27.3"/>
    <s v="BONUS_CARD"/>
    <n v="29"/>
    <n v="1"/>
    <n v="6"/>
    <n v="245.7"/>
    <n v="13130000208"/>
  </r>
  <r>
    <x v="17"/>
    <d v="1899-12-30T15:20:00"/>
    <n v="1209"/>
    <n v="13002561"/>
    <n v="13"/>
    <n v="22589"/>
    <s v="Retail Sale"/>
    <n v="15"/>
    <n v="52820"/>
    <x v="74"/>
    <s v="Katren"/>
    <s v="TEVA"/>
    <n v="3"/>
    <n v="164.22"/>
    <n v="244.67"/>
    <n v="12.23"/>
    <n v="12.23"/>
    <s v="BONUS_CARD"/>
    <n v="29"/>
    <n v="1"/>
    <n v="4"/>
    <n v="232.44"/>
    <n v="13130000209"/>
  </r>
  <r>
    <x v="14"/>
    <d v="1899-12-30T11:45:40"/>
    <n v="1210"/>
    <n v="13002561"/>
    <n v="13"/>
    <n v="22589"/>
    <s v="Retail Sale"/>
    <n v="15"/>
    <n v="98117"/>
    <x v="31"/>
    <s v="Avesta"/>
    <s v="Pfizer"/>
    <n v="1"/>
    <n v="564.62"/>
    <n v="934.02"/>
    <n v="46.7"/>
    <n v="46.7"/>
    <s v="BONUS_CARD"/>
    <n v="29"/>
    <n v="1"/>
    <n v="6"/>
    <n v="887.32"/>
    <n v="13130000210"/>
  </r>
  <r>
    <x v="13"/>
    <d v="1899-12-30T18:39:06"/>
    <n v="1211"/>
    <n v="13002561"/>
    <n v="13"/>
    <n v="22589"/>
    <s v="Retail Sale"/>
    <n v="18"/>
    <n v="29515"/>
    <x v="17"/>
    <s v="Avesta"/>
    <s v="Sanofi"/>
    <n v="1"/>
    <n v="95.25"/>
    <n v="134.63"/>
    <n v="6.73"/>
    <n v="6.73"/>
    <s v="BONUS_CARD"/>
    <n v="29"/>
    <n v="1"/>
    <n v="6"/>
    <n v="127.9"/>
    <n v="13130000211"/>
  </r>
  <r>
    <x v="4"/>
    <d v="1899-12-30T22:29:44"/>
    <n v="1212"/>
    <n v="13002561"/>
    <n v="13"/>
    <n v="22589"/>
    <s v="Retail Sale"/>
    <n v="18"/>
    <n v="71494"/>
    <x v="79"/>
    <s v="Protek"/>
    <s v="Pfizer"/>
    <n v="3"/>
    <n v="169.6"/>
    <n v="248.71"/>
    <n v="24.87"/>
    <n v="24.87"/>
    <s v="BONUS_CARD"/>
    <n v="29"/>
    <n v="1"/>
    <n v="6"/>
    <n v="223.84"/>
    <n v="13130000212"/>
  </r>
  <r>
    <x v="13"/>
    <d v="1899-12-30T10:15:57"/>
    <n v="1213"/>
    <n v="13002561"/>
    <n v="13"/>
    <n v="22589"/>
    <s v="Retail Sale"/>
    <n v="15"/>
    <n v="20243"/>
    <x v="21"/>
    <s v="Pulse"/>
    <s v="KRKA"/>
    <n v="3"/>
    <n v="103.45"/>
    <n v="173.7"/>
    <n v="8.69"/>
    <n v="8.69"/>
    <s v="BONUS_CARD"/>
    <n v="29"/>
    <n v="1"/>
    <n v="3"/>
    <n v="165.01"/>
    <n v="13130000213"/>
  </r>
  <r>
    <x v="1"/>
    <d v="1899-12-30T17:48:15"/>
    <n v="1214"/>
    <n v="13002561"/>
    <n v="13"/>
    <n v="22589"/>
    <s v="Retail Sale"/>
    <n v="15"/>
    <n v="39614"/>
    <x v="21"/>
    <s v="Grand Capital"/>
    <s v="Pfizer"/>
    <n v="3"/>
    <n v="226.3"/>
    <n v="362.21"/>
    <n v="18.11"/>
    <n v="18.11"/>
    <s v="BONUS_CARD"/>
    <n v="29"/>
    <n v="1"/>
    <n v="6"/>
    <n v="344.1"/>
    <n v="13130000214"/>
  </r>
  <r>
    <x v="17"/>
    <d v="1899-12-30T20:59:16"/>
    <n v="1215"/>
    <n v="13002561"/>
    <n v="13"/>
    <n v="22589"/>
    <s v="Retail Sale"/>
    <n v="18"/>
    <n v="35258"/>
    <x v="26"/>
    <s v="Pharmcomplect"/>
    <s v="Takeda"/>
    <n v="1"/>
    <n v="52.08"/>
    <n v="76.02"/>
    <n v="3.8"/>
    <n v="3.8"/>
    <s v="BONUS_CARD"/>
    <n v="29"/>
    <n v="1"/>
    <n v="6"/>
    <n v="72.22"/>
    <n v="13130000215"/>
  </r>
  <r>
    <x v="13"/>
    <d v="1899-12-30T12:52:54"/>
    <n v="1216"/>
    <n v="13002561"/>
    <n v="13"/>
    <n v="22589"/>
    <s v="Retail Sale"/>
    <n v="15"/>
    <n v="24235"/>
    <x v="32"/>
    <s v="Grand Capital"/>
    <s v="Pfizer"/>
    <n v="3"/>
    <n v="261.11"/>
    <n v="431.18"/>
    <n v="0"/>
    <n v="0"/>
    <m/>
    <n v="29"/>
    <n v="1"/>
    <n v="1"/>
    <n v="431.18"/>
    <n v="13130000216"/>
  </r>
  <r>
    <x v="24"/>
    <d v="1899-12-30T12:53:07"/>
    <n v="1217"/>
    <n v="13002561"/>
    <n v="13"/>
    <n v="22589"/>
    <s v="Retail Sale"/>
    <n v="18"/>
    <n v="63475"/>
    <x v="19"/>
    <s v="Grand Capital"/>
    <s v="Sanofi"/>
    <n v="1"/>
    <n v="588.36"/>
    <n v="765.32"/>
    <n v="0"/>
    <n v="0"/>
    <m/>
    <n v="29"/>
    <n v="1"/>
    <n v="3"/>
    <n v="765.32"/>
    <n v="13130000217"/>
  </r>
  <r>
    <x v="24"/>
    <d v="1899-12-30T08:18:11"/>
    <n v="1218"/>
    <n v="13002561"/>
    <n v="13"/>
    <n v="22589"/>
    <s v="Retail Sale"/>
    <n v="18"/>
    <n v="19138"/>
    <x v="57"/>
    <s v="Pulse"/>
    <s v="Novartis"/>
    <n v="2"/>
    <n v="310.33"/>
    <n v="461.8"/>
    <n v="23.09"/>
    <n v="23.09"/>
    <s v="BONUS_CARD"/>
    <n v="29"/>
    <n v="1"/>
    <n v="4"/>
    <n v="438.71"/>
    <n v="13130000218"/>
  </r>
  <r>
    <x v="21"/>
    <d v="1899-12-30T15:28:53"/>
    <n v="1219"/>
    <n v="13002561"/>
    <n v="13"/>
    <n v="22589"/>
    <s v="Retail Sale"/>
    <n v="18"/>
    <n v="70381"/>
    <x v="73"/>
    <s v="Grand Capital"/>
    <s v="Dr. Reddy's"/>
    <n v="3"/>
    <n v="391.77"/>
    <n v="543.62"/>
    <n v="0"/>
    <n v="0"/>
    <m/>
    <n v="29"/>
    <n v="1"/>
    <n v="5"/>
    <n v="543.62"/>
    <n v="13130000219"/>
  </r>
  <r>
    <x v="23"/>
    <d v="1899-12-30T17:36:01"/>
    <n v="1220"/>
    <n v="13002561"/>
    <n v="13"/>
    <n v="22589"/>
    <s v="Retail Sale"/>
    <n v="18"/>
    <n v="73687"/>
    <x v="62"/>
    <s v="Avesta"/>
    <s v="Bayer"/>
    <n v="1"/>
    <n v="89.15"/>
    <n v="121.03"/>
    <n v="12.1"/>
    <n v="12.1"/>
    <s v="BONUS_CARD"/>
    <n v="29"/>
    <n v="1"/>
    <n v="4"/>
    <n v="108.93"/>
    <n v="13130000220"/>
  </r>
  <r>
    <x v="0"/>
    <d v="1899-12-30T15:15:17"/>
    <n v="1221"/>
    <n v="13002561"/>
    <n v="13"/>
    <n v="22589"/>
    <s v="Retail Sale"/>
    <n v="15"/>
    <n v="32340"/>
    <x v="35"/>
    <s v="Grand Capital"/>
    <s v="Bayer"/>
    <n v="2"/>
    <n v="291.70999999999998"/>
    <n v="384.88"/>
    <n v="0"/>
    <n v="0"/>
    <m/>
    <n v="29"/>
    <n v="1"/>
    <n v="5"/>
    <n v="384.88"/>
    <n v="13130000221"/>
  </r>
  <r>
    <x v="13"/>
    <d v="1899-12-30T22:16:04"/>
    <n v="1222"/>
    <n v="13002561"/>
    <n v="13"/>
    <n v="22589"/>
    <s v="Retail Sale"/>
    <n v="15"/>
    <n v="65710"/>
    <x v="54"/>
    <s v="Pharmcomplect"/>
    <s v="Takeda"/>
    <n v="1"/>
    <n v="570.32000000000005"/>
    <n v="734.67"/>
    <n v="0"/>
    <n v="0"/>
    <m/>
    <n v="29"/>
    <n v="1"/>
    <n v="2"/>
    <n v="734.67"/>
    <n v="13130000222"/>
  </r>
  <r>
    <x v="9"/>
    <d v="1899-12-30T13:19:59"/>
    <n v="1223"/>
    <n v="13002561"/>
    <n v="13"/>
    <n v="22589"/>
    <s v="Retail Sale"/>
    <n v="15"/>
    <n v="88445"/>
    <x v="52"/>
    <s v="Pulse"/>
    <s v="TEVA"/>
    <n v="2"/>
    <n v="339.58"/>
    <n v="537.63"/>
    <n v="0"/>
    <n v="0"/>
    <m/>
    <n v="29"/>
    <n v="1"/>
    <n v="3"/>
    <n v="537.63"/>
    <n v="13130000223"/>
  </r>
  <r>
    <x v="4"/>
    <d v="1899-12-30T12:30:52"/>
    <n v="1224"/>
    <n v="13002561"/>
    <n v="13"/>
    <n v="22589"/>
    <s v="Retail Sale"/>
    <n v="15"/>
    <n v="31136"/>
    <x v="74"/>
    <s v="Katren"/>
    <s v="Sanofi"/>
    <n v="2"/>
    <n v="441.65"/>
    <n v="553.36"/>
    <n v="55.34"/>
    <n v="55.34"/>
    <s v="BONUS_CARD"/>
    <n v="29"/>
    <n v="1"/>
    <n v="4"/>
    <n v="498.02"/>
    <n v="13130000224"/>
  </r>
  <r>
    <x v="22"/>
    <d v="1899-12-30T17:05:42"/>
    <n v="1225"/>
    <n v="13002561"/>
    <n v="13"/>
    <n v="22589"/>
    <s v="Retail Sale"/>
    <n v="15"/>
    <n v="98411"/>
    <x v="12"/>
    <s v="Katren"/>
    <s v="Bayer"/>
    <n v="3"/>
    <n v="233.23"/>
    <n v="375.28"/>
    <n v="37.53"/>
    <n v="37.53"/>
    <s v="BONUS_CARD"/>
    <n v="29"/>
    <n v="1"/>
    <n v="1"/>
    <n v="337.75"/>
    <n v="13130000225"/>
  </r>
  <r>
    <x v="2"/>
    <d v="1899-12-30T18:43:19"/>
    <n v="1226"/>
    <n v="13002561"/>
    <n v="13"/>
    <n v="22589"/>
    <s v="Retail Sale"/>
    <n v="15"/>
    <n v="18347"/>
    <x v="74"/>
    <s v="Protek"/>
    <s v="Pfizer"/>
    <n v="3"/>
    <n v="105.09"/>
    <n v="167.47"/>
    <n v="0"/>
    <n v="0"/>
    <m/>
    <n v="29"/>
    <n v="1"/>
    <n v="6"/>
    <n v="167.47"/>
    <n v="13130000226"/>
  </r>
  <r>
    <x v="1"/>
    <d v="1899-12-30T21:02:43"/>
    <n v="1227"/>
    <n v="13002561"/>
    <n v="13"/>
    <n v="22589"/>
    <s v="Retail Sale"/>
    <n v="15"/>
    <n v="64911"/>
    <x v="64"/>
    <s v="Avesta"/>
    <s v="Bayer"/>
    <n v="1"/>
    <n v="122.86"/>
    <n v="163.05000000000001"/>
    <n v="8.15"/>
    <n v="8.15"/>
    <s v="BONUS_CARD"/>
    <n v="29"/>
    <n v="1"/>
    <n v="6"/>
    <n v="154.9"/>
    <n v="13130000227"/>
  </r>
  <r>
    <x v="7"/>
    <d v="1899-12-30T10:14:10"/>
    <n v="1228"/>
    <n v="13002561"/>
    <n v="13"/>
    <n v="22589"/>
    <s v="Retail Sale"/>
    <n v="15"/>
    <n v="84058"/>
    <x v="17"/>
    <s v="Grand Capital"/>
    <s v="Takeda"/>
    <n v="1"/>
    <n v="62.17"/>
    <n v="93.74"/>
    <n v="9.3699999999999992"/>
    <n v="9.3699999999999992"/>
    <s v="BONUS_CARD"/>
    <n v="29"/>
    <n v="1"/>
    <n v="4"/>
    <n v="84.37"/>
    <n v="13130000228"/>
  </r>
  <r>
    <x v="16"/>
    <d v="1899-12-30T14:38:59"/>
    <n v="1229"/>
    <n v="13002561"/>
    <n v="13"/>
    <n v="22589"/>
    <s v="Retail Sale"/>
    <n v="18"/>
    <n v="53487"/>
    <x v="16"/>
    <s v="Avesta"/>
    <s v="KRKA"/>
    <n v="3"/>
    <n v="276.98"/>
    <n v="369.1"/>
    <n v="18.46"/>
    <n v="18.46"/>
    <s v="BONUS_CARD"/>
    <n v="29"/>
    <n v="1"/>
    <n v="1"/>
    <n v="350.64"/>
    <n v="13130000229"/>
  </r>
  <r>
    <x v="3"/>
    <d v="1899-12-30T12:00:20"/>
    <n v="1230"/>
    <n v="13002561"/>
    <n v="13"/>
    <n v="22589"/>
    <s v="Retail Sale"/>
    <n v="15"/>
    <n v="88778"/>
    <x v="22"/>
    <s v="Grand Capital"/>
    <s v="Bayer"/>
    <n v="2"/>
    <n v="362.34"/>
    <n v="459.36"/>
    <n v="22.97"/>
    <n v="22.97"/>
    <s v="BONUS_CARD"/>
    <n v="29"/>
    <n v="1"/>
    <n v="2"/>
    <n v="436.39"/>
    <n v="13130000230"/>
  </r>
  <r>
    <x v="6"/>
    <d v="1899-12-30T15:36:13"/>
    <n v="1231"/>
    <n v="13002561"/>
    <n v="13"/>
    <n v="22589"/>
    <s v="Retail Sale"/>
    <n v="18"/>
    <n v="97005"/>
    <x v="16"/>
    <s v="Protek"/>
    <s v="Pfizer"/>
    <n v="3"/>
    <n v="91.78"/>
    <n v="133.02000000000001"/>
    <n v="6.65"/>
    <n v="6.65"/>
    <s v="BONUS_CARD"/>
    <n v="29"/>
    <n v="1"/>
    <n v="2"/>
    <n v="126.37"/>
    <n v="13130000231"/>
  </r>
  <r>
    <x v="2"/>
    <d v="1899-12-30T09:20:41"/>
    <n v="1232"/>
    <n v="13002561"/>
    <n v="13"/>
    <n v="22589"/>
    <s v="Retail Sale"/>
    <n v="15"/>
    <n v="33738"/>
    <x v="74"/>
    <s v="Pulse"/>
    <s v="Takeda"/>
    <n v="1"/>
    <n v="365.54"/>
    <n v="504.03"/>
    <n v="50.4"/>
    <n v="50.4"/>
    <s v="BONUS_CARD"/>
    <n v="29"/>
    <n v="1"/>
    <n v="1"/>
    <n v="453.63"/>
    <n v="13130000232"/>
  </r>
  <r>
    <x v="5"/>
    <d v="1899-12-30T10:21:27"/>
    <n v="1233"/>
    <n v="13002561"/>
    <n v="13"/>
    <n v="22589"/>
    <s v="Retail Sale"/>
    <n v="15"/>
    <n v="14163"/>
    <x v="2"/>
    <s v="Avesta"/>
    <s v="TEVA"/>
    <n v="2"/>
    <n v="326.66000000000003"/>
    <n v="531.33000000000004"/>
    <n v="0"/>
    <n v="0"/>
    <m/>
    <n v="29"/>
    <n v="1"/>
    <n v="3"/>
    <n v="531.33000000000004"/>
    <n v="13130000233"/>
  </r>
  <r>
    <x v="17"/>
    <d v="1899-12-30T19:25:07"/>
    <n v="1234"/>
    <n v="13002561"/>
    <n v="13"/>
    <n v="22589"/>
    <s v="Retail Sale"/>
    <n v="15"/>
    <n v="19576"/>
    <x v="16"/>
    <s v="Katren"/>
    <s v="Dr. Reddy's"/>
    <n v="1"/>
    <n v="143.52000000000001"/>
    <n v="204.21"/>
    <n v="20.420000000000002"/>
    <n v="20.420000000000002"/>
    <s v="BONUS_CARD"/>
    <n v="29"/>
    <n v="1"/>
    <n v="3"/>
    <n v="183.79"/>
    <n v="13130000234"/>
  </r>
  <r>
    <x v="3"/>
    <d v="1899-12-30T12:22:51"/>
    <n v="1235"/>
    <n v="13002561"/>
    <n v="13"/>
    <n v="22589"/>
    <s v="Retail Sale"/>
    <n v="18"/>
    <n v="72668"/>
    <x v="80"/>
    <s v="Katren"/>
    <s v="Novartis"/>
    <n v="3"/>
    <n v="395.53"/>
    <n v="505.36"/>
    <n v="0"/>
    <n v="0"/>
    <m/>
    <n v="29"/>
    <n v="1"/>
    <n v="6"/>
    <n v="505.36"/>
    <n v="13130000235"/>
  </r>
  <r>
    <x v="10"/>
    <d v="1899-12-30T11:43:17"/>
    <n v="1236"/>
    <n v="13002561"/>
    <n v="13"/>
    <n v="22589"/>
    <s v="Retail Sale"/>
    <n v="18"/>
    <n v="70512"/>
    <x v="64"/>
    <s v="Pulse"/>
    <s v="KRKA"/>
    <n v="2"/>
    <n v="50.32"/>
    <n v="81.12"/>
    <n v="8.11"/>
    <n v="8.11"/>
    <s v="BONUS_CARD"/>
    <n v="29"/>
    <n v="1"/>
    <n v="6"/>
    <n v="73.010000000000005"/>
    <n v="13130000236"/>
  </r>
  <r>
    <x v="24"/>
    <d v="1899-12-30T20:17:07"/>
    <n v="1237"/>
    <n v="13002561"/>
    <n v="13"/>
    <n v="22589"/>
    <s v="Retail Sale"/>
    <n v="18"/>
    <n v="99190"/>
    <x v="77"/>
    <s v="Pharmcomplect"/>
    <s v="KRKA"/>
    <n v="2"/>
    <n v="497.75"/>
    <n v="707.84"/>
    <n v="0"/>
    <n v="0"/>
    <m/>
    <n v="29"/>
    <n v="1"/>
    <n v="1"/>
    <n v="707.84"/>
    <n v="13130000237"/>
  </r>
  <r>
    <x v="7"/>
    <d v="1899-12-30T17:09:54"/>
    <n v="1238"/>
    <n v="13002561"/>
    <n v="13"/>
    <n v="22589"/>
    <s v="Retail Sale"/>
    <n v="18"/>
    <n v="23935"/>
    <x v="78"/>
    <s v="Grand Capital"/>
    <s v="Novartis"/>
    <n v="2"/>
    <n v="419.53"/>
    <n v="550.76"/>
    <n v="55.08"/>
    <n v="55.08"/>
    <s v="BONUS_CARD"/>
    <n v="29"/>
    <n v="1"/>
    <n v="2"/>
    <n v="495.68"/>
    <n v="13130000238"/>
  </r>
  <r>
    <x v="2"/>
    <d v="1899-12-30T11:03:59"/>
    <n v="1239"/>
    <n v="13002561"/>
    <n v="13"/>
    <n v="22589"/>
    <s v="Retail Sale"/>
    <n v="18"/>
    <n v="56474"/>
    <x v="41"/>
    <s v="Protek"/>
    <s v="KRKA"/>
    <n v="2"/>
    <n v="315.89"/>
    <n v="507.36"/>
    <n v="0"/>
    <n v="0"/>
    <m/>
    <n v="29"/>
    <n v="1"/>
    <n v="3"/>
    <n v="507.36"/>
    <n v="13130000239"/>
  </r>
  <r>
    <x v="16"/>
    <d v="1899-12-30T21:53:58"/>
    <n v="1240"/>
    <n v="13002561"/>
    <n v="13"/>
    <n v="22589"/>
    <s v="Retail Sale"/>
    <n v="18"/>
    <n v="50913"/>
    <x v="4"/>
    <s v="Katren"/>
    <s v="Novartis"/>
    <n v="2"/>
    <n v="442.84"/>
    <n v="621.13"/>
    <n v="0"/>
    <n v="0"/>
    <m/>
    <n v="29"/>
    <n v="1"/>
    <n v="6"/>
    <n v="621.13"/>
    <n v="13130000240"/>
  </r>
  <r>
    <x v="24"/>
    <d v="1899-12-30T09:22:32"/>
    <n v="1241"/>
    <n v="13002561"/>
    <n v="13"/>
    <n v="22589"/>
    <s v="Retail Sale"/>
    <n v="15"/>
    <n v="30867"/>
    <x v="71"/>
    <s v="Katren"/>
    <s v="Dr. Reddy's"/>
    <n v="3"/>
    <n v="284.36"/>
    <n v="450.12"/>
    <n v="45.01"/>
    <n v="45.01"/>
    <s v="BONUS_CARD"/>
    <n v="29"/>
    <n v="1"/>
    <n v="6"/>
    <n v="405.11"/>
    <n v="13130000241"/>
  </r>
  <r>
    <x v="22"/>
    <d v="1899-12-30T13:43:30"/>
    <n v="1242"/>
    <n v="13002561"/>
    <n v="13"/>
    <n v="22589"/>
    <s v="Retail Sale"/>
    <n v="18"/>
    <n v="48674"/>
    <x v="70"/>
    <s v="Pulse"/>
    <s v="KRKA"/>
    <n v="1"/>
    <n v="233.49"/>
    <n v="372.93"/>
    <n v="18.649999999999999"/>
    <n v="18.649999999999999"/>
    <s v="BONUS_CARD"/>
    <n v="29"/>
    <n v="1"/>
    <n v="6"/>
    <n v="354.28"/>
    <n v="13130000242"/>
  </r>
  <r>
    <x v="11"/>
    <d v="1899-12-30T12:11:32"/>
    <n v="1243"/>
    <n v="13002561"/>
    <n v="13"/>
    <n v="22589"/>
    <s v="Retail Sale"/>
    <n v="18"/>
    <n v="28756"/>
    <x v="67"/>
    <s v="Katren"/>
    <s v="KRKA"/>
    <n v="3"/>
    <n v="446.57"/>
    <n v="615.25"/>
    <n v="30.76"/>
    <n v="30.76"/>
    <s v="BONUS_CARD"/>
    <n v="29"/>
    <n v="1"/>
    <n v="3"/>
    <n v="584.49"/>
    <n v="13130000243"/>
  </r>
  <r>
    <x v="30"/>
    <d v="1899-12-30T13:18:41"/>
    <n v="1244"/>
    <n v="13002561"/>
    <n v="13"/>
    <n v="22589"/>
    <s v="Retail Sale"/>
    <n v="15"/>
    <n v="46280"/>
    <x v="69"/>
    <s v="Grand Capital"/>
    <s v="Bayer"/>
    <n v="3"/>
    <n v="248.04"/>
    <n v="378.72"/>
    <n v="18.940000000000001"/>
    <n v="18.940000000000001"/>
    <s v="BONUS_CARD"/>
    <n v="29"/>
    <n v="1"/>
    <n v="5"/>
    <n v="359.78"/>
    <n v="13130000244"/>
  </r>
  <r>
    <x v="12"/>
    <d v="1899-12-30T20:11:31"/>
    <n v="1245"/>
    <n v="13002561"/>
    <n v="13"/>
    <n v="22589"/>
    <s v="Retail Sale"/>
    <n v="15"/>
    <n v="58594"/>
    <x v="9"/>
    <s v="Protek"/>
    <s v="TEVA"/>
    <n v="2"/>
    <n v="82.41"/>
    <n v="135.24"/>
    <n v="13.52"/>
    <n v="13.52"/>
    <s v="BONUS_CARD"/>
    <n v="29"/>
    <n v="1"/>
    <n v="1"/>
    <n v="121.72"/>
    <n v="13130000245"/>
  </r>
  <r>
    <x v="11"/>
    <d v="1899-12-30T22:53:02"/>
    <n v="1246"/>
    <n v="13002561"/>
    <n v="13"/>
    <n v="22589"/>
    <s v="Retail Sale"/>
    <n v="15"/>
    <n v="86847"/>
    <x v="24"/>
    <s v="Protek"/>
    <s v="Dr. Reddy's"/>
    <n v="1"/>
    <n v="373.62"/>
    <n v="630.32000000000005"/>
    <n v="0"/>
    <n v="0"/>
    <m/>
    <n v="29"/>
    <n v="1"/>
    <n v="6"/>
    <n v="630.32000000000005"/>
    <n v="13130000246"/>
  </r>
  <r>
    <x v="13"/>
    <d v="1899-12-30T18:18:17"/>
    <n v="1247"/>
    <n v="13002561"/>
    <n v="13"/>
    <n v="22589"/>
    <s v="Retail Sale"/>
    <n v="15"/>
    <n v="54702"/>
    <x v="81"/>
    <s v="Pharmcomplect"/>
    <s v="Pfizer"/>
    <n v="3"/>
    <n v="432.23"/>
    <n v="559.64"/>
    <n v="55.96"/>
    <n v="55.96"/>
    <s v="BONUS_CARD"/>
    <n v="29"/>
    <n v="1"/>
    <n v="5"/>
    <n v="503.68"/>
    <n v="13130000247"/>
  </r>
  <r>
    <x v="13"/>
    <d v="1899-12-30T14:26:17"/>
    <n v="1248"/>
    <n v="13002561"/>
    <n v="13"/>
    <n v="22589"/>
    <s v="Retail Sale"/>
    <n v="18"/>
    <n v="29236"/>
    <x v="34"/>
    <s v="Grand Capital"/>
    <s v="KRKA"/>
    <n v="2"/>
    <n v="236.91"/>
    <n v="373.17"/>
    <n v="18.66"/>
    <n v="18.66"/>
    <s v="BONUS_CARD"/>
    <n v="29"/>
    <n v="1"/>
    <n v="2"/>
    <n v="354.51"/>
    <n v="13130000248"/>
  </r>
  <r>
    <x v="13"/>
    <d v="1899-12-30T14:12:25"/>
    <n v="1249"/>
    <n v="13002561"/>
    <n v="13"/>
    <n v="22589"/>
    <s v="Retail Sale"/>
    <n v="15"/>
    <n v="39320"/>
    <x v="70"/>
    <s v="Pulse"/>
    <s v="Novartis"/>
    <n v="1"/>
    <n v="154.27000000000001"/>
    <n v="251.9"/>
    <n v="0"/>
    <n v="0"/>
    <m/>
    <n v="29"/>
    <n v="1"/>
    <n v="2"/>
    <n v="251.9"/>
    <n v="13130000249"/>
  </r>
  <r>
    <x v="19"/>
    <d v="1899-12-30T10:42:18"/>
    <n v="1250"/>
    <n v="13002561"/>
    <n v="13"/>
    <n v="22589"/>
    <s v="Retail Sale"/>
    <n v="15"/>
    <n v="32966"/>
    <x v="33"/>
    <s v="Katren"/>
    <s v="Novartis"/>
    <n v="3"/>
    <n v="389.59"/>
    <n v="560.91999999999996"/>
    <n v="0"/>
    <n v="0"/>
    <m/>
    <n v="29"/>
    <n v="1"/>
    <n v="1"/>
    <n v="560.91999999999996"/>
    <n v="13130000250"/>
  </r>
  <r>
    <x v="3"/>
    <d v="1899-12-30T19:37:14"/>
    <n v="1251"/>
    <n v="13002561"/>
    <n v="13"/>
    <n v="22589"/>
    <s v="Retail Sale"/>
    <n v="15"/>
    <n v="38700"/>
    <x v="77"/>
    <s v="Katren"/>
    <s v="TEVA"/>
    <n v="2"/>
    <n v="445.8"/>
    <n v="629.76"/>
    <n v="31.49"/>
    <n v="31.49"/>
    <s v="BONUS_CARD"/>
    <n v="29"/>
    <n v="1"/>
    <n v="4"/>
    <n v="598.27"/>
    <n v="13130000251"/>
  </r>
  <r>
    <x v="8"/>
    <d v="1899-12-30T17:02:26"/>
    <n v="1252"/>
    <n v="13002561"/>
    <n v="13"/>
    <n v="22589"/>
    <s v="Retail Sale"/>
    <n v="18"/>
    <n v="62438"/>
    <x v="62"/>
    <s v="Pulse"/>
    <s v="Sanofi"/>
    <n v="3"/>
    <n v="334.98"/>
    <n v="552.25"/>
    <n v="0"/>
    <n v="0"/>
    <m/>
    <n v="29"/>
    <n v="1"/>
    <n v="4"/>
    <n v="552.25"/>
    <n v="13130000252"/>
  </r>
  <r>
    <x v="0"/>
    <d v="1899-12-30T20:05:05"/>
    <n v="1253"/>
    <n v="13002561"/>
    <n v="13"/>
    <n v="22589"/>
    <s v="Retail Sale"/>
    <n v="15"/>
    <n v="29014"/>
    <x v="43"/>
    <s v="Pulse"/>
    <s v="KRKA"/>
    <n v="3"/>
    <n v="70.489999999999995"/>
    <n v="112.47"/>
    <n v="0"/>
    <n v="0"/>
    <m/>
    <n v="29"/>
    <n v="1"/>
    <n v="5"/>
    <n v="112.47"/>
    <n v="13130000253"/>
  </r>
  <r>
    <x v="13"/>
    <d v="1899-12-30T10:06:22"/>
    <n v="1254"/>
    <n v="13002561"/>
    <n v="13"/>
    <n v="22589"/>
    <s v="Retail Sale"/>
    <n v="15"/>
    <n v="33599"/>
    <x v="9"/>
    <s v="Pulse"/>
    <s v="Dr. Reddy's"/>
    <n v="3"/>
    <n v="343.42"/>
    <n v="469.06"/>
    <n v="0"/>
    <n v="0"/>
    <m/>
    <n v="29"/>
    <n v="1"/>
    <n v="2"/>
    <n v="469.06"/>
    <n v="13130000254"/>
  </r>
  <r>
    <x v="19"/>
    <d v="1899-12-30T18:47:28"/>
    <n v="1255"/>
    <n v="13002561"/>
    <n v="13"/>
    <n v="22589"/>
    <s v="Retail Sale"/>
    <n v="15"/>
    <n v="24856"/>
    <x v="45"/>
    <s v="Pharmcomplect"/>
    <s v="TEVA"/>
    <n v="1"/>
    <n v="97.95"/>
    <n v="165.7"/>
    <n v="8.2899999999999991"/>
    <n v="8.2899999999999991"/>
    <s v="BONUS_CARD"/>
    <n v="29"/>
    <n v="1"/>
    <n v="6"/>
    <n v="157.41"/>
    <n v="13130000255"/>
  </r>
  <r>
    <x v="18"/>
    <d v="1899-12-30T22:01:30"/>
    <n v="1256"/>
    <n v="13002561"/>
    <n v="13"/>
    <n v="22589"/>
    <s v="Retail Sale"/>
    <n v="18"/>
    <n v="60315"/>
    <x v="27"/>
    <s v="Grand Capital"/>
    <s v="Bayer"/>
    <n v="2"/>
    <n v="490.64"/>
    <n v="799.12"/>
    <n v="0"/>
    <n v="0"/>
    <m/>
    <n v="29"/>
    <n v="1"/>
    <n v="2"/>
    <n v="799.12"/>
    <n v="13130000256"/>
  </r>
  <r>
    <x v="27"/>
    <d v="1899-12-30T11:16:13"/>
    <n v="1257"/>
    <n v="13002561"/>
    <n v="13"/>
    <n v="22589"/>
    <s v="Retail Sale"/>
    <n v="15"/>
    <n v="10499"/>
    <x v="82"/>
    <s v="Katren"/>
    <s v="Novartis"/>
    <n v="3"/>
    <n v="398.93"/>
    <n v="551.36"/>
    <n v="0"/>
    <n v="0"/>
    <m/>
    <n v="29"/>
    <n v="1"/>
    <n v="4"/>
    <n v="551.36"/>
    <n v="13130000257"/>
  </r>
  <r>
    <x v="21"/>
    <d v="1899-12-30T22:19:23"/>
    <n v="1258"/>
    <n v="13002561"/>
    <n v="13"/>
    <n v="22589"/>
    <s v="Retail Sale"/>
    <n v="18"/>
    <n v="49395"/>
    <x v="53"/>
    <s v="Avesta"/>
    <s v="KRKA"/>
    <n v="3"/>
    <n v="466.79"/>
    <n v="686.57"/>
    <n v="68.66"/>
    <n v="68.66"/>
    <s v="BONUS_CARD"/>
    <n v="29"/>
    <n v="1"/>
    <n v="3"/>
    <n v="617.91"/>
    <n v="13130000258"/>
  </r>
  <r>
    <x v="3"/>
    <d v="1899-12-30T13:20:24"/>
    <n v="1259"/>
    <n v="13002561"/>
    <n v="13"/>
    <n v="22589"/>
    <s v="Retail Sale"/>
    <n v="15"/>
    <n v="90086"/>
    <x v="46"/>
    <s v="Protek"/>
    <s v="Bayer"/>
    <n v="2"/>
    <n v="418.93"/>
    <n v="604.36"/>
    <n v="60.44"/>
    <n v="60.44"/>
    <s v="BONUS_CARD"/>
    <n v="29"/>
    <n v="1"/>
    <n v="1"/>
    <n v="543.91999999999996"/>
    <n v="13130000259"/>
  </r>
  <r>
    <x v="16"/>
    <d v="1899-12-30T20:56:20"/>
    <n v="1260"/>
    <n v="13002561"/>
    <n v="13"/>
    <n v="22589"/>
    <s v="Retail Sale"/>
    <n v="18"/>
    <n v="87806"/>
    <x v="51"/>
    <s v="Katren"/>
    <s v="KRKA"/>
    <n v="2"/>
    <n v="148.46"/>
    <n v="250.17"/>
    <n v="25.02"/>
    <n v="25.02"/>
    <s v="BONUS_CARD"/>
    <n v="29"/>
    <n v="1"/>
    <n v="5"/>
    <n v="225.15"/>
    <n v="13130000260"/>
  </r>
  <r>
    <x v="17"/>
    <d v="1899-12-30T19:59:59"/>
    <n v="1261"/>
    <n v="13002561"/>
    <n v="13"/>
    <n v="22589"/>
    <s v="Retail Sale"/>
    <n v="18"/>
    <n v="97140"/>
    <x v="53"/>
    <s v="Protek"/>
    <s v="Dr. Reddy's"/>
    <n v="1"/>
    <n v="47.92"/>
    <n v="69.22"/>
    <n v="3.46"/>
    <n v="3.46"/>
    <s v="BONUS_CARD"/>
    <n v="29"/>
    <n v="1"/>
    <n v="5"/>
    <n v="65.760000000000005"/>
    <n v="13130000261"/>
  </r>
  <r>
    <x v="3"/>
    <d v="1899-12-30T14:47:51"/>
    <n v="1262"/>
    <n v="13002561"/>
    <n v="13"/>
    <n v="22589"/>
    <s v="Retail Sale"/>
    <n v="15"/>
    <n v="99715"/>
    <x v="14"/>
    <s v="Pulse"/>
    <s v="Dr. Reddy's"/>
    <n v="1"/>
    <n v="515.63"/>
    <n v="813.15"/>
    <n v="81.31"/>
    <n v="81.31"/>
    <s v="BONUS_CARD"/>
    <n v="29"/>
    <n v="1"/>
    <n v="4"/>
    <n v="731.84"/>
    <n v="13130000262"/>
  </r>
  <r>
    <x v="18"/>
    <d v="1899-12-30T14:18:48"/>
    <n v="1263"/>
    <n v="13002561"/>
    <n v="13"/>
    <n v="22589"/>
    <s v="Retail Sale"/>
    <n v="18"/>
    <n v="25688"/>
    <x v="27"/>
    <s v="Pharmcomplect"/>
    <s v="Pfizer"/>
    <n v="1"/>
    <n v="73.42"/>
    <n v="98.98"/>
    <n v="0"/>
    <n v="0"/>
    <m/>
    <n v="29"/>
    <n v="1"/>
    <n v="3"/>
    <n v="98.98"/>
    <n v="13130000263"/>
  </r>
  <r>
    <x v="13"/>
    <d v="1899-12-30T12:45:21"/>
    <n v="1264"/>
    <n v="13002561"/>
    <n v="13"/>
    <n v="22589"/>
    <s v="Retail Sale"/>
    <n v="18"/>
    <n v="82778"/>
    <x v="37"/>
    <s v="Avesta"/>
    <s v="Pfizer"/>
    <n v="3"/>
    <n v="559.25"/>
    <n v="749.39"/>
    <n v="0"/>
    <n v="0"/>
    <m/>
    <n v="29"/>
    <n v="1"/>
    <n v="6"/>
    <n v="749.39"/>
    <n v="13130000264"/>
  </r>
  <r>
    <x v="14"/>
    <d v="1899-12-30T14:33:33"/>
    <n v="1265"/>
    <n v="13002561"/>
    <n v="13"/>
    <n v="22589"/>
    <s v="Retail Sale"/>
    <n v="18"/>
    <n v="24615"/>
    <x v="41"/>
    <s v="Pulse"/>
    <s v="TEVA"/>
    <n v="1"/>
    <n v="119.32"/>
    <n v="185.39"/>
    <n v="18.54"/>
    <n v="18.54"/>
    <s v="BONUS_CARD"/>
    <n v="29"/>
    <n v="1"/>
    <n v="3"/>
    <n v="166.85"/>
    <n v="13130000265"/>
  </r>
  <r>
    <x v="7"/>
    <d v="1899-12-30T21:19:33"/>
    <n v="1266"/>
    <n v="13002561"/>
    <n v="13"/>
    <n v="22589"/>
    <s v="Retail Sale"/>
    <n v="15"/>
    <n v="32964"/>
    <x v="25"/>
    <s v="Pharmcomplect"/>
    <s v="Pfizer"/>
    <n v="3"/>
    <n v="131.06"/>
    <n v="205.46"/>
    <n v="20.55"/>
    <n v="20.55"/>
    <s v="BONUS_CARD"/>
    <n v="29"/>
    <n v="1"/>
    <n v="2"/>
    <n v="184.91"/>
    <n v="13130000266"/>
  </r>
  <r>
    <x v="23"/>
    <d v="1899-12-30T21:55:24"/>
    <n v="1267"/>
    <n v="13002561"/>
    <n v="13"/>
    <n v="22589"/>
    <s v="Retail Sale"/>
    <n v="15"/>
    <n v="22151"/>
    <x v="51"/>
    <s v="Katren"/>
    <s v="Bayer"/>
    <n v="1"/>
    <n v="318.67"/>
    <n v="460.28"/>
    <n v="23.01"/>
    <n v="23.01"/>
    <s v="BONUS_CARD"/>
    <n v="29"/>
    <n v="1"/>
    <n v="3"/>
    <n v="437.27"/>
    <n v="13130000267"/>
  </r>
  <r>
    <x v="28"/>
    <d v="1899-12-30T21:55:04"/>
    <n v="1268"/>
    <n v="13002561"/>
    <n v="13"/>
    <n v="22589"/>
    <s v="Retail Sale"/>
    <n v="15"/>
    <n v="38745"/>
    <x v="83"/>
    <s v="Katren"/>
    <s v="TEVA"/>
    <n v="1"/>
    <n v="162.32"/>
    <n v="264.51"/>
    <n v="0"/>
    <n v="0"/>
    <m/>
    <n v="29"/>
    <n v="1"/>
    <n v="3"/>
    <n v="264.51"/>
    <n v="13130000268"/>
  </r>
  <r>
    <x v="0"/>
    <d v="1899-12-30T08:25:13"/>
    <n v="1269"/>
    <n v="13002561"/>
    <n v="13"/>
    <n v="22589"/>
    <s v="Retail Sale"/>
    <n v="18"/>
    <n v="37476"/>
    <x v="35"/>
    <s v="Protek"/>
    <s v="Dr. Reddy's"/>
    <n v="1"/>
    <n v="497.78"/>
    <n v="782.3"/>
    <n v="39.119999999999997"/>
    <n v="39.119999999999997"/>
    <s v="BONUS_CARD"/>
    <n v="29"/>
    <n v="1"/>
    <n v="5"/>
    <n v="743.18"/>
    <n v="13130000269"/>
  </r>
  <r>
    <x v="30"/>
    <d v="1899-12-30T20:34:28"/>
    <n v="1270"/>
    <n v="13002561"/>
    <n v="13"/>
    <n v="22589"/>
    <s v="Retail Sale"/>
    <n v="18"/>
    <n v="19904"/>
    <x v="45"/>
    <s v="Katren"/>
    <s v="Bayer"/>
    <n v="1"/>
    <n v="92.76"/>
    <n v="134.94999999999999"/>
    <n v="13.49"/>
    <n v="13.49"/>
    <s v="BONUS_CARD"/>
    <n v="29"/>
    <n v="1"/>
    <n v="5"/>
    <n v="121.46"/>
    <n v="13130000270"/>
  </r>
  <r>
    <x v="0"/>
    <d v="1899-12-30T10:46:26"/>
    <n v="1271"/>
    <n v="13002561"/>
    <n v="13"/>
    <n v="22589"/>
    <s v="Retail Sale"/>
    <n v="15"/>
    <n v="50173"/>
    <x v="9"/>
    <s v="Pharmcomplect"/>
    <s v="Takeda"/>
    <n v="2"/>
    <n v="481.77"/>
    <n v="736.82"/>
    <n v="36.840000000000003"/>
    <n v="36.840000000000003"/>
    <s v="BONUS_CARD"/>
    <n v="29"/>
    <n v="1"/>
    <n v="1"/>
    <n v="699.98"/>
    <n v="13130000271"/>
  </r>
  <r>
    <x v="0"/>
    <d v="1899-12-30T21:04:36"/>
    <n v="1272"/>
    <n v="13002561"/>
    <n v="13"/>
    <n v="22589"/>
    <s v="Retail Sale"/>
    <n v="15"/>
    <n v="19088"/>
    <x v="40"/>
    <s v="Katren"/>
    <s v="KRKA"/>
    <n v="2"/>
    <n v="300.75"/>
    <n v="431.36"/>
    <n v="21.57"/>
    <n v="21.57"/>
    <s v="BONUS_CARD"/>
    <n v="29"/>
    <n v="1"/>
    <n v="2"/>
    <n v="409.79"/>
    <n v="13130000272"/>
  </r>
  <r>
    <x v="17"/>
    <d v="1899-12-30T15:58:15"/>
    <n v="1273"/>
    <n v="13002561"/>
    <n v="13"/>
    <n v="22589"/>
    <s v="Retail Sale"/>
    <n v="15"/>
    <n v="12857"/>
    <x v="38"/>
    <s v="Pulse"/>
    <s v="KRKA"/>
    <n v="1"/>
    <n v="530.71"/>
    <n v="814.87"/>
    <n v="0"/>
    <n v="0"/>
    <m/>
    <n v="29"/>
    <n v="1"/>
    <n v="4"/>
    <n v="814.87"/>
    <n v="13130000273"/>
  </r>
  <r>
    <x v="7"/>
    <d v="1899-12-30T19:20:32"/>
    <n v="1274"/>
    <n v="13002561"/>
    <n v="13"/>
    <n v="22589"/>
    <s v="Retail Sale"/>
    <n v="18"/>
    <n v="49132"/>
    <x v="9"/>
    <s v="Pharmcomplect"/>
    <s v="Bayer"/>
    <n v="1"/>
    <n v="366.99"/>
    <n v="601.49"/>
    <n v="0"/>
    <n v="0"/>
    <m/>
    <n v="29"/>
    <n v="1"/>
    <n v="3"/>
    <n v="601.49"/>
    <n v="13130000274"/>
  </r>
  <r>
    <x v="3"/>
    <d v="1899-12-30T19:53:20"/>
    <n v="1275"/>
    <n v="13002561"/>
    <n v="13"/>
    <n v="22589"/>
    <s v="Retail Sale"/>
    <n v="18"/>
    <n v="68533"/>
    <x v="62"/>
    <s v="Avesta"/>
    <s v="Pfizer"/>
    <n v="1"/>
    <n v="225"/>
    <n v="301.56"/>
    <n v="0"/>
    <n v="0"/>
    <m/>
    <n v="29"/>
    <n v="1"/>
    <n v="2"/>
    <n v="301.56"/>
    <n v="13130000275"/>
  </r>
  <r>
    <x v="11"/>
    <d v="1899-12-30T22:44:50"/>
    <n v="1276"/>
    <n v="13002561"/>
    <n v="13"/>
    <n v="22589"/>
    <s v="Retail Sale"/>
    <n v="18"/>
    <n v="50250"/>
    <x v="67"/>
    <s v="Avesta"/>
    <s v="Dr. Reddy's"/>
    <n v="2"/>
    <n v="346.01"/>
    <n v="438.07"/>
    <n v="0"/>
    <n v="0"/>
    <m/>
    <n v="29"/>
    <n v="1"/>
    <n v="4"/>
    <n v="438.07"/>
    <n v="13130000276"/>
  </r>
  <r>
    <x v="4"/>
    <d v="1899-12-30T15:53:36"/>
    <n v="1277"/>
    <n v="13002561"/>
    <n v="13"/>
    <n v="22589"/>
    <s v="Retail Sale"/>
    <n v="18"/>
    <n v="17114"/>
    <x v="54"/>
    <s v="Pharmcomplect"/>
    <s v="KRKA"/>
    <n v="3"/>
    <n v="419.29"/>
    <n v="639.16"/>
    <n v="0"/>
    <n v="0"/>
    <m/>
    <n v="29"/>
    <n v="1"/>
    <n v="4"/>
    <n v="639.16"/>
    <n v="13130000277"/>
  </r>
  <r>
    <x v="12"/>
    <d v="1899-12-30T17:11:30"/>
    <n v="1278"/>
    <n v="13002561"/>
    <n v="13"/>
    <n v="22589"/>
    <s v="Retail Sale"/>
    <n v="15"/>
    <n v="44044"/>
    <x v="47"/>
    <s v="Grand Capital"/>
    <s v="Sanofi"/>
    <n v="3"/>
    <n v="138.08000000000001"/>
    <n v="205.17"/>
    <n v="0"/>
    <n v="0"/>
    <m/>
    <n v="29"/>
    <n v="1"/>
    <n v="5"/>
    <n v="205.17"/>
    <n v="13130000278"/>
  </r>
  <r>
    <x v="19"/>
    <d v="1899-12-30T09:11:53"/>
    <n v="1279"/>
    <n v="13002561"/>
    <n v="13"/>
    <n v="22589"/>
    <s v="Retail Sale"/>
    <n v="15"/>
    <n v="63547"/>
    <x v="57"/>
    <s v="Protek"/>
    <s v="TEVA"/>
    <n v="1"/>
    <n v="69.63"/>
    <n v="109.72"/>
    <n v="5.49"/>
    <n v="5.49"/>
    <s v="BONUS_CARD"/>
    <n v="29"/>
    <n v="1"/>
    <n v="4"/>
    <n v="104.23"/>
    <n v="13130000279"/>
  </r>
  <r>
    <x v="5"/>
    <d v="1899-12-30T18:56:53"/>
    <n v="1280"/>
    <n v="13002561"/>
    <n v="13"/>
    <n v="22589"/>
    <s v="Retail Sale"/>
    <n v="15"/>
    <n v="47003"/>
    <x v="51"/>
    <s v="Avesta"/>
    <s v="Bayer"/>
    <n v="1"/>
    <n v="24.2"/>
    <n v="35.14"/>
    <n v="1.76"/>
    <n v="1.76"/>
    <s v="BONUS_CARD"/>
    <n v="29"/>
    <n v="1"/>
    <n v="3"/>
    <n v="33.380000000000003"/>
    <n v="13130000280"/>
  </r>
  <r>
    <x v="28"/>
    <d v="1899-12-30T17:47:33"/>
    <n v="1281"/>
    <n v="13002561"/>
    <n v="13"/>
    <n v="22589"/>
    <s v="Retail Sale"/>
    <n v="15"/>
    <n v="12728"/>
    <x v="12"/>
    <s v="Katren"/>
    <s v="TEVA"/>
    <n v="1"/>
    <n v="415.93"/>
    <n v="618.28"/>
    <n v="0"/>
    <n v="0"/>
    <m/>
    <n v="29"/>
    <n v="1"/>
    <n v="6"/>
    <n v="618.28"/>
    <n v="13130000281"/>
  </r>
  <r>
    <x v="22"/>
    <d v="1899-12-30T10:44:27"/>
    <n v="1282"/>
    <n v="13002561"/>
    <n v="13"/>
    <n v="22589"/>
    <s v="Retail Sale"/>
    <n v="15"/>
    <n v="71881"/>
    <x v="47"/>
    <s v="Pulse"/>
    <s v="Dr. Reddy's"/>
    <n v="1"/>
    <n v="329.48"/>
    <n v="460.01"/>
    <n v="0"/>
    <n v="0"/>
    <m/>
    <n v="29"/>
    <n v="1"/>
    <n v="5"/>
    <n v="460.01"/>
    <n v="13130000282"/>
  </r>
  <r>
    <x v="10"/>
    <d v="1899-12-30T11:20:20"/>
    <n v="1283"/>
    <n v="13002561"/>
    <n v="13"/>
    <n v="22589"/>
    <s v="Retail Sale"/>
    <n v="18"/>
    <n v="38312"/>
    <x v="55"/>
    <s v="Katren"/>
    <s v="Takeda"/>
    <n v="1"/>
    <n v="597.07000000000005"/>
    <n v="842.04"/>
    <n v="84.2"/>
    <n v="84.2"/>
    <s v="BONUS_CARD"/>
    <n v="29"/>
    <n v="1"/>
    <n v="6"/>
    <n v="757.84"/>
    <n v="13130000283"/>
  </r>
  <r>
    <x v="5"/>
    <d v="1899-12-30T11:38:31"/>
    <n v="1284"/>
    <n v="13002561"/>
    <n v="13"/>
    <n v="22589"/>
    <s v="Retail Sale"/>
    <n v="15"/>
    <n v="86288"/>
    <x v="9"/>
    <s v="Pulse"/>
    <s v="Dr. Reddy's"/>
    <n v="1"/>
    <n v="356.57"/>
    <n v="533.36"/>
    <n v="26.67"/>
    <n v="26.67"/>
    <s v="BONUS_CARD"/>
    <n v="29"/>
    <n v="1"/>
    <n v="1"/>
    <n v="506.69"/>
    <n v="13130000284"/>
  </r>
  <r>
    <x v="0"/>
    <d v="1899-12-30T12:42:56"/>
    <n v="1285"/>
    <n v="13002561"/>
    <n v="13"/>
    <n v="22589"/>
    <s v="Retail Sale"/>
    <n v="15"/>
    <n v="56575"/>
    <x v="20"/>
    <s v="Pulse"/>
    <s v="Sanofi"/>
    <n v="3"/>
    <n v="422.74"/>
    <n v="542.5"/>
    <n v="0"/>
    <n v="0"/>
    <m/>
    <n v="29"/>
    <n v="1"/>
    <n v="1"/>
    <n v="542.5"/>
    <n v="13130000285"/>
  </r>
  <r>
    <x v="1"/>
    <d v="1899-12-30T19:59:34"/>
    <n v="1286"/>
    <n v="13002561"/>
    <n v="13"/>
    <n v="22589"/>
    <s v="Retail Sale"/>
    <n v="15"/>
    <n v="35197"/>
    <x v="83"/>
    <s v="Grand Capital"/>
    <s v="Takeda"/>
    <n v="1"/>
    <n v="328.15"/>
    <n v="490.52"/>
    <n v="49.05"/>
    <n v="49.05"/>
    <s v="BONUS_CARD"/>
    <n v="29"/>
    <n v="1"/>
    <n v="6"/>
    <n v="441.47"/>
    <n v="13130000286"/>
  </r>
  <r>
    <x v="5"/>
    <d v="1899-12-30T13:07:07"/>
    <n v="1287"/>
    <n v="13002561"/>
    <n v="13"/>
    <n v="22589"/>
    <s v="Retail Sale"/>
    <n v="18"/>
    <n v="98008"/>
    <x v="74"/>
    <s v="Avesta"/>
    <s v="TEVA"/>
    <n v="3"/>
    <n v="412.11"/>
    <n v="586.23"/>
    <n v="0"/>
    <n v="0"/>
    <m/>
    <n v="29"/>
    <n v="1"/>
    <n v="6"/>
    <n v="586.23"/>
    <n v="13130000287"/>
  </r>
  <r>
    <x v="12"/>
    <d v="1899-12-30T13:55:17"/>
    <n v="1288"/>
    <n v="13002561"/>
    <n v="13"/>
    <n v="22589"/>
    <s v="Retail Sale"/>
    <n v="18"/>
    <n v="39492"/>
    <x v="34"/>
    <s v="Pharmcomplect"/>
    <s v="Sanofi"/>
    <n v="1"/>
    <n v="551.35"/>
    <n v="788.33"/>
    <n v="78.83"/>
    <n v="78.83"/>
    <s v="BONUS_CARD"/>
    <n v="29"/>
    <n v="1"/>
    <n v="3"/>
    <n v="709.5"/>
    <n v="13130000288"/>
  </r>
  <r>
    <x v="26"/>
    <d v="1899-12-30T11:21:29"/>
    <n v="1289"/>
    <n v="13002561"/>
    <n v="13"/>
    <n v="22589"/>
    <s v="Retail Sale"/>
    <n v="15"/>
    <n v="54570"/>
    <x v="39"/>
    <s v="Protek"/>
    <s v="Takeda"/>
    <n v="2"/>
    <n v="118.46"/>
    <n v="164.22"/>
    <n v="8.2100000000000009"/>
    <n v="8.2100000000000009"/>
    <s v="BONUS_CARD"/>
    <n v="29"/>
    <n v="1"/>
    <n v="3"/>
    <n v="156.01"/>
    <n v="13130000289"/>
  </r>
  <r>
    <x v="3"/>
    <d v="1899-12-30T14:49:26"/>
    <n v="1290"/>
    <n v="13002561"/>
    <n v="13"/>
    <n v="22589"/>
    <s v="Retail Sale"/>
    <n v="18"/>
    <n v="86903"/>
    <x v="1"/>
    <s v="Avesta"/>
    <s v="KRKA"/>
    <n v="2"/>
    <n v="581.15"/>
    <n v="980.23"/>
    <n v="0"/>
    <n v="0"/>
    <m/>
    <n v="29"/>
    <n v="1"/>
    <n v="2"/>
    <n v="980.23"/>
    <n v="13130000290"/>
  </r>
  <r>
    <x v="2"/>
    <d v="1899-12-30T21:23:34"/>
    <n v="1291"/>
    <n v="13002561"/>
    <n v="13"/>
    <n v="22589"/>
    <s v="Retail Sale"/>
    <n v="18"/>
    <n v="45995"/>
    <x v="82"/>
    <s v="Pulse"/>
    <s v="Dr. Reddy's"/>
    <n v="1"/>
    <n v="299.42"/>
    <n v="429.05"/>
    <n v="21.45"/>
    <n v="21.45"/>
    <s v="BONUS_CARD"/>
    <n v="29"/>
    <n v="1"/>
    <n v="5"/>
    <n v="407.6"/>
    <n v="13130000291"/>
  </r>
  <r>
    <x v="16"/>
    <d v="1899-12-30T08:09:21"/>
    <n v="1292"/>
    <n v="13002561"/>
    <n v="13"/>
    <n v="22589"/>
    <s v="Retail Sale"/>
    <n v="15"/>
    <n v="27376"/>
    <x v="20"/>
    <s v="Katren"/>
    <s v="TEVA"/>
    <n v="1"/>
    <n v="441.08"/>
    <n v="640.49"/>
    <n v="64.05"/>
    <n v="64.05"/>
    <s v="BONUS_CARD"/>
    <n v="29"/>
    <n v="1"/>
    <n v="6"/>
    <n v="576.44000000000005"/>
    <n v="13130000292"/>
  </r>
  <r>
    <x v="0"/>
    <d v="1899-12-30T14:28:49"/>
    <n v="1293"/>
    <n v="13002561"/>
    <n v="13"/>
    <n v="22589"/>
    <s v="Retail Sale"/>
    <n v="18"/>
    <n v="35095"/>
    <x v="75"/>
    <s v="Katren"/>
    <s v="TEVA"/>
    <n v="3"/>
    <n v="263.94"/>
    <n v="359.63"/>
    <n v="0"/>
    <n v="0"/>
    <m/>
    <n v="29"/>
    <n v="1"/>
    <n v="3"/>
    <n v="359.63"/>
    <n v="13130000293"/>
  </r>
  <r>
    <x v="16"/>
    <d v="1899-12-30T11:14:19"/>
    <n v="1294"/>
    <n v="13002561"/>
    <n v="13"/>
    <n v="22589"/>
    <s v="Retail Sale"/>
    <n v="15"/>
    <n v="52320"/>
    <x v="30"/>
    <s v="Katren"/>
    <s v="Takeda"/>
    <n v="3"/>
    <n v="513.54999999999995"/>
    <n v="852.69"/>
    <n v="0"/>
    <n v="0"/>
    <m/>
    <n v="29"/>
    <n v="1"/>
    <n v="3"/>
    <n v="852.69"/>
    <n v="13130000294"/>
  </r>
  <r>
    <x v="1"/>
    <d v="1899-12-30T20:26:35"/>
    <n v="1295"/>
    <n v="13002561"/>
    <n v="13"/>
    <n v="22589"/>
    <s v="Retail Sale"/>
    <n v="18"/>
    <n v="98022"/>
    <x v="84"/>
    <s v="Katren"/>
    <s v="Sanofi"/>
    <n v="3"/>
    <n v="402.16"/>
    <n v="668.3"/>
    <n v="66.83"/>
    <n v="66.83"/>
    <s v="BONUS_CARD"/>
    <n v="29"/>
    <n v="1"/>
    <n v="6"/>
    <n v="601.47"/>
    <n v="13130000295"/>
  </r>
  <r>
    <x v="7"/>
    <d v="1899-12-30T15:38:34"/>
    <n v="1296"/>
    <n v="13002561"/>
    <n v="13"/>
    <n v="22589"/>
    <s v="Retail Sale"/>
    <n v="18"/>
    <n v="73133"/>
    <x v="12"/>
    <s v="Katren"/>
    <s v="Novartis"/>
    <n v="1"/>
    <n v="415.82"/>
    <n v="600.14"/>
    <n v="60.01"/>
    <n v="60.01"/>
    <s v="BONUS_CARD"/>
    <n v="29"/>
    <n v="1"/>
    <n v="4"/>
    <n v="540.13"/>
    <n v="13130000296"/>
  </r>
  <r>
    <x v="4"/>
    <d v="1899-12-30T17:39:34"/>
    <n v="1297"/>
    <n v="13002561"/>
    <n v="13"/>
    <n v="22589"/>
    <s v="Retail Sale"/>
    <n v="15"/>
    <n v="16972"/>
    <x v="36"/>
    <s v="Pulse"/>
    <s v="Bayer"/>
    <n v="2"/>
    <n v="8.9"/>
    <n v="11.24"/>
    <n v="0"/>
    <n v="0"/>
    <m/>
    <n v="29"/>
    <n v="1"/>
    <n v="4"/>
    <n v="11.24"/>
    <n v="13130000297"/>
  </r>
  <r>
    <x v="29"/>
    <d v="1899-12-30T17:26:42"/>
    <n v="1298"/>
    <n v="13002561"/>
    <n v="13"/>
    <n v="22589"/>
    <s v="Retail Sale"/>
    <n v="15"/>
    <n v="93266"/>
    <x v="79"/>
    <s v="Pharmcomplect"/>
    <s v="Sanofi"/>
    <n v="1"/>
    <n v="37.24"/>
    <n v="60.13"/>
    <n v="3.01"/>
    <n v="3.01"/>
    <s v="BONUS_CARD"/>
    <n v="29"/>
    <n v="1"/>
    <n v="4"/>
    <n v="57.12"/>
    <n v="13130000298"/>
  </r>
  <r>
    <x v="6"/>
    <d v="1899-12-30T22:47:59"/>
    <n v="1299"/>
    <n v="13002561"/>
    <n v="13"/>
    <n v="22589"/>
    <s v="Retail Sale"/>
    <n v="18"/>
    <n v="53280"/>
    <x v="62"/>
    <s v="Grand Capital"/>
    <s v="Dr. Reddy's"/>
    <n v="3"/>
    <n v="25.2"/>
    <n v="42.29"/>
    <n v="4.2300000000000004"/>
    <n v="4.2300000000000004"/>
    <s v="BONUS_CARD"/>
    <n v="29"/>
    <n v="1"/>
    <n v="6"/>
    <n v="38.06"/>
    <n v="13130000299"/>
  </r>
  <r>
    <x v="11"/>
    <d v="1899-12-30T08:34:49"/>
    <n v="1300"/>
    <n v="13002561"/>
    <n v="13"/>
    <n v="22589"/>
    <s v="Retail Sale"/>
    <n v="18"/>
    <n v="94474"/>
    <x v="23"/>
    <s v="Pulse"/>
    <s v="Pfizer"/>
    <n v="1"/>
    <n v="400.91"/>
    <n v="536.75"/>
    <n v="53.68"/>
    <n v="53.68"/>
    <s v="BONUS_CARD"/>
    <n v="29"/>
    <n v="1"/>
    <n v="3"/>
    <n v="483.07"/>
    <n v="13130000300"/>
  </r>
  <r>
    <x v="17"/>
    <d v="1899-12-30T14:15:08"/>
    <n v="1301"/>
    <n v="13002561"/>
    <n v="13"/>
    <n v="22589"/>
    <s v="Retail Sale"/>
    <n v="18"/>
    <n v="11181"/>
    <x v="85"/>
    <s v="Grand Capital"/>
    <s v="Takeda"/>
    <n v="3"/>
    <n v="253.52"/>
    <n v="394.25"/>
    <n v="0"/>
    <n v="0"/>
    <m/>
    <n v="29"/>
    <n v="1"/>
    <n v="2"/>
    <n v="394.25"/>
    <n v="13130000301"/>
  </r>
  <r>
    <x v="0"/>
    <d v="1899-12-30T20:31:34"/>
    <n v="1302"/>
    <n v="13002561"/>
    <n v="13"/>
    <n v="22589"/>
    <s v="Retail Sale"/>
    <n v="15"/>
    <n v="83548"/>
    <x v="29"/>
    <s v="Pharmcomplect"/>
    <s v="Sanofi"/>
    <n v="2"/>
    <n v="528.24"/>
    <n v="765.47"/>
    <n v="76.55"/>
    <n v="76.55"/>
    <s v="BONUS_CARD"/>
    <n v="29"/>
    <n v="1"/>
    <n v="1"/>
    <n v="688.92"/>
    <n v="13130000302"/>
  </r>
  <r>
    <x v="16"/>
    <d v="1899-12-30T11:18:36"/>
    <n v="1303"/>
    <n v="13002561"/>
    <n v="13"/>
    <n v="22589"/>
    <s v="Retail Sale"/>
    <n v="15"/>
    <n v="42104"/>
    <x v="13"/>
    <s v="Protek"/>
    <s v="Dr. Reddy's"/>
    <n v="2"/>
    <n v="332.34"/>
    <n v="533.49"/>
    <n v="26.67"/>
    <n v="26.67"/>
    <s v="BONUS_CARD"/>
    <n v="29"/>
    <n v="1"/>
    <n v="2"/>
    <n v="506.82"/>
    <n v="13130000303"/>
  </r>
  <r>
    <x v="0"/>
    <d v="1899-12-30T13:56:32"/>
    <n v="1304"/>
    <n v="13002561"/>
    <n v="13"/>
    <n v="22589"/>
    <s v="Retail Sale"/>
    <n v="15"/>
    <n v="50084"/>
    <x v="78"/>
    <s v="Avesta"/>
    <s v="Dr. Reddy's"/>
    <n v="2"/>
    <n v="458.91"/>
    <n v="724.36"/>
    <n v="72.44"/>
    <n v="72.44"/>
    <s v="BONUS_CARD"/>
    <n v="29"/>
    <n v="1"/>
    <n v="6"/>
    <n v="651.91999999999996"/>
    <n v="13130000304"/>
  </r>
  <r>
    <x v="11"/>
    <d v="1899-12-30T08:20:19"/>
    <n v="1305"/>
    <n v="13002561"/>
    <n v="13"/>
    <n v="22589"/>
    <s v="Retail Sale"/>
    <n v="18"/>
    <n v="95388"/>
    <x v="86"/>
    <s v="Avesta"/>
    <s v="TEVA"/>
    <n v="1"/>
    <n v="6.94"/>
    <n v="11.33"/>
    <n v="0.56999999999999995"/>
    <n v="0.56999999999999995"/>
    <s v="BONUS_CARD"/>
    <n v="29"/>
    <n v="1"/>
    <n v="4"/>
    <n v="10.76"/>
    <n v="13130000305"/>
  </r>
  <r>
    <x v="4"/>
    <d v="1899-12-30T14:41:22"/>
    <n v="1306"/>
    <n v="13002561"/>
    <n v="13"/>
    <n v="22589"/>
    <s v="Retail Sale"/>
    <n v="18"/>
    <n v="16169"/>
    <x v="17"/>
    <s v="Avesta"/>
    <s v="Bayer"/>
    <n v="1"/>
    <n v="456.68"/>
    <n v="614.62"/>
    <n v="0"/>
    <n v="0"/>
    <m/>
    <n v="29"/>
    <n v="1"/>
    <n v="2"/>
    <n v="614.62"/>
    <n v="13130000306"/>
  </r>
  <r>
    <x v="5"/>
    <d v="1899-12-30T11:20:22"/>
    <n v="1307"/>
    <n v="13002561"/>
    <n v="13"/>
    <n v="22589"/>
    <s v="Retail Sale"/>
    <n v="18"/>
    <n v="54243"/>
    <x v="42"/>
    <s v="Avesta"/>
    <s v="Pfizer"/>
    <n v="2"/>
    <n v="187.34"/>
    <n v="275.14999999999998"/>
    <n v="0"/>
    <n v="0"/>
    <m/>
    <n v="29"/>
    <n v="1"/>
    <n v="1"/>
    <n v="275.14999999999998"/>
    <n v="13130000307"/>
  </r>
  <r>
    <x v="4"/>
    <d v="1899-12-30T12:07:29"/>
    <n v="1308"/>
    <n v="13002561"/>
    <n v="13"/>
    <n v="22589"/>
    <s v="Retail Sale"/>
    <n v="18"/>
    <n v="29230"/>
    <x v="45"/>
    <s v="Pharmcomplect"/>
    <s v="Sanofi"/>
    <n v="2"/>
    <n v="119.57"/>
    <n v="196.75"/>
    <n v="9.84"/>
    <n v="9.84"/>
    <s v="BONUS_CARD"/>
    <n v="29"/>
    <n v="1"/>
    <n v="6"/>
    <n v="186.91"/>
    <n v="13130000308"/>
  </r>
  <r>
    <x v="0"/>
    <d v="1899-12-30T08:01:17"/>
    <n v="1309"/>
    <n v="13002561"/>
    <n v="13"/>
    <n v="22589"/>
    <s v="Retail Sale"/>
    <n v="18"/>
    <n v="85033"/>
    <x v="60"/>
    <s v="Katren"/>
    <s v="Takeda"/>
    <n v="3"/>
    <n v="284.55"/>
    <n v="363.7"/>
    <n v="18.18"/>
    <n v="18.18"/>
    <s v="BONUS_CARD"/>
    <n v="29"/>
    <n v="1"/>
    <n v="1"/>
    <n v="345.52"/>
    <n v="13130000309"/>
  </r>
  <r>
    <x v="26"/>
    <d v="1899-12-30T17:41:17"/>
    <n v="1310"/>
    <n v="13002561"/>
    <n v="13"/>
    <n v="22589"/>
    <s v="Retail Sale"/>
    <n v="15"/>
    <n v="56836"/>
    <x v="14"/>
    <s v="Grand Capital"/>
    <s v="Sanofi"/>
    <n v="1"/>
    <n v="59.56"/>
    <n v="76.7"/>
    <n v="0"/>
    <n v="0"/>
    <m/>
    <n v="29"/>
    <n v="1"/>
    <n v="2"/>
    <n v="76.7"/>
    <n v="13130000310"/>
  </r>
  <r>
    <x v="19"/>
    <d v="1899-12-30T10:13:16"/>
    <n v="1311"/>
    <n v="13002561"/>
    <n v="13"/>
    <n v="22589"/>
    <s v="Retail Sale"/>
    <n v="18"/>
    <n v="64329"/>
    <x v="2"/>
    <s v="Grand Capital"/>
    <s v="Pfizer"/>
    <n v="3"/>
    <n v="14.64"/>
    <n v="23.68"/>
    <n v="1.18"/>
    <n v="1.18"/>
    <s v="BONUS_CARD"/>
    <n v="29"/>
    <n v="1"/>
    <n v="4"/>
    <n v="22.5"/>
    <n v="13130000311"/>
  </r>
  <r>
    <x v="13"/>
    <d v="1899-12-30T15:12:10"/>
    <n v="1312"/>
    <n v="13002561"/>
    <n v="13"/>
    <n v="22589"/>
    <s v="Retail Sale"/>
    <n v="15"/>
    <n v="30595"/>
    <x v="36"/>
    <s v="Pulse"/>
    <s v="Takeda"/>
    <n v="2"/>
    <n v="210.79"/>
    <n v="319"/>
    <n v="15.95"/>
    <n v="15.95"/>
    <s v="BONUS_CARD"/>
    <n v="29"/>
    <n v="1"/>
    <n v="2"/>
    <n v="303.05"/>
    <n v="13130000312"/>
  </r>
  <r>
    <x v="24"/>
    <d v="1899-12-30T16:53:05"/>
    <n v="1313"/>
    <n v="13002561"/>
    <n v="13"/>
    <n v="22589"/>
    <s v="Retail Sale"/>
    <n v="18"/>
    <n v="22735"/>
    <x v="39"/>
    <s v="Avesta"/>
    <s v="TEVA"/>
    <n v="1"/>
    <n v="595.02"/>
    <n v="797.17"/>
    <n v="39.86"/>
    <n v="39.86"/>
    <s v="BONUS_CARD"/>
    <n v="29"/>
    <n v="1"/>
    <n v="3"/>
    <n v="757.31"/>
    <n v="13130000313"/>
  </r>
  <r>
    <x v="3"/>
    <d v="1899-12-30T17:03:23"/>
    <n v="1314"/>
    <n v="13002561"/>
    <n v="13"/>
    <n v="22589"/>
    <s v="Retail Sale"/>
    <n v="18"/>
    <n v="19496"/>
    <x v="81"/>
    <s v="Grand Capital"/>
    <s v="Dr. Reddy's"/>
    <n v="1"/>
    <n v="387.96"/>
    <n v="646.80999999999995"/>
    <n v="64.680000000000007"/>
    <n v="64.680000000000007"/>
    <s v="BONUS_CARD"/>
    <n v="29"/>
    <n v="1"/>
    <n v="6"/>
    <n v="582.13"/>
    <n v="13130000314"/>
  </r>
  <r>
    <x v="24"/>
    <d v="1899-12-30T14:53:27"/>
    <n v="1315"/>
    <n v="13002561"/>
    <n v="13"/>
    <n v="22589"/>
    <s v="Retail Sale"/>
    <n v="15"/>
    <n v="24164"/>
    <x v="38"/>
    <s v="Katren"/>
    <s v="Sanofi"/>
    <n v="2"/>
    <n v="35.29"/>
    <n v="58.95"/>
    <n v="2.95"/>
    <n v="2.95"/>
    <s v="BONUS_CARD"/>
    <n v="29"/>
    <n v="1"/>
    <n v="3"/>
    <n v="56"/>
    <n v="13130000315"/>
  </r>
  <r>
    <x v="12"/>
    <d v="1899-12-30T16:08:40"/>
    <n v="1316"/>
    <n v="13002561"/>
    <n v="13"/>
    <n v="22589"/>
    <s v="Retail Sale"/>
    <n v="15"/>
    <n v="12435"/>
    <x v="87"/>
    <s v="Pharmcomplect"/>
    <s v="Pfizer"/>
    <n v="2"/>
    <n v="541.22"/>
    <n v="775.47"/>
    <n v="0"/>
    <n v="0"/>
    <m/>
    <n v="29"/>
    <n v="1"/>
    <n v="2"/>
    <n v="775.47"/>
    <n v="13130000316"/>
  </r>
  <r>
    <x v="25"/>
    <d v="1899-12-30T09:54:40"/>
    <n v="1317"/>
    <n v="13002561"/>
    <n v="13"/>
    <n v="22589"/>
    <s v="Retail Sale"/>
    <n v="15"/>
    <n v="95700"/>
    <x v="1"/>
    <s v="Katren"/>
    <s v="Takeda"/>
    <n v="2"/>
    <n v="126.43"/>
    <n v="206.31"/>
    <n v="0"/>
    <n v="0"/>
    <m/>
    <n v="29"/>
    <n v="1"/>
    <n v="2"/>
    <n v="206.31"/>
    <n v="13130000317"/>
  </r>
  <r>
    <x v="7"/>
    <d v="1899-12-30T11:59:01"/>
    <n v="1318"/>
    <n v="13002561"/>
    <n v="13"/>
    <n v="22589"/>
    <s v="Retail Sale"/>
    <n v="18"/>
    <n v="41103"/>
    <x v="69"/>
    <s v="Pulse"/>
    <s v="KRKA"/>
    <n v="1"/>
    <n v="236.32"/>
    <n v="385.93"/>
    <n v="19.3"/>
    <n v="19.3"/>
    <s v="BONUS_CARD"/>
    <n v="29"/>
    <n v="1"/>
    <n v="1"/>
    <n v="366.63"/>
    <n v="13130000318"/>
  </r>
  <r>
    <x v="9"/>
    <d v="1899-12-30T10:49:48"/>
    <n v="1319"/>
    <n v="13002561"/>
    <n v="13"/>
    <n v="22589"/>
    <s v="Retail Sale"/>
    <n v="18"/>
    <n v="92512"/>
    <x v="28"/>
    <s v="Katren"/>
    <s v="Novartis"/>
    <n v="1"/>
    <n v="472.95"/>
    <n v="722.74"/>
    <n v="0"/>
    <n v="0"/>
    <m/>
    <n v="29"/>
    <n v="1"/>
    <n v="3"/>
    <n v="722.74"/>
    <n v="13130000319"/>
  </r>
  <r>
    <x v="11"/>
    <d v="1899-12-30T22:31:21"/>
    <n v="1320"/>
    <n v="13002561"/>
    <n v="13"/>
    <n v="22589"/>
    <s v="Retail Sale"/>
    <n v="18"/>
    <n v="29362"/>
    <x v="26"/>
    <s v="Protek"/>
    <s v="TEVA"/>
    <n v="3"/>
    <n v="439.4"/>
    <n v="614.67999999999995"/>
    <n v="0"/>
    <n v="0"/>
    <m/>
    <n v="29"/>
    <n v="1"/>
    <n v="1"/>
    <n v="614.67999999999995"/>
    <n v="13130000320"/>
  </r>
  <r>
    <x v="4"/>
    <d v="1899-12-30T18:00:50"/>
    <n v="1321"/>
    <n v="13002561"/>
    <n v="13"/>
    <n v="22589"/>
    <s v="Retail Sale"/>
    <n v="18"/>
    <n v="14193"/>
    <x v="16"/>
    <s v="Pharmcomplect"/>
    <s v="KRKA"/>
    <n v="1"/>
    <n v="154.19"/>
    <n v="206.05"/>
    <n v="20.61"/>
    <n v="20.61"/>
    <s v="BONUS_CARD"/>
    <n v="29"/>
    <n v="1"/>
    <n v="3"/>
    <n v="185.44"/>
    <n v="13130000321"/>
  </r>
  <r>
    <x v="15"/>
    <d v="1899-12-30T21:37:25"/>
    <n v="1322"/>
    <n v="13002561"/>
    <n v="13"/>
    <n v="22589"/>
    <s v="Retail Sale"/>
    <n v="18"/>
    <n v="45872"/>
    <x v="72"/>
    <s v="Grand Capital"/>
    <s v="Sanofi"/>
    <n v="2"/>
    <n v="453.78"/>
    <n v="691.82"/>
    <n v="34.590000000000003"/>
    <n v="34.590000000000003"/>
    <s v="BONUS_CARD"/>
    <n v="29"/>
    <n v="1"/>
    <n v="1"/>
    <n v="657.23"/>
    <n v="13130000322"/>
  </r>
  <r>
    <x v="29"/>
    <d v="1899-12-30T14:27:27"/>
    <n v="1323"/>
    <n v="13002561"/>
    <n v="13"/>
    <n v="22589"/>
    <s v="Retail Sale"/>
    <n v="15"/>
    <n v="86074"/>
    <x v="78"/>
    <s v="Katren"/>
    <s v="Novartis"/>
    <n v="3"/>
    <n v="49.96"/>
    <n v="69.25"/>
    <n v="3.46"/>
    <n v="3.46"/>
    <s v="BONUS_CARD"/>
    <n v="29"/>
    <n v="1"/>
    <n v="3"/>
    <n v="65.790000000000006"/>
    <n v="13130000323"/>
  </r>
  <r>
    <x v="8"/>
    <d v="1899-12-30T18:26:35"/>
    <n v="1324"/>
    <n v="13002561"/>
    <n v="13"/>
    <n v="22589"/>
    <s v="Retail Sale"/>
    <n v="15"/>
    <n v="48906"/>
    <x v="11"/>
    <s v="Pharmcomplect"/>
    <s v="Sanofi"/>
    <n v="3"/>
    <n v="145.57"/>
    <n v="229.53"/>
    <n v="0"/>
    <n v="0"/>
    <m/>
    <n v="29"/>
    <n v="1"/>
    <n v="2"/>
    <n v="229.53"/>
    <n v="13130000324"/>
  </r>
  <r>
    <x v="0"/>
    <d v="1899-12-30T14:11:38"/>
    <n v="1325"/>
    <n v="13002561"/>
    <n v="13"/>
    <n v="22589"/>
    <s v="Retail Sale"/>
    <n v="18"/>
    <n v="20349"/>
    <x v="35"/>
    <s v="Pulse"/>
    <s v="TEVA"/>
    <n v="2"/>
    <n v="286.88"/>
    <n v="453.18"/>
    <n v="22.66"/>
    <n v="22.66"/>
    <s v="BONUS_CARD"/>
    <n v="29"/>
    <n v="1"/>
    <n v="5"/>
    <n v="430.52"/>
    <n v="13130000325"/>
  </r>
  <r>
    <x v="0"/>
    <d v="1899-12-30T14:15:56"/>
    <n v="1326"/>
    <n v="13002561"/>
    <n v="13"/>
    <n v="22589"/>
    <s v="Retail Sale"/>
    <n v="15"/>
    <n v="59628"/>
    <x v="87"/>
    <s v="Pulse"/>
    <s v="Dr. Reddy's"/>
    <n v="2"/>
    <n v="299.60000000000002"/>
    <n v="488.06"/>
    <n v="24.4"/>
    <n v="24.4"/>
    <s v="BONUS_CARD"/>
    <n v="29"/>
    <n v="1"/>
    <n v="6"/>
    <n v="463.66"/>
    <n v="13130000326"/>
  </r>
  <r>
    <x v="6"/>
    <d v="1899-12-30T13:50:27"/>
    <n v="1327"/>
    <n v="13002561"/>
    <n v="13"/>
    <n v="22589"/>
    <s v="Retail Sale"/>
    <n v="15"/>
    <n v="88795"/>
    <x v="83"/>
    <s v="Grand Capital"/>
    <s v="KRKA"/>
    <n v="2"/>
    <n v="518.4"/>
    <n v="871.95"/>
    <n v="43.6"/>
    <n v="43.6"/>
    <s v="BONUS_CARD"/>
    <n v="29"/>
    <n v="1"/>
    <n v="4"/>
    <n v="828.35"/>
    <n v="13130000327"/>
  </r>
  <r>
    <x v="24"/>
    <d v="1899-12-30T12:55:43"/>
    <n v="1328"/>
    <n v="13002561"/>
    <n v="13"/>
    <n v="22589"/>
    <s v="Retail Sale"/>
    <n v="18"/>
    <n v="36293"/>
    <x v="31"/>
    <s v="Avesta"/>
    <s v="KRKA"/>
    <n v="1"/>
    <n v="131.18"/>
    <n v="171.86"/>
    <n v="17.190000000000001"/>
    <n v="17.190000000000001"/>
    <s v="BONUS_CARD"/>
    <n v="29"/>
    <n v="1"/>
    <n v="2"/>
    <n v="154.66999999999999"/>
    <n v="13130000328"/>
  </r>
  <r>
    <x v="19"/>
    <d v="1899-12-30T12:38:20"/>
    <n v="1329"/>
    <n v="13002561"/>
    <n v="13"/>
    <n v="22589"/>
    <s v="Retail Sale"/>
    <n v="15"/>
    <n v="60930"/>
    <x v="2"/>
    <s v="Avesta"/>
    <s v="Dr. Reddy's"/>
    <n v="1"/>
    <n v="520.4"/>
    <n v="665.63"/>
    <n v="0"/>
    <n v="0"/>
    <m/>
    <n v="29"/>
    <n v="1"/>
    <n v="3"/>
    <n v="665.63"/>
    <n v="13130000329"/>
  </r>
  <r>
    <x v="1"/>
    <d v="1899-12-30T11:48:52"/>
    <n v="1330"/>
    <n v="13002561"/>
    <n v="13"/>
    <n v="22589"/>
    <s v="Retail Sale"/>
    <n v="15"/>
    <n v="97501"/>
    <x v="82"/>
    <s v="Protek"/>
    <s v="Sanofi"/>
    <n v="1"/>
    <n v="67.17"/>
    <n v="86.08"/>
    <n v="8.61"/>
    <n v="8.61"/>
    <s v="BONUS_CARD"/>
    <n v="29"/>
    <n v="1"/>
    <n v="5"/>
    <n v="77.47"/>
    <n v="13130000330"/>
  </r>
  <r>
    <x v="26"/>
    <d v="1899-12-30T20:16:35"/>
    <n v="1331"/>
    <n v="13002561"/>
    <n v="13"/>
    <n v="22589"/>
    <s v="Retail Sale"/>
    <n v="18"/>
    <n v="54544"/>
    <x v="76"/>
    <s v="Pulse"/>
    <s v="Sanofi"/>
    <n v="2"/>
    <n v="244.97"/>
    <n v="346.97"/>
    <n v="0"/>
    <n v="0"/>
    <m/>
    <n v="29"/>
    <n v="1"/>
    <n v="4"/>
    <n v="346.97"/>
    <n v="13130000331"/>
  </r>
  <r>
    <x v="13"/>
    <d v="1899-12-30T22:05:33"/>
    <n v="1332"/>
    <n v="13002561"/>
    <n v="13"/>
    <n v="22589"/>
    <s v="Retail Sale"/>
    <n v="15"/>
    <n v="26200"/>
    <x v="30"/>
    <s v="Protek"/>
    <s v="Takeda"/>
    <n v="2"/>
    <n v="474.17"/>
    <n v="670.42"/>
    <n v="0"/>
    <n v="0"/>
    <m/>
    <n v="29"/>
    <n v="1"/>
    <n v="6"/>
    <n v="670.42"/>
    <n v="13130000332"/>
  </r>
  <r>
    <x v="22"/>
    <d v="1899-12-30T15:05:12"/>
    <n v="1333"/>
    <n v="13002561"/>
    <n v="13"/>
    <n v="22589"/>
    <s v="Retail Sale"/>
    <n v="15"/>
    <n v="73706"/>
    <x v="5"/>
    <s v="Avesta"/>
    <s v="Dr. Reddy's"/>
    <n v="2"/>
    <n v="201.18"/>
    <n v="254.43"/>
    <n v="25.44"/>
    <n v="25.44"/>
    <s v="BONUS_CARD"/>
    <n v="29"/>
    <n v="1"/>
    <n v="1"/>
    <n v="228.99"/>
    <n v="13130000333"/>
  </r>
  <r>
    <x v="13"/>
    <d v="1899-12-30T20:48:54"/>
    <n v="1334"/>
    <n v="13002561"/>
    <n v="13"/>
    <n v="22589"/>
    <s v="Retail Sale"/>
    <n v="15"/>
    <n v="92185"/>
    <x v="23"/>
    <s v="Grand Capital"/>
    <s v="Takeda"/>
    <n v="3"/>
    <n v="80.83"/>
    <n v="132.58000000000001"/>
    <n v="6.63"/>
    <n v="6.63"/>
    <s v="BONUS_CARD"/>
    <n v="29"/>
    <n v="1"/>
    <n v="1"/>
    <n v="125.95"/>
    <n v="13130000334"/>
  </r>
  <r>
    <x v="0"/>
    <d v="1899-12-30T09:36:26"/>
    <n v="1335"/>
    <n v="13002561"/>
    <n v="13"/>
    <n v="22589"/>
    <s v="Retail Sale"/>
    <n v="15"/>
    <n v="76216"/>
    <x v="16"/>
    <s v="Protek"/>
    <s v="Novartis"/>
    <n v="2"/>
    <n v="560.30999999999995"/>
    <n v="703.79"/>
    <n v="70.38"/>
    <n v="70.38"/>
    <s v="BONUS_CARD"/>
    <n v="29"/>
    <n v="1"/>
    <n v="3"/>
    <n v="633.41"/>
    <n v="13130000335"/>
  </r>
  <r>
    <x v="2"/>
    <d v="1899-12-30T17:38:37"/>
    <n v="1336"/>
    <n v="13002561"/>
    <n v="13"/>
    <n v="22589"/>
    <s v="Retail Sale"/>
    <n v="15"/>
    <n v="45220"/>
    <x v="9"/>
    <s v="Avesta"/>
    <s v="Takeda"/>
    <n v="1"/>
    <n v="224.42"/>
    <n v="356.63"/>
    <n v="0"/>
    <n v="0"/>
    <m/>
    <n v="29"/>
    <n v="1"/>
    <n v="6"/>
    <n v="356.63"/>
    <n v="13130000336"/>
  </r>
  <r>
    <x v="20"/>
    <d v="1899-12-30T19:43:16"/>
    <n v="1337"/>
    <n v="13002561"/>
    <n v="13"/>
    <n v="22589"/>
    <s v="Retail Sale"/>
    <n v="18"/>
    <n v="35114"/>
    <x v="85"/>
    <s v="Pharmcomplect"/>
    <s v="KRKA"/>
    <n v="3"/>
    <n v="424.87"/>
    <n v="711.19"/>
    <n v="71.12"/>
    <n v="71.12"/>
    <s v="BONUS_CARD"/>
    <n v="29"/>
    <n v="1"/>
    <n v="1"/>
    <n v="640.07000000000005"/>
    <n v="13130000337"/>
  </r>
  <r>
    <x v="24"/>
    <d v="1899-12-30T16:36:41"/>
    <n v="1338"/>
    <n v="13002561"/>
    <n v="13"/>
    <n v="22589"/>
    <s v="Retail Sale"/>
    <n v="18"/>
    <n v="83635"/>
    <x v="74"/>
    <s v="Pharmcomplect"/>
    <s v="Dr. Reddy's"/>
    <n v="2"/>
    <n v="114.38"/>
    <n v="160.94999999999999"/>
    <n v="0"/>
    <n v="0"/>
    <m/>
    <n v="29"/>
    <n v="1"/>
    <n v="5"/>
    <n v="160.94999999999999"/>
    <n v="13130000338"/>
  </r>
  <r>
    <x v="22"/>
    <d v="1899-12-30T12:33:13"/>
    <n v="1339"/>
    <n v="13002561"/>
    <n v="13"/>
    <n v="22589"/>
    <s v="Retail Sale"/>
    <n v="18"/>
    <n v="80346"/>
    <x v="25"/>
    <s v="Grand Capital"/>
    <s v="Novartis"/>
    <n v="1"/>
    <n v="216.8"/>
    <n v="345.82"/>
    <n v="0"/>
    <n v="0"/>
    <m/>
    <n v="29"/>
    <n v="1"/>
    <n v="4"/>
    <n v="345.82"/>
    <n v="13130000339"/>
  </r>
  <r>
    <x v="19"/>
    <d v="1899-12-30T19:13:45"/>
    <n v="1340"/>
    <n v="13002561"/>
    <n v="13"/>
    <n v="22589"/>
    <s v="Retail Sale"/>
    <n v="18"/>
    <n v="60710"/>
    <x v="7"/>
    <s v="Grand Capital"/>
    <s v="Dr. Reddy's"/>
    <n v="1"/>
    <n v="28.76"/>
    <n v="37.83"/>
    <n v="1.89"/>
    <n v="1.89"/>
    <s v="BONUS_CARD"/>
    <n v="29"/>
    <n v="1"/>
    <n v="4"/>
    <n v="35.94"/>
    <n v="13130000340"/>
  </r>
  <r>
    <x v="8"/>
    <d v="1899-12-30T11:47:40"/>
    <n v="1341"/>
    <n v="13002561"/>
    <n v="13"/>
    <n v="22589"/>
    <s v="Retail Sale"/>
    <n v="15"/>
    <n v="93418"/>
    <x v="38"/>
    <s v="Protek"/>
    <s v="Takeda"/>
    <n v="1"/>
    <n v="362.52"/>
    <n v="614.91"/>
    <n v="0"/>
    <n v="0"/>
    <m/>
    <n v="29"/>
    <n v="1"/>
    <n v="6"/>
    <n v="614.91"/>
    <n v="13130000341"/>
  </r>
  <r>
    <x v="7"/>
    <d v="1899-12-30T18:14:08"/>
    <n v="1342"/>
    <n v="13002561"/>
    <n v="13"/>
    <n v="22589"/>
    <s v="Retail Sale"/>
    <n v="18"/>
    <n v="27102"/>
    <x v="54"/>
    <s v="Pulse"/>
    <s v="KRKA"/>
    <n v="3"/>
    <n v="58.67"/>
    <n v="80.52"/>
    <n v="0"/>
    <n v="0"/>
    <m/>
    <n v="29"/>
    <n v="1"/>
    <n v="4"/>
    <n v="80.52"/>
    <n v="13130000342"/>
  </r>
  <r>
    <x v="8"/>
    <d v="1899-12-30T16:39:37"/>
    <n v="1343"/>
    <n v="13002561"/>
    <n v="13"/>
    <n v="22589"/>
    <s v="Retail Sale"/>
    <n v="18"/>
    <n v="54899"/>
    <x v="3"/>
    <s v="Pulse"/>
    <s v="KRKA"/>
    <n v="3"/>
    <n v="542.95000000000005"/>
    <n v="912.62"/>
    <n v="0"/>
    <n v="0"/>
    <m/>
    <n v="29"/>
    <n v="1"/>
    <n v="1"/>
    <n v="912.62"/>
    <n v="13130000343"/>
  </r>
  <r>
    <x v="22"/>
    <d v="1899-12-30T17:53:32"/>
    <n v="1344"/>
    <n v="13002561"/>
    <n v="13"/>
    <n v="22589"/>
    <s v="Retail Sale"/>
    <n v="18"/>
    <n v="88475"/>
    <x v="28"/>
    <s v="Avesta"/>
    <s v="Pfizer"/>
    <n v="2"/>
    <n v="102.74"/>
    <n v="156.71"/>
    <n v="15.67"/>
    <n v="15.67"/>
    <s v="BONUS_CARD"/>
    <n v="29"/>
    <n v="1"/>
    <n v="4"/>
    <n v="141.04"/>
    <n v="13130000344"/>
  </r>
  <r>
    <x v="30"/>
    <d v="1899-12-30T10:02:16"/>
    <n v="1345"/>
    <n v="13002561"/>
    <n v="13"/>
    <n v="22589"/>
    <s v="Retail Sale"/>
    <n v="15"/>
    <n v="31978"/>
    <x v="44"/>
    <s v="Protek"/>
    <s v="Dr. Reddy's"/>
    <n v="2"/>
    <n v="101.93"/>
    <n v="164.52"/>
    <n v="16.45"/>
    <n v="16.45"/>
    <s v="BONUS_CARD"/>
    <n v="29"/>
    <n v="1"/>
    <n v="2"/>
    <n v="148.07"/>
    <n v="13130000345"/>
  </r>
  <r>
    <x v="8"/>
    <d v="1899-12-30T13:00:54"/>
    <n v="1346"/>
    <n v="13002561"/>
    <n v="13"/>
    <n v="22589"/>
    <s v="Retail Sale"/>
    <n v="18"/>
    <n v="70633"/>
    <x v="51"/>
    <s v="Protek"/>
    <s v="Novartis"/>
    <n v="3"/>
    <n v="9.16"/>
    <n v="14.81"/>
    <n v="0"/>
    <n v="0"/>
    <m/>
    <n v="29"/>
    <n v="1"/>
    <n v="4"/>
    <n v="14.81"/>
    <n v="13130000346"/>
  </r>
  <r>
    <x v="30"/>
    <d v="1899-12-30T21:42:50"/>
    <n v="1347"/>
    <n v="13002561"/>
    <n v="13"/>
    <n v="22589"/>
    <s v="Retail Sale"/>
    <n v="15"/>
    <n v="46783"/>
    <x v="78"/>
    <s v="Pharmcomplect"/>
    <s v="Bayer"/>
    <n v="2"/>
    <n v="142.83000000000001"/>
    <n v="204.66"/>
    <n v="20.47"/>
    <n v="20.47"/>
    <s v="BONUS_CARD"/>
    <n v="29"/>
    <n v="1"/>
    <n v="2"/>
    <n v="184.19"/>
    <n v="13130000347"/>
  </r>
  <r>
    <x v="10"/>
    <d v="1899-12-30T11:24:39"/>
    <n v="1348"/>
    <n v="13002561"/>
    <n v="13"/>
    <n v="22589"/>
    <s v="Retail Sale"/>
    <n v="15"/>
    <n v="65322"/>
    <x v="21"/>
    <s v="Pharmcomplect"/>
    <s v="Dr. Reddy's"/>
    <n v="2"/>
    <n v="232.1"/>
    <n v="301.83999999999997"/>
    <n v="15.09"/>
    <n v="15.09"/>
    <s v="BONUS_CARD"/>
    <n v="29"/>
    <n v="1"/>
    <n v="6"/>
    <n v="286.75"/>
    <n v="13130000348"/>
  </r>
  <r>
    <x v="29"/>
    <d v="1899-12-30T12:39:29"/>
    <n v="1349"/>
    <n v="13002561"/>
    <n v="13"/>
    <n v="22589"/>
    <s v="Retail Sale"/>
    <n v="18"/>
    <n v="71727"/>
    <x v="52"/>
    <s v="Grand Capital"/>
    <s v="Novartis"/>
    <n v="2"/>
    <n v="119.94"/>
    <n v="184.79"/>
    <n v="0"/>
    <n v="0"/>
    <m/>
    <n v="29"/>
    <n v="1"/>
    <n v="1"/>
    <n v="184.79"/>
    <n v="13130000349"/>
  </r>
  <r>
    <x v="10"/>
    <d v="1899-12-30T15:21:39"/>
    <n v="1350"/>
    <n v="13002561"/>
    <n v="13"/>
    <n v="22589"/>
    <s v="Retail Sale"/>
    <n v="18"/>
    <n v="69332"/>
    <x v="36"/>
    <s v="Protek"/>
    <s v="Dr. Reddy's"/>
    <n v="2"/>
    <n v="124.09"/>
    <n v="203.72"/>
    <n v="20.37"/>
    <n v="20.37"/>
    <s v="BONUS_CARD"/>
    <n v="29"/>
    <n v="1"/>
    <n v="1"/>
    <n v="183.35"/>
    <n v="13130000350"/>
  </r>
  <r>
    <x v="28"/>
    <d v="1899-12-30T08:16:26"/>
    <n v="1351"/>
    <n v="13002561"/>
    <n v="13"/>
    <n v="22589"/>
    <s v="Retail Sale"/>
    <n v="18"/>
    <n v="82052"/>
    <x v="35"/>
    <s v="Pharmcomplect"/>
    <s v="TEVA"/>
    <n v="2"/>
    <n v="66.459999999999994"/>
    <n v="84.52"/>
    <n v="0"/>
    <n v="0"/>
    <m/>
    <n v="29"/>
    <n v="1"/>
    <n v="3"/>
    <n v="84.52"/>
    <n v="13130000351"/>
  </r>
  <r>
    <x v="29"/>
    <d v="1899-12-30T16:35:33"/>
    <n v="1352"/>
    <n v="13002561"/>
    <n v="13"/>
    <n v="22589"/>
    <s v="Retail Sale"/>
    <n v="15"/>
    <n v="87959"/>
    <x v="40"/>
    <s v="Katren"/>
    <s v="Novartis"/>
    <n v="3"/>
    <n v="63.05"/>
    <n v="89.51"/>
    <n v="0"/>
    <n v="0"/>
    <m/>
    <n v="29"/>
    <n v="1"/>
    <n v="2"/>
    <n v="89.51"/>
    <n v="13130000352"/>
  </r>
  <r>
    <x v="28"/>
    <d v="1899-12-30T20:37:59"/>
    <n v="1353"/>
    <n v="13002561"/>
    <n v="13"/>
    <n v="22589"/>
    <s v="Retail Sale"/>
    <n v="15"/>
    <n v="41006"/>
    <x v="66"/>
    <s v="Katren"/>
    <s v="KRKA"/>
    <n v="3"/>
    <n v="256.83"/>
    <n v="414.27"/>
    <n v="20.71"/>
    <n v="20.71"/>
    <s v="BONUS_CARD"/>
    <n v="29"/>
    <n v="1"/>
    <n v="4"/>
    <n v="393.56"/>
    <n v="13130000353"/>
  </r>
  <r>
    <x v="7"/>
    <d v="1899-12-30T12:24:47"/>
    <n v="1354"/>
    <n v="13002561"/>
    <n v="13"/>
    <n v="22589"/>
    <s v="Retail Sale"/>
    <n v="18"/>
    <n v="44030"/>
    <x v="15"/>
    <s v="Pulse"/>
    <s v="Sanofi"/>
    <n v="3"/>
    <n v="451.15"/>
    <n v="652.21"/>
    <n v="32.61"/>
    <n v="32.61"/>
    <s v="BONUS_CARD"/>
    <n v="29"/>
    <n v="1"/>
    <n v="4"/>
    <n v="619.6"/>
    <n v="13130000354"/>
  </r>
  <r>
    <x v="20"/>
    <d v="1899-12-30T09:12:43"/>
    <n v="1355"/>
    <n v="13002561"/>
    <n v="13"/>
    <n v="22589"/>
    <s v="Retail Sale"/>
    <n v="18"/>
    <n v="64226"/>
    <x v="22"/>
    <s v="Pharmcomplect"/>
    <s v="Sanofi"/>
    <n v="3"/>
    <n v="196.58"/>
    <n v="295.92"/>
    <n v="14.8"/>
    <n v="14.8"/>
    <s v="BONUS_CARD"/>
    <n v="29"/>
    <n v="1"/>
    <n v="1"/>
    <n v="281.12"/>
    <n v="13130000355"/>
  </r>
  <r>
    <x v="15"/>
    <d v="1899-12-30T19:52:32"/>
    <n v="1356"/>
    <n v="13002561"/>
    <n v="13"/>
    <n v="22589"/>
    <s v="Retail Sale"/>
    <n v="15"/>
    <n v="63103"/>
    <x v="37"/>
    <s v="Pharmcomplect"/>
    <s v="Pfizer"/>
    <n v="1"/>
    <n v="46.53"/>
    <n v="76.2"/>
    <n v="0"/>
    <n v="0"/>
    <m/>
    <n v="29"/>
    <n v="1"/>
    <n v="5"/>
    <n v="76.2"/>
    <n v="13130000356"/>
  </r>
  <r>
    <x v="27"/>
    <d v="1899-12-30T14:38:53"/>
    <n v="1357"/>
    <n v="13002561"/>
    <n v="13"/>
    <n v="22589"/>
    <s v="Retail Sale"/>
    <n v="15"/>
    <n v="84152"/>
    <x v="65"/>
    <s v="Pulse"/>
    <s v="Novartis"/>
    <n v="2"/>
    <n v="466.16"/>
    <n v="688.63"/>
    <n v="68.86"/>
    <n v="68.86"/>
    <s v="BONUS_CARD"/>
    <n v="29"/>
    <n v="1"/>
    <n v="4"/>
    <n v="619.77"/>
    <n v="13130000357"/>
  </r>
  <r>
    <x v="3"/>
    <d v="1899-12-30T20:33:10"/>
    <n v="1358"/>
    <n v="13002561"/>
    <n v="13"/>
    <n v="22589"/>
    <s v="Retail Sale"/>
    <n v="18"/>
    <n v="47184"/>
    <x v="15"/>
    <s v="Pharmcomplect"/>
    <s v="Sanofi"/>
    <n v="3"/>
    <n v="233.64"/>
    <n v="344.25"/>
    <n v="17.21"/>
    <n v="17.21"/>
    <s v="BONUS_CARD"/>
    <n v="29"/>
    <n v="1"/>
    <n v="2"/>
    <n v="327.04000000000002"/>
    <n v="13130000358"/>
  </r>
  <r>
    <x v="0"/>
    <d v="1899-12-30T13:30:02"/>
    <n v="1359"/>
    <n v="13002561"/>
    <n v="13"/>
    <n v="22589"/>
    <s v="Retail Sale"/>
    <n v="18"/>
    <n v="99496"/>
    <x v="31"/>
    <s v="Avesta"/>
    <s v="Sanofi"/>
    <n v="3"/>
    <n v="58.66"/>
    <n v="78.94"/>
    <n v="7.89"/>
    <n v="7.89"/>
    <s v="BONUS_CARD"/>
    <n v="29"/>
    <n v="1"/>
    <n v="1"/>
    <n v="71.05"/>
    <n v="13130000359"/>
  </r>
  <r>
    <x v="15"/>
    <d v="1899-12-30T21:10:25"/>
    <n v="1360"/>
    <n v="13002561"/>
    <n v="13"/>
    <n v="22589"/>
    <s v="Retail Sale"/>
    <n v="18"/>
    <n v="55402"/>
    <x v="83"/>
    <s v="Protek"/>
    <s v="Novartis"/>
    <n v="3"/>
    <n v="578.82000000000005"/>
    <n v="959.45"/>
    <n v="95.95"/>
    <n v="95.95"/>
    <s v="BONUS_CARD"/>
    <n v="29"/>
    <n v="1"/>
    <n v="6"/>
    <n v="863.5"/>
    <n v="13130000360"/>
  </r>
  <r>
    <x v="16"/>
    <d v="1899-12-30T14:37:26"/>
    <n v="1361"/>
    <n v="13002561"/>
    <n v="13"/>
    <n v="22589"/>
    <s v="Retail Sale"/>
    <n v="18"/>
    <n v="54615"/>
    <x v="50"/>
    <s v="Pulse"/>
    <s v="Sanofi"/>
    <n v="3"/>
    <n v="113.44"/>
    <n v="159.09"/>
    <n v="7.95"/>
    <n v="7.95"/>
    <s v="BONUS_CARD"/>
    <n v="29"/>
    <n v="1"/>
    <n v="4"/>
    <n v="151.13999999999999"/>
    <n v="13130000361"/>
  </r>
  <r>
    <x v="8"/>
    <d v="1899-12-30T19:32:24"/>
    <n v="1362"/>
    <n v="13002561"/>
    <n v="13"/>
    <n v="22589"/>
    <s v="Retail Sale"/>
    <n v="15"/>
    <n v="15540"/>
    <x v="43"/>
    <s v="Protek"/>
    <s v="Pfizer"/>
    <n v="3"/>
    <n v="266.82"/>
    <n v="405.68"/>
    <n v="20.28"/>
    <n v="20.28"/>
    <s v="BONUS_CARD"/>
    <n v="29"/>
    <n v="1"/>
    <n v="4"/>
    <n v="385.4"/>
    <n v="13130000362"/>
  </r>
  <r>
    <x v="0"/>
    <d v="1899-12-30T12:57:10"/>
    <n v="1363"/>
    <n v="13002561"/>
    <n v="13"/>
    <n v="22589"/>
    <s v="Retail Sale"/>
    <n v="15"/>
    <n v="37486"/>
    <x v="10"/>
    <s v="Pulse"/>
    <s v="Pfizer"/>
    <n v="2"/>
    <n v="555.51"/>
    <n v="695.35"/>
    <n v="69.540000000000006"/>
    <n v="69.540000000000006"/>
    <s v="BONUS_CARD"/>
    <n v="29"/>
    <n v="1"/>
    <n v="5"/>
    <n v="625.80999999999995"/>
    <n v="13130000363"/>
  </r>
  <r>
    <x v="0"/>
    <d v="1899-12-30T13:28:41"/>
    <n v="1364"/>
    <n v="13002561"/>
    <n v="13"/>
    <n v="22589"/>
    <s v="Retail Sale"/>
    <n v="18"/>
    <n v="57393"/>
    <x v="34"/>
    <s v="Pulse"/>
    <s v="Sanofi"/>
    <n v="3"/>
    <n v="438.64"/>
    <n v="614.37"/>
    <n v="30.72"/>
    <n v="30.72"/>
    <s v="BONUS_CARD"/>
    <n v="29"/>
    <n v="1"/>
    <n v="6"/>
    <n v="583.65"/>
    <n v="13130000364"/>
  </r>
  <r>
    <x v="5"/>
    <d v="1899-12-30T18:04:04"/>
    <n v="1365"/>
    <n v="13002561"/>
    <n v="13"/>
    <n v="22589"/>
    <s v="Retail Sale"/>
    <n v="15"/>
    <n v="64730"/>
    <x v="29"/>
    <s v="Pulse"/>
    <s v="Dr. Reddy's"/>
    <n v="2"/>
    <n v="40.35"/>
    <n v="58.25"/>
    <n v="0"/>
    <n v="0"/>
    <m/>
    <n v="29"/>
    <n v="1"/>
    <n v="6"/>
    <n v="58.25"/>
    <n v="13130000365"/>
  </r>
  <r>
    <x v="16"/>
    <d v="1899-12-30T14:19:04"/>
    <n v="1366"/>
    <n v="13002561"/>
    <n v="13"/>
    <n v="22589"/>
    <s v="Retail Sale"/>
    <n v="15"/>
    <n v="44242"/>
    <x v="68"/>
    <s v="Pharmcomplect"/>
    <s v="Pfizer"/>
    <n v="2"/>
    <n v="532.74"/>
    <n v="829.46"/>
    <n v="0"/>
    <n v="0"/>
    <m/>
    <n v="29"/>
    <n v="1"/>
    <n v="1"/>
    <n v="829.46"/>
    <n v="13130000366"/>
  </r>
  <r>
    <x v="4"/>
    <d v="1899-12-30T15:41:33"/>
    <n v="1367"/>
    <n v="13002561"/>
    <n v="13"/>
    <n v="22589"/>
    <s v="Retail Sale"/>
    <n v="15"/>
    <n v="23502"/>
    <x v="0"/>
    <s v="Pulse"/>
    <s v="Dr. Reddy's"/>
    <n v="3"/>
    <n v="559.54"/>
    <n v="874.49"/>
    <n v="0"/>
    <n v="0"/>
    <m/>
    <n v="29"/>
    <n v="1"/>
    <n v="5"/>
    <n v="874.49"/>
    <n v="13130000367"/>
  </r>
  <r>
    <x v="14"/>
    <d v="1899-12-30T15:09:02"/>
    <n v="1368"/>
    <n v="13002561"/>
    <n v="13"/>
    <n v="22589"/>
    <s v="Retail Sale"/>
    <n v="18"/>
    <n v="43528"/>
    <x v="79"/>
    <s v="Pharmcomplect"/>
    <s v="Novartis"/>
    <n v="3"/>
    <n v="69.8"/>
    <n v="93.12"/>
    <n v="9.31"/>
    <n v="9.31"/>
    <s v="BONUS_CARD"/>
    <n v="29"/>
    <n v="1"/>
    <n v="5"/>
    <n v="83.81"/>
    <n v="13130000368"/>
  </r>
  <r>
    <x v="0"/>
    <d v="1899-12-30T20:20:32"/>
    <n v="1369"/>
    <n v="13002561"/>
    <n v="13"/>
    <n v="22589"/>
    <s v="Retail Sale"/>
    <n v="15"/>
    <n v="39705"/>
    <x v="69"/>
    <s v="Grand Capital"/>
    <s v="Bayer"/>
    <n v="3"/>
    <n v="171.72"/>
    <n v="230.78"/>
    <n v="11.54"/>
    <n v="11.54"/>
    <s v="BONUS_CARD"/>
    <n v="29"/>
    <n v="1"/>
    <n v="4"/>
    <n v="219.24"/>
    <n v="13130000369"/>
  </r>
  <r>
    <x v="17"/>
    <d v="1899-12-30T22:21:54"/>
    <n v="1370"/>
    <n v="13002561"/>
    <n v="13"/>
    <n v="22589"/>
    <s v="Retail Sale"/>
    <n v="18"/>
    <n v="24498"/>
    <x v="70"/>
    <s v="Pulse"/>
    <s v="Dr. Reddy's"/>
    <n v="3"/>
    <n v="503.97"/>
    <n v="850.1"/>
    <n v="85.01"/>
    <n v="85.01"/>
    <s v="BONUS_CARD"/>
    <n v="29"/>
    <n v="1"/>
    <n v="6"/>
    <n v="765.09"/>
    <n v="13130000370"/>
  </r>
  <r>
    <x v="11"/>
    <d v="1899-12-30T14:34:12"/>
    <n v="1371"/>
    <n v="13002561"/>
    <n v="13"/>
    <n v="22589"/>
    <s v="Retail Sale"/>
    <n v="15"/>
    <n v="81694"/>
    <x v="87"/>
    <s v="Grand Capital"/>
    <s v="Dr. Reddy's"/>
    <n v="3"/>
    <n v="142.94999999999999"/>
    <n v="192.63"/>
    <n v="0"/>
    <n v="0"/>
    <m/>
    <n v="29"/>
    <n v="1"/>
    <n v="5"/>
    <n v="192.63"/>
    <n v="13130000371"/>
  </r>
  <r>
    <x v="22"/>
    <d v="1899-12-30T21:44:30"/>
    <n v="1372"/>
    <n v="13002561"/>
    <n v="13"/>
    <n v="22589"/>
    <s v="Retail Sale"/>
    <n v="15"/>
    <n v="80164"/>
    <x v="24"/>
    <s v="Katren"/>
    <s v="Dr. Reddy's"/>
    <n v="2"/>
    <n v="459.85"/>
    <n v="613.51"/>
    <n v="61.35"/>
    <n v="61.35"/>
    <s v="BONUS_CARD"/>
    <n v="29"/>
    <n v="1"/>
    <n v="2"/>
    <n v="552.16"/>
    <n v="13130000372"/>
  </r>
  <r>
    <x v="28"/>
    <d v="1899-12-30T17:49:14"/>
    <n v="1373"/>
    <n v="13002561"/>
    <n v="13"/>
    <n v="22589"/>
    <s v="Retail Sale"/>
    <n v="15"/>
    <n v="97980"/>
    <x v="31"/>
    <s v="Grand Capital"/>
    <s v="KRKA"/>
    <n v="2"/>
    <n v="150.03"/>
    <n v="200.9"/>
    <n v="20.09"/>
    <n v="20.09"/>
    <s v="BONUS_CARD"/>
    <n v="29"/>
    <n v="1"/>
    <n v="6"/>
    <n v="180.81"/>
    <n v="13130000373"/>
  </r>
  <r>
    <x v="22"/>
    <d v="1899-12-30T12:44:36"/>
    <n v="1374"/>
    <n v="13002561"/>
    <n v="13"/>
    <n v="22589"/>
    <s v="Retail Sale"/>
    <n v="15"/>
    <n v="40511"/>
    <x v="56"/>
    <s v="Avesta"/>
    <s v="Pfizer"/>
    <n v="2"/>
    <n v="209.33"/>
    <n v="351.44"/>
    <n v="17.57"/>
    <n v="17.57"/>
    <s v="BONUS_CARD"/>
    <n v="29"/>
    <n v="1"/>
    <n v="6"/>
    <n v="333.87"/>
    <n v="13130000374"/>
  </r>
  <r>
    <x v="3"/>
    <d v="1899-12-30T12:20:25"/>
    <n v="1375"/>
    <n v="13002561"/>
    <n v="13"/>
    <n v="22589"/>
    <s v="Retail Sale"/>
    <n v="15"/>
    <n v="67153"/>
    <x v="68"/>
    <s v="Katren"/>
    <s v="Novartis"/>
    <n v="3"/>
    <n v="514.82000000000005"/>
    <n v="825.62"/>
    <n v="0"/>
    <n v="0"/>
    <m/>
    <n v="29"/>
    <n v="1"/>
    <n v="1"/>
    <n v="825.62"/>
    <n v="13130000375"/>
  </r>
  <r>
    <x v="3"/>
    <d v="1899-12-30T15:00:22"/>
    <n v="1376"/>
    <n v="13002561"/>
    <n v="13"/>
    <n v="22589"/>
    <s v="Retail Sale"/>
    <n v="15"/>
    <n v="68414"/>
    <x v="67"/>
    <s v="Grand Capital"/>
    <s v="Bayer"/>
    <n v="2"/>
    <n v="575.63"/>
    <n v="757.89"/>
    <n v="0"/>
    <n v="0"/>
    <m/>
    <n v="29"/>
    <n v="1"/>
    <n v="6"/>
    <n v="757.89"/>
    <n v="13130000376"/>
  </r>
  <r>
    <x v="25"/>
    <d v="1899-12-30T11:04:45"/>
    <n v="1377"/>
    <n v="13002561"/>
    <n v="13"/>
    <n v="22589"/>
    <s v="Retail Sale"/>
    <n v="15"/>
    <n v="73332"/>
    <x v="81"/>
    <s v="Katren"/>
    <s v="Novartis"/>
    <n v="3"/>
    <n v="149.53"/>
    <n v="196.96"/>
    <n v="19.7"/>
    <n v="19.7"/>
    <s v="BONUS_CARD"/>
    <n v="29"/>
    <n v="1"/>
    <n v="1"/>
    <n v="177.26"/>
    <n v="13130000377"/>
  </r>
  <r>
    <x v="23"/>
    <d v="1899-12-30T19:52:09"/>
    <n v="1378"/>
    <n v="13002561"/>
    <n v="13"/>
    <n v="22589"/>
    <s v="Retail Sale"/>
    <n v="15"/>
    <n v="86502"/>
    <x v="49"/>
    <s v="Pharmcomplect"/>
    <s v="Takeda"/>
    <n v="1"/>
    <n v="303.20999999999998"/>
    <n v="394.76"/>
    <n v="39.479999999999997"/>
    <n v="39.479999999999997"/>
    <s v="BONUS_CARD"/>
    <n v="29"/>
    <n v="1"/>
    <n v="2"/>
    <n v="355.28"/>
    <n v="13130000378"/>
  </r>
  <r>
    <x v="22"/>
    <d v="1899-12-30T12:16:49"/>
    <n v="1379"/>
    <n v="13002561"/>
    <n v="13"/>
    <n v="22589"/>
    <s v="Retail Sale"/>
    <n v="15"/>
    <n v="49891"/>
    <x v="5"/>
    <s v="Protek"/>
    <s v="Dr. Reddy's"/>
    <n v="2"/>
    <n v="299.82"/>
    <n v="449.11"/>
    <n v="0"/>
    <n v="0"/>
    <m/>
    <n v="29"/>
    <n v="1"/>
    <n v="5"/>
    <n v="449.11"/>
    <n v="13130000379"/>
  </r>
  <r>
    <x v="19"/>
    <d v="1899-12-30T13:27:58"/>
    <n v="1380"/>
    <n v="13002561"/>
    <n v="13"/>
    <n v="22589"/>
    <s v="Retail Sale"/>
    <n v="15"/>
    <n v="21635"/>
    <x v="9"/>
    <s v="Katren"/>
    <s v="Bayer"/>
    <n v="1"/>
    <n v="367.18"/>
    <n v="511.78"/>
    <n v="51.18"/>
    <n v="51.18"/>
    <s v="BONUS_CARD"/>
    <n v="29"/>
    <n v="1"/>
    <n v="5"/>
    <n v="460.6"/>
    <n v="13130000380"/>
  </r>
  <r>
    <x v="0"/>
    <d v="1899-12-30T19:29:41"/>
    <n v="1381"/>
    <n v="13002561"/>
    <n v="13"/>
    <n v="22589"/>
    <s v="Retail Sale"/>
    <n v="18"/>
    <n v="20960"/>
    <x v="51"/>
    <s v="Katren"/>
    <s v="KRKA"/>
    <n v="3"/>
    <n v="396.42"/>
    <n v="610.79999999999995"/>
    <n v="61.08"/>
    <n v="61.08"/>
    <s v="BONUS_CARD"/>
    <n v="29"/>
    <n v="1"/>
    <n v="5"/>
    <n v="549.72"/>
    <n v="13130000381"/>
  </r>
  <r>
    <x v="19"/>
    <d v="1899-12-30T09:21:44"/>
    <n v="1382"/>
    <n v="13002561"/>
    <n v="13"/>
    <n v="22589"/>
    <s v="Retail Sale"/>
    <n v="15"/>
    <n v="13459"/>
    <x v="61"/>
    <s v="Avesta"/>
    <s v="Sanofi"/>
    <n v="1"/>
    <n v="423.15"/>
    <n v="560.02"/>
    <n v="0"/>
    <n v="0"/>
    <m/>
    <n v="29"/>
    <n v="1"/>
    <n v="1"/>
    <n v="560.02"/>
    <n v="13130000382"/>
  </r>
  <r>
    <x v="6"/>
    <d v="1899-12-30T09:25:59"/>
    <n v="1383"/>
    <n v="13002561"/>
    <n v="13"/>
    <n v="22589"/>
    <s v="Retail Sale"/>
    <n v="18"/>
    <n v="98858"/>
    <x v="72"/>
    <s v="Protek"/>
    <s v="Novartis"/>
    <n v="1"/>
    <n v="200.86"/>
    <n v="314.64999999999998"/>
    <n v="15.73"/>
    <n v="15.73"/>
    <s v="BONUS_CARD"/>
    <n v="29"/>
    <n v="1"/>
    <n v="4"/>
    <n v="298.92"/>
    <n v="13130000383"/>
  </r>
  <r>
    <x v="14"/>
    <d v="1899-12-30T22:41:38"/>
    <n v="1384"/>
    <n v="13002561"/>
    <n v="13"/>
    <n v="22589"/>
    <s v="Retail Sale"/>
    <n v="15"/>
    <n v="47194"/>
    <x v="8"/>
    <s v="Avesta"/>
    <s v="Sanofi"/>
    <n v="2"/>
    <n v="261.79000000000002"/>
    <n v="369.44"/>
    <n v="0"/>
    <n v="0"/>
    <m/>
    <n v="29"/>
    <n v="1"/>
    <n v="1"/>
    <n v="369.44"/>
    <n v="13130000384"/>
  </r>
  <r>
    <x v="25"/>
    <d v="1899-12-30T20:20:55"/>
    <n v="1385"/>
    <n v="13002561"/>
    <n v="13"/>
    <n v="22589"/>
    <s v="Retail Sale"/>
    <n v="15"/>
    <n v="99983"/>
    <x v="74"/>
    <s v="Avesta"/>
    <s v="Pfizer"/>
    <n v="2"/>
    <n v="158.82"/>
    <n v="216.96"/>
    <n v="10.85"/>
    <n v="10.85"/>
    <s v="BONUS_CARD"/>
    <n v="29"/>
    <n v="1"/>
    <n v="6"/>
    <n v="206.11"/>
    <n v="13130000385"/>
  </r>
  <r>
    <x v="23"/>
    <d v="1899-12-30T21:32:54"/>
    <n v="1386"/>
    <n v="13002561"/>
    <n v="13"/>
    <n v="22589"/>
    <s v="Retail Sale"/>
    <n v="18"/>
    <n v="71262"/>
    <x v="49"/>
    <s v="Pharmcomplect"/>
    <s v="Sanofi"/>
    <n v="2"/>
    <n v="351.29"/>
    <n v="521.99"/>
    <n v="26.1"/>
    <n v="26.1"/>
    <s v="BONUS_CARD"/>
    <n v="29"/>
    <n v="1"/>
    <n v="6"/>
    <n v="495.89"/>
    <n v="13130000386"/>
  </r>
  <r>
    <x v="9"/>
    <d v="1899-12-30T10:39:21"/>
    <n v="1387"/>
    <n v="13002561"/>
    <n v="13"/>
    <n v="22589"/>
    <s v="Retail Sale"/>
    <n v="15"/>
    <n v="76611"/>
    <x v="44"/>
    <s v="Protek"/>
    <s v="Takeda"/>
    <n v="1"/>
    <n v="289.47000000000003"/>
    <n v="389.17"/>
    <n v="0"/>
    <n v="0"/>
    <m/>
    <n v="29"/>
    <n v="1"/>
    <n v="6"/>
    <n v="389.17"/>
    <n v="13130000387"/>
  </r>
  <r>
    <x v="27"/>
    <d v="1899-12-30T18:49:21"/>
    <n v="1388"/>
    <n v="13002561"/>
    <n v="13"/>
    <n v="22589"/>
    <s v="Retail Sale"/>
    <n v="18"/>
    <n v="92760"/>
    <x v="76"/>
    <s v="Avesta"/>
    <s v="Pfizer"/>
    <n v="2"/>
    <n v="124.13"/>
    <n v="175.68"/>
    <n v="0"/>
    <n v="0"/>
    <m/>
    <n v="29"/>
    <n v="1"/>
    <n v="5"/>
    <n v="175.68"/>
    <n v="13130000388"/>
  </r>
  <r>
    <x v="9"/>
    <d v="1899-12-30T15:03:59"/>
    <n v="1389"/>
    <n v="13002561"/>
    <n v="13"/>
    <n v="22589"/>
    <s v="Retail Sale"/>
    <n v="18"/>
    <n v="57116"/>
    <x v="79"/>
    <s v="Grand Capital"/>
    <s v="TEVA"/>
    <n v="1"/>
    <n v="129.80000000000001"/>
    <n v="218.7"/>
    <n v="0"/>
    <n v="0"/>
    <m/>
    <n v="29"/>
    <n v="1"/>
    <n v="3"/>
    <n v="218.7"/>
    <n v="13130000389"/>
  </r>
  <r>
    <x v="3"/>
    <d v="1899-12-30T15:22:36"/>
    <n v="1390"/>
    <n v="13002561"/>
    <n v="13"/>
    <n v="22589"/>
    <s v="Retail Sale"/>
    <n v="18"/>
    <n v="32984"/>
    <x v="9"/>
    <s v="Pulse"/>
    <s v="Dr. Reddy's"/>
    <n v="2"/>
    <n v="429.86"/>
    <n v="688.9"/>
    <n v="68.89"/>
    <n v="68.89"/>
    <s v="BONUS_CARD"/>
    <n v="29"/>
    <n v="1"/>
    <n v="3"/>
    <n v="620.01"/>
    <n v="13130000390"/>
  </r>
  <r>
    <x v="11"/>
    <d v="1899-12-30T09:13:26"/>
    <n v="1391"/>
    <n v="13002561"/>
    <n v="13"/>
    <n v="22589"/>
    <s v="Retail Sale"/>
    <n v="15"/>
    <n v="28698"/>
    <x v="6"/>
    <s v="Pharmcomplect"/>
    <s v="Pfizer"/>
    <n v="2"/>
    <n v="522.73"/>
    <n v="657.89"/>
    <n v="32.89"/>
    <n v="32.89"/>
    <s v="BONUS_CARD"/>
    <n v="29"/>
    <n v="1"/>
    <n v="5"/>
    <n v="625"/>
    <n v="13130000391"/>
  </r>
  <r>
    <x v="13"/>
    <d v="1899-12-30T09:26:41"/>
    <n v="1392"/>
    <n v="13002561"/>
    <n v="13"/>
    <n v="22589"/>
    <s v="Retail Sale"/>
    <n v="15"/>
    <n v="54342"/>
    <x v="55"/>
    <s v="Protek"/>
    <s v="Sanofi"/>
    <n v="3"/>
    <n v="211.34"/>
    <n v="276.66000000000003"/>
    <n v="0"/>
    <n v="0"/>
    <m/>
    <n v="29"/>
    <n v="1"/>
    <n v="1"/>
    <n v="276.66000000000003"/>
    <n v="13130000392"/>
  </r>
  <r>
    <x v="6"/>
    <d v="1899-12-30T09:34:35"/>
    <n v="1393"/>
    <n v="13002561"/>
    <n v="13"/>
    <n v="22589"/>
    <s v="Retail Sale"/>
    <n v="18"/>
    <n v="81356"/>
    <x v="13"/>
    <s v="Katren"/>
    <s v="Dr. Reddy's"/>
    <n v="2"/>
    <n v="532.03"/>
    <n v="732.19"/>
    <n v="0"/>
    <n v="0"/>
    <m/>
    <n v="29"/>
    <n v="1"/>
    <n v="6"/>
    <n v="732.19"/>
    <n v="13130000393"/>
  </r>
  <r>
    <x v="21"/>
    <d v="1899-12-30T08:45:32"/>
    <n v="1394"/>
    <n v="13002561"/>
    <n v="13"/>
    <n v="22589"/>
    <s v="Retail Sale"/>
    <n v="18"/>
    <n v="76040"/>
    <x v="23"/>
    <s v="Katren"/>
    <s v="Pfizer"/>
    <n v="3"/>
    <n v="536.37"/>
    <n v="823.17"/>
    <n v="41.16"/>
    <n v="41.16"/>
    <s v="BONUS_CARD"/>
    <n v="29"/>
    <n v="1"/>
    <n v="3"/>
    <n v="782.01"/>
    <n v="13130000394"/>
  </r>
  <r>
    <x v="10"/>
    <d v="1899-12-30T09:43:03"/>
    <n v="1395"/>
    <n v="13002561"/>
    <n v="13"/>
    <n v="22589"/>
    <s v="Retail Sale"/>
    <n v="18"/>
    <n v="96399"/>
    <x v="59"/>
    <s v="Pulse"/>
    <s v="Sanofi"/>
    <n v="2"/>
    <n v="537.52"/>
    <n v="675.09"/>
    <n v="67.510000000000005"/>
    <n v="67.510000000000005"/>
    <s v="BONUS_CARD"/>
    <n v="29"/>
    <n v="1"/>
    <n v="6"/>
    <n v="607.58000000000004"/>
    <n v="13130000395"/>
  </r>
  <r>
    <x v="28"/>
    <d v="1899-12-30T08:39:14"/>
    <n v="1396"/>
    <n v="13002561"/>
    <n v="13"/>
    <n v="22589"/>
    <s v="Retail Sale"/>
    <n v="18"/>
    <n v="69864"/>
    <x v="60"/>
    <s v="Pulse"/>
    <s v="Novartis"/>
    <n v="2"/>
    <n v="36.06"/>
    <n v="58.05"/>
    <n v="5.8"/>
    <n v="5.8"/>
    <s v="BONUS_CARD"/>
    <n v="29"/>
    <n v="1"/>
    <n v="5"/>
    <n v="52.25"/>
    <n v="13130000396"/>
  </r>
  <r>
    <x v="28"/>
    <d v="1899-12-30T14:46:50"/>
    <n v="1397"/>
    <n v="13002561"/>
    <n v="13"/>
    <n v="22589"/>
    <s v="Retail Sale"/>
    <n v="18"/>
    <n v="89396"/>
    <x v="88"/>
    <s v="Avesta"/>
    <s v="Bayer"/>
    <n v="3"/>
    <n v="362.58"/>
    <n v="507.14"/>
    <n v="50.71"/>
    <n v="50.71"/>
    <s v="BONUS_CARD"/>
    <n v="29"/>
    <n v="1"/>
    <n v="5"/>
    <n v="456.43"/>
    <n v="13130000397"/>
  </r>
  <r>
    <x v="18"/>
    <d v="1899-12-30T17:19:05"/>
    <n v="1398"/>
    <n v="13002561"/>
    <n v="13"/>
    <n v="22589"/>
    <s v="Retail Sale"/>
    <n v="15"/>
    <n v="84312"/>
    <x v="71"/>
    <s v="Pulse"/>
    <s v="Pfizer"/>
    <n v="3"/>
    <n v="137.08000000000001"/>
    <n v="171.73"/>
    <n v="8.59"/>
    <n v="8.59"/>
    <s v="BONUS_CARD"/>
    <n v="29"/>
    <n v="1"/>
    <n v="5"/>
    <n v="163.13999999999999"/>
    <n v="13130000398"/>
  </r>
  <r>
    <x v="19"/>
    <d v="1899-12-30T14:06:54"/>
    <n v="1399"/>
    <n v="13002561"/>
    <n v="13"/>
    <n v="22589"/>
    <s v="Retail Sale"/>
    <n v="15"/>
    <n v="58145"/>
    <x v="6"/>
    <s v="Protek"/>
    <s v="KRKA"/>
    <n v="1"/>
    <n v="89.53"/>
    <n v="129.38999999999999"/>
    <n v="0"/>
    <n v="0"/>
    <m/>
    <n v="29"/>
    <n v="1"/>
    <n v="2"/>
    <n v="129.38999999999999"/>
    <n v="13130000399"/>
  </r>
  <r>
    <x v="23"/>
    <d v="1899-12-30T10:41:36"/>
    <n v="1400"/>
    <n v="13002561"/>
    <n v="13"/>
    <n v="22589"/>
    <s v="Retail Sale"/>
    <n v="18"/>
    <n v="73945"/>
    <x v="6"/>
    <s v="Pulse"/>
    <s v="Bayer"/>
    <n v="2"/>
    <n v="60.03"/>
    <n v="92.75"/>
    <n v="0"/>
    <n v="0"/>
    <m/>
    <n v="29"/>
    <n v="1"/>
    <n v="6"/>
    <n v="92.75"/>
    <n v="13130000400"/>
  </r>
  <r>
    <x v="16"/>
    <d v="1899-12-30T15:02:09"/>
    <n v="1401"/>
    <n v="13002561"/>
    <n v="13"/>
    <n v="22589"/>
    <s v="Retail Sale"/>
    <n v="18"/>
    <n v="20138"/>
    <x v="17"/>
    <s v="Pharmcomplect"/>
    <s v="KRKA"/>
    <n v="2"/>
    <n v="268.7"/>
    <n v="357.51"/>
    <n v="0"/>
    <n v="0"/>
    <m/>
    <n v="29"/>
    <n v="1"/>
    <n v="1"/>
    <n v="357.51"/>
    <n v="13130000401"/>
  </r>
  <r>
    <x v="24"/>
    <d v="1899-12-30T19:49:01"/>
    <n v="1402"/>
    <n v="13002561"/>
    <n v="13"/>
    <n v="22589"/>
    <s v="Retail Sale"/>
    <n v="18"/>
    <n v="43803"/>
    <x v="21"/>
    <s v="Protek"/>
    <s v="Pfizer"/>
    <n v="1"/>
    <n v="536.97"/>
    <n v="714.27"/>
    <n v="0"/>
    <n v="0"/>
    <m/>
    <n v="29"/>
    <n v="1"/>
    <n v="4"/>
    <n v="714.27"/>
    <n v="13130000402"/>
  </r>
  <r>
    <x v="23"/>
    <d v="1899-12-30T17:25:07"/>
    <n v="1403"/>
    <n v="13002561"/>
    <n v="13"/>
    <n v="22589"/>
    <s v="Retail Sale"/>
    <n v="18"/>
    <n v="49451"/>
    <x v="10"/>
    <s v="Protek"/>
    <s v="TEVA"/>
    <n v="1"/>
    <n v="359.45"/>
    <n v="530.73"/>
    <n v="26.54"/>
    <n v="26.54"/>
    <s v="BONUS_CARD"/>
    <n v="29"/>
    <n v="1"/>
    <n v="4"/>
    <n v="504.19"/>
    <n v="13130000403"/>
  </r>
  <r>
    <x v="23"/>
    <d v="1899-12-30T09:28:45"/>
    <n v="1404"/>
    <n v="13002561"/>
    <n v="13"/>
    <n v="22589"/>
    <s v="Retail Sale"/>
    <n v="15"/>
    <n v="66085"/>
    <x v="62"/>
    <s v="Pharmcomplect"/>
    <s v="Sanofi"/>
    <n v="3"/>
    <n v="425.3"/>
    <n v="578.84"/>
    <n v="57.88"/>
    <n v="57.88"/>
    <s v="BONUS_CARD"/>
    <n v="29"/>
    <n v="1"/>
    <n v="1"/>
    <n v="520.96"/>
    <n v="13130000404"/>
  </r>
  <r>
    <x v="7"/>
    <d v="1899-12-30T21:04:12"/>
    <n v="1405"/>
    <n v="13002561"/>
    <n v="13"/>
    <n v="22589"/>
    <s v="Retail Sale"/>
    <n v="18"/>
    <n v="46886"/>
    <x v="5"/>
    <s v="Katren"/>
    <s v="Pfizer"/>
    <n v="2"/>
    <n v="194.27"/>
    <n v="286.56"/>
    <n v="14.33"/>
    <n v="14.33"/>
    <s v="BONUS_CARD"/>
    <n v="29"/>
    <n v="1"/>
    <n v="1"/>
    <n v="272.23"/>
    <n v="13130000405"/>
  </r>
  <r>
    <x v="5"/>
    <d v="1899-12-30T22:27:09"/>
    <n v="1406"/>
    <n v="13002561"/>
    <n v="13"/>
    <n v="22589"/>
    <s v="Retail Sale"/>
    <n v="18"/>
    <n v="68258"/>
    <x v="54"/>
    <s v="Katren"/>
    <s v="Sanofi"/>
    <n v="1"/>
    <n v="96.53"/>
    <n v="148.76"/>
    <n v="0"/>
    <n v="0"/>
    <m/>
    <n v="29"/>
    <n v="1"/>
    <n v="1"/>
    <n v="148.76"/>
    <n v="13130000406"/>
  </r>
  <r>
    <x v="16"/>
    <d v="1899-12-30T11:20:36"/>
    <n v="1407"/>
    <n v="13002561"/>
    <n v="13"/>
    <n v="22589"/>
    <s v="Retail Sale"/>
    <n v="18"/>
    <n v="41983"/>
    <x v="32"/>
    <s v="Grand Capital"/>
    <s v="Bayer"/>
    <n v="2"/>
    <n v="254.36"/>
    <n v="368.52"/>
    <n v="0"/>
    <n v="0"/>
    <m/>
    <n v="29"/>
    <n v="1"/>
    <n v="3"/>
    <n v="368.52"/>
    <n v="13130000407"/>
  </r>
  <r>
    <x v="27"/>
    <d v="1899-12-30T16:21:21"/>
    <n v="1408"/>
    <n v="13002561"/>
    <n v="13"/>
    <n v="22589"/>
    <s v="Retail Sale"/>
    <n v="15"/>
    <n v="50578"/>
    <x v="11"/>
    <s v="Grand Capital"/>
    <s v="KRKA"/>
    <n v="3"/>
    <n v="353.22"/>
    <n v="590.54"/>
    <n v="59.05"/>
    <n v="59.05"/>
    <s v="BONUS_CARD"/>
    <n v="29"/>
    <n v="1"/>
    <n v="2"/>
    <n v="531.49"/>
    <n v="13130000408"/>
  </r>
  <r>
    <x v="10"/>
    <d v="1899-12-30T15:51:40"/>
    <n v="1409"/>
    <n v="13002561"/>
    <n v="13"/>
    <n v="22589"/>
    <s v="Retail Sale"/>
    <n v="18"/>
    <n v="83579"/>
    <x v="10"/>
    <s v="Pulse"/>
    <s v="KRKA"/>
    <n v="1"/>
    <n v="205.03"/>
    <n v="291.33"/>
    <n v="0"/>
    <n v="0"/>
    <m/>
    <n v="29"/>
    <n v="1"/>
    <n v="4"/>
    <n v="291.33"/>
    <n v="13130000409"/>
  </r>
  <r>
    <x v="10"/>
    <d v="1899-12-30T20:40:46"/>
    <n v="1410"/>
    <n v="13002561"/>
    <n v="13"/>
    <n v="22589"/>
    <s v="Retail Sale"/>
    <n v="15"/>
    <n v="65365"/>
    <x v="65"/>
    <s v="Avesta"/>
    <s v="KRKA"/>
    <n v="3"/>
    <n v="200.34"/>
    <n v="294.67"/>
    <n v="29.47"/>
    <n v="29.47"/>
    <s v="BONUS_CARD"/>
    <n v="29"/>
    <n v="1"/>
    <n v="1"/>
    <n v="265.2"/>
    <n v="13130000410"/>
  </r>
  <r>
    <x v="8"/>
    <d v="1899-12-30T10:44:54"/>
    <n v="1411"/>
    <n v="13002561"/>
    <n v="13"/>
    <n v="22589"/>
    <s v="Retail Sale"/>
    <n v="15"/>
    <n v="22463"/>
    <x v="27"/>
    <s v="Pharmcomplect"/>
    <s v="KRKA"/>
    <n v="1"/>
    <n v="407.55"/>
    <n v="625.13"/>
    <n v="31.26"/>
    <n v="31.26"/>
    <s v="BONUS_CARD"/>
    <n v="29"/>
    <n v="1"/>
    <n v="2"/>
    <n v="593.87"/>
    <n v="13130000411"/>
  </r>
  <r>
    <x v="28"/>
    <d v="1899-12-30T08:28:52"/>
    <n v="1412"/>
    <n v="13002561"/>
    <n v="13"/>
    <n v="22589"/>
    <s v="Retail Sale"/>
    <n v="18"/>
    <n v="95076"/>
    <x v="27"/>
    <s v="Protek"/>
    <s v="Novartis"/>
    <n v="1"/>
    <n v="487.08"/>
    <n v="620.20000000000005"/>
    <n v="0"/>
    <n v="0"/>
    <m/>
    <n v="29"/>
    <n v="1"/>
    <n v="5"/>
    <n v="620.20000000000005"/>
    <n v="13130000412"/>
  </r>
  <r>
    <x v="23"/>
    <d v="1899-12-30T18:31:05"/>
    <n v="1413"/>
    <n v="13002561"/>
    <n v="13"/>
    <n v="22589"/>
    <s v="Retail Sale"/>
    <n v="18"/>
    <n v="59539"/>
    <x v="69"/>
    <s v="Avesta"/>
    <s v="KRKA"/>
    <n v="1"/>
    <n v="459.79"/>
    <n v="595.01"/>
    <n v="59.5"/>
    <n v="59.5"/>
    <s v="BONUS_CARD"/>
    <n v="29"/>
    <n v="1"/>
    <n v="2"/>
    <n v="535.51"/>
    <n v="13130000413"/>
  </r>
  <r>
    <x v="19"/>
    <d v="1899-12-30T17:59:06"/>
    <n v="1414"/>
    <n v="13002561"/>
    <n v="13"/>
    <n v="22589"/>
    <s v="Retail Sale"/>
    <n v="15"/>
    <n v="47219"/>
    <x v="65"/>
    <s v="Grand Capital"/>
    <s v="Novartis"/>
    <n v="2"/>
    <n v="538.89"/>
    <n v="718.4"/>
    <n v="0"/>
    <n v="0"/>
    <m/>
    <n v="29"/>
    <n v="1"/>
    <n v="5"/>
    <n v="718.4"/>
    <n v="13130000414"/>
  </r>
  <r>
    <x v="23"/>
    <d v="1899-12-30T15:40:18"/>
    <n v="1415"/>
    <n v="13002561"/>
    <n v="13"/>
    <n v="22589"/>
    <s v="Retail Sale"/>
    <n v="18"/>
    <n v="65955"/>
    <x v="75"/>
    <s v="Pharmcomplect"/>
    <s v="Dr. Reddy's"/>
    <n v="2"/>
    <n v="218.37"/>
    <n v="321.62"/>
    <n v="0"/>
    <n v="0"/>
    <m/>
    <n v="29"/>
    <n v="1"/>
    <n v="6"/>
    <n v="321.62"/>
    <n v="13130000415"/>
  </r>
  <r>
    <x v="11"/>
    <d v="1899-12-30T16:15:03"/>
    <n v="1416"/>
    <n v="13002561"/>
    <n v="13"/>
    <n v="22589"/>
    <s v="Retail Sale"/>
    <n v="18"/>
    <n v="28117"/>
    <x v="35"/>
    <s v="Grand Capital"/>
    <s v="Dr. Reddy's"/>
    <n v="2"/>
    <n v="306.93"/>
    <n v="452.49"/>
    <n v="0"/>
    <n v="0"/>
    <m/>
    <n v="29"/>
    <n v="1"/>
    <n v="5"/>
    <n v="452.49"/>
    <n v="13130000416"/>
  </r>
  <r>
    <x v="12"/>
    <d v="1899-12-30T10:06:00"/>
    <n v="1417"/>
    <n v="13002561"/>
    <n v="13"/>
    <n v="22589"/>
    <s v="Retail Sale"/>
    <n v="18"/>
    <n v="20823"/>
    <x v="6"/>
    <s v="Avesta"/>
    <s v="Dr. Reddy's"/>
    <n v="2"/>
    <n v="583.64"/>
    <n v="903.35"/>
    <n v="90.34"/>
    <n v="90.34"/>
    <s v="BONUS_CARD"/>
    <n v="29"/>
    <n v="1"/>
    <n v="4"/>
    <n v="813.01"/>
    <n v="13130000417"/>
  </r>
  <r>
    <x v="6"/>
    <d v="1899-12-30T22:35:46"/>
    <n v="1418"/>
    <n v="13002561"/>
    <n v="13"/>
    <n v="22589"/>
    <s v="Retail Sale"/>
    <n v="15"/>
    <n v="18533"/>
    <x v="44"/>
    <s v="Grand Capital"/>
    <s v="Pfizer"/>
    <n v="1"/>
    <n v="580.41999999999996"/>
    <n v="873.84"/>
    <n v="87.38"/>
    <n v="87.38"/>
    <s v="BONUS_CARD"/>
    <n v="29"/>
    <n v="1"/>
    <n v="1"/>
    <n v="786.46"/>
    <n v="13130000418"/>
  </r>
  <r>
    <x v="25"/>
    <d v="1899-12-30T10:33:18"/>
    <n v="1419"/>
    <n v="13002561"/>
    <n v="13"/>
    <n v="22589"/>
    <s v="Retail Sale"/>
    <n v="18"/>
    <n v="31464"/>
    <x v="36"/>
    <s v="Grand Capital"/>
    <s v="Sanofi"/>
    <n v="3"/>
    <n v="380.25"/>
    <n v="612.20000000000005"/>
    <n v="61.22"/>
    <n v="61.22"/>
    <s v="BONUS_CARD"/>
    <n v="29"/>
    <n v="1"/>
    <n v="6"/>
    <n v="550.98"/>
    <n v="13130000419"/>
  </r>
  <r>
    <x v="28"/>
    <d v="1899-12-30T14:34:12"/>
    <n v="1420"/>
    <n v="13002561"/>
    <n v="13"/>
    <n v="22589"/>
    <s v="Retail Sale"/>
    <n v="18"/>
    <n v="85143"/>
    <x v="14"/>
    <s v="Pharmcomplect"/>
    <s v="Pfizer"/>
    <n v="3"/>
    <n v="523.16"/>
    <n v="870.93"/>
    <n v="43.55"/>
    <n v="43.55"/>
    <s v="BONUS_CARD"/>
    <n v="29"/>
    <n v="1"/>
    <n v="2"/>
    <n v="827.38"/>
    <n v="13130000420"/>
  </r>
  <r>
    <x v="25"/>
    <d v="1899-12-30T21:29:00"/>
    <n v="1421"/>
    <n v="13002561"/>
    <n v="13"/>
    <n v="22589"/>
    <s v="Retail Sale"/>
    <n v="18"/>
    <n v="94582"/>
    <x v="33"/>
    <s v="Pharmcomplect"/>
    <s v="Dr. Reddy's"/>
    <n v="3"/>
    <n v="113.66"/>
    <n v="187.57"/>
    <n v="0"/>
    <n v="0"/>
    <m/>
    <n v="29"/>
    <n v="1"/>
    <n v="6"/>
    <n v="187.57"/>
    <n v="13130000421"/>
  </r>
  <r>
    <x v="30"/>
    <d v="1899-12-30T20:44:26"/>
    <n v="1422"/>
    <n v="13002561"/>
    <n v="13"/>
    <n v="22589"/>
    <s v="Retail Sale"/>
    <n v="15"/>
    <n v="74144"/>
    <x v="37"/>
    <s v="Protek"/>
    <s v="Takeda"/>
    <n v="1"/>
    <n v="230.58"/>
    <n v="388.34"/>
    <n v="19.420000000000002"/>
    <n v="19.420000000000002"/>
    <s v="BONUS_CARD"/>
    <n v="29"/>
    <n v="1"/>
    <n v="3"/>
    <n v="368.92"/>
    <n v="13130000422"/>
  </r>
  <r>
    <x v="20"/>
    <d v="1899-12-30T13:57:32"/>
    <n v="1423"/>
    <n v="13002561"/>
    <n v="13"/>
    <n v="22589"/>
    <s v="Retail Sale"/>
    <n v="18"/>
    <n v="41326"/>
    <x v="57"/>
    <s v="Katren"/>
    <s v="Novartis"/>
    <n v="3"/>
    <n v="507.03"/>
    <n v="691.22"/>
    <n v="0"/>
    <n v="0"/>
    <m/>
    <n v="29"/>
    <n v="1"/>
    <n v="2"/>
    <n v="691.22"/>
    <n v="13130000423"/>
  </r>
  <r>
    <x v="12"/>
    <d v="1899-12-30T08:56:34"/>
    <n v="1424"/>
    <n v="13002561"/>
    <n v="13"/>
    <n v="22589"/>
    <s v="Retail Sale"/>
    <n v="18"/>
    <n v="17181"/>
    <x v="83"/>
    <s v="Avesta"/>
    <s v="Novartis"/>
    <n v="1"/>
    <n v="410.98"/>
    <n v="693.41"/>
    <n v="34.67"/>
    <n v="34.67"/>
    <s v="BONUS_CARD"/>
    <n v="29"/>
    <n v="1"/>
    <n v="5"/>
    <n v="658.74"/>
    <n v="13130000424"/>
  </r>
  <r>
    <x v="29"/>
    <d v="1899-12-30T11:54:51"/>
    <n v="1425"/>
    <n v="13002561"/>
    <n v="13"/>
    <n v="22589"/>
    <s v="Retail Sale"/>
    <n v="18"/>
    <n v="41913"/>
    <x v="5"/>
    <s v="Avesta"/>
    <s v="KRKA"/>
    <n v="2"/>
    <n v="308.02999999999997"/>
    <n v="489.28"/>
    <n v="0"/>
    <n v="0"/>
    <m/>
    <n v="29"/>
    <n v="1"/>
    <n v="4"/>
    <n v="489.28"/>
    <n v="13130000425"/>
  </r>
  <r>
    <x v="3"/>
    <d v="1899-12-30T20:38:59"/>
    <n v="1426"/>
    <n v="13002561"/>
    <n v="13"/>
    <n v="22589"/>
    <s v="Retail Sale"/>
    <n v="15"/>
    <n v="81367"/>
    <x v="3"/>
    <s v="Pulse"/>
    <s v="Sanofi"/>
    <n v="2"/>
    <n v="128.22999999999999"/>
    <n v="192.15"/>
    <n v="19.22"/>
    <n v="19.22"/>
    <s v="BONUS_CARD"/>
    <n v="29"/>
    <n v="1"/>
    <n v="5"/>
    <n v="172.93"/>
    <n v="13130000426"/>
  </r>
  <r>
    <x v="12"/>
    <d v="1899-12-30T22:55:02"/>
    <n v="1427"/>
    <n v="13002561"/>
    <n v="13"/>
    <n v="22589"/>
    <s v="Retail Sale"/>
    <n v="15"/>
    <n v="86303"/>
    <x v="18"/>
    <s v="Pulse"/>
    <s v="Dr. Reddy's"/>
    <n v="1"/>
    <n v="259.42"/>
    <n v="383.64"/>
    <n v="19.18"/>
    <n v="19.18"/>
    <s v="BONUS_CARD"/>
    <n v="29"/>
    <n v="1"/>
    <n v="6"/>
    <n v="364.46"/>
    <n v="13130000427"/>
  </r>
  <r>
    <x v="1"/>
    <d v="1899-12-30T13:40:18"/>
    <n v="1428"/>
    <n v="13002561"/>
    <n v="13"/>
    <n v="22589"/>
    <s v="Retail Sale"/>
    <n v="15"/>
    <n v="66652"/>
    <x v="36"/>
    <s v="Avesta"/>
    <s v="Sanofi"/>
    <n v="2"/>
    <n v="368.71"/>
    <n v="497.09"/>
    <n v="0"/>
    <n v="0"/>
    <m/>
    <n v="29"/>
    <n v="1"/>
    <n v="2"/>
    <n v="497.09"/>
    <n v="13130000428"/>
  </r>
  <r>
    <x v="15"/>
    <d v="1899-12-30T15:24:01"/>
    <n v="1429"/>
    <n v="13002561"/>
    <n v="13"/>
    <n v="22589"/>
    <s v="Retail Sale"/>
    <n v="18"/>
    <n v="10480"/>
    <x v="46"/>
    <s v="Protek"/>
    <s v="Novartis"/>
    <n v="2"/>
    <n v="419.44"/>
    <n v="563.32000000000005"/>
    <n v="56.33"/>
    <n v="56.33"/>
    <s v="BONUS_CARD"/>
    <n v="29"/>
    <n v="1"/>
    <n v="2"/>
    <n v="506.99"/>
    <n v="13130000429"/>
  </r>
  <r>
    <x v="0"/>
    <d v="1899-12-30T14:27:45"/>
    <n v="1430"/>
    <n v="13002561"/>
    <n v="13"/>
    <n v="22589"/>
    <s v="Retail Sale"/>
    <n v="18"/>
    <n v="88025"/>
    <x v="50"/>
    <s v="Grand Capital"/>
    <s v="TEVA"/>
    <n v="2"/>
    <n v="341.1"/>
    <n v="523.41999999999996"/>
    <n v="52.34"/>
    <n v="52.34"/>
    <s v="BONUS_CARD"/>
    <n v="29"/>
    <n v="1"/>
    <n v="5"/>
    <n v="471.08"/>
    <n v="13130000430"/>
  </r>
  <r>
    <x v="23"/>
    <d v="1899-12-30T14:37:55"/>
    <n v="1431"/>
    <n v="13002561"/>
    <n v="13"/>
    <n v="22589"/>
    <s v="Retail Sale"/>
    <n v="15"/>
    <n v="12177"/>
    <x v="13"/>
    <s v="Grand Capital"/>
    <s v="Takeda"/>
    <n v="3"/>
    <n v="462.77"/>
    <n v="659.02"/>
    <n v="0"/>
    <n v="0"/>
    <m/>
    <n v="29"/>
    <n v="1"/>
    <n v="3"/>
    <n v="659.02"/>
    <n v="13130000431"/>
  </r>
  <r>
    <x v="21"/>
    <d v="1899-12-30T13:25:09"/>
    <n v="1432"/>
    <n v="13002561"/>
    <n v="13"/>
    <n v="22589"/>
    <s v="Retail Sale"/>
    <n v="15"/>
    <n v="54395"/>
    <x v="85"/>
    <s v="Pharmcomplect"/>
    <s v="KRKA"/>
    <n v="2"/>
    <n v="207.3"/>
    <n v="322.13"/>
    <n v="0"/>
    <n v="0"/>
    <m/>
    <n v="29"/>
    <n v="1"/>
    <n v="2"/>
    <n v="322.13"/>
    <n v="13130000432"/>
  </r>
  <r>
    <x v="2"/>
    <d v="1899-12-30T18:04:24"/>
    <n v="1433"/>
    <n v="13002561"/>
    <n v="13"/>
    <n v="22589"/>
    <s v="Retail Sale"/>
    <n v="15"/>
    <n v="28236"/>
    <x v="47"/>
    <s v="Pharmcomplect"/>
    <s v="TEVA"/>
    <n v="2"/>
    <n v="106.8"/>
    <n v="168.35"/>
    <n v="8.42"/>
    <n v="8.42"/>
    <s v="BONUS_CARD"/>
    <n v="29"/>
    <n v="1"/>
    <n v="5"/>
    <n v="159.93"/>
    <n v="13130000433"/>
  </r>
  <r>
    <x v="12"/>
    <d v="1899-12-30T09:20:58"/>
    <n v="1434"/>
    <n v="13002561"/>
    <n v="13"/>
    <n v="22589"/>
    <s v="Retail Sale"/>
    <n v="15"/>
    <n v="10349"/>
    <x v="5"/>
    <s v="Protek"/>
    <s v="Dr. Reddy's"/>
    <n v="2"/>
    <n v="229.06"/>
    <n v="344.45"/>
    <n v="34.450000000000003"/>
    <n v="34.450000000000003"/>
    <s v="BONUS_CARD"/>
    <n v="29"/>
    <n v="1"/>
    <n v="5"/>
    <n v="310"/>
    <n v="13130000434"/>
  </r>
  <r>
    <x v="1"/>
    <d v="1899-12-30T22:50:22"/>
    <n v="1435"/>
    <n v="13002561"/>
    <n v="13"/>
    <n v="22589"/>
    <s v="Retail Sale"/>
    <n v="18"/>
    <n v="83284"/>
    <x v="18"/>
    <s v="Katren"/>
    <s v="Novartis"/>
    <n v="1"/>
    <n v="182.37"/>
    <n v="281.35000000000002"/>
    <n v="14.07"/>
    <n v="14.07"/>
    <s v="BONUS_CARD"/>
    <n v="29"/>
    <n v="1"/>
    <n v="1"/>
    <n v="267.27999999999997"/>
    <n v="13130000435"/>
  </r>
  <r>
    <x v="4"/>
    <d v="1899-12-30T11:03:39"/>
    <n v="1436"/>
    <n v="13002561"/>
    <n v="13"/>
    <n v="22589"/>
    <s v="Retail Sale"/>
    <n v="15"/>
    <n v="70480"/>
    <x v="36"/>
    <s v="Protek"/>
    <s v="TEVA"/>
    <n v="3"/>
    <n v="71.349999999999994"/>
    <n v="101.72"/>
    <n v="0"/>
    <n v="0"/>
    <m/>
    <n v="29"/>
    <n v="1"/>
    <n v="1"/>
    <n v="101.72"/>
    <n v="13130000436"/>
  </r>
  <r>
    <x v="29"/>
    <d v="1899-12-30T20:33:30"/>
    <n v="1437"/>
    <n v="13002561"/>
    <n v="13"/>
    <n v="22589"/>
    <s v="Retail Sale"/>
    <n v="15"/>
    <n v="30244"/>
    <x v="28"/>
    <s v="Pulse"/>
    <s v="Novartis"/>
    <n v="3"/>
    <n v="33.97"/>
    <n v="50.62"/>
    <n v="2.5299999999999998"/>
    <n v="2.5299999999999998"/>
    <s v="BONUS_CARD"/>
    <n v="29"/>
    <n v="1"/>
    <n v="5"/>
    <n v="48.09"/>
    <n v="13130000437"/>
  </r>
  <r>
    <x v="6"/>
    <d v="1899-12-30T15:07:36"/>
    <n v="1438"/>
    <n v="13002561"/>
    <n v="13"/>
    <n v="22589"/>
    <s v="Retail Sale"/>
    <n v="15"/>
    <n v="19673"/>
    <x v="60"/>
    <s v="Avesta"/>
    <s v="TEVA"/>
    <n v="2"/>
    <n v="144.66"/>
    <n v="191.18"/>
    <n v="0"/>
    <n v="0"/>
    <m/>
    <n v="29"/>
    <n v="1"/>
    <n v="2"/>
    <n v="191.18"/>
    <n v="13130000438"/>
  </r>
  <r>
    <x v="3"/>
    <d v="1899-12-30T19:51:05"/>
    <n v="1439"/>
    <n v="13002561"/>
    <n v="13"/>
    <n v="22589"/>
    <s v="Retail Sale"/>
    <n v="15"/>
    <n v="84505"/>
    <x v="62"/>
    <s v="Avesta"/>
    <s v="Novartis"/>
    <n v="1"/>
    <n v="564.77"/>
    <n v="837.33"/>
    <n v="83.73"/>
    <n v="83.73"/>
    <s v="BONUS_CARD"/>
    <n v="29"/>
    <n v="1"/>
    <n v="5"/>
    <n v="753.6"/>
    <n v="13130000439"/>
  </r>
  <r>
    <x v="21"/>
    <d v="1899-12-30T21:15:20"/>
    <n v="1440"/>
    <n v="13002561"/>
    <n v="13"/>
    <n v="22589"/>
    <s v="Retail Sale"/>
    <n v="18"/>
    <n v="93627"/>
    <x v="83"/>
    <s v="Protek"/>
    <s v="Pfizer"/>
    <n v="2"/>
    <n v="521.67999999999995"/>
    <n v="817.53"/>
    <n v="40.880000000000003"/>
    <n v="40.880000000000003"/>
    <s v="BONUS_CARD"/>
    <n v="29"/>
    <n v="1"/>
    <n v="4"/>
    <n v="776.65"/>
    <n v="13130000440"/>
  </r>
  <r>
    <x v="1"/>
    <d v="1899-12-30T11:46:29"/>
    <n v="1441"/>
    <n v="13002561"/>
    <n v="13"/>
    <n v="22589"/>
    <s v="Retail Sale"/>
    <n v="15"/>
    <n v="19905"/>
    <x v="36"/>
    <s v="Protek"/>
    <s v="KRKA"/>
    <n v="3"/>
    <n v="240.95"/>
    <n v="398.21"/>
    <n v="0"/>
    <n v="0"/>
    <m/>
    <n v="29"/>
    <n v="1"/>
    <n v="6"/>
    <n v="398.21"/>
    <n v="13130000441"/>
  </r>
  <r>
    <x v="3"/>
    <d v="1899-12-30T08:53:56"/>
    <n v="1442"/>
    <n v="13002561"/>
    <n v="13"/>
    <n v="22589"/>
    <s v="Retail Sale"/>
    <n v="15"/>
    <n v="95284"/>
    <x v="37"/>
    <s v="Avesta"/>
    <s v="Takeda"/>
    <n v="3"/>
    <n v="503.2"/>
    <n v="822.75"/>
    <n v="0"/>
    <n v="0"/>
    <m/>
    <n v="29"/>
    <n v="1"/>
    <n v="6"/>
    <n v="822.75"/>
    <n v="13130000442"/>
  </r>
  <r>
    <x v="19"/>
    <d v="1899-12-30T13:21:12"/>
    <n v="1443"/>
    <n v="13002561"/>
    <n v="13"/>
    <n v="22589"/>
    <s v="Retail Sale"/>
    <n v="15"/>
    <n v="38746"/>
    <x v="46"/>
    <s v="Grand Capital"/>
    <s v="TEVA"/>
    <n v="2"/>
    <n v="568.58000000000004"/>
    <n v="771.65"/>
    <n v="77.17"/>
    <n v="77.17"/>
    <s v="BONUS_CARD"/>
    <n v="29"/>
    <n v="1"/>
    <n v="3"/>
    <n v="694.48"/>
    <n v="13130000443"/>
  </r>
  <r>
    <x v="26"/>
    <d v="1899-12-30T09:07:02"/>
    <n v="1444"/>
    <n v="13002561"/>
    <n v="13"/>
    <n v="22589"/>
    <s v="Retail Sale"/>
    <n v="15"/>
    <n v="77259"/>
    <x v="59"/>
    <s v="Katren"/>
    <s v="KRKA"/>
    <n v="1"/>
    <n v="174.69"/>
    <n v="274.02999999999997"/>
    <n v="13.7"/>
    <n v="13.7"/>
    <s v="BONUS_CARD"/>
    <n v="29"/>
    <n v="1"/>
    <n v="1"/>
    <n v="260.33"/>
    <n v="13130000444"/>
  </r>
  <r>
    <x v="17"/>
    <d v="1899-12-30T15:05:06"/>
    <n v="1445"/>
    <n v="13002561"/>
    <n v="13"/>
    <n v="22589"/>
    <s v="Retail Sale"/>
    <n v="18"/>
    <n v="75221"/>
    <x v="40"/>
    <s v="Avesta"/>
    <s v="Bayer"/>
    <n v="2"/>
    <n v="247.53"/>
    <n v="368.57"/>
    <n v="36.86"/>
    <n v="36.86"/>
    <s v="BONUS_CARD"/>
    <n v="29"/>
    <n v="1"/>
    <n v="2"/>
    <n v="331.71"/>
    <n v="13130000445"/>
  </r>
  <r>
    <x v="9"/>
    <d v="1899-12-30T10:52:17"/>
    <n v="1446"/>
    <n v="13002561"/>
    <n v="13"/>
    <n v="22589"/>
    <s v="Retail Sale"/>
    <n v="18"/>
    <n v="52374"/>
    <x v="35"/>
    <s v="Katren"/>
    <s v="Pfizer"/>
    <n v="3"/>
    <n v="579.09"/>
    <n v="923.44"/>
    <n v="46.17"/>
    <n v="46.17"/>
    <s v="BONUS_CARD"/>
    <n v="29"/>
    <n v="1"/>
    <n v="5"/>
    <n v="877.27"/>
    <n v="13130000446"/>
  </r>
  <r>
    <x v="30"/>
    <d v="1899-12-30T10:37:33"/>
    <n v="1447"/>
    <n v="13002561"/>
    <n v="13"/>
    <n v="22589"/>
    <s v="Retail Sale"/>
    <n v="15"/>
    <n v="11610"/>
    <x v="5"/>
    <s v="Avesta"/>
    <s v="Bayer"/>
    <n v="1"/>
    <n v="574.32000000000005"/>
    <n v="785.82"/>
    <n v="78.58"/>
    <n v="78.58"/>
    <s v="BONUS_CARD"/>
    <n v="29"/>
    <n v="1"/>
    <n v="4"/>
    <n v="707.24"/>
    <n v="13130000447"/>
  </r>
  <r>
    <x v="0"/>
    <d v="1899-12-30T10:22:30"/>
    <n v="1448"/>
    <n v="13002561"/>
    <n v="13"/>
    <n v="22589"/>
    <s v="Retail Sale"/>
    <n v="15"/>
    <n v="79098"/>
    <x v="72"/>
    <s v="Katren"/>
    <s v="Dr. Reddy's"/>
    <n v="2"/>
    <n v="463.83"/>
    <n v="753.86"/>
    <n v="75.39"/>
    <n v="75.39"/>
    <s v="BONUS_CARD"/>
    <n v="29"/>
    <n v="1"/>
    <n v="3"/>
    <n v="678.47"/>
    <n v="13130000448"/>
  </r>
  <r>
    <x v="13"/>
    <d v="1899-12-30T22:34:24"/>
    <n v="1449"/>
    <n v="13002561"/>
    <n v="13"/>
    <n v="22589"/>
    <s v="Retail Sale"/>
    <n v="15"/>
    <n v="97532"/>
    <x v="62"/>
    <s v="Katren"/>
    <s v="Dr. Reddy's"/>
    <n v="3"/>
    <n v="216.78"/>
    <n v="323.05"/>
    <n v="0"/>
    <n v="0"/>
    <m/>
    <n v="29"/>
    <n v="1"/>
    <n v="5"/>
    <n v="323.05"/>
    <n v="13130000449"/>
  </r>
  <r>
    <x v="11"/>
    <d v="1899-12-30T12:48:23"/>
    <n v="1450"/>
    <n v="13002561"/>
    <n v="13"/>
    <n v="22589"/>
    <s v="Retail Sale"/>
    <n v="18"/>
    <n v="88743"/>
    <x v="66"/>
    <s v="Grand Capital"/>
    <s v="Dr. Reddy's"/>
    <n v="3"/>
    <n v="175.82"/>
    <n v="293.77999999999997"/>
    <n v="14.69"/>
    <n v="14.69"/>
    <s v="BONUS_CARD"/>
    <n v="29"/>
    <n v="1"/>
    <n v="3"/>
    <n v="279.08999999999997"/>
    <n v="13130000450"/>
  </r>
  <r>
    <x v="7"/>
    <d v="1899-12-30T09:41:19"/>
    <n v="1451"/>
    <n v="13002561"/>
    <n v="13"/>
    <n v="22589"/>
    <s v="Retail Sale"/>
    <n v="15"/>
    <n v="56664"/>
    <x v="88"/>
    <s v="Protek"/>
    <s v="Takeda"/>
    <n v="1"/>
    <n v="282.37"/>
    <n v="363.6"/>
    <n v="0"/>
    <n v="0"/>
    <m/>
    <n v="29"/>
    <n v="1"/>
    <n v="2"/>
    <n v="363.6"/>
    <n v="13130000451"/>
  </r>
  <r>
    <x v="19"/>
    <d v="1899-12-30T14:41:18"/>
    <n v="1452"/>
    <n v="13002561"/>
    <n v="13"/>
    <n v="22589"/>
    <s v="Retail Sale"/>
    <n v="15"/>
    <n v="63714"/>
    <x v="85"/>
    <s v="Pulse"/>
    <s v="Sanofi"/>
    <n v="3"/>
    <n v="326.56"/>
    <n v="506.8"/>
    <n v="25.34"/>
    <n v="25.34"/>
    <s v="BONUS_CARD"/>
    <n v="29"/>
    <n v="1"/>
    <n v="6"/>
    <n v="481.46"/>
    <n v="13130000452"/>
  </r>
  <r>
    <x v="21"/>
    <d v="1899-12-30T18:30:57"/>
    <n v="1453"/>
    <n v="13002561"/>
    <n v="13"/>
    <n v="22589"/>
    <s v="Retail Sale"/>
    <n v="18"/>
    <n v="46684"/>
    <x v="11"/>
    <s v="Katren"/>
    <s v="Bayer"/>
    <n v="1"/>
    <n v="124.66"/>
    <n v="188.77"/>
    <n v="9.44"/>
    <n v="9.44"/>
    <s v="BONUS_CARD"/>
    <n v="29"/>
    <n v="1"/>
    <n v="3"/>
    <n v="179.33"/>
    <n v="13130000453"/>
  </r>
  <r>
    <x v="24"/>
    <d v="1899-12-30T14:13:21"/>
    <n v="1454"/>
    <n v="13002561"/>
    <n v="13"/>
    <n v="22589"/>
    <s v="Retail Sale"/>
    <n v="15"/>
    <n v="99611"/>
    <x v="52"/>
    <s v="Protek"/>
    <s v="KRKA"/>
    <n v="3"/>
    <n v="156.30000000000001"/>
    <n v="226.76"/>
    <n v="11.34"/>
    <n v="11.34"/>
    <s v="BONUS_CARD"/>
    <n v="29"/>
    <n v="1"/>
    <n v="1"/>
    <n v="215.42"/>
    <n v="13130000454"/>
  </r>
  <r>
    <x v="29"/>
    <d v="1899-12-30T20:48:58"/>
    <n v="1455"/>
    <n v="13002561"/>
    <n v="13"/>
    <n v="22589"/>
    <s v="Retail Sale"/>
    <n v="15"/>
    <n v="47114"/>
    <x v="82"/>
    <s v="Katren"/>
    <s v="Dr. Reddy's"/>
    <n v="1"/>
    <n v="470.18"/>
    <n v="795.56"/>
    <n v="39.78"/>
    <n v="39.78"/>
    <s v="BONUS_CARD"/>
    <n v="29"/>
    <n v="1"/>
    <n v="3"/>
    <n v="755.78"/>
    <n v="13130000455"/>
  </r>
  <r>
    <x v="6"/>
    <d v="1899-12-30T19:11:30"/>
    <n v="1456"/>
    <n v="13002561"/>
    <n v="13"/>
    <n v="22589"/>
    <s v="Retail Sale"/>
    <n v="15"/>
    <n v="76247"/>
    <x v="61"/>
    <s v="Pharmcomplect"/>
    <s v="Takeda"/>
    <n v="2"/>
    <n v="501.41"/>
    <n v="718.71"/>
    <n v="0"/>
    <n v="0"/>
    <m/>
    <n v="29"/>
    <n v="1"/>
    <n v="2"/>
    <n v="718.71"/>
    <n v="13130000456"/>
  </r>
  <r>
    <x v="6"/>
    <d v="1899-12-30T12:49:28"/>
    <n v="1457"/>
    <n v="13002561"/>
    <n v="13"/>
    <n v="22589"/>
    <s v="Retail Sale"/>
    <n v="18"/>
    <n v="99394"/>
    <x v="45"/>
    <s v="Pulse"/>
    <s v="Pfizer"/>
    <n v="2"/>
    <n v="14.57"/>
    <n v="20.190000000000001"/>
    <n v="0"/>
    <n v="0"/>
    <m/>
    <n v="29"/>
    <n v="1"/>
    <n v="6"/>
    <n v="20.190000000000001"/>
    <n v="13130000457"/>
  </r>
  <r>
    <x v="29"/>
    <d v="1899-12-30T11:28:42"/>
    <n v="1458"/>
    <n v="13002561"/>
    <n v="13"/>
    <n v="22589"/>
    <s v="Retail Sale"/>
    <n v="18"/>
    <n v="74799"/>
    <x v="40"/>
    <s v="Grand Capital"/>
    <s v="KRKA"/>
    <n v="1"/>
    <n v="72.31"/>
    <n v="100.21"/>
    <n v="0"/>
    <n v="0"/>
    <m/>
    <n v="29"/>
    <n v="1"/>
    <n v="6"/>
    <n v="100.21"/>
    <n v="13130000458"/>
  </r>
  <r>
    <x v="7"/>
    <d v="1899-12-30T17:03:14"/>
    <n v="1459"/>
    <n v="13002561"/>
    <n v="13"/>
    <n v="22589"/>
    <s v="Retail Sale"/>
    <n v="15"/>
    <n v="94154"/>
    <x v="39"/>
    <s v="Protek"/>
    <s v="TEVA"/>
    <n v="1"/>
    <n v="9.83"/>
    <n v="14.34"/>
    <n v="0.72"/>
    <n v="0.72"/>
    <s v="BONUS_CARD"/>
    <n v="29"/>
    <n v="1"/>
    <n v="1"/>
    <n v="13.62"/>
    <n v="13130000459"/>
  </r>
  <r>
    <x v="2"/>
    <d v="1899-12-30T08:52:54"/>
    <n v="1460"/>
    <n v="13002561"/>
    <n v="13"/>
    <n v="22589"/>
    <s v="Retail Sale"/>
    <n v="15"/>
    <n v="94651"/>
    <x v="89"/>
    <s v="Pharmcomplect"/>
    <s v="Bayer"/>
    <n v="3"/>
    <n v="479.91"/>
    <n v="733.32"/>
    <n v="0"/>
    <n v="0"/>
    <m/>
    <n v="29"/>
    <n v="1"/>
    <n v="3"/>
    <n v="733.32"/>
    <n v="13130000460"/>
  </r>
  <r>
    <x v="20"/>
    <d v="1899-12-30T15:05:41"/>
    <n v="1461"/>
    <n v="13002561"/>
    <n v="13"/>
    <n v="22589"/>
    <s v="Retail Sale"/>
    <n v="18"/>
    <n v="15595"/>
    <x v="7"/>
    <s v="Protek"/>
    <s v="KRKA"/>
    <n v="2"/>
    <n v="56.3"/>
    <n v="72.55"/>
    <n v="7.25"/>
    <n v="7.25"/>
    <s v="BONUS_CARD"/>
    <n v="29"/>
    <n v="1"/>
    <n v="1"/>
    <n v="65.3"/>
    <n v="13130000461"/>
  </r>
  <r>
    <x v="15"/>
    <d v="1899-12-30T15:59:53"/>
    <n v="1462"/>
    <n v="13002561"/>
    <n v="13"/>
    <n v="22589"/>
    <s v="Retail Sale"/>
    <n v="18"/>
    <n v="56929"/>
    <x v="83"/>
    <s v="Grand Capital"/>
    <s v="Takeda"/>
    <n v="3"/>
    <n v="109.89"/>
    <n v="183.9"/>
    <n v="0"/>
    <n v="0"/>
    <m/>
    <n v="29"/>
    <n v="1"/>
    <n v="6"/>
    <n v="183.9"/>
    <n v="13130000462"/>
  </r>
  <r>
    <x v="12"/>
    <d v="1899-12-30T20:50:24"/>
    <n v="1463"/>
    <n v="13002561"/>
    <n v="13"/>
    <n v="22589"/>
    <s v="Retail Sale"/>
    <n v="18"/>
    <n v="55008"/>
    <x v="35"/>
    <s v="Pharmcomplect"/>
    <s v="KRKA"/>
    <n v="2"/>
    <n v="45.81"/>
    <n v="63.6"/>
    <n v="0"/>
    <n v="0"/>
    <m/>
    <n v="29"/>
    <n v="1"/>
    <n v="6"/>
    <n v="63.6"/>
    <n v="13130000463"/>
  </r>
  <r>
    <x v="20"/>
    <d v="1899-12-30T16:19:21"/>
    <n v="1464"/>
    <n v="13002561"/>
    <n v="13"/>
    <n v="22589"/>
    <s v="Retail Sale"/>
    <n v="18"/>
    <n v="77344"/>
    <x v="41"/>
    <s v="Pharmcomplect"/>
    <s v="TEVA"/>
    <n v="1"/>
    <n v="122.76"/>
    <n v="156.91999999999999"/>
    <n v="7.85"/>
    <n v="7.85"/>
    <s v="BONUS_CARD"/>
    <n v="29"/>
    <n v="1"/>
    <n v="2"/>
    <n v="149.07"/>
    <n v="13130000464"/>
  </r>
  <r>
    <x v="9"/>
    <d v="1899-12-30T12:52:44"/>
    <n v="1465"/>
    <n v="13002561"/>
    <n v="13"/>
    <n v="22589"/>
    <s v="Retail Sale"/>
    <n v="18"/>
    <n v="15325"/>
    <x v="66"/>
    <s v="Grand Capital"/>
    <s v="Sanofi"/>
    <n v="3"/>
    <n v="520.59"/>
    <n v="819.65"/>
    <n v="81.97"/>
    <n v="81.97"/>
    <s v="BONUS_CARD"/>
    <n v="29"/>
    <n v="1"/>
    <n v="3"/>
    <n v="737.68"/>
    <n v="13130000465"/>
  </r>
  <r>
    <x v="11"/>
    <d v="1899-12-30T14:17:08"/>
    <n v="1466"/>
    <n v="13002561"/>
    <n v="13"/>
    <n v="22589"/>
    <s v="Retail Sale"/>
    <n v="18"/>
    <n v="69625"/>
    <x v="6"/>
    <s v="Pulse"/>
    <s v="Bayer"/>
    <n v="2"/>
    <n v="583.29999999999995"/>
    <n v="770.3"/>
    <n v="0"/>
    <n v="0"/>
    <m/>
    <n v="29"/>
    <n v="1"/>
    <n v="2"/>
    <n v="770.3"/>
    <n v="13130000466"/>
  </r>
  <r>
    <x v="14"/>
    <d v="1899-12-30T14:08:59"/>
    <n v="1467"/>
    <n v="13002561"/>
    <n v="13"/>
    <n v="22589"/>
    <s v="Retail Sale"/>
    <n v="15"/>
    <n v="21976"/>
    <x v="39"/>
    <s v="Katren"/>
    <s v="Bayer"/>
    <n v="1"/>
    <n v="405.54"/>
    <n v="657.82"/>
    <n v="65.78"/>
    <n v="65.78"/>
    <s v="BONUS_CARD"/>
    <n v="29"/>
    <n v="1"/>
    <n v="3"/>
    <n v="592.04"/>
    <n v="13130000467"/>
  </r>
  <r>
    <x v="0"/>
    <d v="1899-12-30T10:24:02"/>
    <n v="1468"/>
    <n v="13002561"/>
    <n v="13"/>
    <n v="22589"/>
    <s v="Retail Sale"/>
    <n v="18"/>
    <n v="40143"/>
    <x v="41"/>
    <s v="Grand Capital"/>
    <s v="Sanofi"/>
    <n v="3"/>
    <n v="397.01"/>
    <n v="606.38"/>
    <n v="0"/>
    <n v="0"/>
    <m/>
    <n v="29"/>
    <n v="1"/>
    <n v="1"/>
    <n v="606.38"/>
    <n v="13130000468"/>
  </r>
  <r>
    <x v="23"/>
    <d v="1899-12-30T22:01:58"/>
    <n v="1469"/>
    <n v="13002561"/>
    <n v="13"/>
    <n v="22589"/>
    <s v="Retail Sale"/>
    <n v="15"/>
    <n v="65732"/>
    <x v="80"/>
    <s v="Protek"/>
    <s v="KRKA"/>
    <n v="1"/>
    <n v="258.42"/>
    <n v="389.83"/>
    <n v="0"/>
    <n v="0"/>
    <m/>
    <n v="29"/>
    <n v="1"/>
    <n v="5"/>
    <n v="389.83"/>
    <n v="13130000469"/>
  </r>
  <r>
    <x v="23"/>
    <d v="1899-12-30T09:49:44"/>
    <n v="1470"/>
    <n v="13002561"/>
    <n v="13"/>
    <n v="22589"/>
    <s v="Retail Sale"/>
    <n v="18"/>
    <n v="87431"/>
    <x v="56"/>
    <s v="Katren"/>
    <s v="TEVA"/>
    <n v="1"/>
    <n v="13.3"/>
    <n v="18.899999999999999"/>
    <n v="0"/>
    <n v="0"/>
    <m/>
    <n v="29"/>
    <n v="1"/>
    <n v="3"/>
    <n v="18.899999999999999"/>
    <n v="13130000470"/>
  </r>
  <r>
    <x v="16"/>
    <d v="1899-12-30T19:55:38"/>
    <n v="1471"/>
    <n v="13002561"/>
    <n v="13"/>
    <n v="22589"/>
    <s v="Retail Sale"/>
    <n v="18"/>
    <n v="58479"/>
    <x v="37"/>
    <s v="Protek"/>
    <s v="Bayer"/>
    <n v="3"/>
    <n v="253.29"/>
    <n v="378.27"/>
    <n v="18.91"/>
    <n v="18.91"/>
    <s v="BONUS_CARD"/>
    <n v="29"/>
    <n v="1"/>
    <n v="5"/>
    <n v="359.36"/>
    <n v="13130000471"/>
  </r>
  <r>
    <x v="19"/>
    <d v="1899-12-30T19:58:40"/>
    <n v="1472"/>
    <n v="13002561"/>
    <n v="13"/>
    <n v="22589"/>
    <s v="Retail Sale"/>
    <n v="15"/>
    <n v="10282"/>
    <x v="45"/>
    <s v="Pharmcomplect"/>
    <s v="Dr. Reddy's"/>
    <n v="1"/>
    <n v="94.71"/>
    <n v="140.38999999999999"/>
    <n v="7.02"/>
    <n v="7.02"/>
    <s v="BONUS_CARD"/>
    <n v="29"/>
    <n v="1"/>
    <n v="4"/>
    <n v="133.37"/>
    <n v="13130000472"/>
  </r>
  <r>
    <x v="12"/>
    <d v="1899-12-30T16:53:49"/>
    <n v="1473"/>
    <n v="13002561"/>
    <n v="13"/>
    <n v="22589"/>
    <s v="Retail Sale"/>
    <n v="18"/>
    <n v="85613"/>
    <x v="78"/>
    <s v="Protek"/>
    <s v="Dr. Reddy's"/>
    <n v="2"/>
    <n v="594.85"/>
    <n v="851.67"/>
    <n v="0"/>
    <n v="0"/>
    <m/>
    <n v="29"/>
    <n v="1"/>
    <n v="4"/>
    <n v="851.67"/>
    <n v="13130000473"/>
  </r>
  <r>
    <x v="23"/>
    <d v="1899-12-30T19:08:48"/>
    <n v="1474"/>
    <n v="13002561"/>
    <n v="13"/>
    <n v="22589"/>
    <s v="Retail Sale"/>
    <n v="18"/>
    <n v="67615"/>
    <x v="65"/>
    <s v="Grand Capital"/>
    <s v="KRKA"/>
    <n v="3"/>
    <n v="566.59"/>
    <n v="757.26"/>
    <n v="75.73"/>
    <n v="75.73"/>
    <s v="BONUS_CARD"/>
    <n v="29"/>
    <n v="1"/>
    <n v="1"/>
    <n v="681.53"/>
    <n v="13130000474"/>
  </r>
  <r>
    <x v="30"/>
    <d v="1899-12-30T09:01:09"/>
    <n v="1475"/>
    <n v="13002561"/>
    <n v="13"/>
    <n v="22589"/>
    <s v="Retail Sale"/>
    <n v="18"/>
    <n v="70144"/>
    <x v="64"/>
    <s v="Grand Capital"/>
    <s v="Dr. Reddy's"/>
    <n v="3"/>
    <n v="237.31"/>
    <n v="366.69"/>
    <n v="0"/>
    <n v="0"/>
    <m/>
    <n v="29"/>
    <n v="1"/>
    <n v="4"/>
    <n v="366.69"/>
    <n v="13130000475"/>
  </r>
  <r>
    <x v="29"/>
    <d v="1899-12-30T13:09:16"/>
    <n v="1476"/>
    <n v="13002561"/>
    <n v="13"/>
    <n v="22589"/>
    <s v="Retail Sale"/>
    <n v="15"/>
    <n v="81428"/>
    <x v="12"/>
    <s v="Katren"/>
    <s v="Sanofi"/>
    <n v="2"/>
    <n v="122.21"/>
    <n v="174.5"/>
    <n v="8.7200000000000006"/>
    <n v="8.7200000000000006"/>
    <s v="BONUS_CARD"/>
    <n v="29"/>
    <n v="1"/>
    <n v="4"/>
    <n v="165.78"/>
    <n v="13130000476"/>
  </r>
  <r>
    <x v="8"/>
    <d v="1899-12-30T11:36:55"/>
    <n v="1477"/>
    <n v="13002561"/>
    <n v="13"/>
    <n v="22589"/>
    <s v="Retail Sale"/>
    <n v="18"/>
    <n v="94885"/>
    <x v="4"/>
    <s v="Grand Capital"/>
    <s v="Pfizer"/>
    <n v="1"/>
    <n v="594.62"/>
    <n v="843.12"/>
    <n v="84.31"/>
    <n v="84.31"/>
    <s v="BONUS_CARD"/>
    <n v="29"/>
    <n v="1"/>
    <n v="6"/>
    <n v="758.81"/>
    <n v="13130000477"/>
  </r>
  <r>
    <x v="12"/>
    <d v="1899-12-30T13:07:37"/>
    <n v="1478"/>
    <n v="13002561"/>
    <n v="13"/>
    <n v="22589"/>
    <s v="Retail Sale"/>
    <n v="15"/>
    <n v="77322"/>
    <x v="4"/>
    <s v="Protek"/>
    <s v="Pfizer"/>
    <n v="3"/>
    <n v="151.31"/>
    <n v="198.88"/>
    <n v="19.89"/>
    <n v="19.89"/>
    <s v="BONUS_CARD"/>
    <n v="29"/>
    <n v="1"/>
    <n v="3"/>
    <n v="178.99"/>
    <n v="13130000478"/>
  </r>
  <r>
    <x v="26"/>
    <d v="1899-12-30T09:30:15"/>
    <n v="1479"/>
    <n v="13002561"/>
    <n v="13"/>
    <n v="22589"/>
    <s v="Retail Sale"/>
    <n v="15"/>
    <n v="69188"/>
    <x v="68"/>
    <s v="Avesta"/>
    <s v="Bayer"/>
    <n v="3"/>
    <n v="531.27"/>
    <n v="751.86"/>
    <n v="75.19"/>
    <n v="75.19"/>
    <s v="BONUS_CARD"/>
    <n v="29"/>
    <n v="1"/>
    <n v="6"/>
    <n v="676.67"/>
    <n v="13130000479"/>
  </r>
  <r>
    <x v="11"/>
    <d v="1899-12-30T20:12:17"/>
    <n v="1480"/>
    <n v="13002561"/>
    <n v="13"/>
    <n v="22589"/>
    <s v="Retail Sale"/>
    <n v="18"/>
    <n v="98373"/>
    <x v="70"/>
    <s v="Grand Capital"/>
    <s v="KRKA"/>
    <n v="3"/>
    <n v="263.56"/>
    <n v="428.13"/>
    <n v="42.81"/>
    <n v="42.81"/>
    <s v="BONUS_CARD"/>
    <n v="29"/>
    <n v="1"/>
    <n v="4"/>
    <n v="385.32"/>
    <n v="13130000480"/>
  </r>
  <r>
    <x v="1"/>
    <d v="1899-12-30T15:25:29"/>
    <n v="1481"/>
    <n v="13002561"/>
    <n v="13"/>
    <n v="22589"/>
    <s v="Retail Sale"/>
    <n v="15"/>
    <n v="17543"/>
    <x v="26"/>
    <s v="Avesta"/>
    <s v="Takeda"/>
    <n v="3"/>
    <n v="323.39"/>
    <n v="430.04"/>
    <n v="0"/>
    <n v="0"/>
    <m/>
    <n v="29"/>
    <n v="1"/>
    <n v="4"/>
    <n v="430.04"/>
    <n v="13130000481"/>
  </r>
  <r>
    <x v="8"/>
    <d v="1899-12-30T09:08:33"/>
    <n v="1482"/>
    <n v="13002561"/>
    <n v="13"/>
    <n v="22589"/>
    <s v="Retail Sale"/>
    <n v="15"/>
    <n v="42307"/>
    <x v="28"/>
    <s v="Protek"/>
    <s v="Dr. Reddy's"/>
    <n v="2"/>
    <n v="165.08"/>
    <n v="243.21"/>
    <n v="24.32"/>
    <n v="24.32"/>
    <s v="BONUS_CARD"/>
    <n v="29"/>
    <n v="1"/>
    <n v="1"/>
    <n v="218.89"/>
    <n v="13130000482"/>
  </r>
  <r>
    <x v="16"/>
    <d v="1899-12-30T19:10:38"/>
    <n v="1483"/>
    <n v="13002561"/>
    <n v="13"/>
    <n v="22589"/>
    <s v="Retail Sale"/>
    <n v="15"/>
    <n v="94003"/>
    <x v="27"/>
    <s v="Grand Capital"/>
    <s v="Bayer"/>
    <n v="1"/>
    <n v="105.09"/>
    <n v="170.52"/>
    <n v="8.5299999999999994"/>
    <n v="8.5299999999999994"/>
    <s v="BONUS_CARD"/>
    <n v="29"/>
    <n v="1"/>
    <n v="5"/>
    <n v="161.99"/>
    <n v="13130000483"/>
  </r>
  <r>
    <x v="14"/>
    <d v="1899-12-30T11:41:14"/>
    <n v="1484"/>
    <n v="13002561"/>
    <n v="13"/>
    <n v="22589"/>
    <s v="Retail Sale"/>
    <n v="18"/>
    <n v="12585"/>
    <x v="89"/>
    <s v="Pharmcomplect"/>
    <s v="Bayer"/>
    <n v="1"/>
    <n v="264.61"/>
    <n v="404.98"/>
    <n v="40.5"/>
    <n v="40.5"/>
    <s v="BONUS_CARD"/>
    <n v="29"/>
    <n v="1"/>
    <n v="6"/>
    <n v="364.48"/>
    <n v="13130000484"/>
  </r>
  <r>
    <x v="2"/>
    <d v="1899-12-30T09:34:40"/>
    <n v="1485"/>
    <n v="13002561"/>
    <n v="13"/>
    <n v="22589"/>
    <s v="Retail Sale"/>
    <n v="15"/>
    <n v="46076"/>
    <x v="8"/>
    <s v="Katren"/>
    <s v="Bayer"/>
    <n v="3"/>
    <n v="380.98"/>
    <n v="515.44000000000005"/>
    <n v="0"/>
    <n v="0"/>
    <m/>
    <n v="29"/>
    <n v="1"/>
    <n v="1"/>
    <n v="515.44000000000005"/>
    <n v="13130000485"/>
  </r>
  <r>
    <x v="6"/>
    <d v="1899-12-30T13:39:39"/>
    <n v="1486"/>
    <n v="13002561"/>
    <n v="13"/>
    <n v="22589"/>
    <s v="Retail Sale"/>
    <n v="18"/>
    <n v="75042"/>
    <x v="40"/>
    <s v="Protek"/>
    <s v="Bayer"/>
    <n v="1"/>
    <n v="414.67"/>
    <n v="561.44000000000005"/>
    <n v="0"/>
    <n v="0"/>
    <m/>
    <n v="29"/>
    <n v="1"/>
    <n v="2"/>
    <n v="561.44000000000005"/>
    <n v="13130000486"/>
  </r>
  <r>
    <x v="0"/>
    <d v="1899-12-30T13:55:26"/>
    <n v="1487"/>
    <n v="13002561"/>
    <n v="13"/>
    <n v="22589"/>
    <s v="Retail Sale"/>
    <n v="15"/>
    <n v="96808"/>
    <x v="62"/>
    <s v="Pharmcomplect"/>
    <s v="TEVA"/>
    <n v="3"/>
    <n v="11.41"/>
    <n v="15.66"/>
    <n v="0.78"/>
    <n v="0.78"/>
    <s v="BONUS_CARD"/>
    <n v="29"/>
    <n v="1"/>
    <n v="5"/>
    <n v="14.88"/>
    <n v="13130000487"/>
  </r>
  <r>
    <x v="3"/>
    <d v="1899-12-30T15:29:08"/>
    <n v="1488"/>
    <n v="13002561"/>
    <n v="13"/>
    <n v="22589"/>
    <s v="Retail Sale"/>
    <n v="15"/>
    <n v="66784"/>
    <x v="77"/>
    <s v="Katren"/>
    <s v="Sanofi"/>
    <n v="3"/>
    <n v="91.32"/>
    <n v="139.19999999999999"/>
    <n v="6.96"/>
    <n v="6.96"/>
    <s v="BONUS_CARD"/>
    <n v="29"/>
    <n v="1"/>
    <n v="2"/>
    <n v="132.24"/>
    <n v="13130000488"/>
  </r>
  <r>
    <x v="16"/>
    <d v="1899-12-30T22:24:03"/>
    <n v="1489"/>
    <n v="13002561"/>
    <n v="13"/>
    <n v="22589"/>
    <s v="Retail Sale"/>
    <n v="15"/>
    <n v="68094"/>
    <x v="64"/>
    <s v="Grand Capital"/>
    <s v="KRKA"/>
    <n v="2"/>
    <n v="247.76"/>
    <n v="343.66"/>
    <n v="0"/>
    <n v="0"/>
    <m/>
    <n v="29"/>
    <n v="1"/>
    <n v="2"/>
    <n v="343.66"/>
    <n v="13130000489"/>
  </r>
  <r>
    <x v="17"/>
    <d v="1899-12-30T15:56:57"/>
    <n v="1490"/>
    <n v="13002561"/>
    <n v="13"/>
    <n v="22589"/>
    <s v="Retail Sale"/>
    <n v="15"/>
    <n v="79065"/>
    <x v="1"/>
    <s v="Avesta"/>
    <s v="Bayer"/>
    <n v="2"/>
    <n v="55.72"/>
    <n v="88.18"/>
    <n v="0"/>
    <n v="0"/>
    <m/>
    <n v="29"/>
    <n v="1"/>
    <n v="6"/>
    <n v="88.18"/>
    <n v="13130000490"/>
  </r>
  <r>
    <x v="10"/>
    <d v="1899-12-30T19:32:11"/>
    <n v="1491"/>
    <n v="13002561"/>
    <n v="13"/>
    <n v="22589"/>
    <s v="Retail Sale"/>
    <n v="15"/>
    <n v="35336"/>
    <x v="70"/>
    <s v="Pharmcomplect"/>
    <s v="TEVA"/>
    <n v="1"/>
    <n v="491.27"/>
    <n v="634.5"/>
    <n v="63.45"/>
    <n v="63.45"/>
    <s v="BONUS_CARD"/>
    <n v="29"/>
    <n v="1"/>
    <n v="2"/>
    <n v="571.04999999999995"/>
    <n v="13130000491"/>
  </r>
  <r>
    <x v="17"/>
    <d v="1899-12-30T14:45:56"/>
    <n v="1492"/>
    <n v="13002561"/>
    <n v="13"/>
    <n v="22589"/>
    <s v="Retail Sale"/>
    <n v="15"/>
    <n v="69071"/>
    <x v="73"/>
    <s v="Grand Capital"/>
    <s v="Novartis"/>
    <n v="3"/>
    <n v="538.38"/>
    <n v="736.97"/>
    <n v="0"/>
    <n v="0"/>
    <m/>
    <n v="29"/>
    <n v="1"/>
    <n v="4"/>
    <n v="736.97"/>
    <n v="13130000492"/>
  </r>
  <r>
    <x v="24"/>
    <d v="1899-12-30T18:30:22"/>
    <n v="1493"/>
    <n v="13002561"/>
    <n v="13"/>
    <n v="22589"/>
    <s v="Retail Sale"/>
    <n v="15"/>
    <n v="18609"/>
    <x v="60"/>
    <s v="Pharmcomplect"/>
    <s v="Sanofi"/>
    <n v="2"/>
    <n v="361.57"/>
    <n v="457.94"/>
    <n v="45.79"/>
    <n v="45.79"/>
    <s v="BONUS_CARD"/>
    <n v="29"/>
    <n v="1"/>
    <n v="4"/>
    <n v="412.15"/>
    <n v="13130000493"/>
  </r>
  <r>
    <x v="9"/>
    <d v="1899-12-30T18:45:14"/>
    <n v="1494"/>
    <n v="13002561"/>
    <n v="13"/>
    <n v="22589"/>
    <s v="Retail Sale"/>
    <n v="15"/>
    <n v="10920"/>
    <x v="76"/>
    <s v="Grand Capital"/>
    <s v="Pfizer"/>
    <n v="2"/>
    <n v="80.47"/>
    <n v="108.22"/>
    <n v="10.82"/>
    <n v="10.82"/>
    <s v="BONUS_CARD"/>
    <n v="29"/>
    <n v="1"/>
    <n v="3"/>
    <n v="97.4"/>
    <n v="13130000494"/>
  </r>
  <r>
    <x v="25"/>
    <d v="1899-12-30T08:48:17"/>
    <n v="1495"/>
    <n v="13002561"/>
    <n v="13"/>
    <n v="22589"/>
    <s v="Retail Sale"/>
    <n v="18"/>
    <n v="87839"/>
    <x v="4"/>
    <s v="Katren"/>
    <s v="Pfizer"/>
    <n v="1"/>
    <n v="389.71"/>
    <n v="516.80999999999995"/>
    <n v="0"/>
    <n v="0"/>
    <m/>
    <n v="29"/>
    <n v="1"/>
    <n v="3"/>
    <n v="516.80999999999995"/>
    <n v="13130000495"/>
  </r>
  <r>
    <x v="26"/>
    <d v="1899-12-30T19:17:15"/>
    <n v="1496"/>
    <n v="13002561"/>
    <n v="13"/>
    <n v="22589"/>
    <s v="Retail Sale"/>
    <n v="18"/>
    <n v="64599"/>
    <x v="7"/>
    <s v="Grand Capital"/>
    <s v="Dr. Reddy's"/>
    <n v="1"/>
    <n v="292.58"/>
    <n v="489.46"/>
    <n v="24.47"/>
    <n v="24.47"/>
    <s v="BONUS_CARD"/>
    <n v="29"/>
    <n v="1"/>
    <n v="1"/>
    <n v="464.99"/>
    <n v="13130000496"/>
  </r>
  <r>
    <x v="21"/>
    <d v="1899-12-30T19:48:13"/>
    <n v="1497"/>
    <n v="13002561"/>
    <n v="13"/>
    <n v="22589"/>
    <s v="Retail Sale"/>
    <n v="15"/>
    <n v="73886"/>
    <x v="48"/>
    <s v="Katren"/>
    <s v="Pfizer"/>
    <n v="3"/>
    <n v="103.28"/>
    <n v="171.2"/>
    <n v="0"/>
    <n v="0"/>
    <m/>
    <n v="29"/>
    <n v="1"/>
    <n v="2"/>
    <n v="171.2"/>
    <n v="13130000497"/>
  </r>
  <r>
    <x v="20"/>
    <d v="1899-12-30T22:44:27"/>
    <n v="1498"/>
    <n v="13002561"/>
    <n v="13"/>
    <n v="22589"/>
    <s v="Retail Sale"/>
    <n v="15"/>
    <n v="66184"/>
    <x v="78"/>
    <s v="Pharmcomplect"/>
    <s v="KRKA"/>
    <n v="1"/>
    <n v="192.4"/>
    <n v="285.66000000000003"/>
    <n v="14.28"/>
    <n v="14.28"/>
    <s v="BONUS_CARD"/>
    <n v="29"/>
    <n v="1"/>
    <n v="3"/>
    <n v="271.38"/>
    <n v="13130000498"/>
  </r>
  <r>
    <x v="26"/>
    <d v="1899-12-30T19:40:41"/>
    <n v="1499"/>
    <n v="13002561"/>
    <n v="13"/>
    <n v="22589"/>
    <s v="Retail Sale"/>
    <n v="18"/>
    <n v="34241"/>
    <x v="36"/>
    <s v="Pharmcomplect"/>
    <s v="Novartis"/>
    <n v="1"/>
    <n v="67.83"/>
    <n v="89.32"/>
    <n v="0"/>
    <n v="0"/>
    <m/>
    <n v="29"/>
    <n v="1"/>
    <n v="3"/>
    <n v="89.32"/>
    <n v="13130000499"/>
  </r>
  <r>
    <x v="24"/>
    <d v="1899-12-30T09:03:41"/>
    <n v="1500"/>
    <n v="13002561"/>
    <n v="13"/>
    <n v="22589"/>
    <s v="Retail Sale"/>
    <n v="18"/>
    <n v="41903"/>
    <x v="51"/>
    <s v="Pharmcomplect"/>
    <s v="Sanofi"/>
    <n v="3"/>
    <n v="540.72"/>
    <n v="683.02"/>
    <n v="68.3"/>
    <n v="68.3"/>
    <s v="BONUS_CARD"/>
    <n v="29"/>
    <n v="1"/>
    <n v="5"/>
    <n v="614.72"/>
    <n v="13130000500"/>
  </r>
  <r>
    <x v="20"/>
    <d v="1899-12-30T15:08:09"/>
    <n v="1501"/>
    <n v="13002561"/>
    <n v="13"/>
    <n v="22589"/>
    <s v="Retail Sale"/>
    <n v="15"/>
    <n v="55323"/>
    <x v="16"/>
    <s v="Grand Capital"/>
    <s v="Takeda"/>
    <n v="1"/>
    <n v="246.37"/>
    <n v="377.22"/>
    <n v="0"/>
    <n v="0"/>
    <m/>
    <n v="29"/>
    <n v="1"/>
    <n v="2"/>
    <n v="377.22"/>
    <n v="13130000501"/>
  </r>
  <r>
    <x v="26"/>
    <d v="1899-12-30T10:06:17"/>
    <n v="1502"/>
    <n v="13002561"/>
    <n v="13"/>
    <n v="22589"/>
    <s v="Retail Sale"/>
    <n v="15"/>
    <n v="14383"/>
    <x v="72"/>
    <s v="Grand Capital"/>
    <s v="Sanofi"/>
    <n v="3"/>
    <n v="442.53"/>
    <n v="660.78"/>
    <n v="33.04"/>
    <n v="33.04"/>
    <s v="BONUS_CARD"/>
    <n v="29"/>
    <n v="1"/>
    <n v="2"/>
    <n v="627.74"/>
    <n v="13130000502"/>
  </r>
  <r>
    <x v="7"/>
    <d v="1899-12-30T10:43:43"/>
    <n v="1503"/>
    <n v="13002561"/>
    <n v="13"/>
    <n v="22589"/>
    <s v="Retail Sale"/>
    <n v="18"/>
    <n v="53971"/>
    <x v="86"/>
    <s v="Pharmcomplect"/>
    <s v="Bayer"/>
    <n v="1"/>
    <n v="550.62"/>
    <n v="723.53"/>
    <n v="0"/>
    <n v="0"/>
    <m/>
    <n v="29"/>
    <n v="1"/>
    <n v="3"/>
    <n v="723.53"/>
    <n v="13130000503"/>
  </r>
  <r>
    <x v="11"/>
    <d v="1899-12-30T20:24:15"/>
    <n v="1504"/>
    <n v="13002561"/>
    <n v="13"/>
    <n v="22589"/>
    <s v="Retail Sale"/>
    <n v="18"/>
    <n v="22868"/>
    <x v="74"/>
    <s v="Avesta"/>
    <s v="TEVA"/>
    <n v="2"/>
    <n v="271.38"/>
    <n v="400.54"/>
    <n v="20.03"/>
    <n v="20.03"/>
    <s v="BONUS_CARD"/>
    <n v="29"/>
    <n v="1"/>
    <n v="6"/>
    <n v="380.51"/>
    <n v="13130000504"/>
  </r>
  <r>
    <x v="9"/>
    <d v="1899-12-30T19:04:45"/>
    <n v="1505"/>
    <n v="13002561"/>
    <n v="13"/>
    <n v="22589"/>
    <s v="Retail Sale"/>
    <n v="18"/>
    <n v="41816"/>
    <x v="0"/>
    <s v="Grand Capital"/>
    <s v="Bayer"/>
    <n v="1"/>
    <n v="72.53"/>
    <n v="105.75"/>
    <n v="10.58"/>
    <n v="10.58"/>
    <s v="BONUS_CARD"/>
    <n v="29"/>
    <n v="1"/>
    <n v="1"/>
    <n v="95.17"/>
    <n v="13130000505"/>
  </r>
  <r>
    <x v="30"/>
    <d v="1899-12-30T15:26:42"/>
    <n v="1506"/>
    <n v="13002561"/>
    <n v="13"/>
    <n v="22589"/>
    <s v="Retail Sale"/>
    <n v="18"/>
    <n v="46312"/>
    <x v="23"/>
    <s v="Pulse"/>
    <s v="Dr. Reddy's"/>
    <n v="3"/>
    <n v="390.83"/>
    <n v="569.57000000000005"/>
    <n v="56.96"/>
    <n v="56.96"/>
    <s v="BONUS_CARD"/>
    <n v="29"/>
    <n v="1"/>
    <n v="1"/>
    <n v="512.61"/>
    <n v="13130000506"/>
  </r>
  <r>
    <x v="5"/>
    <d v="1899-12-30T14:11:03"/>
    <n v="1507"/>
    <n v="13002561"/>
    <n v="13"/>
    <n v="22589"/>
    <s v="Retail Sale"/>
    <n v="18"/>
    <n v="68546"/>
    <x v="49"/>
    <s v="Katren"/>
    <s v="Pfizer"/>
    <n v="3"/>
    <n v="327.23"/>
    <n v="422.32"/>
    <n v="21.12"/>
    <n v="21.12"/>
    <s v="BONUS_CARD"/>
    <n v="29"/>
    <n v="1"/>
    <n v="4"/>
    <n v="401.2"/>
    <n v="13130000507"/>
  </r>
  <r>
    <x v="10"/>
    <d v="1899-12-30T14:16:40"/>
    <n v="1508"/>
    <n v="13002561"/>
    <n v="13"/>
    <n v="22589"/>
    <s v="Retail Sale"/>
    <n v="18"/>
    <n v="25096"/>
    <x v="36"/>
    <s v="Pharmcomplect"/>
    <s v="Sanofi"/>
    <n v="1"/>
    <n v="87.22"/>
    <n v="132.88999999999999"/>
    <n v="0"/>
    <n v="0"/>
    <m/>
    <n v="29"/>
    <n v="1"/>
    <n v="5"/>
    <n v="132.88999999999999"/>
    <n v="13130000508"/>
  </r>
  <r>
    <x v="11"/>
    <d v="1899-12-30T10:16:33"/>
    <n v="1509"/>
    <n v="13002561"/>
    <n v="13"/>
    <n v="22589"/>
    <s v="Retail Sale"/>
    <n v="15"/>
    <n v="21854"/>
    <x v="28"/>
    <s v="Katren"/>
    <s v="Takeda"/>
    <n v="1"/>
    <n v="388.24"/>
    <n v="575.77"/>
    <n v="57.58"/>
    <n v="57.58"/>
    <s v="BONUS_CARD"/>
    <n v="29"/>
    <n v="1"/>
    <n v="5"/>
    <n v="518.19000000000005"/>
    <n v="13130000509"/>
  </r>
  <r>
    <x v="8"/>
    <d v="1899-12-30T12:31:01"/>
    <n v="1510"/>
    <n v="13002561"/>
    <n v="13"/>
    <n v="22589"/>
    <s v="Retail Sale"/>
    <n v="18"/>
    <n v="91885"/>
    <x v="62"/>
    <s v="Avesta"/>
    <s v="Novartis"/>
    <n v="1"/>
    <n v="289.99"/>
    <n v="433.71"/>
    <n v="21.69"/>
    <n v="21.69"/>
    <s v="BONUS_CARD"/>
    <n v="29"/>
    <n v="1"/>
    <n v="4"/>
    <n v="412.02"/>
    <n v="13130000510"/>
  </r>
  <r>
    <x v="12"/>
    <d v="1899-12-30T16:19:31"/>
    <n v="1511"/>
    <n v="13002561"/>
    <n v="13"/>
    <n v="22589"/>
    <s v="Retail Sale"/>
    <n v="15"/>
    <n v="53327"/>
    <x v="80"/>
    <s v="Grand Capital"/>
    <s v="Bayer"/>
    <n v="3"/>
    <n v="475.03"/>
    <n v="730.83"/>
    <n v="73.08"/>
    <n v="73.08"/>
    <s v="BONUS_CARD"/>
    <n v="29"/>
    <n v="1"/>
    <n v="6"/>
    <n v="657.75"/>
    <n v="13130000511"/>
  </r>
  <r>
    <x v="30"/>
    <d v="1899-12-30T14:53:25"/>
    <n v="1512"/>
    <n v="13002561"/>
    <n v="13"/>
    <n v="22589"/>
    <s v="Retail Sale"/>
    <n v="18"/>
    <n v="40578"/>
    <x v="70"/>
    <s v="Katren"/>
    <s v="Bayer"/>
    <n v="3"/>
    <n v="148.77000000000001"/>
    <n v="214.59"/>
    <n v="0"/>
    <n v="0"/>
    <m/>
    <n v="29"/>
    <n v="1"/>
    <n v="1"/>
    <n v="214.59"/>
    <n v="13130000512"/>
  </r>
  <r>
    <x v="13"/>
    <d v="1899-12-30T15:12:20"/>
    <n v="1513"/>
    <n v="13002561"/>
    <n v="13"/>
    <n v="22589"/>
    <s v="Retail Sale"/>
    <n v="18"/>
    <n v="94769"/>
    <x v="34"/>
    <s v="Avesta"/>
    <s v="Novartis"/>
    <n v="2"/>
    <n v="313.61"/>
    <n v="402.22"/>
    <n v="0"/>
    <n v="0"/>
    <m/>
    <n v="29"/>
    <n v="1"/>
    <n v="6"/>
    <n v="402.22"/>
    <n v="13130000513"/>
  </r>
  <r>
    <x v="19"/>
    <d v="1899-12-30T17:24:24"/>
    <n v="1514"/>
    <n v="13002561"/>
    <n v="13"/>
    <n v="22589"/>
    <s v="Retail Sale"/>
    <n v="15"/>
    <n v="50556"/>
    <x v="62"/>
    <s v="Pharmcomplect"/>
    <s v="Dr. Reddy's"/>
    <n v="2"/>
    <n v="418.91"/>
    <n v="543.53"/>
    <n v="54.35"/>
    <n v="54.35"/>
    <s v="BONUS_CARD"/>
    <n v="29"/>
    <n v="1"/>
    <n v="5"/>
    <n v="489.18"/>
    <n v="13130000514"/>
  </r>
  <r>
    <x v="13"/>
    <d v="1899-12-30T12:55:59"/>
    <n v="1515"/>
    <n v="13002561"/>
    <n v="13"/>
    <n v="22589"/>
    <s v="Retail Sale"/>
    <n v="18"/>
    <n v="36687"/>
    <x v="62"/>
    <s v="Pharmcomplect"/>
    <s v="Pfizer"/>
    <n v="1"/>
    <n v="58.06"/>
    <n v="84.62"/>
    <n v="0"/>
    <n v="0"/>
    <m/>
    <n v="29"/>
    <n v="1"/>
    <n v="1"/>
    <n v="84.62"/>
    <n v="13130000515"/>
  </r>
  <r>
    <x v="7"/>
    <d v="1899-12-30T19:43:17"/>
    <n v="1516"/>
    <n v="13002561"/>
    <n v="13"/>
    <n v="22589"/>
    <s v="Retail Sale"/>
    <n v="18"/>
    <n v="11879"/>
    <x v="15"/>
    <s v="Protek"/>
    <s v="KRKA"/>
    <n v="1"/>
    <n v="5.62"/>
    <n v="8.74"/>
    <n v="0.44"/>
    <n v="0.44"/>
    <s v="BONUS_CARD"/>
    <n v="29"/>
    <n v="1"/>
    <n v="2"/>
    <n v="8.3000000000000007"/>
    <n v="13130000516"/>
  </r>
  <r>
    <x v="30"/>
    <d v="1899-12-30T21:24:15"/>
    <n v="1517"/>
    <n v="13002561"/>
    <n v="13"/>
    <n v="22589"/>
    <s v="Retail Sale"/>
    <n v="18"/>
    <n v="61645"/>
    <x v="2"/>
    <s v="Katren"/>
    <s v="Sanofi"/>
    <n v="1"/>
    <n v="274.97000000000003"/>
    <n v="351.86"/>
    <n v="35.19"/>
    <n v="35.19"/>
    <s v="BONUS_CARD"/>
    <n v="29"/>
    <n v="1"/>
    <n v="5"/>
    <n v="316.67"/>
    <n v="13130000517"/>
  </r>
  <r>
    <x v="26"/>
    <d v="1899-12-30T12:46:30"/>
    <n v="1518"/>
    <n v="13002561"/>
    <n v="13"/>
    <n v="22589"/>
    <s v="Retail Sale"/>
    <n v="18"/>
    <n v="41885"/>
    <x v="0"/>
    <s v="Protek"/>
    <s v="Pfizer"/>
    <n v="2"/>
    <n v="42.02"/>
    <n v="69.349999999999994"/>
    <n v="3.47"/>
    <n v="3.47"/>
    <s v="BONUS_CARD"/>
    <n v="29"/>
    <n v="1"/>
    <n v="6"/>
    <n v="65.88"/>
    <n v="13130000518"/>
  </r>
  <r>
    <x v="28"/>
    <d v="1899-12-30T10:18:30"/>
    <n v="1519"/>
    <n v="13002561"/>
    <n v="13"/>
    <n v="22589"/>
    <s v="Retail Sale"/>
    <n v="18"/>
    <n v="96745"/>
    <x v="11"/>
    <s v="Grand Capital"/>
    <s v="Sanofi"/>
    <n v="3"/>
    <n v="79.739999999999995"/>
    <n v="123.9"/>
    <n v="0"/>
    <n v="0"/>
    <m/>
    <n v="29"/>
    <n v="1"/>
    <n v="1"/>
    <n v="123.9"/>
    <n v="13130000519"/>
  </r>
  <r>
    <x v="7"/>
    <d v="1899-12-30T17:51:34"/>
    <n v="1520"/>
    <n v="13002561"/>
    <n v="13"/>
    <n v="22589"/>
    <s v="Retail Sale"/>
    <n v="18"/>
    <n v="96963"/>
    <x v="65"/>
    <s v="Katren"/>
    <s v="Pfizer"/>
    <n v="2"/>
    <n v="433.05"/>
    <n v="605.5"/>
    <n v="0"/>
    <n v="0"/>
    <m/>
    <n v="29"/>
    <n v="1"/>
    <n v="4"/>
    <n v="605.5"/>
    <n v="13130000520"/>
  </r>
  <r>
    <x v="6"/>
    <d v="1899-12-30T10:54:03"/>
    <n v="1521"/>
    <n v="13002561"/>
    <n v="13"/>
    <n v="22589"/>
    <s v="Retail Sale"/>
    <n v="18"/>
    <n v="92703"/>
    <x v="14"/>
    <s v="Pulse"/>
    <s v="KRKA"/>
    <n v="3"/>
    <n v="435.83"/>
    <n v="613.65"/>
    <n v="61.37"/>
    <n v="61.37"/>
    <s v="BONUS_CARD"/>
    <n v="29"/>
    <n v="1"/>
    <n v="6"/>
    <n v="552.28"/>
    <n v="13130000521"/>
  </r>
  <r>
    <x v="3"/>
    <d v="1899-12-30T08:29:36"/>
    <n v="1522"/>
    <n v="13002561"/>
    <n v="13"/>
    <n v="22589"/>
    <s v="Retail Sale"/>
    <n v="18"/>
    <n v="10560"/>
    <x v="47"/>
    <s v="Pulse"/>
    <s v="Dr. Reddy's"/>
    <n v="2"/>
    <n v="452.64"/>
    <n v="634"/>
    <n v="0"/>
    <n v="0"/>
    <m/>
    <n v="29"/>
    <n v="1"/>
    <n v="2"/>
    <n v="634"/>
    <n v="13130000522"/>
  </r>
  <r>
    <x v="8"/>
    <d v="1899-12-30T19:22:03"/>
    <n v="1523"/>
    <n v="13002561"/>
    <n v="13"/>
    <n v="22589"/>
    <s v="Retail Sale"/>
    <n v="15"/>
    <n v="40052"/>
    <x v="7"/>
    <s v="Avesta"/>
    <s v="Takeda"/>
    <n v="2"/>
    <n v="285.23"/>
    <n v="388.2"/>
    <n v="0"/>
    <n v="0"/>
    <m/>
    <n v="29"/>
    <n v="1"/>
    <n v="6"/>
    <n v="388.2"/>
    <n v="13130000523"/>
  </r>
  <r>
    <x v="16"/>
    <d v="1899-12-30T09:40:31"/>
    <n v="1524"/>
    <n v="13002561"/>
    <n v="13"/>
    <n v="22589"/>
    <s v="Retail Sale"/>
    <n v="15"/>
    <n v="77354"/>
    <x v="82"/>
    <s v="Protek"/>
    <s v="Dr. Reddy's"/>
    <n v="2"/>
    <n v="599.79"/>
    <n v="916.64"/>
    <n v="91.66"/>
    <n v="91.66"/>
    <s v="BONUS_CARD"/>
    <n v="29"/>
    <n v="1"/>
    <n v="4"/>
    <n v="824.98"/>
    <n v="13130000524"/>
  </r>
  <r>
    <x v="29"/>
    <d v="1899-12-30T15:37:52"/>
    <n v="1525"/>
    <n v="13002561"/>
    <n v="13"/>
    <n v="22589"/>
    <s v="Retail Sale"/>
    <n v="18"/>
    <n v="98550"/>
    <x v="45"/>
    <s v="Avesta"/>
    <s v="KRKA"/>
    <n v="2"/>
    <n v="221.85"/>
    <n v="294.83"/>
    <n v="0"/>
    <n v="0"/>
    <m/>
    <n v="29"/>
    <n v="1"/>
    <n v="6"/>
    <n v="294.83"/>
    <n v="13130000525"/>
  </r>
  <r>
    <x v="14"/>
    <d v="1899-12-30T21:15:48"/>
    <n v="1526"/>
    <n v="13002561"/>
    <n v="13"/>
    <n v="22589"/>
    <s v="Retail Sale"/>
    <n v="18"/>
    <n v="28658"/>
    <x v="22"/>
    <s v="Katren"/>
    <s v="Bayer"/>
    <n v="2"/>
    <n v="82.73"/>
    <n v="135.59"/>
    <n v="6.78"/>
    <n v="6.78"/>
    <s v="BONUS_CARD"/>
    <n v="29"/>
    <n v="1"/>
    <n v="5"/>
    <n v="128.81"/>
    <n v="13130000526"/>
  </r>
  <r>
    <x v="10"/>
    <d v="1899-12-30T20:40:08"/>
    <n v="1527"/>
    <n v="13002561"/>
    <n v="13"/>
    <n v="22589"/>
    <s v="Retail Sale"/>
    <n v="18"/>
    <n v="25545"/>
    <x v="30"/>
    <s v="Avesta"/>
    <s v="Dr. Reddy's"/>
    <n v="1"/>
    <n v="309.27"/>
    <n v="415.54"/>
    <n v="0"/>
    <n v="0"/>
    <m/>
    <n v="29"/>
    <n v="1"/>
    <n v="1"/>
    <n v="415.54"/>
    <n v="13130000527"/>
  </r>
  <r>
    <x v="21"/>
    <d v="1899-12-30T17:07:23"/>
    <n v="1528"/>
    <n v="13002561"/>
    <n v="13"/>
    <n v="22589"/>
    <s v="Retail Sale"/>
    <n v="15"/>
    <n v="12288"/>
    <x v="34"/>
    <s v="Avesta"/>
    <s v="TEVA"/>
    <n v="1"/>
    <n v="63.19"/>
    <n v="101.65"/>
    <n v="0"/>
    <n v="0"/>
    <m/>
    <n v="29"/>
    <n v="1"/>
    <n v="4"/>
    <n v="101.65"/>
    <n v="13130000528"/>
  </r>
  <r>
    <x v="16"/>
    <d v="1899-12-30T11:46:07"/>
    <n v="1529"/>
    <n v="13002561"/>
    <n v="13"/>
    <n v="22589"/>
    <s v="Retail Sale"/>
    <n v="15"/>
    <n v="31368"/>
    <x v="79"/>
    <s v="Protek"/>
    <s v="KRKA"/>
    <n v="1"/>
    <n v="57.79"/>
    <n v="85.81"/>
    <n v="8.58"/>
    <n v="8.58"/>
    <s v="BONUS_CARD"/>
    <n v="29"/>
    <n v="1"/>
    <n v="1"/>
    <n v="77.23"/>
    <n v="13130000529"/>
  </r>
  <r>
    <x v="2"/>
    <d v="1899-12-30T09:13:27"/>
    <n v="1530"/>
    <n v="13002561"/>
    <n v="13"/>
    <n v="22589"/>
    <s v="Retail Sale"/>
    <n v="18"/>
    <n v="19602"/>
    <x v="4"/>
    <s v="Grand Capital"/>
    <s v="KRKA"/>
    <n v="1"/>
    <n v="418.79"/>
    <n v="653.54999999999995"/>
    <n v="32.68"/>
    <n v="32.68"/>
    <s v="BONUS_CARD"/>
    <n v="29"/>
    <n v="1"/>
    <n v="3"/>
    <n v="620.87"/>
    <n v="13130000530"/>
  </r>
  <r>
    <x v="20"/>
    <d v="1899-12-30T10:13:56"/>
    <n v="1531"/>
    <n v="13002561"/>
    <n v="13"/>
    <n v="22589"/>
    <s v="Retail Sale"/>
    <n v="15"/>
    <n v="51562"/>
    <x v="29"/>
    <s v="Pulse"/>
    <s v="Novartis"/>
    <n v="2"/>
    <n v="448.11"/>
    <n v="641.72"/>
    <n v="32.090000000000003"/>
    <n v="32.090000000000003"/>
    <s v="BONUS_CARD"/>
    <n v="29"/>
    <n v="1"/>
    <n v="3"/>
    <n v="609.63"/>
    <n v="13130000531"/>
  </r>
  <r>
    <x v="2"/>
    <d v="1899-12-30T22:34:14"/>
    <n v="1532"/>
    <n v="13002561"/>
    <n v="13"/>
    <n v="22589"/>
    <s v="Retail Sale"/>
    <n v="15"/>
    <n v="97897"/>
    <x v="47"/>
    <s v="Grand Capital"/>
    <s v="KRKA"/>
    <n v="3"/>
    <n v="311.52"/>
    <n v="409.2"/>
    <n v="20.46"/>
    <n v="20.46"/>
    <s v="BONUS_CARD"/>
    <n v="29"/>
    <n v="1"/>
    <n v="5"/>
    <n v="388.74"/>
    <n v="13130000532"/>
  </r>
  <r>
    <x v="4"/>
    <d v="1899-12-30T21:40:05"/>
    <n v="1533"/>
    <n v="13002561"/>
    <n v="13"/>
    <n v="22589"/>
    <s v="Retail Sale"/>
    <n v="15"/>
    <n v="60550"/>
    <x v="37"/>
    <s v="Protek"/>
    <s v="Novartis"/>
    <n v="1"/>
    <n v="76.44"/>
    <n v="101.05"/>
    <n v="5.05"/>
    <n v="5.05"/>
    <s v="BONUS_CARD"/>
    <n v="29"/>
    <n v="1"/>
    <n v="3"/>
    <n v="96"/>
    <n v="13130000533"/>
  </r>
  <r>
    <x v="25"/>
    <d v="1899-12-30T18:23:48"/>
    <n v="1534"/>
    <n v="13002561"/>
    <n v="13"/>
    <n v="22589"/>
    <s v="Retail Sale"/>
    <n v="15"/>
    <n v="84096"/>
    <x v="78"/>
    <s v="Avesta"/>
    <s v="Dr. Reddy's"/>
    <n v="2"/>
    <n v="552.77"/>
    <n v="760.42"/>
    <n v="76.040000000000006"/>
    <n v="76.040000000000006"/>
    <s v="BONUS_CARD"/>
    <n v="29"/>
    <n v="1"/>
    <n v="5"/>
    <n v="684.38"/>
    <n v="13130000534"/>
  </r>
  <r>
    <x v="17"/>
    <d v="1899-12-30T14:23:55"/>
    <n v="1535"/>
    <n v="13002561"/>
    <n v="13"/>
    <n v="22589"/>
    <s v="Retail Sale"/>
    <n v="15"/>
    <n v="44283"/>
    <x v="41"/>
    <s v="Pharmcomplect"/>
    <s v="Dr. Reddy's"/>
    <n v="2"/>
    <n v="475.03"/>
    <n v="646.87"/>
    <n v="32.340000000000003"/>
    <n v="32.340000000000003"/>
    <s v="BONUS_CARD"/>
    <n v="29"/>
    <n v="1"/>
    <n v="5"/>
    <n v="614.53"/>
    <n v="13130000535"/>
  </r>
  <r>
    <x v="22"/>
    <d v="1899-12-30T22:18:09"/>
    <n v="1536"/>
    <n v="13002561"/>
    <n v="13"/>
    <n v="22589"/>
    <s v="Retail Sale"/>
    <n v="15"/>
    <n v="59388"/>
    <x v="50"/>
    <s v="Pulse"/>
    <s v="KRKA"/>
    <n v="3"/>
    <n v="174.53"/>
    <n v="282.02"/>
    <n v="14.1"/>
    <n v="14.1"/>
    <s v="BONUS_CARD"/>
    <n v="29"/>
    <n v="1"/>
    <n v="5"/>
    <n v="267.92"/>
    <n v="13130000536"/>
  </r>
  <r>
    <x v="8"/>
    <d v="1899-12-30T08:11:12"/>
    <n v="1537"/>
    <n v="13002561"/>
    <n v="13"/>
    <n v="22589"/>
    <s v="Retail Sale"/>
    <n v="15"/>
    <n v="31220"/>
    <x v="40"/>
    <s v="Protek"/>
    <s v="Pfizer"/>
    <n v="2"/>
    <n v="246.16"/>
    <n v="343.14"/>
    <n v="34.31"/>
    <n v="34.31"/>
    <s v="BONUS_CARD"/>
    <n v="29"/>
    <n v="1"/>
    <n v="1"/>
    <n v="308.83"/>
    <n v="13130000537"/>
  </r>
  <r>
    <x v="18"/>
    <d v="1899-12-30T11:07:40"/>
    <n v="1538"/>
    <n v="13002561"/>
    <n v="13"/>
    <n v="22589"/>
    <s v="Retail Sale"/>
    <n v="15"/>
    <n v="30384"/>
    <x v="22"/>
    <s v="Katren"/>
    <s v="Takeda"/>
    <n v="1"/>
    <n v="494.7"/>
    <n v="621.63"/>
    <n v="0"/>
    <n v="0"/>
    <m/>
    <n v="29"/>
    <n v="1"/>
    <n v="4"/>
    <n v="621.63"/>
    <n v="13130000538"/>
  </r>
  <r>
    <x v="19"/>
    <d v="1899-12-30T15:29:30"/>
    <n v="1539"/>
    <n v="13002561"/>
    <n v="13"/>
    <n v="22589"/>
    <s v="Retail Sale"/>
    <n v="15"/>
    <n v="26071"/>
    <x v="27"/>
    <s v="Katren"/>
    <s v="Takeda"/>
    <n v="3"/>
    <n v="443.68"/>
    <n v="690"/>
    <n v="0"/>
    <n v="0"/>
    <m/>
    <n v="29"/>
    <n v="1"/>
    <n v="2"/>
    <n v="690"/>
    <n v="13130000539"/>
  </r>
  <r>
    <x v="3"/>
    <d v="1899-12-30T08:04:53"/>
    <n v="1540"/>
    <n v="13002561"/>
    <n v="13"/>
    <n v="22589"/>
    <s v="Retail Sale"/>
    <n v="18"/>
    <n v="72114"/>
    <x v="34"/>
    <s v="Pulse"/>
    <s v="TEVA"/>
    <n v="1"/>
    <n v="386.09"/>
    <n v="592.59"/>
    <n v="0"/>
    <n v="0"/>
    <m/>
    <n v="29"/>
    <n v="1"/>
    <n v="3"/>
    <n v="592.59"/>
    <n v="13130000540"/>
  </r>
  <r>
    <x v="5"/>
    <d v="1899-12-30T10:24:55"/>
    <n v="1541"/>
    <n v="13002561"/>
    <n v="13"/>
    <n v="22589"/>
    <s v="Retail Sale"/>
    <n v="15"/>
    <n v="37209"/>
    <x v="33"/>
    <s v="Pulse"/>
    <s v="Novartis"/>
    <n v="1"/>
    <n v="212.74"/>
    <n v="339.15"/>
    <n v="0"/>
    <n v="0"/>
    <m/>
    <n v="29"/>
    <n v="1"/>
    <n v="3"/>
    <n v="339.15"/>
    <n v="13130000541"/>
  </r>
  <r>
    <x v="1"/>
    <d v="1899-12-30T17:03:41"/>
    <n v="1542"/>
    <n v="13002561"/>
    <n v="13"/>
    <n v="22589"/>
    <s v="Retail Sale"/>
    <n v="15"/>
    <n v="71915"/>
    <x v="80"/>
    <s v="Pulse"/>
    <s v="Sanofi"/>
    <n v="3"/>
    <n v="453.28"/>
    <n v="613.84"/>
    <n v="61.38"/>
    <n v="61.38"/>
    <s v="BONUS_CARD"/>
    <n v="29"/>
    <n v="1"/>
    <n v="4"/>
    <n v="552.46"/>
    <n v="13130000542"/>
  </r>
  <r>
    <x v="29"/>
    <d v="1899-12-30T09:01:27"/>
    <n v="1543"/>
    <n v="13002561"/>
    <n v="13"/>
    <n v="22589"/>
    <s v="Retail Sale"/>
    <n v="18"/>
    <n v="71235"/>
    <x v="1"/>
    <s v="Pulse"/>
    <s v="Dr. Reddy's"/>
    <n v="2"/>
    <n v="461.65"/>
    <n v="772.57"/>
    <n v="38.630000000000003"/>
    <n v="38.630000000000003"/>
    <s v="BONUS_CARD"/>
    <n v="29"/>
    <n v="1"/>
    <n v="5"/>
    <n v="733.94"/>
    <n v="13130000543"/>
  </r>
  <r>
    <x v="3"/>
    <d v="1899-12-30T10:06:03"/>
    <n v="1544"/>
    <n v="13002561"/>
    <n v="13"/>
    <n v="22589"/>
    <s v="Retail Sale"/>
    <n v="18"/>
    <n v="56625"/>
    <x v="22"/>
    <s v="Grand Capital"/>
    <s v="KRKA"/>
    <n v="3"/>
    <n v="202.94"/>
    <n v="315.17"/>
    <n v="0"/>
    <n v="0"/>
    <m/>
    <n v="29"/>
    <n v="1"/>
    <n v="6"/>
    <n v="315.17"/>
    <n v="13130000544"/>
  </r>
  <r>
    <x v="27"/>
    <d v="1899-12-30T13:10:05"/>
    <n v="1545"/>
    <n v="13002561"/>
    <n v="13"/>
    <n v="22589"/>
    <s v="Retail Sale"/>
    <n v="15"/>
    <n v="20489"/>
    <x v="15"/>
    <s v="Katren"/>
    <s v="Bayer"/>
    <n v="2"/>
    <n v="158.15"/>
    <n v="237.59"/>
    <n v="11.88"/>
    <n v="11.88"/>
    <s v="BONUS_CARD"/>
    <n v="29"/>
    <n v="1"/>
    <n v="1"/>
    <n v="225.71"/>
    <n v="13130000545"/>
  </r>
  <r>
    <x v="27"/>
    <d v="1899-12-30T10:36:44"/>
    <n v="1546"/>
    <n v="13002561"/>
    <n v="13"/>
    <n v="22589"/>
    <s v="Retail Sale"/>
    <n v="15"/>
    <n v="25613"/>
    <x v="61"/>
    <s v="Pulse"/>
    <s v="Pfizer"/>
    <n v="3"/>
    <n v="510.11"/>
    <n v="758.69"/>
    <n v="75.87"/>
    <n v="75.87"/>
    <s v="BONUS_CARD"/>
    <n v="29"/>
    <n v="1"/>
    <n v="2"/>
    <n v="682.82"/>
    <n v="13130000546"/>
  </r>
  <r>
    <x v="6"/>
    <d v="1899-12-30T09:03:51"/>
    <n v="1547"/>
    <n v="13002561"/>
    <n v="13"/>
    <n v="22589"/>
    <s v="Retail Sale"/>
    <n v="15"/>
    <n v="72103"/>
    <x v="84"/>
    <s v="Avesta"/>
    <s v="Pfizer"/>
    <n v="3"/>
    <n v="432.51"/>
    <n v="557.45000000000005"/>
    <n v="0"/>
    <n v="0"/>
    <m/>
    <n v="29"/>
    <n v="1"/>
    <n v="2"/>
    <n v="557.45000000000005"/>
    <n v="13130000547"/>
  </r>
  <r>
    <x v="19"/>
    <d v="1899-12-30T08:06:44"/>
    <n v="1548"/>
    <n v="13002561"/>
    <n v="13"/>
    <n v="22589"/>
    <s v="Retail Sale"/>
    <n v="18"/>
    <n v="74725"/>
    <x v="26"/>
    <s v="Katren"/>
    <s v="KRKA"/>
    <n v="1"/>
    <n v="522.27"/>
    <n v="809.99"/>
    <n v="40.5"/>
    <n v="40.5"/>
    <s v="BONUS_CARD"/>
    <n v="29"/>
    <n v="1"/>
    <n v="5"/>
    <n v="769.49"/>
    <n v="13130000548"/>
  </r>
  <r>
    <x v="28"/>
    <d v="1899-12-30T17:58:28"/>
    <n v="1549"/>
    <n v="13002561"/>
    <n v="13"/>
    <n v="22589"/>
    <s v="Retail Sale"/>
    <n v="15"/>
    <n v="28666"/>
    <x v="74"/>
    <s v="Avesta"/>
    <s v="TEVA"/>
    <n v="2"/>
    <n v="278.45"/>
    <n v="451.95"/>
    <n v="0"/>
    <n v="0"/>
    <m/>
    <n v="29"/>
    <n v="1"/>
    <n v="4"/>
    <n v="451.95"/>
    <n v="13130000549"/>
  </r>
  <r>
    <x v="10"/>
    <d v="1899-12-30T17:08:36"/>
    <n v="1550"/>
    <n v="13002561"/>
    <n v="13"/>
    <n v="22589"/>
    <s v="Retail Sale"/>
    <n v="18"/>
    <n v="41995"/>
    <x v="27"/>
    <s v="Katren"/>
    <s v="Bayer"/>
    <n v="3"/>
    <n v="211.55"/>
    <n v="323.10000000000002"/>
    <n v="0"/>
    <n v="0"/>
    <m/>
    <n v="29"/>
    <n v="1"/>
    <n v="5"/>
    <n v="323.10000000000002"/>
    <n v="13130000550"/>
  </r>
  <r>
    <x v="15"/>
    <d v="1899-12-30T13:20:56"/>
    <n v="1551"/>
    <n v="13002561"/>
    <n v="13"/>
    <n v="22589"/>
    <s v="Retail Sale"/>
    <n v="18"/>
    <n v="53568"/>
    <x v="34"/>
    <s v="Pharmcomplect"/>
    <s v="Novartis"/>
    <n v="3"/>
    <n v="359.21"/>
    <n v="552.74"/>
    <n v="27.64"/>
    <n v="27.64"/>
    <s v="BONUS_CARD"/>
    <n v="29"/>
    <n v="1"/>
    <n v="5"/>
    <n v="525.1"/>
    <n v="13130000551"/>
  </r>
  <r>
    <x v="24"/>
    <d v="1899-12-30T13:38:25"/>
    <n v="1552"/>
    <n v="13002561"/>
    <n v="13"/>
    <n v="22589"/>
    <s v="Retail Sale"/>
    <n v="15"/>
    <n v="49006"/>
    <x v="63"/>
    <s v="Pulse"/>
    <s v="Sanofi"/>
    <n v="1"/>
    <n v="418.23"/>
    <n v="686.1"/>
    <n v="34.299999999999997"/>
    <n v="34.299999999999997"/>
    <s v="BONUS_CARD"/>
    <n v="29"/>
    <n v="1"/>
    <n v="2"/>
    <n v="651.79999999999995"/>
    <n v="13130000552"/>
  </r>
  <r>
    <x v="19"/>
    <d v="1899-12-30T15:40:09"/>
    <n v="1553"/>
    <n v="13002561"/>
    <n v="13"/>
    <n v="22589"/>
    <s v="Retail Sale"/>
    <n v="15"/>
    <n v="76756"/>
    <x v="4"/>
    <s v="Avesta"/>
    <s v="Takeda"/>
    <n v="1"/>
    <n v="534.85"/>
    <n v="682.33"/>
    <n v="68.23"/>
    <n v="68.23"/>
    <s v="BONUS_CARD"/>
    <n v="29"/>
    <n v="1"/>
    <n v="2"/>
    <n v="614.1"/>
    <n v="13130000553"/>
  </r>
  <r>
    <x v="18"/>
    <d v="1899-12-30T17:17:58"/>
    <n v="1554"/>
    <n v="13002561"/>
    <n v="13"/>
    <n v="22589"/>
    <s v="Retail Sale"/>
    <n v="15"/>
    <n v="94625"/>
    <x v="11"/>
    <s v="Grand Capital"/>
    <s v="Pfizer"/>
    <n v="2"/>
    <n v="221.08"/>
    <n v="300.74"/>
    <n v="0"/>
    <n v="0"/>
    <m/>
    <n v="29"/>
    <n v="1"/>
    <n v="3"/>
    <n v="300.74"/>
    <n v="13130000554"/>
  </r>
  <r>
    <x v="12"/>
    <d v="1899-12-30T08:41:12"/>
    <n v="1555"/>
    <n v="13002561"/>
    <n v="13"/>
    <n v="22589"/>
    <s v="Retail Sale"/>
    <n v="15"/>
    <n v="91008"/>
    <x v="87"/>
    <s v="Pulse"/>
    <s v="Sanofi"/>
    <n v="3"/>
    <n v="30.7"/>
    <n v="42.5"/>
    <n v="4.25"/>
    <n v="4.25"/>
    <s v="BONUS_CARD"/>
    <n v="29"/>
    <n v="1"/>
    <n v="4"/>
    <n v="38.25"/>
    <n v="13130000555"/>
  </r>
  <r>
    <x v="0"/>
    <d v="1899-12-30T08:00:59"/>
    <n v="1556"/>
    <n v="13002561"/>
    <n v="13"/>
    <n v="22589"/>
    <s v="Retail Sale"/>
    <n v="15"/>
    <n v="88140"/>
    <x v="41"/>
    <s v="Grand Capital"/>
    <s v="KRKA"/>
    <n v="3"/>
    <n v="126.31"/>
    <n v="204.27"/>
    <n v="10.210000000000001"/>
    <n v="10.210000000000001"/>
    <s v="BONUS_CARD"/>
    <n v="29"/>
    <n v="1"/>
    <n v="1"/>
    <n v="194.06"/>
    <n v="13130000556"/>
  </r>
  <r>
    <x v="8"/>
    <d v="1899-12-30T11:49:54"/>
    <n v="1557"/>
    <n v="13002561"/>
    <n v="13"/>
    <n v="22589"/>
    <s v="Retail Sale"/>
    <n v="15"/>
    <n v="32458"/>
    <x v="35"/>
    <s v="Protek"/>
    <s v="TEVA"/>
    <n v="2"/>
    <n v="20.58"/>
    <n v="27.06"/>
    <n v="0"/>
    <n v="0"/>
    <m/>
    <n v="29"/>
    <n v="1"/>
    <n v="5"/>
    <n v="27.06"/>
    <n v="13130000557"/>
  </r>
  <r>
    <x v="21"/>
    <d v="1899-12-30T21:24:08"/>
    <n v="1558"/>
    <n v="13002561"/>
    <n v="13"/>
    <n v="22589"/>
    <s v="Retail Sale"/>
    <n v="18"/>
    <n v="26081"/>
    <x v="78"/>
    <s v="Pharmcomplect"/>
    <s v="Takeda"/>
    <n v="1"/>
    <n v="203.32"/>
    <n v="287.76"/>
    <n v="14.39"/>
    <n v="14.39"/>
    <s v="BONUS_CARD"/>
    <n v="29"/>
    <n v="1"/>
    <n v="2"/>
    <n v="273.37"/>
    <n v="13130000558"/>
  </r>
  <r>
    <x v="0"/>
    <d v="1899-12-30T12:49:40"/>
    <n v="1559"/>
    <n v="13002561"/>
    <n v="13"/>
    <n v="22589"/>
    <s v="Retail Sale"/>
    <n v="15"/>
    <n v="94635"/>
    <x v="27"/>
    <s v="Pharmcomplect"/>
    <s v="Takeda"/>
    <n v="3"/>
    <n v="496.71"/>
    <n v="750.51"/>
    <n v="75.05"/>
    <n v="75.05"/>
    <s v="BONUS_CARD"/>
    <n v="29"/>
    <n v="1"/>
    <n v="5"/>
    <n v="675.46"/>
    <n v="13130000559"/>
  </r>
  <r>
    <x v="0"/>
    <d v="1899-12-30T18:49:54"/>
    <n v="1560"/>
    <n v="13002561"/>
    <n v="13"/>
    <n v="22589"/>
    <s v="Retail Sale"/>
    <n v="15"/>
    <n v="16029"/>
    <x v="11"/>
    <s v="Protek"/>
    <s v="Takeda"/>
    <n v="2"/>
    <n v="392.61"/>
    <n v="572.88"/>
    <n v="28.64"/>
    <n v="28.64"/>
    <s v="BONUS_CARD"/>
    <n v="29"/>
    <n v="1"/>
    <n v="1"/>
    <n v="544.24"/>
    <n v="13130000560"/>
  </r>
  <r>
    <x v="18"/>
    <d v="1899-12-30T10:22:01"/>
    <n v="1561"/>
    <n v="13002561"/>
    <n v="13"/>
    <n v="22589"/>
    <s v="Retail Sale"/>
    <n v="18"/>
    <n v="98460"/>
    <x v="12"/>
    <s v="Katren"/>
    <s v="Pfizer"/>
    <n v="3"/>
    <n v="218.32"/>
    <n v="359.28"/>
    <n v="17.96"/>
    <n v="17.96"/>
    <s v="BONUS_CARD"/>
    <n v="29"/>
    <n v="1"/>
    <n v="2"/>
    <n v="341.32"/>
    <n v="13130000561"/>
  </r>
  <r>
    <x v="17"/>
    <d v="1899-12-30T19:13:35"/>
    <n v="1562"/>
    <n v="13002561"/>
    <n v="13"/>
    <n v="22589"/>
    <s v="Retail Sale"/>
    <n v="18"/>
    <n v="58302"/>
    <x v="7"/>
    <s v="Pharmcomplect"/>
    <s v="Dr. Reddy's"/>
    <n v="1"/>
    <n v="484.03"/>
    <n v="806.3"/>
    <n v="0"/>
    <n v="0"/>
    <m/>
    <n v="29"/>
    <n v="1"/>
    <n v="6"/>
    <n v="806.3"/>
    <n v="13130000562"/>
  </r>
  <r>
    <x v="30"/>
    <d v="1899-12-30T14:43:35"/>
    <n v="1563"/>
    <n v="13002561"/>
    <n v="13"/>
    <n v="22589"/>
    <s v="Retail Sale"/>
    <n v="15"/>
    <n v="57844"/>
    <x v="82"/>
    <s v="Pulse"/>
    <s v="Pfizer"/>
    <n v="1"/>
    <n v="26.89"/>
    <n v="45.59"/>
    <n v="4.5599999999999996"/>
    <n v="4.5599999999999996"/>
    <s v="BONUS_CARD"/>
    <n v="29"/>
    <n v="1"/>
    <n v="6"/>
    <n v="41.03"/>
    <n v="13130000563"/>
  </r>
  <r>
    <x v="1"/>
    <d v="1899-12-30T11:20:41"/>
    <n v="1564"/>
    <n v="13002561"/>
    <n v="13"/>
    <n v="22589"/>
    <s v="Retail Sale"/>
    <n v="18"/>
    <n v="50691"/>
    <x v="53"/>
    <s v="Pulse"/>
    <s v="KRKA"/>
    <n v="2"/>
    <n v="167.75"/>
    <n v="280.13"/>
    <n v="14.01"/>
    <n v="14.01"/>
    <s v="BONUS_CARD"/>
    <n v="29"/>
    <n v="1"/>
    <n v="6"/>
    <n v="266.12"/>
    <n v="13130000564"/>
  </r>
  <r>
    <x v="12"/>
    <d v="1899-12-30T11:57:01"/>
    <n v="1565"/>
    <n v="13002561"/>
    <n v="13"/>
    <n v="22589"/>
    <s v="Retail Sale"/>
    <n v="15"/>
    <n v="63915"/>
    <x v="53"/>
    <s v="Avesta"/>
    <s v="KRKA"/>
    <n v="2"/>
    <n v="31.83"/>
    <n v="50.09"/>
    <n v="2.5"/>
    <n v="2.5"/>
    <s v="BONUS_CARD"/>
    <n v="29"/>
    <n v="1"/>
    <n v="6"/>
    <n v="47.59"/>
    <n v="13130000565"/>
  </r>
  <r>
    <x v="13"/>
    <d v="1899-12-30T18:30:14"/>
    <n v="1566"/>
    <n v="13002561"/>
    <n v="13"/>
    <n v="22589"/>
    <s v="Retail Sale"/>
    <n v="15"/>
    <n v="36753"/>
    <x v="62"/>
    <s v="Pulse"/>
    <s v="Bayer"/>
    <n v="3"/>
    <n v="198.68"/>
    <n v="302.77"/>
    <n v="0"/>
    <n v="0"/>
    <m/>
    <n v="29"/>
    <n v="1"/>
    <n v="6"/>
    <n v="302.77"/>
    <n v="13130000566"/>
  </r>
  <r>
    <x v="20"/>
    <d v="1899-12-30T12:53:10"/>
    <n v="1567"/>
    <n v="13002561"/>
    <n v="13"/>
    <n v="22589"/>
    <s v="Retail Sale"/>
    <n v="15"/>
    <n v="50235"/>
    <x v="82"/>
    <s v="Pharmcomplect"/>
    <s v="Sanofi"/>
    <n v="2"/>
    <n v="547.51"/>
    <n v="929.24"/>
    <n v="92.92"/>
    <n v="92.92"/>
    <s v="BONUS_CARD"/>
    <n v="29"/>
    <n v="1"/>
    <n v="3"/>
    <n v="836.32"/>
    <n v="13130000567"/>
  </r>
  <r>
    <x v="0"/>
    <d v="1899-12-30T13:50:39"/>
    <n v="1568"/>
    <n v="13002561"/>
    <n v="13"/>
    <n v="22589"/>
    <s v="Retail Sale"/>
    <n v="15"/>
    <n v="63019"/>
    <x v="48"/>
    <s v="Pharmcomplect"/>
    <s v="KRKA"/>
    <n v="2"/>
    <n v="209.31"/>
    <n v="310.35000000000002"/>
    <n v="15.52"/>
    <n v="15.52"/>
    <s v="BONUS_CARD"/>
    <n v="29"/>
    <n v="1"/>
    <n v="2"/>
    <n v="294.83"/>
    <n v="13130000568"/>
  </r>
  <r>
    <x v="17"/>
    <d v="1899-12-30T08:31:13"/>
    <n v="1569"/>
    <n v="13002561"/>
    <n v="13"/>
    <n v="22589"/>
    <s v="Retail Sale"/>
    <n v="15"/>
    <n v="78470"/>
    <x v="18"/>
    <s v="Pharmcomplect"/>
    <s v="Bayer"/>
    <n v="3"/>
    <n v="232.29"/>
    <n v="394.22"/>
    <n v="19.71"/>
    <n v="19.71"/>
    <s v="BONUS_CARD"/>
    <n v="29"/>
    <n v="1"/>
    <n v="1"/>
    <n v="374.51"/>
    <n v="13130000569"/>
  </r>
  <r>
    <x v="2"/>
    <d v="1899-12-30T09:03:24"/>
    <n v="1570"/>
    <n v="13002561"/>
    <n v="13"/>
    <n v="22589"/>
    <s v="Retail Sale"/>
    <n v="15"/>
    <n v="53929"/>
    <x v="64"/>
    <s v="Avesta"/>
    <s v="Sanofi"/>
    <n v="2"/>
    <n v="120.47"/>
    <n v="192.97"/>
    <n v="9.65"/>
    <n v="9.65"/>
    <s v="BONUS_CARD"/>
    <n v="29"/>
    <n v="1"/>
    <n v="1"/>
    <n v="183.32"/>
    <n v="13130000570"/>
  </r>
  <r>
    <x v="15"/>
    <d v="1899-12-30T12:00:22"/>
    <n v="1571"/>
    <n v="13002561"/>
    <n v="13"/>
    <n v="22589"/>
    <s v="Retail Sale"/>
    <n v="15"/>
    <n v="90680"/>
    <x v="48"/>
    <s v="Pharmcomplect"/>
    <s v="Dr. Reddy's"/>
    <n v="1"/>
    <n v="161.59"/>
    <n v="250.12"/>
    <n v="12.51"/>
    <n v="12.51"/>
    <s v="BONUS_CARD"/>
    <n v="29"/>
    <n v="1"/>
    <n v="3"/>
    <n v="237.61"/>
    <n v="13130000571"/>
  </r>
  <r>
    <x v="25"/>
    <d v="1899-12-30T13:42:33"/>
    <n v="1572"/>
    <n v="13002561"/>
    <n v="13"/>
    <n v="22589"/>
    <s v="Retail Sale"/>
    <n v="15"/>
    <n v="78612"/>
    <x v="52"/>
    <s v="Avesta"/>
    <s v="Dr. Reddy's"/>
    <n v="2"/>
    <n v="450.81"/>
    <n v="726.74"/>
    <n v="36.340000000000003"/>
    <n v="36.340000000000003"/>
    <s v="BONUS_CARD"/>
    <n v="29"/>
    <n v="1"/>
    <n v="2"/>
    <n v="690.4"/>
    <n v="13130000572"/>
  </r>
  <r>
    <x v="15"/>
    <d v="1899-12-30T18:01:45"/>
    <n v="1573"/>
    <n v="13002561"/>
    <n v="13"/>
    <n v="22589"/>
    <s v="Retail Sale"/>
    <n v="18"/>
    <n v="53703"/>
    <x v="89"/>
    <s v="Pulse"/>
    <s v="Novartis"/>
    <n v="3"/>
    <n v="48.83"/>
    <n v="69.81"/>
    <n v="0"/>
    <n v="0"/>
    <m/>
    <n v="29"/>
    <n v="1"/>
    <n v="6"/>
    <n v="69.81"/>
    <n v="13130000573"/>
  </r>
  <r>
    <x v="30"/>
    <d v="1899-12-30T12:16:32"/>
    <n v="1574"/>
    <n v="13002561"/>
    <n v="13"/>
    <n v="22589"/>
    <s v="Retail Sale"/>
    <n v="18"/>
    <n v="36680"/>
    <x v="43"/>
    <s v="Katren"/>
    <s v="Dr. Reddy's"/>
    <n v="1"/>
    <n v="19.579999999999998"/>
    <n v="28.5"/>
    <n v="0"/>
    <n v="0"/>
    <m/>
    <n v="29"/>
    <n v="1"/>
    <n v="4"/>
    <n v="28.5"/>
    <n v="13130000574"/>
  </r>
  <r>
    <x v="4"/>
    <d v="1899-12-30T12:37:07"/>
    <n v="1575"/>
    <n v="13002561"/>
    <n v="13"/>
    <n v="22589"/>
    <s v="Retail Sale"/>
    <n v="18"/>
    <n v="68701"/>
    <x v="2"/>
    <s v="Pharmcomplect"/>
    <s v="Sanofi"/>
    <n v="2"/>
    <n v="86.68"/>
    <n v="136.59"/>
    <n v="13.66"/>
    <n v="13.66"/>
    <s v="BONUS_CARD"/>
    <n v="29"/>
    <n v="1"/>
    <n v="4"/>
    <n v="122.93"/>
    <n v="13130000575"/>
  </r>
  <r>
    <x v="30"/>
    <d v="1899-12-30T08:45:10"/>
    <n v="1576"/>
    <n v="13002561"/>
    <n v="13"/>
    <n v="22589"/>
    <s v="Retail Sale"/>
    <n v="15"/>
    <n v="23697"/>
    <x v="45"/>
    <s v="Protek"/>
    <s v="Pfizer"/>
    <n v="3"/>
    <n v="572.84"/>
    <n v="740.45"/>
    <n v="37.020000000000003"/>
    <n v="37.020000000000003"/>
    <s v="BONUS_CARD"/>
    <n v="29"/>
    <n v="1"/>
    <n v="4"/>
    <n v="703.43"/>
    <n v="13130000576"/>
  </r>
  <r>
    <x v="3"/>
    <d v="1899-12-30T19:46:10"/>
    <n v="1577"/>
    <n v="13002561"/>
    <n v="13"/>
    <n v="22589"/>
    <s v="Retail Sale"/>
    <n v="18"/>
    <n v="94980"/>
    <x v="77"/>
    <s v="Grand Capital"/>
    <s v="Takeda"/>
    <n v="2"/>
    <n v="347.88"/>
    <n v="436.36"/>
    <n v="0"/>
    <n v="0"/>
    <m/>
    <n v="29"/>
    <n v="1"/>
    <n v="4"/>
    <n v="436.36"/>
    <n v="13130000577"/>
  </r>
  <r>
    <x v="23"/>
    <d v="1899-12-30T10:29:54"/>
    <n v="1578"/>
    <n v="13002561"/>
    <n v="13"/>
    <n v="22589"/>
    <s v="Retail Sale"/>
    <n v="18"/>
    <n v="47123"/>
    <x v="31"/>
    <s v="Pulse"/>
    <s v="Dr. Reddy's"/>
    <n v="3"/>
    <n v="334.3"/>
    <n v="429.35"/>
    <n v="21.47"/>
    <n v="21.47"/>
    <s v="BONUS_CARD"/>
    <n v="29"/>
    <n v="1"/>
    <n v="4"/>
    <n v="407.88"/>
    <n v="13130000578"/>
  </r>
  <r>
    <x v="21"/>
    <d v="1899-12-30T21:00:42"/>
    <n v="1579"/>
    <n v="13002561"/>
    <n v="13"/>
    <n v="22589"/>
    <s v="Retail Sale"/>
    <n v="15"/>
    <n v="20509"/>
    <x v="49"/>
    <s v="Katren"/>
    <s v="Pfizer"/>
    <n v="3"/>
    <n v="7.17"/>
    <n v="10.99"/>
    <n v="1.1000000000000001"/>
    <n v="1.1000000000000001"/>
    <s v="BONUS_CARD"/>
    <n v="29"/>
    <n v="1"/>
    <n v="4"/>
    <n v="9.89"/>
    <n v="13130000579"/>
  </r>
  <r>
    <x v="14"/>
    <d v="1899-12-30T21:08:47"/>
    <n v="1580"/>
    <n v="13002561"/>
    <n v="13"/>
    <n v="22589"/>
    <s v="Retail Sale"/>
    <n v="15"/>
    <n v="11912"/>
    <x v="7"/>
    <s v="Protek"/>
    <s v="Dr. Reddy's"/>
    <n v="2"/>
    <n v="70.599999999999994"/>
    <n v="112.81"/>
    <n v="5.64"/>
    <n v="5.64"/>
    <s v="BONUS_CARD"/>
    <n v="29"/>
    <n v="1"/>
    <n v="2"/>
    <n v="107.17"/>
    <n v="13130000580"/>
  </r>
  <r>
    <x v="18"/>
    <d v="1899-12-30T12:01:30"/>
    <n v="1581"/>
    <n v="13002561"/>
    <n v="13"/>
    <n v="22589"/>
    <s v="Retail Sale"/>
    <n v="15"/>
    <n v="10201"/>
    <x v="5"/>
    <s v="Pulse"/>
    <s v="Dr. Reddy's"/>
    <n v="1"/>
    <n v="371.82"/>
    <n v="524.4"/>
    <n v="0"/>
    <n v="0"/>
    <m/>
    <n v="29"/>
    <n v="1"/>
    <n v="3"/>
    <n v="524.4"/>
    <n v="13130000581"/>
  </r>
  <r>
    <x v="20"/>
    <d v="1899-12-30T15:06:31"/>
    <n v="1582"/>
    <n v="13002561"/>
    <n v="13"/>
    <n v="22589"/>
    <s v="Retail Sale"/>
    <n v="18"/>
    <n v="81456"/>
    <x v="23"/>
    <s v="Pharmcomplect"/>
    <s v="Takeda"/>
    <n v="2"/>
    <n v="341.42"/>
    <n v="554.62"/>
    <n v="0"/>
    <n v="0"/>
    <m/>
    <n v="29"/>
    <n v="1"/>
    <n v="4"/>
    <n v="554.62"/>
    <n v="13130000582"/>
  </r>
  <r>
    <x v="26"/>
    <d v="1899-12-30T16:21:43"/>
    <n v="1583"/>
    <n v="13002561"/>
    <n v="13"/>
    <n v="22589"/>
    <s v="Retail Sale"/>
    <n v="15"/>
    <n v="87238"/>
    <x v="20"/>
    <s v="Pharmcomplect"/>
    <s v="Takeda"/>
    <n v="2"/>
    <n v="257.47000000000003"/>
    <n v="373.38"/>
    <n v="37.340000000000003"/>
    <n v="37.340000000000003"/>
    <s v="BONUS_CARD"/>
    <n v="29"/>
    <n v="1"/>
    <n v="5"/>
    <n v="336.04"/>
    <n v="13130000583"/>
  </r>
  <r>
    <x v="28"/>
    <d v="1899-12-30T14:38:52"/>
    <n v="1584"/>
    <n v="13002561"/>
    <n v="13"/>
    <n v="22589"/>
    <s v="Retail Sale"/>
    <n v="15"/>
    <n v="64989"/>
    <x v="22"/>
    <s v="Pulse"/>
    <s v="KRKA"/>
    <n v="3"/>
    <n v="514.67999999999995"/>
    <n v="717.53"/>
    <n v="71.75"/>
    <n v="71.75"/>
    <s v="BONUS_CARD"/>
    <n v="29"/>
    <n v="1"/>
    <n v="2"/>
    <n v="645.78"/>
    <n v="13130000584"/>
  </r>
  <r>
    <x v="25"/>
    <d v="1899-12-30T19:42:28"/>
    <n v="1585"/>
    <n v="13002561"/>
    <n v="13"/>
    <n v="22589"/>
    <s v="Retail Sale"/>
    <n v="15"/>
    <n v="95695"/>
    <x v="27"/>
    <s v="Pharmcomplect"/>
    <s v="Pfizer"/>
    <n v="1"/>
    <n v="559.64"/>
    <n v="823.01"/>
    <n v="0"/>
    <n v="0"/>
    <m/>
    <n v="29"/>
    <n v="1"/>
    <n v="3"/>
    <n v="823.01"/>
    <n v="13130000585"/>
  </r>
  <r>
    <x v="6"/>
    <d v="1899-12-30T16:28:44"/>
    <n v="1586"/>
    <n v="13002561"/>
    <n v="13"/>
    <n v="22589"/>
    <s v="Retail Sale"/>
    <n v="18"/>
    <n v="18388"/>
    <x v="7"/>
    <s v="Katren"/>
    <s v="Dr. Reddy's"/>
    <n v="2"/>
    <n v="544.42999999999995"/>
    <n v="856.37"/>
    <n v="0"/>
    <n v="0"/>
    <m/>
    <n v="29"/>
    <n v="1"/>
    <n v="1"/>
    <n v="856.37"/>
    <n v="13130000586"/>
  </r>
  <r>
    <x v="9"/>
    <d v="1899-12-30T08:47:36"/>
    <n v="1587"/>
    <n v="13002561"/>
    <n v="13"/>
    <n v="22589"/>
    <s v="Retail Sale"/>
    <n v="15"/>
    <n v="28073"/>
    <x v="65"/>
    <s v="Katren"/>
    <s v="KRKA"/>
    <n v="1"/>
    <n v="527.77"/>
    <n v="667.59"/>
    <n v="66.760000000000005"/>
    <n v="66.760000000000005"/>
    <s v="BONUS_CARD"/>
    <n v="29"/>
    <n v="1"/>
    <n v="2"/>
    <n v="600.83000000000004"/>
    <n v="13130000587"/>
  </r>
  <r>
    <x v="7"/>
    <d v="1899-12-30T10:25:27"/>
    <n v="1588"/>
    <n v="13002561"/>
    <n v="13"/>
    <n v="22589"/>
    <s v="Retail Sale"/>
    <n v="15"/>
    <n v="64831"/>
    <x v="71"/>
    <s v="Avesta"/>
    <s v="KRKA"/>
    <n v="2"/>
    <n v="57.54"/>
    <n v="74.959999999999994"/>
    <n v="3.75"/>
    <n v="3.75"/>
    <s v="BONUS_CARD"/>
    <n v="29"/>
    <n v="1"/>
    <n v="2"/>
    <n v="71.209999999999994"/>
    <n v="13130000588"/>
  </r>
  <r>
    <x v="20"/>
    <d v="1899-12-30T22:09:25"/>
    <n v="1589"/>
    <n v="13002561"/>
    <n v="13"/>
    <n v="22589"/>
    <s v="Retail Sale"/>
    <n v="18"/>
    <n v="89380"/>
    <x v="87"/>
    <s v="Katren"/>
    <s v="Bayer"/>
    <n v="1"/>
    <n v="361.59"/>
    <n v="529.03"/>
    <n v="26.45"/>
    <n v="26.45"/>
    <s v="BONUS_CARD"/>
    <n v="29"/>
    <n v="1"/>
    <n v="1"/>
    <n v="502.58"/>
    <n v="13130000589"/>
  </r>
  <r>
    <x v="14"/>
    <d v="1899-12-30T22:12:03"/>
    <n v="1590"/>
    <n v="13002561"/>
    <n v="13"/>
    <n v="22589"/>
    <s v="Retail Sale"/>
    <n v="18"/>
    <n v="52357"/>
    <x v="56"/>
    <s v="Grand Capital"/>
    <s v="Pfizer"/>
    <n v="1"/>
    <n v="504.87"/>
    <n v="682.26"/>
    <n v="0"/>
    <n v="0"/>
    <m/>
    <n v="29"/>
    <n v="1"/>
    <n v="3"/>
    <n v="682.26"/>
    <n v="13130000590"/>
  </r>
  <r>
    <x v="21"/>
    <d v="1899-12-30T08:01:57"/>
    <n v="1591"/>
    <n v="13002561"/>
    <n v="13"/>
    <n v="22589"/>
    <s v="Retail Sale"/>
    <n v="18"/>
    <n v="47672"/>
    <x v="25"/>
    <s v="Grand Capital"/>
    <s v="Sanofi"/>
    <n v="1"/>
    <n v="381.37"/>
    <n v="592.05999999999995"/>
    <n v="29.6"/>
    <n v="29.6"/>
    <s v="BONUS_CARD"/>
    <n v="29"/>
    <n v="1"/>
    <n v="6"/>
    <n v="562.46"/>
    <n v="13130000591"/>
  </r>
  <r>
    <x v="11"/>
    <d v="1899-12-30T18:09:21"/>
    <n v="1592"/>
    <n v="13002561"/>
    <n v="13"/>
    <n v="22589"/>
    <s v="Retail Sale"/>
    <n v="15"/>
    <n v="94478"/>
    <x v="10"/>
    <s v="Pharmcomplect"/>
    <s v="Dr. Reddy's"/>
    <n v="1"/>
    <n v="261.27999999999997"/>
    <n v="378.09"/>
    <n v="37.81"/>
    <n v="37.81"/>
    <s v="BONUS_CARD"/>
    <n v="29"/>
    <n v="1"/>
    <n v="1"/>
    <n v="340.28"/>
    <n v="13130000592"/>
  </r>
  <r>
    <x v="28"/>
    <d v="1899-12-30T22:32:54"/>
    <n v="1593"/>
    <n v="13002561"/>
    <n v="13"/>
    <n v="22589"/>
    <s v="Retail Sale"/>
    <n v="18"/>
    <n v="60746"/>
    <x v="70"/>
    <s v="Protek"/>
    <s v="TEVA"/>
    <n v="2"/>
    <n v="214"/>
    <n v="335.13"/>
    <n v="16.760000000000002"/>
    <n v="16.760000000000002"/>
    <s v="BONUS_CARD"/>
    <n v="29"/>
    <n v="1"/>
    <n v="1"/>
    <n v="318.37"/>
    <n v="13130000593"/>
  </r>
  <r>
    <x v="15"/>
    <d v="1899-12-30T09:42:40"/>
    <n v="1594"/>
    <n v="13002561"/>
    <n v="13"/>
    <n v="22589"/>
    <s v="Retail Sale"/>
    <n v="15"/>
    <n v="34614"/>
    <x v="21"/>
    <s v="Katren"/>
    <s v="Novartis"/>
    <n v="2"/>
    <n v="568.36"/>
    <n v="747.32"/>
    <n v="0"/>
    <n v="0"/>
    <m/>
    <n v="29"/>
    <n v="1"/>
    <n v="4"/>
    <n v="747.32"/>
    <n v="13130000594"/>
  </r>
  <r>
    <x v="0"/>
    <d v="1899-12-30T10:40:40"/>
    <n v="1595"/>
    <n v="13002561"/>
    <n v="13"/>
    <n v="22589"/>
    <s v="Retail Sale"/>
    <n v="15"/>
    <n v="87291"/>
    <x v="23"/>
    <s v="Pharmcomplect"/>
    <s v="Bayer"/>
    <n v="3"/>
    <n v="67.06"/>
    <n v="103.84"/>
    <n v="0"/>
    <n v="0"/>
    <m/>
    <n v="29"/>
    <n v="1"/>
    <n v="4"/>
    <n v="103.84"/>
    <n v="13130000595"/>
  </r>
  <r>
    <x v="5"/>
    <d v="1899-12-30T19:20:38"/>
    <n v="1596"/>
    <n v="13002561"/>
    <n v="13"/>
    <n v="22589"/>
    <s v="Retail Sale"/>
    <n v="18"/>
    <n v="64071"/>
    <x v="62"/>
    <s v="Pharmcomplect"/>
    <s v="Takeda"/>
    <n v="3"/>
    <n v="392.97"/>
    <n v="570.75"/>
    <n v="0"/>
    <n v="0"/>
    <m/>
    <n v="29"/>
    <n v="1"/>
    <n v="2"/>
    <n v="570.75"/>
    <n v="13130000596"/>
  </r>
  <r>
    <x v="2"/>
    <d v="1899-12-30T12:36:05"/>
    <n v="1597"/>
    <n v="13002561"/>
    <n v="13"/>
    <n v="22589"/>
    <s v="Retail Sale"/>
    <n v="15"/>
    <n v="85247"/>
    <x v="43"/>
    <s v="Pulse"/>
    <s v="TEVA"/>
    <n v="3"/>
    <n v="467.56"/>
    <n v="691.61"/>
    <n v="69.16"/>
    <n v="69.16"/>
    <s v="BONUS_CARD"/>
    <n v="29"/>
    <n v="1"/>
    <n v="1"/>
    <n v="622.45000000000005"/>
    <n v="13130000597"/>
  </r>
  <r>
    <x v="20"/>
    <d v="1899-12-30T17:27:59"/>
    <n v="1598"/>
    <n v="13002561"/>
    <n v="13"/>
    <n v="22589"/>
    <s v="Retail Sale"/>
    <n v="18"/>
    <n v="87410"/>
    <x v="65"/>
    <s v="Pulse"/>
    <s v="KRKA"/>
    <n v="2"/>
    <n v="244.21"/>
    <n v="326.26"/>
    <n v="16.309999999999999"/>
    <n v="16.309999999999999"/>
    <s v="BONUS_CARD"/>
    <n v="29"/>
    <n v="1"/>
    <n v="2"/>
    <n v="309.95"/>
    <n v="13130000598"/>
  </r>
  <r>
    <x v="26"/>
    <d v="1899-12-30T08:46:08"/>
    <n v="1599"/>
    <n v="13002561"/>
    <n v="13"/>
    <n v="22589"/>
    <s v="Retail Sale"/>
    <n v="15"/>
    <n v="45855"/>
    <x v="87"/>
    <s v="Pulse"/>
    <s v="Bayer"/>
    <n v="3"/>
    <n v="72.19"/>
    <n v="109.63"/>
    <n v="5.48"/>
    <n v="5.48"/>
    <s v="BONUS_CARD"/>
    <n v="29"/>
    <n v="1"/>
    <n v="3"/>
    <n v="104.15"/>
    <n v="13130000599"/>
  </r>
  <r>
    <x v="30"/>
    <d v="1899-12-30T09:18:59"/>
    <n v="1600"/>
    <n v="13002561"/>
    <n v="13"/>
    <n v="22589"/>
    <s v="Retail Sale"/>
    <n v="18"/>
    <n v="34104"/>
    <x v="1"/>
    <s v="Protek"/>
    <s v="Pfizer"/>
    <n v="3"/>
    <n v="72.959999999999994"/>
    <n v="96.63"/>
    <n v="0"/>
    <n v="0"/>
    <m/>
    <n v="29"/>
    <n v="1"/>
    <n v="4"/>
    <n v="96.63"/>
    <n v="13130000600"/>
  </r>
  <r>
    <x v="17"/>
    <d v="1899-12-30T10:06:22"/>
    <n v="1601"/>
    <n v="13002561"/>
    <n v="13"/>
    <n v="22589"/>
    <s v="Retail Sale"/>
    <n v="15"/>
    <n v="63392"/>
    <x v="81"/>
    <s v="Grand Capital"/>
    <s v="Bayer"/>
    <n v="3"/>
    <n v="240.3"/>
    <n v="308.32"/>
    <n v="15.42"/>
    <n v="15.42"/>
    <s v="BONUS_CARD"/>
    <n v="29"/>
    <n v="1"/>
    <n v="5"/>
    <n v="292.89999999999998"/>
    <n v="13130000601"/>
  </r>
  <r>
    <x v="28"/>
    <d v="1899-12-30T20:39:52"/>
    <n v="1602"/>
    <n v="13002561"/>
    <n v="13"/>
    <n v="22589"/>
    <s v="Retail Sale"/>
    <n v="15"/>
    <n v="16024"/>
    <x v="81"/>
    <s v="Avesta"/>
    <s v="Dr. Reddy's"/>
    <n v="2"/>
    <n v="270.58999999999997"/>
    <n v="346.04"/>
    <n v="34.6"/>
    <n v="34.6"/>
    <s v="BONUS_CARD"/>
    <n v="29"/>
    <n v="1"/>
    <n v="1"/>
    <n v="311.44"/>
    <n v="13130000602"/>
  </r>
  <r>
    <x v="3"/>
    <d v="1899-12-30T20:17:42"/>
    <n v="1603"/>
    <n v="13002561"/>
    <n v="13"/>
    <n v="22589"/>
    <s v="Retail Sale"/>
    <n v="15"/>
    <n v="36820"/>
    <x v="73"/>
    <s v="Grand Capital"/>
    <s v="Takeda"/>
    <n v="3"/>
    <n v="304.87"/>
    <n v="498.4"/>
    <n v="0"/>
    <n v="0"/>
    <m/>
    <n v="29"/>
    <n v="1"/>
    <n v="6"/>
    <n v="498.4"/>
    <n v="13130000603"/>
  </r>
  <r>
    <x v="13"/>
    <d v="1899-12-30T19:30:58"/>
    <n v="1604"/>
    <n v="13002561"/>
    <n v="13"/>
    <n v="22589"/>
    <s v="Retail Sale"/>
    <n v="18"/>
    <n v="76122"/>
    <x v="29"/>
    <s v="Pulse"/>
    <s v="Bayer"/>
    <n v="3"/>
    <n v="462.38"/>
    <n v="762.93"/>
    <n v="76.290000000000006"/>
    <n v="76.290000000000006"/>
    <s v="BONUS_CARD"/>
    <n v="29"/>
    <n v="1"/>
    <n v="6"/>
    <n v="686.64"/>
    <n v="13130000604"/>
  </r>
  <r>
    <x v="7"/>
    <d v="1899-12-30T13:42:10"/>
    <n v="1605"/>
    <n v="13002561"/>
    <n v="13"/>
    <n v="22589"/>
    <s v="Retail Sale"/>
    <n v="15"/>
    <n v="71544"/>
    <x v="72"/>
    <s v="Pharmcomplect"/>
    <s v="Bayer"/>
    <n v="2"/>
    <n v="73.12"/>
    <n v="96.75"/>
    <n v="9.68"/>
    <n v="9.68"/>
    <s v="BONUS_CARD"/>
    <n v="29"/>
    <n v="1"/>
    <n v="4"/>
    <n v="87.07"/>
    <n v="13130000605"/>
  </r>
  <r>
    <x v="3"/>
    <d v="1899-12-30T09:16:36"/>
    <n v="1606"/>
    <n v="13002561"/>
    <n v="13"/>
    <n v="22589"/>
    <s v="Retail Sale"/>
    <n v="15"/>
    <n v="21187"/>
    <x v="7"/>
    <s v="Grand Capital"/>
    <s v="Bayer"/>
    <n v="1"/>
    <n v="108.45"/>
    <n v="182.36"/>
    <n v="9.1199999999999992"/>
    <n v="9.1199999999999992"/>
    <s v="BONUS_CARD"/>
    <n v="29"/>
    <n v="1"/>
    <n v="5"/>
    <n v="173.24"/>
    <n v="13130000606"/>
  </r>
  <r>
    <x v="18"/>
    <d v="1899-12-30T09:48:18"/>
    <n v="1607"/>
    <n v="13002561"/>
    <n v="13"/>
    <n v="22589"/>
    <s v="Retail Sale"/>
    <n v="15"/>
    <n v="38590"/>
    <x v="24"/>
    <s v="Grand Capital"/>
    <s v="Bayer"/>
    <n v="3"/>
    <n v="177.52"/>
    <n v="262.42"/>
    <n v="26.24"/>
    <n v="26.24"/>
    <s v="BONUS_CARD"/>
    <n v="29"/>
    <n v="1"/>
    <n v="4"/>
    <n v="236.18"/>
    <n v="13130000607"/>
  </r>
  <r>
    <x v="19"/>
    <d v="1899-12-30T09:00:55"/>
    <n v="1608"/>
    <n v="13002561"/>
    <n v="13"/>
    <n v="22589"/>
    <s v="Retail Sale"/>
    <n v="18"/>
    <n v="88158"/>
    <x v="66"/>
    <s v="Katren"/>
    <s v="Novartis"/>
    <n v="1"/>
    <n v="478.54"/>
    <n v="711.41"/>
    <n v="0"/>
    <n v="0"/>
    <m/>
    <n v="29"/>
    <n v="1"/>
    <n v="4"/>
    <n v="711.41"/>
    <n v="13130000608"/>
  </r>
  <r>
    <x v="13"/>
    <d v="1899-12-30T14:42:18"/>
    <n v="1609"/>
    <n v="13002561"/>
    <n v="13"/>
    <n v="22589"/>
    <s v="Retail Sale"/>
    <n v="15"/>
    <n v="71515"/>
    <x v="2"/>
    <s v="Grand Capital"/>
    <s v="Pfizer"/>
    <n v="1"/>
    <n v="141.28"/>
    <n v="211.35"/>
    <n v="10.57"/>
    <n v="10.57"/>
    <s v="BONUS_CARD"/>
    <n v="29"/>
    <n v="1"/>
    <n v="4"/>
    <n v="200.78"/>
    <n v="13130000609"/>
  </r>
  <r>
    <x v="22"/>
    <d v="1899-12-30T18:45:01"/>
    <n v="1610"/>
    <n v="13002561"/>
    <n v="13"/>
    <n v="22589"/>
    <s v="Retail Sale"/>
    <n v="18"/>
    <n v="67224"/>
    <x v="17"/>
    <s v="Pulse"/>
    <s v="Pfizer"/>
    <n v="2"/>
    <n v="350.02"/>
    <n v="570.53"/>
    <n v="0"/>
    <n v="0"/>
    <m/>
    <n v="29"/>
    <n v="1"/>
    <n v="4"/>
    <n v="570.53"/>
    <n v="13130000610"/>
  </r>
  <r>
    <x v="0"/>
    <d v="1899-12-30T20:28:00"/>
    <n v="1611"/>
    <n v="13002561"/>
    <n v="13"/>
    <n v="22589"/>
    <s v="Retail Sale"/>
    <n v="15"/>
    <n v="28785"/>
    <x v="3"/>
    <s v="Protek"/>
    <s v="Dr. Reddy's"/>
    <n v="2"/>
    <n v="309.58999999999997"/>
    <n v="432.84"/>
    <n v="43.28"/>
    <n v="43.28"/>
    <s v="BONUS_CARD"/>
    <n v="29"/>
    <n v="1"/>
    <n v="5"/>
    <n v="389.56"/>
    <n v="13130000611"/>
  </r>
  <r>
    <x v="5"/>
    <d v="1899-12-30T22:51:14"/>
    <n v="1612"/>
    <n v="13002561"/>
    <n v="13"/>
    <n v="22589"/>
    <s v="Retail Sale"/>
    <n v="18"/>
    <n v="48883"/>
    <x v="13"/>
    <s v="Grand Capital"/>
    <s v="Bayer"/>
    <n v="1"/>
    <n v="214.95"/>
    <n v="290.88"/>
    <n v="29.09"/>
    <n v="29.09"/>
    <s v="BONUS_CARD"/>
    <n v="29"/>
    <n v="1"/>
    <n v="6"/>
    <n v="261.79000000000002"/>
    <n v="13130000612"/>
  </r>
  <r>
    <x v="27"/>
    <d v="1899-12-30T15:04:20"/>
    <n v="1613"/>
    <n v="13002561"/>
    <n v="13"/>
    <n v="22589"/>
    <s v="Retail Sale"/>
    <n v="18"/>
    <n v="91984"/>
    <x v="84"/>
    <s v="Protek"/>
    <s v="TEVA"/>
    <n v="2"/>
    <n v="210.54"/>
    <n v="301.04000000000002"/>
    <n v="30.1"/>
    <n v="30.1"/>
    <s v="BONUS_CARD"/>
    <n v="29"/>
    <n v="1"/>
    <n v="4"/>
    <n v="270.94"/>
    <n v="13130000613"/>
  </r>
  <r>
    <x v="11"/>
    <d v="1899-12-30T20:29:29"/>
    <n v="1614"/>
    <n v="13002561"/>
    <n v="13"/>
    <n v="22589"/>
    <s v="Retail Sale"/>
    <n v="15"/>
    <n v="92702"/>
    <x v="51"/>
    <s v="Grand Capital"/>
    <s v="Pfizer"/>
    <n v="3"/>
    <n v="559.21"/>
    <n v="946.14"/>
    <n v="0"/>
    <n v="0"/>
    <m/>
    <n v="29"/>
    <n v="1"/>
    <n v="3"/>
    <n v="946.14"/>
    <n v="13130000614"/>
  </r>
  <r>
    <x v="16"/>
    <d v="1899-12-30T19:55:36"/>
    <n v="1615"/>
    <n v="13002561"/>
    <n v="13"/>
    <n v="22589"/>
    <s v="Retail Sale"/>
    <n v="15"/>
    <n v="37951"/>
    <x v="75"/>
    <s v="Grand Capital"/>
    <s v="TEVA"/>
    <n v="1"/>
    <n v="296.5"/>
    <n v="372.85"/>
    <n v="0"/>
    <n v="0"/>
    <m/>
    <n v="29"/>
    <n v="1"/>
    <n v="4"/>
    <n v="372.85"/>
    <n v="13130000615"/>
  </r>
  <r>
    <x v="4"/>
    <d v="1899-12-30T22:01:54"/>
    <n v="1616"/>
    <n v="13002561"/>
    <n v="13"/>
    <n v="22589"/>
    <s v="Retail Sale"/>
    <n v="18"/>
    <n v="24046"/>
    <x v="79"/>
    <s v="Katren"/>
    <s v="Novartis"/>
    <n v="3"/>
    <n v="420.06"/>
    <n v="658.12"/>
    <n v="0"/>
    <n v="0"/>
    <m/>
    <n v="29"/>
    <n v="1"/>
    <n v="6"/>
    <n v="658.12"/>
    <n v="13130000616"/>
  </r>
  <r>
    <x v="9"/>
    <d v="1899-12-30T10:35:55"/>
    <n v="1617"/>
    <n v="13002561"/>
    <n v="13"/>
    <n v="22589"/>
    <s v="Retail Sale"/>
    <n v="15"/>
    <n v="72347"/>
    <x v="36"/>
    <s v="Protek"/>
    <s v="Pfizer"/>
    <n v="1"/>
    <n v="286.92"/>
    <n v="454.18"/>
    <n v="0"/>
    <n v="0"/>
    <m/>
    <n v="29"/>
    <n v="1"/>
    <n v="5"/>
    <n v="454.18"/>
    <n v="13130000617"/>
  </r>
  <r>
    <x v="30"/>
    <d v="1899-12-30T21:43:39"/>
    <n v="1618"/>
    <n v="13002561"/>
    <n v="13"/>
    <n v="22589"/>
    <s v="Retail Sale"/>
    <n v="15"/>
    <n v="71024"/>
    <x v="74"/>
    <s v="Protek"/>
    <s v="Dr. Reddy's"/>
    <n v="3"/>
    <n v="262.48"/>
    <n v="365.92"/>
    <n v="18.3"/>
    <n v="18.3"/>
    <s v="BONUS_CARD"/>
    <n v="29"/>
    <n v="1"/>
    <n v="1"/>
    <n v="347.62"/>
    <n v="13130000618"/>
  </r>
  <r>
    <x v="28"/>
    <d v="1899-12-30T09:49:24"/>
    <n v="1619"/>
    <n v="13002561"/>
    <n v="13"/>
    <n v="22589"/>
    <s v="Retail Sale"/>
    <n v="18"/>
    <n v="81690"/>
    <x v="5"/>
    <s v="Protek"/>
    <s v="Pfizer"/>
    <n v="3"/>
    <n v="251.91"/>
    <n v="339.01"/>
    <n v="33.9"/>
    <n v="33.9"/>
    <s v="BONUS_CARD"/>
    <n v="29"/>
    <n v="1"/>
    <n v="3"/>
    <n v="305.11"/>
    <n v="13130000619"/>
  </r>
  <r>
    <x v="24"/>
    <d v="1899-12-30T14:34:33"/>
    <n v="1620"/>
    <n v="13002561"/>
    <n v="13"/>
    <n v="22589"/>
    <s v="Retail Sale"/>
    <n v="15"/>
    <n v="85493"/>
    <x v="27"/>
    <s v="Katren"/>
    <s v="Takeda"/>
    <n v="3"/>
    <n v="167.48"/>
    <n v="244.56"/>
    <n v="24.46"/>
    <n v="24.46"/>
    <s v="BONUS_CARD"/>
    <n v="29"/>
    <n v="1"/>
    <n v="3"/>
    <n v="220.1"/>
    <n v="13130000620"/>
  </r>
  <r>
    <x v="28"/>
    <d v="1899-12-30T11:54:09"/>
    <n v="1621"/>
    <n v="13002561"/>
    <n v="13"/>
    <n v="22589"/>
    <s v="Retail Sale"/>
    <n v="15"/>
    <n v="73488"/>
    <x v="1"/>
    <s v="Pharmcomplect"/>
    <s v="Sanofi"/>
    <n v="2"/>
    <n v="164.64"/>
    <n v="220.68"/>
    <n v="11.03"/>
    <n v="11.03"/>
    <s v="BONUS_CARD"/>
    <n v="29"/>
    <n v="1"/>
    <n v="2"/>
    <n v="209.65"/>
    <n v="13130000621"/>
  </r>
  <r>
    <x v="15"/>
    <d v="1899-12-30T20:02:46"/>
    <n v="1622"/>
    <n v="13002561"/>
    <n v="13"/>
    <n v="22589"/>
    <s v="Retail Sale"/>
    <n v="18"/>
    <n v="76498"/>
    <x v="8"/>
    <s v="Avesta"/>
    <s v="Bayer"/>
    <n v="2"/>
    <n v="562.98"/>
    <n v="785.78"/>
    <n v="78.58"/>
    <n v="78.58"/>
    <s v="BONUS_CARD"/>
    <n v="29"/>
    <n v="1"/>
    <n v="5"/>
    <n v="707.2"/>
    <n v="13130000622"/>
  </r>
  <r>
    <x v="13"/>
    <d v="1899-12-30T08:30:44"/>
    <n v="1623"/>
    <n v="13002561"/>
    <n v="13"/>
    <n v="22589"/>
    <s v="Retail Sale"/>
    <n v="18"/>
    <n v="75318"/>
    <x v="55"/>
    <s v="Katren"/>
    <s v="Takeda"/>
    <n v="3"/>
    <n v="390.58"/>
    <n v="540.29999999999995"/>
    <n v="0"/>
    <n v="0"/>
    <m/>
    <n v="29"/>
    <n v="1"/>
    <n v="3"/>
    <n v="540.29999999999995"/>
    <n v="13130000623"/>
  </r>
  <r>
    <x v="3"/>
    <d v="1899-12-30T22:22:44"/>
    <n v="1624"/>
    <n v="13002561"/>
    <n v="13"/>
    <n v="22589"/>
    <s v="Retail Sale"/>
    <n v="15"/>
    <n v="99615"/>
    <x v="30"/>
    <s v="Pulse"/>
    <s v="Novartis"/>
    <n v="3"/>
    <n v="20.96"/>
    <n v="28.59"/>
    <n v="1.43"/>
    <n v="1.43"/>
    <s v="BONUS_CARD"/>
    <n v="29"/>
    <n v="1"/>
    <n v="1"/>
    <n v="27.16"/>
    <n v="13130000624"/>
  </r>
  <r>
    <x v="15"/>
    <d v="1899-12-30T15:13:25"/>
    <n v="1625"/>
    <n v="13002561"/>
    <n v="13"/>
    <n v="22589"/>
    <s v="Retail Sale"/>
    <n v="15"/>
    <n v="63611"/>
    <x v="86"/>
    <s v="Katren"/>
    <s v="Sanofi"/>
    <n v="2"/>
    <n v="66.95"/>
    <n v="100.94"/>
    <n v="10.09"/>
    <n v="10.09"/>
    <s v="BONUS_CARD"/>
    <n v="29"/>
    <n v="1"/>
    <n v="1"/>
    <n v="90.85"/>
    <n v="13130000625"/>
  </r>
  <r>
    <x v="28"/>
    <d v="1899-12-30T17:51:29"/>
    <n v="1626"/>
    <n v="13002561"/>
    <n v="13"/>
    <n v="22589"/>
    <s v="Retail Sale"/>
    <n v="18"/>
    <n v="74204"/>
    <x v="2"/>
    <s v="Pulse"/>
    <s v="Sanofi"/>
    <n v="3"/>
    <n v="92.95"/>
    <n v="131.88"/>
    <n v="13.19"/>
    <n v="13.19"/>
    <s v="BONUS_CARD"/>
    <n v="29"/>
    <n v="1"/>
    <n v="5"/>
    <n v="118.69"/>
    <n v="13130000626"/>
  </r>
  <r>
    <x v="23"/>
    <d v="1899-12-30T14:27:06"/>
    <n v="1627"/>
    <n v="13002561"/>
    <n v="13"/>
    <n v="22589"/>
    <s v="Retail Sale"/>
    <n v="15"/>
    <n v="77005"/>
    <x v="15"/>
    <s v="Katren"/>
    <s v="Sanofi"/>
    <n v="3"/>
    <n v="121.42"/>
    <n v="180.16"/>
    <n v="9.01"/>
    <n v="9.01"/>
    <s v="BONUS_CARD"/>
    <n v="29"/>
    <n v="1"/>
    <n v="4"/>
    <n v="171.15"/>
    <n v="13130000627"/>
  </r>
  <r>
    <x v="26"/>
    <d v="1899-12-30T14:55:50"/>
    <n v="1628"/>
    <n v="13002561"/>
    <n v="13"/>
    <n v="22589"/>
    <s v="Retail Sale"/>
    <n v="15"/>
    <n v="12180"/>
    <x v="12"/>
    <s v="Pulse"/>
    <s v="Novartis"/>
    <n v="3"/>
    <n v="176.37"/>
    <n v="296.69"/>
    <n v="29.67"/>
    <n v="29.67"/>
    <s v="BONUS_CARD"/>
    <n v="29"/>
    <n v="1"/>
    <n v="1"/>
    <n v="267.02"/>
    <n v="13130000628"/>
  </r>
  <r>
    <x v="3"/>
    <d v="1899-12-30T21:04:13"/>
    <n v="1629"/>
    <n v="13002561"/>
    <n v="13"/>
    <n v="22589"/>
    <s v="Retail Sale"/>
    <n v="15"/>
    <n v="56446"/>
    <x v="63"/>
    <s v="Katren"/>
    <s v="TEVA"/>
    <n v="1"/>
    <n v="385.25"/>
    <n v="597.73"/>
    <n v="0"/>
    <n v="0"/>
    <m/>
    <n v="29"/>
    <n v="1"/>
    <n v="5"/>
    <n v="597.73"/>
    <n v="13130000629"/>
  </r>
  <r>
    <x v="4"/>
    <d v="1899-12-30T17:34:59"/>
    <n v="1630"/>
    <n v="13002561"/>
    <n v="13"/>
    <n v="22589"/>
    <s v="Retail Sale"/>
    <n v="18"/>
    <n v="99910"/>
    <x v="13"/>
    <s v="Katren"/>
    <s v="Novartis"/>
    <n v="3"/>
    <n v="221.77"/>
    <n v="331.39"/>
    <n v="16.57"/>
    <n v="16.57"/>
    <s v="BONUS_CARD"/>
    <n v="29"/>
    <n v="1"/>
    <n v="5"/>
    <n v="314.82"/>
    <n v="13130000630"/>
  </r>
  <r>
    <x v="2"/>
    <d v="1899-12-30T19:51:19"/>
    <n v="1631"/>
    <n v="13002561"/>
    <n v="13"/>
    <n v="22589"/>
    <s v="Retail Sale"/>
    <n v="15"/>
    <n v="29277"/>
    <x v="87"/>
    <s v="Pulse"/>
    <s v="Bayer"/>
    <n v="2"/>
    <n v="375.73"/>
    <n v="567.16"/>
    <n v="0"/>
    <n v="0"/>
    <m/>
    <n v="29"/>
    <n v="1"/>
    <n v="2"/>
    <n v="567.16"/>
    <n v="13130000631"/>
  </r>
  <r>
    <x v="25"/>
    <d v="1899-12-30T17:11:02"/>
    <n v="1632"/>
    <n v="13002561"/>
    <n v="13"/>
    <n v="22589"/>
    <s v="Retail Sale"/>
    <n v="18"/>
    <n v="38869"/>
    <x v="51"/>
    <s v="Katren"/>
    <s v="Takeda"/>
    <n v="1"/>
    <n v="190.41"/>
    <n v="314.92"/>
    <n v="15.75"/>
    <n v="15.75"/>
    <s v="BONUS_CARD"/>
    <n v="29"/>
    <n v="1"/>
    <n v="4"/>
    <n v="299.17"/>
    <n v="13130000632"/>
  </r>
  <r>
    <x v="9"/>
    <d v="1899-12-30T09:19:08"/>
    <n v="1633"/>
    <n v="13002561"/>
    <n v="13"/>
    <n v="22589"/>
    <s v="Retail Sale"/>
    <n v="15"/>
    <n v="70537"/>
    <x v="22"/>
    <s v="Protek"/>
    <s v="Takeda"/>
    <n v="3"/>
    <n v="209.94"/>
    <n v="337.54"/>
    <n v="16.88"/>
    <n v="16.88"/>
    <s v="BONUS_CARD"/>
    <n v="29"/>
    <n v="1"/>
    <n v="1"/>
    <n v="320.66000000000003"/>
    <n v="13130000633"/>
  </r>
  <r>
    <x v="28"/>
    <d v="1899-12-30T19:36:43"/>
    <n v="1634"/>
    <n v="13002561"/>
    <n v="13"/>
    <n v="22589"/>
    <s v="Retail Sale"/>
    <n v="15"/>
    <n v="20448"/>
    <x v="36"/>
    <s v="Katren"/>
    <s v="Dr. Reddy's"/>
    <n v="3"/>
    <n v="247.33"/>
    <n v="395.39"/>
    <n v="0"/>
    <n v="0"/>
    <m/>
    <n v="29"/>
    <n v="1"/>
    <n v="2"/>
    <n v="395.39"/>
    <n v="13130000634"/>
  </r>
  <r>
    <x v="7"/>
    <d v="1899-12-30T18:03:59"/>
    <n v="1635"/>
    <n v="13002561"/>
    <n v="13"/>
    <n v="22589"/>
    <s v="Retail Sale"/>
    <n v="15"/>
    <n v="25337"/>
    <x v="16"/>
    <s v="Grand Capital"/>
    <s v="Novartis"/>
    <n v="3"/>
    <n v="583.16"/>
    <n v="899.92"/>
    <n v="45"/>
    <n v="45"/>
    <s v="BONUS_CARD"/>
    <n v="29"/>
    <n v="1"/>
    <n v="5"/>
    <n v="854.92"/>
    <n v="13130000635"/>
  </r>
  <r>
    <x v="8"/>
    <d v="1899-12-30T12:50:12"/>
    <n v="1636"/>
    <n v="13002561"/>
    <n v="13"/>
    <n v="22589"/>
    <s v="Retail Sale"/>
    <n v="18"/>
    <n v="39338"/>
    <x v="80"/>
    <s v="Katren"/>
    <s v="TEVA"/>
    <n v="2"/>
    <n v="179.71"/>
    <n v="255.29"/>
    <n v="25.53"/>
    <n v="25.53"/>
    <s v="BONUS_CARD"/>
    <n v="29"/>
    <n v="1"/>
    <n v="2"/>
    <n v="229.76"/>
    <n v="13130000636"/>
  </r>
  <r>
    <x v="10"/>
    <d v="1899-12-30T14:41:09"/>
    <n v="1637"/>
    <n v="13002561"/>
    <n v="13"/>
    <n v="22589"/>
    <s v="Retail Sale"/>
    <n v="18"/>
    <n v="34033"/>
    <x v="35"/>
    <s v="Katren"/>
    <s v="Novartis"/>
    <n v="2"/>
    <n v="224.99"/>
    <n v="325.83999999999997"/>
    <n v="16.29"/>
    <n v="16.29"/>
    <s v="BONUS_CARD"/>
    <n v="29"/>
    <n v="1"/>
    <n v="1"/>
    <n v="309.55"/>
    <n v="13130000637"/>
  </r>
  <r>
    <x v="5"/>
    <d v="1899-12-30T11:20:43"/>
    <n v="1638"/>
    <n v="13002561"/>
    <n v="13"/>
    <n v="22589"/>
    <s v="Retail Sale"/>
    <n v="15"/>
    <n v="91429"/>
    <x v="6"/>
    <s v="Protek"/>
    <s v="TEVA"/>
    <n v="1"/>
    <n v="41.44"/>
    <n v="58.65"/>
    <n v="2.93"/>
    <n v="2.93"/>
    <s v="BONUS_CARD"/>
    <n v="29"/>
    <n v="1"/>
    <n v="5"/>
    <n v="55.72"/>
    <n v="13130000638"/>
  </r>
  <r>
    <x v="24"/>
    <d v="1899-12-30T18:40:07"/>
    <n v="1639"/>
    <n v="13002561"/>
    <n v="13"/>
    <n v="22589"/>
    <s v="Retail Sale"/>
    <n v="15"/>
    <n v="55374"/>
    <x v="29"/>
    <s v="Protek"/>
    <s v="Dr. Reddy's"/>
    <n v="3"/>
    <n v="79.42"/>
    <n v="106.51"/>
    <n v="0"/>
    <n v="0"/>
    <m/>
    <n v="29"/>
    <n v="1"/>
    <n v="1"/>
    <n v="106.51"/>
    <n v="13130000639"/>
  </r>
  <r>
    <x v="27"/>
    <d v="1899-12-30T10:26:10"/>
    <n v="1640"/>
    <n v="13002561"/>
    <n v="13"/>
    <n v="22589"/>
    <s v="Retail Sale"/>
    <n v="18"/>
    <n v="51979"/>
    <x v="25"/>
    <s v="Pulse"/>
    <s v="Pfizer"/>
    <n v="3"/>
    <n v="153.53"/>
    <n v="195.21"/>
    <n v="9.76"/>
    <n v="9.76"/>
    <s v="BONUS_CARD"/>
    <n v="29"/>
    <n v="1"/>
    <n v="2"/>
    <n v="185.45"/>
    <n v="13130000640"/>
  </r>
  <r>
    <x v="15"/>
    <d v="1899-12-30T19:40:50"/>
    <n v="1641"/>
    <n v="13002561"/>
    <n v="13"/>
    <n v="22589"/>
    <s v="Retail Sale"/>
    <n v="18"/>
    <n v="77695"/>
    <x v="85"/>
    <s v="Grand Capital"/>
    <s v="Pfizer"/>
    <n v="3"/>
    <n v="78.09"/>
    <n v="104.56"/>
    <n v="5.23"/>
    <n v="5.23"/>
    <s v="BONUS_CARD"/>
    <n v="29"/>
    <n v="1"/>
    <n v="6"/>
    <n v="99.33"/>
    <n v="13130000641"/>
  </r>
  <r>
    <x v="21"/>
    <d v="1899-12-30T16:17:10"/>
    <n v="1642"/>
    <n v="13002561"/>
    <n v="13"/>
    <n v="22589"/>
    <s v="Retail Sale"/>
    <n v="18"/>
    <n v="29936"/>
    <x v="27"/>
    <s v="Pulse"/>
    <s v="Bayer"/>
    <n v="3"/>
    <n v="462.15"/>
    <n v="675.53"/>
    <n v="0"/>
    <n v="0"/>
    <m/>
    <n v="29"/>
    <n v="1"/>
    <n v="5"/>
    <n v="675.53"/>
    <n v="13130000642"/>
  </r>
  <r>
    <x v="13"/>
    <d v="1899-12-30T11:38:58"/>
    <n v="1643"/>
    <n v="13002561"/>
    <n v="13"/>
    <n v="22589"/>
    <s v="Retail Sale"/>
    <n v="15"/>
    <n v="57929"/>
    <x v="25"/>
    <s v="Protek"/>
    <s v="Pfizer"/>
    <n v="2"/>
    <n v="507.34"/>
    <n v="759.13"/>
    <n v="0"/>
    <n v="0"/>
    <m/>
    <n v="29"/>
    <n v="1"/>
    <n v="6"/>
    <n v="759.13"/>
    <n v="13130000643"/>
  </r>
  <r>
    <x v="13"/>
    <d v="1899-12-30T11:48:11"/>
    <n v="1644"/>
    <n v="13002561"/>
    <n v="13"/>
    <n v="22589"/>
    <s v="Retail Sale"/>
    <n v="18"/>
    <n v="57210"/>
    <x v="82"/>
    <s v="Katren"/>
    <s v="Takeda"/>
    <n v="3"/>
    <n v="409.48"/>
    <n v="519.62"/>
    <n v="51.96"/>
    <n v="51.96"/>
    <s v="BONUS_CARD"/>
    <n v="29"/>
    <n v="1"/>
    <n v="2"/>
    <n v="467.66"/>
    <n v="13130000644"/>
  </r>
  <r>
    <x v="7"/>
    <d v="1899-12-30T12:03:44"/>
    <n v="1645"/>
    <n v="13002561"/>
    <n v="13"/>
    <n v="22589"/>
    <s v="Retail Sale"/>
    <n v="18"/>
    <n v="28084"/>
    <x v="11"/>
    <s v="Katren"/>
    <s v="Bayer"/>
    <n v="1"/>
    <n v="165.05"/>
    <n v="224.68"/>
    <n v="11.23"/>
    <n v="11.23"/>
    <s v="BONUS_CARD"/>
    <n v="29"/>
    <n v="1"/>
    <n v="5"/>
    <n v="213.45"/>
    <n v="13130000645"/>
  </r>
  <r>
    <x v="19"/>
    <d v="1899-12-30T10:04:01"/>
    <n v="1646"/>
    <n v="13002561"/>
    <n v="13"/>
    <n v="22589"/>
    <s v="Retail Sale"/>
    <n v="15"/>
    <n v="56744"/>
    <x v="2"/>
    <s v="Grand Capital"/>
    <s v="Takeda"/>
    <n v="1"/>
    <n v="327.32"/>
    <n v="414.51"/>
    <n v="41.45"/>
    <n v="41.45"/>
    <s v="BONUS_CARD"/>
    <n v="29"/>
    <n v="1"/>
    <n v="2"/>
    <n v="373.06"/>
    <n v="13130000646"/>
  </r>
  <r>
    <x v="25"/>
    <d v="1899-12-30T09:28:10"/>
    <n v="1647"/>
    <n v="13002561"/>
    <n v="13"/>
    <n v="22589"/>
    <s v="Retail Sale"/>
    <n v="15"/>
    <n v="83838"/>
    <x v="72"/>
    <s v="Protek"/>
    <s v="Bayer"/>
    <n v="2"/>
    <n v="370.06"/>
    <n v="471.88"/>
    <n v="47.19"/>
    <n v="47.19"/>
    <s v="BONUS_CARD"/>
    <n v="29"/>
    <n v="1"/>
    <n v="6"/>
    <n v="424.69"/>
    <n v="13130000647"/>
  </r>
  <r>
    <x v="30"/>
    <d v="1899-12-30T20:52:16"/>
    <n v="1648"/>
    <n v="13002561"/>
    <n v="13"/>
    <n v="22589"/>
    <s v="Retail Sale"/>
    <n v="18"/>
    <n v="46339"/>
    <x v="28"/>
    <s v="Pharmcomplect"/>
    <s v="TEVA"/>
    <n v="3"/>
    <n v="59.18"/>
    <n v="85.72"/>
    <n v="8.57"/>
    <n v="8.57"/>
    <s v="BONUS_CARD"/>
    <n v="29"/>
    <n v="1"/>
    <n v="4"/>
    <n v="77.150000000000006"/>
    <n v="13130000648"/>
  </r>
  <r>
    <x v="15"/>
    <d v="1899-12-30T19:49:00"/>
    <n v="1649"/>
    <n v="13002561"/>
    <n v="13"/>
    <n v="22589"/>
    <s v="Retail Sale"/>
    <n v="15"/>
    <n v="44301"/>
    <x v="7"/>
    <s v="Pulse"/>
    <s v="Sanofi"/>
    <n v="1"/>
    <n v="270.45999999999998"/>
    <n v="346.68"/>
    <n v="17.329999999999998"/>
    <n v="17.329999999999998"/>
    <s v="BONUS_CARD"/>
    <n v="29"/>
    <n v="1"/>
    <n v="1"/>
    <n v="329.35"/>
    <n v="13130000649"/>
  </r>
  <r>
    <x v="18"/>
    <d v="1899-12-30T18:48:03"/>
    <n v="1650"/>
    <n v="13002561"/>
    <n v="13"/>
    <n v="22589"/>
    <s v="Retail Sale"/>
    <n v="18"/>
    <n v="94060"/>
    <x v="39"/>
    <s v="Katren"/>
    <s v="Pfizer"/>
    <n v="2"/>
    <n v="30.19"/>
    <n v="45.82"/>
    <n v="0"/>
    <n v="0"/>
    <m/>
    <n v="29"/>
    <n v="1"/>
    <n v="2"/>
    <n v="45.82"/>
    <n v="13130000650"/>
  </r>
  <r>
    <x v="12"/>
    <d v="1899-12-30T10:00:39"/>
    <n v="1651"/>
    <n v="13002561"/>
    <n v="13"/>
    <n v="22589"/>
    <s v="Retail Sale"/>
    <n v="15"/>
    <n v="53526"/>
    <x v="38"/>
    <s v="Katren"/>
    <s v="Novartis"/>
    <n v="1"/>
    <n v="21.34"/>
    <n v="29.5"/>
    <n v="1.48"/>
    <n v="1.48"/>
    <s v="BONUS_CARD"/>
    <n v="29"/>
    <n v="1"/>
    <n v="4"/>
    <n v="28.02"/>
    <n v="13130000651"/>
  </r>
  <r>
    <x v="28"/>
    <d v="1899-12-30T12:28:27"/>
    <n v="1652"/>
    <n v="13002561"/>
    <n v="13"/>
    <n v="22589"/>
    <s v="Retail Sale"/>
    <n v="18"/>
    <n v="71414"/>
    <x v="83"/>
    <s v="Grand Capital"/>
    <s v="Novartis"/>
    <n v="1"/>
    <n v="88.26"/>
    <n v="133.54"/>
    <n v="13.35"/>
    <n v="13.35"/>
    <s v="BONUS_CARD"/>
    <n v="29"/>
    <n v="1"/>
    <n v="5"/>
    <n v="120.19"/>
    <n v="13130000652"/>
  </r>
  <r>
    <x v="27"/>
    <d v="1899-12-30T17:35:16"/>
    <n v="1653"/>
    <n v="13002561"/>
    <n v="13"/>
    <n v="22589"/>
    <s v="Retail Sale"/>
    <n v="15"/>
    <n v="35191"/>
    <x v="25"/>
    <s v="Grand Capital"/>
    <s v="Pfizer"/>
    <n v="3"/>
    <n v="347.03"/>
    <n v="437.79"/>
    <n v="43.78"/>
    <n v="43.78"/>
    <s v="BONUS_CARD"/>
    <n v="29"/>
    <n v="1"/>
    <n v="6"/>
    <n v="394.01"/>
    <n v="13130000653"/>
  </r>
  <r>
    <x v="9"/>
    <d v="1899-12-30T21:16:26"/>
    <n v="1654"/>
    <n v="13002561"/>
    <n v="13"/>
    <n v="22589"/>
    <s v="Retail Sale"/>
    <n v="15"/>
    <n v="85514"/>
    <x v="55"/>
    <s v="Grand Capital"/>
    <s v="Sanofi"/>
    <n v="3"/>
    <n v="598.55999999999995"/>
    <n v="806.23"/>
    <n v="40.31"/>
    <n v="40.31"/>
    <s v="BONUS_CARD"/>
    <n v="29"/>
    <n v="1"/>
    <n v="4"/>
    <n v="765.92"/>
    <n v="13130000654"/>
  </r>
  <r>
    <x v="22"/>
    <d v="1899-12-30T10:20:58"/>
    <n v="1655"/>
    <n v="13002561"/>
    <n v="13"/>
    <n v="22589"/>
    <s v="Retail Sale"/>
    <n v="15"/>
    <n v="39364"/>
    <x v="7"/>
    <s v="Grand Capital"/>
    <s v="Takeda"/>
    <n v="2"/>
    <n v="439.97"/>
    <n v="726.16"/>
    <n v="0"/>
    <n v="0"/>
    <m/>
    <n v="29"/>
    <n v="1"/>
    <n v="5"/>
    <n v="726.16"/>
    <n v="13130000655"/>
  </r>
  <r>
    <x v="5"/>
    <d v="1899-12-30T17:18:03"/>
    <n v="1656"/>
    <n v="13002561"/>
    <n v="13"/>
    <n v="22589"/>
    <s v="Retail Sale"/>
    <n v="15"/>
    <n v="41850"/>
    <x v="53"/>
    <s v="Katren"/>
    <s v="Sanofi"/>
    <n v="3"/>
    <n v="161.65"/>
    <n v="217.68"/>
    <n v="0"/>
    <n v="0"/>
    <m/>
    <n v="29"/>
    <n v="1"/>
    <n v="4"/>
    <n v="217.68"/>
    <n v="13130000656"/>
  </r>
  <r>
    <x v="6"/>
    <d v="1899-12-30T20:24:29"/>
    <n v="1657"/>
    <n v="13002561"/>
    <n v="13"/>
    <n v="22589"/>
    <s v="Retail Sale"/>
    <n v="18"/>
    <n v="11954"/>
    <x v="19"/>
    <s v="Pharmcomplect"/>
    <s v="Dr. Reddy's"/>
    <n v="1"/>
    <n v="543.15"/>
    <n v="891.5"/>
    <n v="89.15"/>
    <n v="89.15"/>
    <s v="BONUS_CARD"/>
    <n v="29"/>
    <n v="1"/>
    <n v="6"/>
    <n v="802.35"/>
    <n v="13130000657"/>
  </r>
  <r>
    <x v="20"/>
    <d v="1899-12-30T19:09:08"/>
    <n v="1658"/>
    <n v="13002561"/>
    <n v="13"/>
    <n v="22589"/>
    <s v="Retail Sale"/>
    <n v="15"/>
    <n v="66093"/>
    <x v="66"/>
    <s v="Pharmcomplect"/>
    <s v="Takeda"/>
    <n v="2"/>
    <n v="245.57"/>
    <n v="389.36"/>
    <n v="38.94"/>
    <n v="38.94"/>
    <s v="BONUS_CARD"/>
    <n v="29"/>
    <n v="1"/>
    <n v="4"/>
    <n v="350.42"/>
    <n v="13130000658"/>
  </r>
  <r>
    <x v="0"/>
    <d v="1899-12-30T20:39:21"/>
    <n v="1659"/>
    <n v="13002561"/>
    <n v="13"/>
    <n v="22589"/>
    <s v="Retail Sale"/>
    <n v="18"/>
    <n v="42917"/>
    <x v="72"/>
    <s v="Avesta"/>
    <s v="Pfizer"/>
    <n v="3"/>
    <n v="90.83"/>
    <n v="144.35"/>
    <n v="0"/>
    <n v="0"/>
    <m/>
    <n v="29"/>
    <n v="1"/>
    <n v="1"/>
    <n v="144.35"/>
    <n v="13130000659"/>
  </r>
  <r>
    <x v="29"/>
    <d v="1899-12-30T19:54:44"/>
    <n v="1660"/>
    <n v="13002561"/>
    <n v="13"/>
    <n v="22589"/>
    <s v="Retail Sale"/>
    <n v="15"/>
    <n v="50425"/>
    <x v="40"/>
    <s v="Grand Capital"/>
    <s v="KRKA"/>
    <n v="1"/>
    <n v="147.13999999999999"/>
    <n v="212.13"/>
    <n v="0"/>
    <n v="0"/>
    <m/>
    <n v="29"/>
    <n v="1"/>
    <n v="1"/>
    <n v="212.13"/>
    <n v="13130000660"/>
  </r>
  <r>
    <x v="0"/>
    <d v="1899-12-30T13:43:01"/>
    <n v="1661"/>
    <n v="13002561"/>
    <n v="13"/>
    <n v="22589"/>
    <s v="Retail Sale"/>
    <n v="15"/>
    <n v="18663"/>
    <x v="65"/>
    <s v="Katren"/>
    <s v="KRKA"/>
    <n v="3"/>
    <n v="73.34"/>
    <n v="116.65"/>
    <n v="5.83"/>
    <n v="5.83"/>
    <s v="BONUS_CARD"/>
    <n v="29"/>
    <n v="1"/>
    <n v="1"/>
    <n v="110.82"/>
    <n v="13130000661"/>
  </r>
  <r>
    <x v="13"/>
    <d v="1899-12-30T18:20:37"/>
    <n v="1662"/>
    <n v="13002561"/>
    <n v="13"/>
    <n v="22589"/>
    <s v="Retail Sale"/>
    <n v="18"/>
    <n v="90272"/>
    <x v="2"/>
    <s v="Protek"/>
    <s v="Takeda"/>
    <n v="2"/>
    <n v="290.19"/>
    <n v="416.02"/>
    <n v="20.8"/>
    <n v="20.8"/>
    <s v="BONUS_CARD"/>
    <n v="29"/>
    <n v="1"/>
    <n v="6"/>
    <n v="395.22"/>
    <n v="13130000662"/>
  </r>
  <r>
    <x v="0"/>
    <d v="1899-12-30T12:23:48"/>
    <n v="1663"/>
    <n v="13002561"/>
    <n v="13"/>
    <n v="22589"/>
    <s v="Retail Sale"/>
    <n v="15"/>
    <n v="78914"/>
    <x v="73"/>
    <s v="Pulse"/>
    <s v="Sanofi"/>
    <n v="2"/>
    <n v="175.22"/>
    <n v="273.63"/>
    <n v="27.36"/>
    <n v="27.36"/>
    <s v="BONUS_CARD"/>
    <n v="29"/>
    <n v="1"/>
    <n v="5"/>
    <n v="246.27"/>
    <n v="13130000663"/>
  </r>
  <r>
    <x v="19"/>
    <d v="1899-12-30T21:30:39"/>
    <n v="1664"/>
    <n v="13002561"/>
    <n v="13"/>
    <n v="22589"/>
    <s v="Retail Sale"/>
    <n v="18"/>
    <n v="48902"/>
    <x v="83"/>
    <s v="Grand Capital"/>
    <s v="Pfizer"/>
    <n v="3"/>
    <n v="549.71"/>
    <n v="699.3"/>
    <n v="34.96"/>
    <n v="34.96"/>
    <s v="BONUS_CARD"/>
    <n v="29"/>
    <n v="1"/>
    <n v="2"/>
    <n v="664.34"/>
    <n v="13130000664"/>
  </r>
  <r>
    <x v="20"/>
    <d v="1899-12-30T14:04:30"/>
    <n v="1665"/>
    <n v="13002561"/>
    <n v="13"/>
    <n v="22589"/>
    <s v="Retail Sale"/>
    <n v="15"/>
    <n v="28031"/>
    <x v="10"/>
    <s v="Pulse"/>
    <s v="Bayer"/>
    <n v="1"/>
    <n v="457.12"/>
    <n v="746.07"/>
    <n v="37.299999999999997"/>
    <n v="37.299999999999997"/>
    <s v="BONUS_CARD"/>
    <n v="29"/>
    <n v="1"/>
    <n v="5"/>
    <n v="708.77"/>
    <n v="13130000665"/>
  </r>
  <r>
    <x v="27"/>
    <d v="1899-12-30T11:24:19"/>
    <n v="1666"/>
    <n v="13002561"/>
    <n v="13"/>
    <n v="22589"/>
    <s v="Retail Sale"/>
    <n v="15"/>
    <n v="59299"/>
    <x v="89"/>
    <s v="Katren"/>
    <s v="Bayer"/>
    <n v="3"/>
    <n v="388.44"/>
    <n v="526.46"/>
    <n v="52.65"/>
    <n v="52.65"/>
    <s v="BONUS_CARD"/>
    <n v="29"/>
    <n v="1"/>
    <n v="4"/>
    <n v="473.81"/>
    <n v="13130000666"/>
  </r>
  <r>
    <x v="19"/>
    <d v="1899-12-30T11:13:46"/>
    <n v="1667"/>
    <n v="13002561"/>
    <n v="13"/>
    <n v="22589"/>
    <s v="Retail Sale"/>
    <n v="15"/>
    <n v="35943"/>
    <x v="14"/>
    <s v="Grand Capital"/>
    <s v="TEVA"/>
    <n v="1"/>
    <n v="262.10000000000002"/>
    <n v="328.51"/>
    <n v="32.85"/>
    <n v="32.85"/>
    <s v="BONUS_CARD"/>
    <n v="29"/>
    <n v="1"/>
    <n v="5"/>
    <n v="295.66000000000003"/>
    <n v="13130000667"/>
  </r>
  <r>
    <x v="29"/>
    <d v="1899-12-30T22:36:04"/>
    <n v="1668"/>
    <n v="13002561"/>
    <n v="13"/>
    <n v="22589"/>
    <s v="Retail Sale"/>
    <n v="18"/>
    <n v="61168"/>
    <x v="86"/>
    <s v="Grand Capital"/>
    <s v="Takeda"/>
    <n v="2"/>
    <n v="334.69"/>
    <n v="442.8"/>
    <n v="22.14"/>
    <n v="22.14"/>
    <s v="BONUS_CARD"/>
    <n v="29"/>
    <n v="1"/>
    <n v="6"/>
    <n v="420.66"/>
    <n v="13130000668"/>
  </r>
  <r>
    <x v="12"/>
    <d v="1899-12-30T09:45:26"/>
    <n v="1669"/>
    <n v="13002561"/>
    <n v="13"/>
    <n v="22589"/>
    <s v="Retail Sale"/>
    <n v="15"/>
    <n v="26162"/>
    <x v="68"/>
    <s v="Protek"/>
    <s v="Takeda"/>
    <n v="2"/>
    <n v="183.73"/>
    <n v="236.61"/>
    <n v="11.83"/>
    <n v="11.83"/>
    <s v="BONUS_CARD"/>
    <n v="29"/>
    <n v="1"/>
    <n v="3"/>
    <n v="224.78"/>
    <n v="13130000669"/>
  </r>
  <r>
    <x v="24"/>
    <d v="1899-12-30T11:14:25"/>
    <n v="1670"/>
    <n v="13002561"/>
    <n v="13"/>
    <n v="22589"/>
    <s v="Retail Sale"/>
    <n v="18"/>
    <n v="59199"/>
    <x v="70"/>
    <s v="Grand Capital"/>
    <s v="Novartis"/>
    <n v="1"/>
    <n v="282.52999999999997"/>
    <n v="369.87"/>
    <n v="0"/>
    <n v="0"/>
    <m/>
    <n v="29"/>
    <n v="1"/>
    <n v="6"/>
    <n v="369.87"/>
    <n v="13130000670"/>
  </r>
  <r>
    <x v="17"/>
    <d v="1899-12-30T20:47:40"/>
    <n v="1671"/>
    <n v="13002561"/>
    <n v="13"/>
    <n v="22589"/>
    <s v="Retail Sale"/>
    <n v="15"/>
    <n v="46460"/>
    <x v="17"/>
    <s v="Katren"/>
    <s v="TEVA"/>
    <n v="2"/>
    <n v="62.05"/>
    <n v="102.83"/>
    <n v="0"/>
    <n v="0"/>
    <m/>
    <n v="29"/>
    <n v="1"/>
    <n v="5"/>
    <n v="102.83"/>
    <n v="13130000671"/>
  </r>
  <r>
    <x v="20"/>
    <d v="1899-12-30T14:37:27"/>
    <n v="1672"/>
    <n v="13002561"/>
    <n v="13"/>
    <n v="22589"/>
    <s v="Retail Sale"/>
    <n v="18"/>
    <n v="94530"/>
    <x v="4"/>
    <s v="Pulse"/>
    <s v="Sanofi"/>
    <n v="1"/>
    <n v="231.72"/>
    <n v="357.88"/>
    <n v="17.89"/>
    <n v="17.89"/>
    <s v="BONUS_CARD"/>
    <n v="29"/>
    <n v="1"/>
    <n v="2"/>
    <n v="339.99"/>
    <n v="13130000672"/>
  </r>
  <r>
    <x v="13"/>
    <d v="1899-12-30T17:28:45"/>
    <n v="1673"/>
    <n v="13002561"/>
    <n v="13"/>
    <n v="22589"/>
    <s v="Retail Sale"/>
    <n v="18"/>
    <n v="29043"/>
    <x v="57"/>
    <s v="Avesta"/>
    <s v="Novartis"/>
    <n v="3"/>
    <n v="24.97"/>
    <n v="37.229999999999997"/>
    <n v="0"/>
    <n v="0"/>
    <m/>
    <n v="29"/>
    <n v="1"/>
    <n v="4"/>
    <n v="37.229999999999997"/>
    <n v="13130000673"/>
  </r>
  <r>
    <x v="6"/>
    <d v="1899-12-30T14:20:19"/>
    <n v="1674"/>
    <n v="13002561"/>
    <n v="13"/>
    <n v="22589"/>
    <s v="Retail Sale"/>
    <n v="18"/>
    <n v="13191"/>
    <x v="23"/>
    <s v="Avesta"/>
    <s v="Bayer"/>
    <n v="2"/>
    <n v="47.87"/>
    <n v="77.319999999999993"/>
    <n v="0"/>
    <n v="0"/>
    <m/>
    <n v="29"/>
    <n v="1"/>
    <n v="2"/>
    <n v="77.319999999999993"/>
    <n v="13130000674"/>
  </r>
  <r>
    <x v="23"/>
    <d v="1899-12-30T09:19:55"/>
    <n v="1675"/>
    <n v="13002561"/>
    <n v="13"/>
    <n v="22589"/>
    <s v="Retail Sale"/>
    <n v="15"/>
    <n v="83677"/>
    <x v="5"/>
    <s v="Protek"/>
    <s v="Novartis"/>
    <n v="3"/>
    <n v="231.6"/>
    <n v="354.17"/>
    <n v="17.71"/>
    <n v="17.71"/>
    <s v="BONUS_CARD"/>
    <n v="29"/>
    <n v="1"/>
    <n v="3"/>
    <n v="336.46"/>
    <n v="13130000675"/>
  </r>
  <r>
    <x v="12"/>
    <d v="1899-12-30T14:18:57"/>
    <n v="1676"/>
    <n v="13002561"/>
    <n v="13"/>
    <n v="22589"/>
    <s v="Retail Sale"/>
    <n v="15"/>
    <n v="85345"/>
    <x v="63"/>
    <s v="Pharmcomplect"/>
    <s v="Dr. Reddy's"/>
    <n v="2"/>
    <n v="398.24"/>
    <n v="657.74"/>
    <n v="0"/>
    <n v="0"/>
    <m/>
    <n v="29"/>
    <n v="1"/>
    <n v="1"/>
    <n v="657.74"/>
    <n v="13130000676"/>
  </r>
  <r>
    <x v="0"/>
    <d v="1899-12-30T15:41:32"/>
    <n v="1677"/>
    <n v="13002561"/>
    <n v="13"/>
    <n v="22589"/>
    <s v="Retail Sale"/>
    <n v="18"/>
    <n v="59148"/>
    <x v="68"/>
    <s v="Pharmcomplect"/>
    <s v="Dr. Reddy's"/>
    <n v="2"/>
    <n v="330.18"/>
    <n v="440.22"/>
    <n v="44.02"/>
    <n v="44.02"/>
    <s v="BONUS_CARD"/>
    <n v="29"/>
    <n v="1"/>
    <n v="3"/>
    <n v="396.2"/>
    <n v="13130000677"/>
  </r>
  <r>
    <x v="24"/>
    <d v="1899-12-30T10:45:51"/>
    <n v="1678"/>
    <n v="13002561"/>
    <n v="13"/>
    <n v="22589"/>
    <s v="Retail Sale"/>
    <n v="18"/>
    <n v="99362"/>
    <x v="84"/>
    <s v="Avesta"/>
    <s v="Dr. Reddy's"/>
    <n v="3"/>
    <n v="423.27"/>
    <n v="663.71"/>
    <n v="33.19"/>
    <n v="33.19"/>
    <s v="BONUS_CARD"/>
    <n v="29"/>
    <n v="1"/>
    <n v="1"/>
    <n v="630.52"/>
    <n v="13130000678"/>
  </r>
  <r>
    <x v="17"/>
    <d v="1899-12-30T10:34:30"/>
    <n v="1679"/>
    <n v="13002561"/>
    <n v="13"/>
    <n v="22589"/>
    <s v="Retail Sale"/>
    <n v="18"/>
    <n v="56700"/>
    <x v="10"/>
    <s v="Pulse"/>
    <s v="Dr. Reddy's"/>
    <n v="2"/>
    <n v="191.85"/>
    <n v="316.01"/>
    <n v="31.6"/>
    <n v="31.6"/>
    <s v="BONUS_CARD"/>
    <n v="29"/>
    <n v="1"/>
    <n v="1"/>
    <n v="284.41000000000003"/>
    <n v="13130000679"/>
  </r>
  <r>
    <x v="14"/>
    <d v="1899-12-30T09:59:56"/>
    <n v="1680"/>
    <n v="13002561"/>
    <n v="13"/>
    <n v="22589"/>
    <s v="Retail Sale"/>
    <n v="18"/>
    <n v="77368"/>
    <x v="0"/>
    <s v="Avesta"/>
    <s v="Pfizer"/>
    <n v="2"/>
    <n v="329.01"/>
    <n v="503.08"/>
    <n v="0"/>
    <n v="0"/>
    <m/>
    <n v="29"/>
    <n v="1"/>
    <n v="5"/>
    <n v="503.08"/>
    <n v="13130000680"/>
  </r>
  <r>
    <x v="28"/>
    <d v="1899-12-30T12:49:44"/>
    <n v="1681"/>
    <n v="13002561"/>
    <n v="13"/>
    <n v="22589"/>
    <s v="Retail Sale"/>
    <n v="18"/>
    <n v="78487"/>
    <x v="63"/>
    <s v="Pharmcomplect"/>
    <s v="Novartis"/>
    <n v="2"/>
    <n v="588.23"/>
    <n v="747.02"/>
    <n v="37.35"/>
    <n v="37.35"/>
    <s v="BONUS_CARD"/>
    <n v="29"/>
    <n v="1"/>
    <n v="5"/>
    <n v="709.67"/>
    <n v="13130000681"/>
  </r>
  <r>
    <x v="16"/>
    <d v="1899-12-30T09:39:07"/>
    <n v="1682"/>
    <n v="13002561"/>
    <n v="13"/>
    <n v="22589"/>
    <s v="Retail Sale"/>
    <n v="18"/>
    <n v="72120"/>
    <x v="17"/>
    <s v="Katren"/>
    <s v="Novartis"/>
    <n v="1"/>
    <n v="307.26"/>
    <n v="418.73"/>
    <n v="0"/>
    <n v="0"/>
    <m/>
    <n v="29"/>
    <n v="1"/>
    <n v="3"/>
    <n v="418.73"/>
    <n v="13130000682"/>
  </r>
  <r>
    <x v="12"/>
    <d v="1899-12-30T21:58:52"/>
    <n v="1683"/>
    <n v="13002561"/>
    <n v="13"/>
    <n v="22589"/>
    <s v="Retail Sale"/>
    <n v="18"/>
    <n v="96933"/>
    <x v="38"/>
    <s v="Grand Capital"/>
    <s v="KRKA"/>
    <n v="2"/>
    <n v="571.47"/>
    <n v="760.64"/>
    <n v="38.03"/>
    <n v="38.03"/>
    <s v="BONUS_CARD"/>
    <n v="29"/>
    <n v="1"/>
    <n v="4"/>
    <n v="722.61"/>
    <n v="13130000683"/>
  </r>
  <r>
    <x v="10"/>
    <d v="1899-12-30T17:43:25"/>
    <n v="1684"/>
    <n v="13002561"/>
    <n v="13"/>
    <n v="22589"/>
    <s v="Retail Sale"/>
    <n v="15"/>
    <n v="10976"/>
    <x v="18"/>
    <s v="Pharmcomplect"/>
    <s v="Sanofi"/>
    <n v="1"/>
    <n v="30.43"/>
    <n v="45.99"/>
    <n v="0"/>
    <n v="0"/>
    <m/>
    <n v="29"/>
    <n v="1"/>
    <n v="3"/>
    <n v="45.99"/>
    <n v="13130000684"/>
  </r>
  <r>
    <x v="6"/>
    <d v="1899-12-30T11:58:59"/>
    <n v="1685"/>
    <n v="13002561"/>
    <n v="13"/>
    <n v="22589"/>
    <s v="Retail Sale"/>
    <n v="18"/>
    <n v="18698"/>
    <x v="75"/>
    <s v="Protek"/>
    <s v="KRKA"/>
    <n v="2"/>
    <n v="453.48"/>
    <n v="580.52"/>
    <n v="58.05"/>
    <n v="58.05"/>
    <s v="BONUS_CARD"/>
    <n v="29"/>
    <n v="1"/>
    <n v="3"/>
    <n v="522.47"/>
    <n v="13130000685"/>
  </r>
  <r>
    <x v="14"/>
    <d v="1899-12-30T22:25:38"/>
    <n v="1686"/>
    <n v="13002561"/>
    <n v="13"/>
    <n v="22589"/>
    <s v="Retail Sale"/>
    <n v="18"/>
    <n v="36510"/>
    <x v="37"/>
    <s v="Avesta"/>
    <s v="Takeda"/>
    <n v="2"/>
    <n v="123.72"/>
    <n v="156.15"/>
    <n v="15.62"/>
    <n v="15.62"/>
    <s v="BONUS_CARD"/>
    <n v="29"/>
    <n v="1"/>
    <n v="6"/>
    <n v="140.53"/>
    <n v="13130000686"/>
  </r>
  <r>
    <x v="2"/>
    <d v="1899-12-30T18:41:32"/>
    <n v="1687"/>
    <n v="13002561"/>
    <n v="13"/>
    <n v="22589"/>
    <s v="Retail Sale"/>
    <n v="18"/>
    <n v="44270"/>
    <x v="8"/>
    <s v="Avesta"/>
    <s v="Takeda"/>
    <n v="1"/>
    <n v="209.97"/>
    <n v="277.2"/>
    <n v="27.72"/>
    <n v="27.72"/>
    <s v="BONUS_CARD"/>
    <n v="29"/>
    <n v="1"/>
    <n v="6"/>
    <n v="249.48"/>
    <n v="13130000687"/>
  </r>
  <r>
    <x v="25"/>
    <d v="1899-12-30T10:52:20"/>
    <n v="1688"/>
    <n v="13002561"/>
    <n v="13"/>
    <n v="22589"/>
    <s v="Retail Sale"/>
    <n v="15"/>
    <n v="33038"/>
    <x v="14"/>
    <s v="Grand Capital"/>
    <s v="Takeda"/>
    <n v="2"/>
    <n v="552.72"/>
    <n v="731.54"/>
    <n v="36.58"/>
    <n v="36.58"/>
    <s v="BONUS_CARD"/>
    <n v="29"/>
    <n v="1"/>
    <n v="2"/>
    <n v="694.96"/>
    <n v="13130000688"/>
  </r>
  <r>
    <x v="5"/>
    <d v="1899-12-30T11:56:28"/>
    <n v="1689"/>
    <n v="13002561"/>
    <n v="13"/>
    <n v="22589"/>
    <s v="Retail Sale"/>
    <n v="15"/>
    <n v="76962"/>
    <x v="14"/>
    <s v="Protek"/>
    <s v="KRKA"/>
    <n v="3"/>
    <n v="483.7"/>
    <n v="686.82"/>
    <n v="68.680000000000007"/>
    <n v="68.680000000000007"/>
    <s v="BONUS_CARD"/>
    <n v="29"/>
    <n v="1"/>
    <n v="1"/>
    <n v="618.14"/>
    <n v="13130000689"/>
  </r>
  <r>
    <x v="15"/>
    <d v="1899-12-30T15:16:28"/>
    <n v="1690"/>
    <n v="13002561"/>
    <n v="13"/>
    <n v="22589"/>
    <s v="Retail Sale"/>
    <n v="18"/>
    <n v="87409"/>
    <x v="45"/>
    <s v="Pulse"/>
    <s v="Novartis"/>
    <n v="1"/>
    <n v="201.31"/>
    <n v="253.67"/>
    <n v="12.68"/>
    <n v="12.68"/>
    <s v="BONUS_CARD"/>
    <n v="29"/>
    <n v="1"/>
    <n v="1"/>
    <n v="240.99"/>
    <n v="13130000690"/>
  </r>
  <r>
    <x v="24"/>
    <d v="1899-12-30T13:51:10"/>
    <n v="1691"/>
    <n v="13002561"/>
    <n v="13"/>
    <n v="22589"/>
    <s v="Retail Sale"/>
    <n v="15"/>
    <n v="86630"/>
    <x v="3"/>
    <s v="Grand Capital"/>
    <s v="Bayer"/>
    <n v="2"/>
    <n v="98.72"/>
    <n v="156.32"/>
    <n v="7.82"/>
    <n v="7.82"/>
    <s v="BONUS_CARD"/>
    <n v="29"/>
    <n v="1"/>
    <n v="3"/>
    <n v="148.5"/>
    <n v="13130000691"/>
  </r>
  <r>
    <x v="9"/>
    <d v="1899-12-30T22:51:21"/>
    <n v="1692"/>
    <n v="13002561"/>
    <n v="13"/>
    <n v="22589"/>
    <s v="Retail Sale"/>
    <n v="15"/>
    <n v="59551"/>
    <x v="3"/>
    <s v="Pulse"/>
    <s v="Takeda"/>
    <n v="3"/>
    <n v="9.7899999999999991"/>
    <n v="13.97"/>
    <n v="0.7"/>
    <n v="0.7"/>
    <s v="BONUS_CARD"/>
    <n v="29"/>
    <n v="1"/>
    <n v="2"/>
    <n v="13.27"/>
    <n v="13130000692"/>
  </r>
  <r>
    <x v="21"/>
    <d v="1899-12-30T09:04:30"/>
    <n v="1693"/>
    <n v="13002561"/>
    <n v="13"/>
    <n v="22589"/>
    <s v="Retail Sale"/>
    <n v="18"/>
    <n v="53617"/>
    <x v="68"/>
    <s v="Avesta"/>
    <s v="Bayer"/>
    <n v="1"/>
    <n v="411.72"/>
    <n v="669.54"/>
    <n v="0"/>
    <n v="0"/>
    <m/>
    <n v="29"/>
    <n v="1"/>
    <n v="4"/>
    <n v="669.54"/>
    <n v="13130000693"/>
  </r>
  <r>
    <x v="27"/>
    <d v="1899-12-30T18:24:56"/>
    <n v="1694"/>
    <n v="13002561"/>
    <n v="13"/>
    <n v="22589"/>
    <s v="Retail Sale"/>
    <n v="15"/>
    <n v="34169"/>
    <x v="49"/>
    <s v="Katren"/>
    <s v="KRKA"/>
    <n v="3"/>
    <n v="283.08"/>
    <n v="424.73"/>
    <n v="21.24"/>
    <n v="21.24"/>
    <s v="BONUS_CARD"/>
    <n v="29"/>
    <n v="1"/>
    <n v="6"/>
    <n v="403.49"/>
    <n v="13130000694"/>
  </r>
  <r>
    <x v="8"/>
    <d v="1899-12-30T09:04:58"/>
    <n v="1695"/>
    <n v="13002561"/>
    <n v="13"/>
    <n v="22589"/>
    <s v="Retail Sale"/>
    <n v="15"/>
    <n v="50886"/>
    <x v="21"/>
    <s v="Avesta"/>
    <s v="Dr. Reddy's"/>
    <n v="3"/>
    <n v="251"/>
    <n v="404.25"/>
    <n v="40.43"/>
    <n v="40.43"/>
    <s v="BONUS_CARD"/>
    <n v="29"/>
    <n v="1"/>
    <n v="5"/>
    <n v="363.82"/>
    <n v="13130000695"/>
  </r>
  <r>
    <x v="20"/>
    <d v="1899-12-30T12:38:51"/>
    <n v="1696"/>
    <n v="13002561"/>
    <n v="13"/>
    <n v="22589"/>
    <s v="Retail Sale"/>
    <n v="18"/>
    <n v="48746"/>
    <x v="1"/>
    <s v="Grand Capital"/>
    <s v="TEVA"/>
    <n v="3"/>
    <n v="511.86"/>
    <n v="855.97"/>
    <n v="42.8"/>
    <n v="42.8"/>
    <s v="BONUS_CARD"/>
    <n v="29"/>
    <n v="1"/>
    <n v="5"/>
    <n v="813.17"/>
    <n v="13130000696"/>
  </r>
  <r>
    <x v="4"/>
    <d v="1899-12-30T09:44:45"/>
    <n v="1697"/>
    <n v="13002561"/>
    <n v="13"/>
    <n v="22589"/>
    <s v="Retail Sale"/>
    <n v="15"/>
    <n v="54783"/>
    <x v="14"/>
    <s v="Katren"/>
    <s v="Dr. Reddy's"/>
    <n v="2"/>
    <n v="428.72"/>
    <n v="605.55999999999995"/>
    <n v="0"/>
    <n v="0"/>
    <m/>
    <n v="29"/>
    <n v="1"/>
    <n v="3"/>
    <n v="605.55999999999995"/>
    <n v="13130000697"/>
  </r>
  <r>
    <x v="13"/>
    <d v="1899-12-30T11:23:08"/>
    <n v="1698"/>
    <n v="13002561"/>
    <n v="13"/>
    <n v="22589"/>
    <s v="Retail Sale"/>
    <n v="15"/>
    <n v="52215"/>
    <x v="14"/>
    <s v="Pharmcomplect"/>
    <s v="Pfizer"/>
    <n v="1"/>
    <n v="465.74"/>
    <n v="586.77"/>
    <n v="58.68"/>
    <n v="58.68"/>
    <s v="BONUS_CARD"/>
    <n v="29"/>
    <n v="1"/>
    <n v="3"/>
    <n v="528.09"/>
    <n v="13130000698"/>
  </r>
  <r>
    <x v="14"/>
    <d v="1899-12-30T19:08:32"/>
    <n v="1699"/>
    <n v="13002561"/>
    <n v="13"/>
    <n v="22589"/>
    <s v="Retail Sale"/>
    <n v="15"/>
    <n v="11743"/>
    <x v="88"/>
    <s v="Pulse"/>
    <s v="Dr. Reddy's"/>
    <n v="2"/>
    <n v="37.340000000000003"/>
    <n v="52.51"/>
    <n v="0"/>
    <n v="0"/>
    <m/>
    <n v="29"/>
    <n v="1"/>
    <n v="6"/>
    <n v="52.51"/>
    <n v="13130000699"/>
  </r>
  <r>
    <x v="8"/>
    <d v="1899-12-30T18:39:17"/>
    <n v="1700"/>
    <n v="13002561"/>
    <n v="13"/>
    <n v="22589"/>
    <s v="Retail Sale"/>
    <n v="15"/>
    <n v="37207"/>
    <x v="4"/>
    <s v="Avesta"/>
    <s v="Novartis"/>
    <n v="3"/>
    <n v="565.28"/>
    <n v="914.6"/>
    <n v="91.46"/>
    <n v="91.46"/>
    <s v="BONUS_CARD"/>
    <n v="29"/>
    <n v="1"/>
    <n v="4"/>
    <n v="823.14"/>
    <n v="13130000700"/>
  </r>
  <r>
    <x v="15"/>
    <d v="1899-12-30T20:00:40"/>
    <n v="1701"/>
    <n v="13002561"/>
    <n v="13"/>
    <n v="22589"/>
    <s v="Retail Sale"/>
    <n v="18"/>
    <n v="21419"/>
    <x v="36"/>
    <s v="Pulse"/>
    <s v="Dr. Reddy's"/>
    <n v="3"/>
    <n v="525.55999999999995"/>
    <n v="761.23"/>
    <n v="0"/>
    <n v="0"/>
    <m/>
    <n v="29"/>
    <n v="1"/>
    <n v="1"/>
    <n v="761.23"/>
    <n v="13130000701"/>
  </r>
  <r>
    <x v="8"/>
    <d v="1899-12-30T10:10:46"/>
    <n v="1702"/>
    <n v="13002561"/>
    <n v="13"/>
    <n v="22589"/>
    <s v="Retail Sale"/>
    <n v="18"/>
    <n v="19341"/>
    <x v="59"/>
    <s v="Protek"/>
    <s v="KRKA"/>
    <n v="1"/>
    <n v="391.35"/>
    <n v="561.24"/>
    <n v="28.06"/>
    <n v="28.06"/>
    <s v="BONUS_CARD"/>
    <n v="29"/>
    <n v="1"/>
    <n v="4"/>
    <n v="533.17999999999995"/>
    <n v="13130000702"/>
  </r>
  <r>
    <x v="18"/>
    <d v="1899-12-30T12:51:34"/>
    <n v="1703"/>
    <n v="13002561"/>
    <n v="13"/>
    <n v="22589"/>
    <s v="Retail Sale"/>
    <n v="15"/>
    <n v="72752"/>
    <x v="36"/>
    <s v="Katren"/>
    <s v="Bayer"/>
    <n v="1"/>
    <n v="501.69"/>
    <n v="766.88"/>
    <n v="0"/>
    <n v="0"/>
    <m/>
    <n v="29"/>
    <n v="1"/>
    <n v="3"/>
    <n v="766.88"/>
    <n v="13130000703"/>
  </r>
  <r>
    <x v="29"/>
    <d v="1899-12-30T20:41:53"/>
    <n v="1704"/>
    <n v="13002561"/>
    <n v="13"/>
    <n v="22589"/>
    <s v="Retail Sale"/>
    <n v="18"/>
    <n v="36544"/>
    <x v="77"/>
    <s v="Pharmcomplect"/>
    <s v="Sanofi"/>
    <n v="1"/>
    <n v="91.93"/>
    <n v="122"/>
    <n v="12.2"/>
    <n v="12.2"/>
    <s v="BONUS_CARD"/>
    <n v="29"/>
    <n v="1"/>
    <n v="3"/>
    <n v="109.8"/>
    <n v="13130000704"/>
  </r>
  <r>
    <x v="12"/>
    <d v="1899-12-30T20:46:43"/>
    <n v="1705"/>
    <n v="13002561"/>
    <n v="13"/>
    <n v="22589"/>
    <s v="Retail Sale"/>
    <n v="15"/>
    <n v="80074"/>
    <x v="39"/>
    <s v="Grand Capital"/>
    <s v="Novartis"/>
    <n v="3"/>
    <n v="207.99"/>
    <n v="276.81"/>
    <n v="27.68"/>
    <n v="27.68"/>
    <s v="BONUS_CARD"/>
    <n v="29"/>
    <n v="1"/>
    <n v="1"/>
    <n v="249.13"/>
    <n v="13130000705"/>
  </r>
  <r>
    <x v="29"/>
    <d v="1899-12-30T14:54:17"/>
    <n v="1706"/>
    <n v="13002561"/>
    <n v="13"/>
    <n v="22589"/>
    <s v="Retail Sale"/>
    <n v="18"/>
    <n v="65936"/>
    <x v="5"/>
    <s v="Pulse"/>
    <s v="Novartis"/>
    <n v="3"/>
    <n v="460.89"/>
    <n v="633.67999999999995"/>
    <n v="0"/>
    <n v="0"/>
    <m/>
    <n v="29"/>
    <n v="1"/>
    <n v="5"/>
    <n v="633.67999999999995"/>
    <n v="13130000706"/>
  </r>
  <r>
    <x v="28"/>
    <d v="1899-12-30T17:02:19"/>
    <n v="1707"/>
    <n v="13002561"/>
    <n v="13"/>
    <n v="22589"/>
    <s v="Retail Sale"/>
    <n v="15"/>
    <n v="92258"/>
    <x v="35"/>
    <s v="Pulse"/>
    <s v="Novartis"/>
    <n v="1"/>
    <n v="168.6"/>
    <n v="233.47"/>
    <n v="11.67"/>
    <n v="11.67"/>
    <s v="BONUS_CARD"/>
    <n v="29"/>
    <n v="1"/>
    <n v="2"/>
    <n v="221.8"/>
    <n v="13130000707"/>
  </r>
  <r>
    <x v="8"/>
    <d v="1899-12-30T10:00:30"/>
    <n v="1708"/>
    <n v="13002561"/>
    <n v="13"/>
    <n v="22589"/>
    <s v="Retail Sale"/>
    <n v="18"/>
    <n v="10349"/>
    <x v="44"/>
    <s v="Grand Capital"/>
    <s v="Takeda"/>
    <n v="2"/>
    <n v="78.38"/>
    <n v="122.68"/>
    <n v="6.13"/>
    <n v="6.13"/>
    <s v="BONUS_CARD"/>
    <n v="29"/>
    <n v="1"/>
    <n v="5"/>
    <n v="116.55"/>
    <n v="13130000708"/>
  </r>
  <r>
    <x v="13"/>
    <d v="1899-12-30T08:20:19"/>
    <n v="1709"/>
    <n v="13002561"/>
    <n v="13"/>
    <n v="22589"/>
    <s v="Retail Sale"/>
    <n v="18"/>
    <n v="93034"/>
    <x v="32"/>
    <s v="Protek"/>
    <s v="Takeda"/>
    <n v="1"/>
    <n v="52.61"/>
    <n v="66.650000000000006"/>
    <n v="3.33"/>
    <n v="3.33"/>
    <s v="BONUS_CARD"/>
    <n v="29"/>
    <n v="1"/>
    <n v="3"/>
    <n v="63.32"/>
    <n v="13130000709"/>
  </r>
  <r>
    <x v="5"/>
    <d v="1899-12-30T19:18:02"/>
    <n v="1710"/>
    <n v="13002561"/>
    <n v="13"/>
    <n v="22589"/>
    <s v="Retail Sale"/>
    <n v="18"/>
    <n v="54942"/>
    <x v="55"/>
    <s v="Avesta"/>
    <s v="Bayer"/>
    <n v="3"/>
    <n v="546.88"/>
    <n v="837.23"/>
    <n v="41.86"/>
    <n v="41.86"/>
    <s v="BONUS_CARD"/>
    <n v="29"/>
    <n v="1"/>
    <n v="5"/>
    <n v="795.37"/>
    <n v="13130000710"/>
  </r>
  <r>
    <x v="20"/>
    <d v="1899-12-30T18:52:07"/>
    <n v="1711"/>
    <n v="13002561"/>
    <n v="13"/>
    <n v="22589"/>
    <s v="Retail Sale"/>
    <n v="18"/>
    <n v="77527"/>
    <x v="36"/>
    <s v="Grand Capital"/>
    <s v="KRKA"/>
    <n v="2"/>
    <n v="576.49"/>
    <n v="788.74"/>
    <n v="78.87"/>
    <n v="78.87"/>
    <s v="BONUS_CARD"/>
    <n v="29"/>
    <n v="1"/>
    <n v="6"/>
    <n v="709.87"/>
    <n v="13130000711"/>
  </r>
  <r>
    <x v="8"/>
    <d v="1899-12-30T08:47:33"/>
    <n v="1712"/>
    <n v="13002561"/>
    <n v="13"/>
    <n v="22589"/>
    <s v="Retail Sale"/>
    <n v="18"/>
    <n v="20165"/>
    <x v="9"/>
    <s v="Protek"/>
    <s v="TEVA"/>
    <n v="3"/>
    <n v="516.76"/>
    <n v="825.82"/>
    <n v="0"/>
    <n v="0"/>
    <m/>
    <n v="29"/>
    <n v="1"/>
    <n v="1"/>
    <n v="825.82"/>
    <n v="13130000712"/>
  </r>
  <r>
    <x v="21"/>
    <d v="1899-12-30T13:15:25"/>
    <n v="1713"/>
    <n v="13002561"/>
    <n v="13"/>
    <n v="22589"/>
    <s v="Retail Sale"/>
    <n v="18"/>
    <n v="11093"/>
    <x v="29"/>
    <s v="Grand Capital"/>
    <s v="Takeda"/>
    <n v="1"/>
    <n v="89.75"/>
    <n v="144.87"/>
    <n v="7.24"/>
    <n v="7.24"/>
    <s v="BONUS_CARD"/>
    <n v="29"/>
    <n v="1"/>
    <n v="6"/>
    <n v="137.63"/>
    <n v="13130000713"/>
  </r>
  <r>
    <x v="27"/>
    <d v="1899-12-30T09:24:11"/>
    <n v="1714"/>
    <n v="13002561"/>
    <n v="13"/>
    <n v="22589"/>
    <s v="Retail Sale"/>
    <n v="15"/>
    <n v="17502"/>
    <x v="51"/>
    <s v="Pulse"/>
    <s v="TEVA"/>
    <n v="2"/>
    <n v="261.02"/>
    <n v="391.27"/>
    <n v="39.130000000000003"/>
    <n v="39.130000000000003"/>
    <s v="BONUS_CARD"/>
    <n v="29"/>
    <n v="1"/>
    <n v="4"/>
    <n v="352.14"/>
    <n v="13130000714"/>
  </r>
  <r>
    <x v="16"/>
    <d v="1899-12-30T08:49:37"/>
    <n v="1715"/>
    <n v="13002561"/>
    <n v="13"/>
    <n v="22589"/>
    <s v="Retail Sale"/>
    <n v="18"/>
    <n v="11191"/>
    <x v="31"/>
    <s v="Pulse"/>
    <s v="Novartis"/>
    <n v="1"/>
    <n v="589.46"/>
    <n v="859.51"/>
    <n v="42.98"/>
    <n v="42.98"/>
    <s v="BONUS_CARD"/>
    <n v="29"/>
    <n v="1"/>
    <n v="6"/>
    <n v="816.53"/>
    <n v="13130000715"/>
  </r>
  <r>
    <x v="21"/>
    <d v="1899-12-30T19:27:25"/>
    <n v="1716"/>
    <n v="13002561"/>
    <n v="13"/>
    <n v="22589"/>
    <s v="Retail Sale"/>
    <n v="18"/>
    <n v="69894"/>
    <x v="49"/>
    <s v="Pulse"/>
    <s v="Sanofi"/>
    <n v="3"/>
    <n v="86.6"/>
    <n v="124.54"/>
    <n v="0"/>
    <n v="0"/>
    <m/>
    <n v="29"/>
    <n v="1"/>
    <n v="2"/>
    <n v="124.54"/>
    <n v="13130000716"/>
  </r>
  <r>
    <x v="12"/>
    <d v="1899-12-30T21:15:54"/>
    <n v="1717"/>
    <n v="13002561"/>
    <n v="13"/>
    <n v="22589"/>
    <s v="Retail Sale"/>
    <n v="18"/>
    <n v="90209"/>
    <x v="6"/>
    <s v="Katren"/>
    <s v="Bayer"/>
    <n v="3"/>
    <n v="433.38"/>
    <n v="602.16999999999996"/>
    <n v="60.22"/>
    <n v="60.22"/>
    <s v="BONUS_CARD"/>
    <n v="29"/>
    <n v="1"/>
    <n v="4"/>
    <n v="541.95000000000005"/>
    <n v="13130000717"/>
  </r>
  <r>
    <x v="21"/>
    <d v="1899-12-30T20:39:11"/>
    <n v="1718"/>
    <n v="13002561"/>
    <n v="13"/>
    <n v="22589"/>
    <s v="Retail Sale"/>
    <n v="18"/>
    <n v="46176"/>
    <x v="1"/>
    <s v="Protek"/>
    <s v="Sanofi"/>
    <n v="3"/>
    <n v="311.66000000000003"/>
    <n v="431.24"/>
    <n v="21.56"/>
    <n v="21.56"/>
    <s v="BONUS_CARD"/>
    <n v="29"/>
    <n v="1"/>
    <n v="2"/>
    <n v="409.68"/>
    <n v="13130000718"/>
  </r>
  <r>
    <x v="10"/>
    <d v="1899-12-30T20:12:34"/>
    <n v="1719"/>
    <n v="13002561"/>
    <n v="13"/>
    <n v="22589"/>
    <s v="Retail Sale"/>
    <n v="18"/>
    <n v="59016"/>
    <x v="11"/>
    <s v="Katren"/>
    <s v="Dr. Reddy's"/>
    <n v="3"/>
    <n v="581.02"/>
    <n v="884.74"/>
    <n v="44.24"/>
    <n v="44.24"/>
    <s v="BONUS_CARD"/>
    <n v="29"/>
    <n v="1"/>
    <n v="4"/>
    <n v="840.5"/>
    <n v="13130000719"/>
  </r>
  <r>
    <x v="0"/>
    <d v="1899-12-30T14:41:07"/>
    <n v="1720"/>
    <n v="13002561"/>
    <n v="13"/>
    <n v="22589"/>
    <s v="Retail Sale"/>
    <n v="18"/>
    <n v="57525"/>
    <x v="75"/>
    <s v="Avesta"/>
    <s v="Pfizer"/>
    <n v="3"/>
    <n v="53.48"/>
    <n v="78.48"/>
    <n v="3.92"/>
    <n v="3.92"/>
    <s v="BONUS_CARD"/>
    <n v="29"/>
    <n v="1"/>
    <n v="4"/>
    <n v="74.56"/>
    <n v="13130000720"/>
  </r>
  <r>
    <x v="19"/>
    <d v="1899-12-30T16:05:29"/>
    <n v="1721"/>
    <n v="13002561"/>
    <n v="13"/>
    <n v="22589"/>
    <s v="Retail Sale"/>
    <n v="18"/>
    <n v="74924"/>
    <x v="57"/>
    <s v="Pharmcomplect"/>
    <s v="TEVA"/>
    <n v="3"/>
    <n v="589.05999999999995"/>
    <n v="927.3"/>
    <n v="46.37"/>
    <n v="46.37"/>
    <s v="BONUS_CARD"/>
    <n v="29"/>
    <n v="1"/>
    <n v="1"/>
    <n v="880.93"/>
    <n v="13130000721"/>
  </r>
  <r>
    <x v="14"/>
    <d v="1899-12-30T14:54:34"/>
    <n v="1722"/>
    <n v="13002561"/>
    <n v="13"/>
    <n v="22589"/>
    <s v="Retail Sale"/>
    <n v="18"/>
    <n v="19722"/>
    <x v="30"/>
    <s v="Pulse"/>
    <s v="Dr. Reddy's"/>
    <n v="1"/>
    <n v="81.28"/>
    <n v="128.26"/>
    <n v="12.83"/>
    <n v="12.83"/>
    <s v="BONUS_CARD"/>
    <n v="29"/>
    <n v="1"/>
    <n v="2"/>
    <n v="115.43"/>
    <n v="13130000722"/>
  </r>
  <r>
    <x v="1"/>
    <d v="1899-12-30T18:09:08"/>
    <n v="1723"/>
    <n v="13002561"/>
    <n v="13"/>
    <n v="22589"/>
    <s v="Retail Sale"/>
    <n v="18"/>
    <n v="22264"/>
    <x v="21"/>
    <s v="Pharmcomplect"/>
    <s v="KRKA"/>
    <n v="2"/>
    <n v="293.7"/>
    <n v="446.32"/>
    <n v="44.63"/>
    <n v="44.63"/>
    <s v="BONUS_CARD"/>
    <n v="29"/>
    <n v="1"/>
    <n v="2"/>
    <n v="401.69"/>
    <n v="13130000723"/>
  </r>
  <r>
    <x v="16"/>
    <d v="1899-12-30T19:10:29"/>
    <n v="1724"/>
    <n v="13002561"/>
    <n v="13"/>
    <n v="22589"/>
    <s v="Retail Sale"/>
    <n v="15"/>
    <n v="72569"/>
    <x v="86"/>
    <s v="Avesta"/>
    <s v="Takeda"/>
    <n v="2"/>
    <n v="539.70000000000005"/>
    <n v="768.29"/>
    <n v="76.83"/>
    <n v="76.83"/>
    <s v="BONUS_CARD"/>
    <n v="29"/>
    <n v="1"/>
    <n v="4"/>
    <n v="691.46"/>
    <n v="13130000724"/>
  </r>
  <r>
    <x v="13"/>
    <d v="1899-12-30T09:24:45"/>
    <n v="1725"/>
    <n v="13002561"/>
    <n v="13"/>
    <n v="22589"/>
    <s v="Retail Sale"/>
    <n v="18"/>
    <n v="57114"/>
    <x v="29"/>
    <s v="Protek"/>
    <s v="Dr. Reddy's"/>
    <n v="3"/>
    <n v="148.15"/>
    <n v="230.44"/>
    <n v="23.04"/>
    <n v="23.04"/>
    <s v="BONUS_CARD"/>
    <n v="29"/>
    <n v="1"/>
    <n v="5"/>
    <n v="207.4"/>
    <n v="13130000725"/>
  </r>
  <r>
    <x v="29"/>
    <d v="1899-12-30T14:51:17"/>
    <n v="1726"/>
    <n v="13002561"/>
    <n v="13"/>
    <n v="22589"/>
    <s v="Retail Sale"/>
    <n v="18"/>
    <n v="52291"/>
    <x v="30"/>
    <s v="Pharmcomplect"/>
    <s v="Dr. Reddy's"/>
    <n v="3"/>
    <n v="503.87"/>
    <n v="853.69"/>
    <n v="0"/>
    <n v="0"/>
    <m/>
    <n v="29"/>
    <n v="1"/>
    <n v="4"/>
    <n v="853.69"/>
    <n v="13130000726"/>
  </r>
  <r>
    <x v="24"/>
    <d v="1899-12-30T09:31:21"/>
    <n v="1727"/>
    <n v="13002561"/>
    <n v="13"/>
    <n v="22589"/>
    <s v="Retail Sale"/>
    <n v="18"/>
    <n v="27530"/>
    <x v="15"/>
    <s v="Pulse"/>
    <s v="Bayer"/>
    <n v="1"/>
    <n v="584.5"/>
    <n v="984.55"/>
    <n v="98.45"/>
    <n v="98.45"/>
    <s v="BONUS_CARD"/>
    <n v="29"/>
    <n v="1"/>
    <n v="5"/>
    <n v="886.1"/>
    <n v="13130000727"/>
  </r>
  <r>
    <x v="13"/>
    <d v="1899-12-30T14:25:54"/>
    <n v="1728"/>
    <n v="13002561"/>
    <n v="13"/>
    <n v="22589"/>
    <s v="Retail Sale"/>
    <n v="15"/>
    <n v="87439"/>
    <x v="69"/>
    <s v="Avesta"/>
    <s v="TEVA"/>
    <n v="1"/>
    <n v="345.25"/>
    <n v="539.61"/>
    <n v="26.98"/>
    <n v="26.98"/>
    <s v="BONUS_CARD"/>
    <n v="29"/>
    <n v="1"/>
    <n v="2"/>
    <n v="512.63"/>
    <n v="13130000728"/>
  </r>
  <r>
    <x v="27"/>
    <d v="1899-12-30T11:13:56"/>
    <n v="1729"/>
    <n v="13002561"/>
    <n v="13"/>
    <n v="22589"/>
    <s v="Retail Sale"/>
    <n v="18"/>
    <n v="59371"/>
    <x v="77"/>
    <s v="Grand Capital"/>
    <s v="KRKA"/>
    <n v="2"/>
    <n v="86.32"/>
    <n v="111.26"/>
    <n v="0"/>
    <n v="0"/>
    <m/>
    <n v="29"/>
    <n v="1"/>
    <n v="1"/>
    <n v="111.26"/>
    <n v="13130000729"/>
  </r>
  <r>
    <x v="14"/>
    <d v="1899-12-30T17:00:00"/>
    <n v="1730"/>
    <n v="13002561"/>
    <n v="13"/>
    <n v="22589"/>
    <s v="Retail Sale"/>
    <n v="15"/>
    <n v="65794"/>
    <x v="76"/>
    <s v="Katren"/>
    <s v="Dr. Reddy's"/>
    <n v="2"/>
    <n v="203.31"/>
    <n v="264.11"/>
    <n v="26.41"/>
    <n v="26.41"/>
    <s v="BONUS_CARD"/>
    <n v="29"/>
    <n v="1"/>
    <n v="2"/>
    <n v="237.7"/>
    <n v="13130000730"/>
  </r>
  <r>
    <x v="26"/>
    <d v="1899-12-30T17:55:47"/>
    <n v="1731"/>
    <n v="13002561"/>
    <n v="13"/>
    <n v="22589"/>
    <s v="Retail Sale"/>
    <n v="18"/>
    <n v="33543"/>
    <x v="20"/>
    <s v="Protek"/>
    <s v="KRKA"/>
    <n v="3"/>
    <n v="368.67"/>
    <n v="495.19"/>
    <n v="49.52"/>
    <n v="49.52"/>
    <s v="BONUS_CARD"/>
    <n v="29"/>
    <n v="1"/>
    <n v="6"/>
    <n v="445.67"/>
    <n v="13130000731"/>
  </r>
  <r>
    <x v="19"/>
    <d v="1899-12-30T16:23:35"/>
    <n v="1732"/>
    <n v="13002561"/>
    <n v="13"/>
    <n v="22589"/>
    <s v="Retail Sale"/>
    <n v="15"/>
    <n v="69031"/>
    <x v="33"/>
    <s v="Katren"/>
    <s v="Pfizer"/>
    <n v="1"/>
    <n v="33.76"/>
    <n v="42.94"/>
    <n v="2.15"/>
    <n v="2.15"/>
    <s v="BONUS_CARD"/>
    <n v="29"/>
    <n v="1"/>
    <n v="1"/>
    <n v="40.79"/>
    <n v="13130000732"/>
  </r>
  <r>
    <x v="4"/>
    <d v="1899-12-30T15:54:42"/>
    <n v="1733"/>
    <n v="13002561"/>
    <n v="13"/>
    <n v="22589"/>
    <s v="Retail Sale"/>
    <n v="18"/>
    <n v="85126"/>
    <x v="9"/>
    <s v="Avesta"/>
    <s v="TEVA"/>
    <n v="2"/>
    <n v="498.94"/>
    <n v="762.73"/>
    <n v="38.14"/>
    <n v="38.14"/>
    <s v="BONUS_CARD"/>
    <n v="29"/>
    <n v="1"/>
    <n v="2"/>
    <n v="724.59"/>
    <n v="13130000733"/>
  </r>
  <r>
    <x v="6"/>
    <d v="1899-12-30T08:24:59"/>
    <n v="1734"/>
    <n v="13002561"/>
    <n v="13"/>
    <n v="22589"/>
    <s v="Retail Sale"/>
    <n v="15"/>
    <n v="63364"/>
    <x v="29"/>
    <s v="Katren"/>
    <s v="Takeda"/>
    <n v="1"/>
    <n v="479.36"/>
    <n v="719.68"/>
    <n v="35.979999999999997"/>
    <n v="35.979999999999997"/>
    <s v="BONUS_CARD"/>
    <n v="29"/>
    <n v="1"/>
    <n v="3"/>
    <n v="683.7"/>
    <n v="13130000734"/>
  </r>
  <r>
    <x v="25"/>
    <d v="1899-12-30T17:05:59"/>
    <n v="1735"/>
    <n v="13002561"/>
    <n v="13"/>
    <n v="22589"/>
    <s v="Retail Sale"/>
    <n v="18"/>
    <n v="73329"/>
    <x v="88"/>
    <s v="Pulse"/>
    <s v="Novartis"/>
    <n v="3"/>
    <n v="297.08999999999997"/>
    <n v="440.98"/>
    <n v="22.05"/>
    <n v="22.05"/>
    <s v="BONUS_CARD"/>
    <n v="29"/>
    <n v="1"/>
    <n v="5"/>
    <n v="418.93"/>
    <n v="13130000735"/>
  </r>
  <r>
    <x v="10"/>
    <d v="1899-12-30T20:45:30"/>
    <n v="1736"/>
    <n v="13002561"/>
    <n v="13"/>
    <n v="22589"/>
    <s v="Retail Sale"/>
    <n v="15"/>
    <n v="47865"/>
    <x v="63"/>
    <s v="Pulse"/>
    <s v="Takeda"/>
    <n v="3"/>
    <n v="148.4"/>
    <n v="223.14"/>
    <n v="22.31"/>
    <n v="22.31"/>
    <s v="BONUS_CARD"/>
    <n v="29"/>
    <n v="1"/>
    <n v="6"/>
    <n v="200.83"/>
    <n v="13130000736"/>
  </r>
  <r>
    <x v="6"/>
    <d v="1899-12-30T11:57:17"/>
    <n v="1737"/>
    <n v="13002561"/>
    <n v="13"/>
    <n v="22589"/>
    <s v="Retail Sale"/>
    <n v="15"/>
    <n v="99859"/>
    <x v="60"/>
    <s v="Pulse"/>
    <s v="Pfizer"/>
    <n v="3"/>
    <n v="585.65"/>
    <n v="805.1"/>
    <n v="40.26"/>
    <n v="40.26"/>
    <s v="BONUS_CARD"/>
    <n v="29"/>
    <n v="1"/>
    <n v="4"/>
    <n v="764.84"/>
    <n v="13130000737"/>
  </r>
  <r>
    <x v="22"/>
    <d v="1899-12-30T21:21:28"/>
    <n v="1738"/>
    <n v="13002561"/>
    <n v="13"/>
    <n v="22589"/>
    <s v="Retail Sale"/>
    <n v="18"/>
    <n v="15016"/>
    <x v="83"/>
    <s v="Pharmcomplect"/>
    <s v="Dr. Reddy's"/>
    <n v="3"/>
    <n v="368.38"/>
    <n v="531.08000000000004"/>
    <n v="26.55"/>
    <n v="26.55"/>
    <s v="BONUS_CARD"/>
    <n v="29"/>
    <n v="1"/>
    <n v="3"/>
    <n v="504.53"/>
    <n v="13130000738"/>
  </r>
  <r>
    <x v="5"/>
    <d v="1899-12-30T12:48:28"/>
    <n v="1739"/>
    <n v="13002561"/>
    <n v="13"/>
    <n v="22589"/>
    <s v="Retail Sale"/>
    <n v="18"/>
    <n v="29797"/>
    <x v="67"/>
    <s v="Pharmcomplect"/>
    <s v="Takeda"/>
    <n v="1"/>
    <n v="572.98"/>
    <n v="850.92"/>
    <n v="85.09"/>
    <n v="85.09"/>
    <s v="BONUS_CARD"/>
    <n v="29"/>
    <n v="1"/>
    <n v="4"/>
    <n v="765.83"/>
    <n v="13130000739"/>
  </r>
  <r>
    <x v="21"/>
    <d v="1899-12-30T18:55:00"/>
    <n v="1740"/>
    <n v="13002561"/>
    <n v="13"/>
    <n v="22589"/>
    <s v="Retail Sale"/>
    <n v="15"/>
    <n v="51391"/>
    <x v="51"/>
    <s v="Protek"/>
    <s v="Dr. Reddy's"/>
    <n v="1"/>
    <n v="326.8"/>
    <n v="438.47"/>
    <n v="0"/>
    <n v="0"/>
    <m/>
    <n v="29"/>
    <n v="1"/>
    <n v="2"/>
    <n v="438.47"/>
    <n v="13130000740"/>
  </r>
  <r>
    <x v="10"/>
    <d v="1899-12-30T14:40:23"/>
    <n v="1741"/>
    <n v="13002561"/>
    <n v="13"/>
    <n v="22589"/>
    <s v="Retail Sale"/>
    <n v="18"/>
    <n v="82283"/>
    <x v="38"/>
    <s v="Avesta"/>
    <s v="Bayer"/>
    <n v="2"/>
    <n v="373.71"/>
    <n v="514.73"/>
    <n v="25.74"/>
    <n v="25.74"/>
    <s v="BONUS_CARD"/>
    <n v="29"/>
    <n v="1"/>
    <n v="1"/>
    <n v="488.99"/>
    <n v="13130000741"/>
  </r>
  <r>
    <x v="13"/>
    <d v="1899-12-30T10:44:32"/>
    <n v="1742"/>
    <n v="13002561"/>
    <n v="13"/>
    <n v="22589"/>
    <s v="Retail Sale"/>
    <n v="15"/>
    <n v="94372"/>
    <x v="51"/>
    <s v="Pulse"/>
    <s v="Bayer"/>
    <n v="2"/>
    <n v="53.7"/>
    <n v="76.25"/>
    <n v="7.62"/>
    <n v="7.62"/>
    <s v="BONUS_CARD"/>
    <n v="29"/>
    <n v="1"/>
    <n v="1"/>
    <n v="68.63"/>
    <n v="13130000742"/>
  </r>
  <r>
    <x v="28"/>
    <d v="1899-12-30T21:38:12"/>
    <n v="1743"/>
    <n v="13002561"/>
    <n v="13"/>
    <n v="22589"/>
    <s v="Retail Sale"/>
    <n v="15"/>
    <n v="42930"/>
    <x v="52"/>
    <s v="Katren"/>
    <s v="Pfizer"/>
    <n v="3"/>
    <n v="297.05"/>
    <n v="462.39"/>
    <n v="46.24"/>
    <n v="46.24"/>
    <s v="BONUS_CARD"/>
    <n v="29"/>
    <n v="1"/>
    <n v="1"/>
    <n v="416.15"/>
    <n v="13130000743"/>
  </r>
  <r>
    <x v="13"/>
    <d v="1899-12-30T11:18:00"/>
    <n v="1744"/>
    <n v="13002561"/>
    <n v="13"/>
    <n v="22589"/>
    <s v="Retail Sale"/>
    <n v="18"/>
    <n v="80914"/>
    <x v="86"/>
    <s v="Avesta"/>
    <s v="Novartis"/>
    <n v="1"/>
    <n v="499.36"/>
    <n v="652.99"/>
    <n v="0"/>
    <n v="0"/>
    <m/>
    <n v="29"/>
    <n v="1"/>
    <n v="4"/>
    <n v="652.99"/>
    <n v="13130000744"/>
  </r>
  <r>
    <x v="8"/>
    <d v="1899-12-30T19:00:46"/>
    <n v="1745"/>
    <n v="13002561"/>
    <n v="13"/>
    <n v="22589"/>
    <s v="Retail Sale"/>
    <n v="15"/>
    <n v="34726"/>
    <x v="58"/>
    <s v="Avesta"/>
    <s v="Bayer"/>
    <n v="3"/>
    <n v="337.05"/>
    <n v="439.18"/>
    <n v="0"/>
    <n v="0"/>
    <m/>
    <n v="29"/>
    <n v="1"/>
    <n v="4"/>
    <n v="439.18"/>
    <n v="13130000745"/>
  </r>
  <r>
    <x v="22"/>
    <d v="1899-12-30T11:10:02"/>
    <n v="1746"/>
    <n v="13002561"/>
    <n v="13"/>
    <n v="22589"/>
    <s v="Retail Sale"/>
    <n v="18"/>
    <n v="46904"/>
    <x v="52"/>
    <s v="Pharmcomplect"/>
    <s v="Dr. Reddy's"/>
    <n v="1"/>
    <n v="138.41999999999999"/>
    <n v="217.94"/>
    <n v="10.9"/>
    <n v="10.9"/>
    <s v="BONUS_CARD"/>
    <n v="29"/>
    <n v="1"/>
    <n v="1"/>
    <n v="207.04"/>
    <n v="13130000746"/>
  </r>
  <r>
    <x v="1"/>
    <d v="1899-12-30T10:42:24"/>
    <n v="1747"/>
    <n v="13002561"/>
    <n v="13"/>
    <n v="22589"/>
    <s v="Retail Sale"/>
    <n v="15"/>
    <n v="12645"/>
    <x v="21"/>
    <s v="Protek"/>
    <s v="Takeda"/>
    <n v="2"/>
    <n v="540.41999999999996"/>
    <n v="780.07"/>
    <n v="78.010000000000005"/>
    <n v="78.010000000000005"/>
    <s v="BONUS_CARD"/>
    <n v="29"/>
    <n v="1"/>
    <n v="3"/>
    <n v="702.06"/>
    <n v="13130000747"/>
  </r>
  <r>
    <x v="25"/>
    <d v="1899-12-30T18:58:07"/>
    <n v="1748"/>
    <n v="13002561"/>
    <n v="13"/>
    <n v="22589"/>
    <s v="Retail Sale"/>
    <n v="18"/>
    <n v="76759"/>
    <x v="52"/>
    <s v="Katren"/>
    <s v="Pfizer"/>
    <n v="1"/>
    <n v="177.74"/>
    <n v="274.92"/>
    <n v="13.75"/>
    <n v="13.75"/>
    <s v="BONUS_CARD"/>
    <n v="29"/>
    <n v="1"/>
    <n v="5"/>
    <n v="261.17"/>
    <n v="13130000748"/>
  </r>
  <r>
    <x v="21"/>
    <d v="1899-12-30T12:43:14"/>
    <n v="1749"/>
    <n v="13002561"/>
    <n v="13"/>
    <n v="22589"/>
    <s v="Retail Sale"/>
    <n v="15"/>
    <n v="55451"/>
    <x v="58"/>
    <s v="Pharmcomplect"/>
    <s v="Sanofi"/>
    <n v="1"/>
    <n v="590.12"/>
    <n v="822.37"/>
    <n v="0"/>
    <n v="0"/>
    <m/>
    <n v="29"/>
    <n v="1"/>
    <n v="2"/>
    <n v="822.37"/>
    <n v="13130000749"/>
  </r>
  <r>
    <x v="4"/>
    <d v="1899-12-30T11:33:57"/>
    <n v="1750"/>
    <n v="13002561"/>
    <n v="13"/>
    <n v="22589"/>
    <s v="Retail Sale"/>
    <n v="15"/>
    <n v="11094"/>
    <x v="5"/>
    <s v="Pulse"/>
    <s v="Takeda"/>
    <n v="2"/>
    <n v="349.1"/>
    <n v="546.49"/>
    <n v="27.32"/>
    <n v="27.32"/>
    <s v="BONUS_CARD"/>
    <n v="29"/>
    <n v="1"/>
    <n v="2"/>
    <n v="519.16999999999996"/>
    <n v="13130000750"/>
  </r>
  <r>
    <x v="23"/>
    <d v="1899-12-30T09:57:56"/>
    <n v="1751"/>
    <n v="13002561"/>
    <n v="13"/>
    <n v="22589"/>
    <s v="Retail Sale"/>
    <n v="15"/>
    <n v="81933"/>
    <x v="80"/>
    <s v="Pulse"/>
    <s v="KRKA"/>
    <n v="3"/>
    <n v="89.82"/>
    <n v="150.13"/>
    <n v="7.51"/>
    <n v="7.51"/>
    <s v="BONUS_CARD"/>
    <n v="29"/>
    <n v="1"/>
    <n v="1"/>
    <n v="142.62"/>
    <n v="13130000751"/>
  </r>
  <r>
    <x v="17"/>
    <d v="1899-12-30T21:28:33"/>
    <n v="1752"/>
    <n v="13002561"/>
    <n v="13"/>
    <n v="22589"/>
    <s v="Retail Sale"/>
    <n v="18"/>
    <n v="16041"/>
    <x v="59"/>
    <s v="Pharmcomplect"/>
    <s v="Sanofi"/>
    <n v="1"/>
    <n v="519.58000000000004"/>
    <n v="731.9"/>
    <n v="73.19"/>
    <n v="73.19"/>
    <s v="BONUS_CARD"/>
    <n v="29"/>
    <n v="1"/>
    <n v="1"/>
    <n v="658.71"/>
    <n v="13130000752"/>
  </r>
  <r>
    <x v="28"/>
    <d v="1899-12-30T22:07:51"/>
    <n v="1753"/>
    <n v="13002561"/>
    <n v="13"/>
    <n v="22589"/>
    <s v="Retail Sale"/>
    <n v="15"/>
    <n v="78935"/>
    <x v="87"/>
    <s v="Protek"/>
    <s v="KRKA"/>
    <n v="2"/>
    <n v="463.35"/>
    <n v="736.72"/>
    <n v="0"/>
    <n v="0"/>
    <m/>
    <n v="29"/>
    <n v="1"/>
    <n v="5"/>
    <n v="736.72"/>
    <n v="13130000753"/>
  </r>
  <r>
    <x v="25"/>
    <d v="1899-12-30T22:59:44"/>
    <n v="1754"/>
    <n v="13002561"/>
    <n v="13"/>
    <n v="22589"/>
    <s v="Retail Sale"/>
    <n v="18"/>
    <n v="74115"/>
    <x v="69"/>
    <s v="Pharmcomplect"/>
    <s v="Dr. Reddy's"/>
    <n v="3"/>
    <n v="359.06"/>
    <n v="469.57"/>
    <n v="23.48"/>
    <n v="23.48"/>
    <s v="BONUS_CARD"/>
    <n v="29"/>
    <n v="1"/>
    <n v="1"/>
    <n v="446.09"/>
    <n v="13130000754"/>
  </r>
  <r>
    <x v="13"/>
    <d v="1899-12-30T20:17:50"/>
    <n v="1755"/>
    <n v="13002561"/>
    <n v="13"/>
    <n v="22589"/>
    <s v="Retail Sale"/>
    <n v="18"/>
    <n v="53756"/>
    <x v="76"/>
    <s v="Avesta"/>
    <s v="Takeda"/>
    <n v="2"/>
    <n v="175.82"/>
    <n v="278.02"/>
    <n v="0"/>
    <n v="0"/>
    <m/>
    <n v="29"/>
    <n v="1"/>
    <n v="3"/>
    <n v="278.02"/>
    <n v="13130000755"/>
  </r>
  <r>
    <x v="7"/>
    <d v="1899-12-30T17:14:37"/>
    <n v="1756"/>
    <n v="13002561"/>
    <n v="13"/>
    <n v="22589"/>
    <s v="Retail Sale"/>
    <n v="18"/>
    <n v="12202"/>
    <x v="25"/>
    <s v="Grand Capital"/>
    <s v="Takeda"/>
    <n v="3"/>
    <n v="506.35"/>
    <n v="777.53"/>
    <n v="0"/>
    <n v="0"/>
    <m/>
    <n v="29"/>
    <n v="1"/>
    <n v="5"/>
    <n v="777.53"/>
    <n v="13130000756"/>
  </r>
  <r>
    <x v="27"/>
    <d v="1899-12-30T11:40:47"/>
    <n v="1757"/>
    <n v="13002561"/>
    <n v="13"/>
    <n v="22589"/>
    <s v="Retail Sale"/>
    <n v="18"/>
    <n v="93076"/>
    <x v="88"/>
    <s v="Pulse"/>
    <s v="Bayer"/>
    <n v="1"/>
    <n v="300.55"/>
    <n v="398.1"/>
    <n v="0"/>
    <n v="0"/>
    <m/>
    <n v="29"/>
    <n v="1"/>
    <n v="3"/>
    <n v="398.1"/>
    <n v="13130000757"/>
  </r>
  <r>
    <x v="1"/>
    <d v="1899-12-30T09:28:42"/>
    <n v="1758"/>
    <n v="13002561"/>
    <n v="13"/>
    <n v="22589"/>
    <s v="Retail Sale"/>
    <n v="15"/>
    <n v="54623"/>
    <x v="46"/>
    <s v="Pulse"/>
    <s v="Sanofi"/>
    <n v="3"/>
    <n v="145.1"/>
    <n v="235.51"/>
    <n v="23.55"/>
    <n v="23.55"/>
    <s v="BONUS_CARD"/>
    <n v="29"/>
    <n v="1"/>
    <n v="2"/>
    <n v="211.96"/>
    <n v="13130000758"/>
  </r>
  <r>
    <x v="30"/>
    <d v="1899-12-30T16:16:56"/>
    <n v="1759"/>
    <n v="13002561"/>
    <n v="13"/>
    <n v="22589"/>
    <s v="Retail Sale"/>
    <n v="15"/>
    <n v="95794"/>
    <x v="46"/>
    <s v="Pulse"/>
    <s v="TEVA"/>
    <n v="2"/>
    <n v="91.21"/>
    <n v="129.63999999999999"/>
    <n v="12.96"/>
    <n v="12.96"/>
    <s v="BONUS_CARD"/>
    <n v="29"/>
    <n v="1"/>
    <n v="1"/>
    <n v="116.68"/>
    <n v="13130000759"/>
  </r>
  <r>
    <x v="2"/>
    <d v="1899-12-30T08:20:04"/>
    <n v="1760"/>
    <n v="13002561"/>
    <n v="13"/>
    <n v="22589"/>
    <s v="Retail Sale"/>
    <n v="15"/>
    <n v="86432"/>
    <x v="21"/>
    <s v="Pulse"/>
    <s v="KRKA"/>
    <n v="2"/>
    <n v="457.32"/>
    <n v="696.99"/>
    <n v="34.85"/>
    <n v="34.85"/>
    <s v="BONUS_CARD"/>
    <n v="29"/>
    <n v="1"/>
    <n v="2"/>
    <n v="662.14"/>
    <n v="13130000760"/>
  </r>
  <r>
    <x v="18"/>
    <d v="1899-12-30T17:38:14"/>
    <n v="1761"/>
    <n v="13002561"/>
    <n v="13"/>
    <n v="22589"/>
    <s v="Retail Sale"/>
    <n v="18"/>
    <n v="20150"/>
    <x v="47"/>
    <s v="Pharmcomplect"/>
    <s v="Bayer"/>
    <n v="1"/>
    <n v="498.56"/>
    <n v="750.46"/>
    <n v="0"/>
    <n v="0"/>
    <m/>
    <n v="29"/>
    <n v="1"/>
    <n v="1"/>
    <n v="750.46"/>
    <n v="13130000761"/>
  </r>
  <r>
    <x v="4"/>
    <d v="1899-12-30T13:56:54"/>
    <n v="1762"/>
    <n v="13002561"/>
    <n v="13"/>
    <n v="22589"/>
    <s v="Retail Sale"/>
    <n v="15"/>
    <n v="81771"/>
    <x v="3"/>
    <s v="Katren"/>
    <s v="TEVA"/>
    <n v="1"/>
    <n v="505.2"/>
    <n v="835.75"/>
    <n v="0"/>
    <n v="0"/>
    <m/>
    <n v="29"/>
    <n v="1"/>
    <n v="2"/>
    <n v="835.75"/>
    <n v="13130000762"/>
  </r>
  <r>
    <x v="24"/>
    <d v="1899-12-30T21:26:43"/>
    <n v="1763"/>
    <n v="13002561"/>
    <n v="13"/>
    <n v="22589"/>
    <s v="Retail Sale"/>
    <n v="15"/>
    <n v="27429"/>
    <x v="69"/>
    <s v="Grand Capital"/>
    <s v="Pfizer"/>
    <n v="3"/>
    <n v="273.58999999999997"/>
    <n v="433.79"/>
    <n v="21.69"/>
    <n v="21.69"/>
    <s v="BONUS_CARD"/>
    <n v="29"/>
    <n v="1"/>
    <n v="1"/>
    <n v="412.1"/>
    <n v="13130000763"/>
  </r>
  <r>
    <x v="15"/>
    <d v="1899-12-30T09:25:29"/>
    <n v="1764"/>
    <n v="13002561"/>
    <n v="13"/>
    <n v="22589"/>
    <s v="Retail Sale"/>
    <n v="15"/>
    <n v="60296"/>
    <x v="16"/>
    <s v="Pharmcomplect"/>
    <s v="Pfizer"/>
    <n v="1"/>
    <n v="436.63"/>
    <n v="555.54999999999995"/>
    <n v="27.78"/>
    <n v="27.78"/>
    <s v="BONUS_CARD"/>
    <n v="29"/>
    <n v="1"/>
    <n v="6"/>
    <n v="527.77"/>
    <n v="13130000764"/>
  </r>
  <r>
    <x v="0"/>
    <d v="1899-12-30T12:46:46"/>
    <n v="1765"/>
    <n v="13002561"/>
    <n v="13"/>
    <n v="22589"/>
    <s v="Retail Sale"/>
    <n v="15"/>
    <n v="34749"/>
    <x v="62"/>
    <s v="Avesta"/>
    <s v="TEVA"/>
    <n v="3"/>
    <n v="81.489999999999995"/>
    <n v="137.38"/>
    <n v="6.87"/>
    <n v="6.87"/>
    <s v="BONUS_CARD"/>
    <n v="29"/>
    <n v="1"/>
    <n v="2"/>
    <n v="130.51"/>
    <n v="13130000765"/>
  </r>
  <r>
    <x v="2"/>
    <d v="1899-12-30T22:50:59"/>
    <n v="1766"/>
    <n v="13002561"/>
    <n v="13"/>
    <n v="22589"/>
    <s v="Retail Sale"/>
    <n v="18"/>
    <n v="93412"/>
    <x v="63"/>
    <s v="Pulse"/>
    <s v="TEVA"/>
    <n v="1"/>
    <n v="476.24"/>
    <n v="751"/>
    <n v="0"/>
    <n v="0"/>
    <m/>
    <n v="29"/>
    <n v="1"/>
    <n v="2"/>
    <n v="751"/>
    <n v="13130000766"/>
  </r>
  <r>
    <x v="7"/>
    <d v="1899-12-30T18:20:11"/>
    <n v="1767"/>
    <n v="13002561"/>
    <n v="13"/>
    <n v="22589"/>
    <s v="Retail Sale"/>
    <n v="15"/>
    <n v="51882"/>
    <x v="49"/>
    <s v="Katren"/>
    <s v="TEVA"/>
    <n v="2"/>
    <n v="557.34"/>
    <n v="936.44"/>
    <n v="46.82"/>
    <n v="46.82"/>
    <s v="BONUS_CARD"/>
    <n v="29"/>
    <n v="1"/>
    <n v="2"/>
    <n v="889.62"/>
    <n v="13130000767"/>
  </r>
  <r>
    <x v="26"/>
    <d v="1899-12-30T18:52:11"/>
    <n v="1768"/>
    <n v="13002561"/>
    <n v="13"/>
    <n v="22589"/>
    <s v="Retail Sale"/>
    <n v="15"/>
    <n v="26280"/>
    <x v="5"/>
    <s v="Pharmcomplect"/>
    <s v="Dr. Reddy's"/>
    <n v="1"/>
    <n v="548.15"/>
    <n v="706.98"/>
    <n v="0"/>
    <n v="0"/>
    <m/>
    <n v="29"/>
    <n v="1"/>
    <n v="5"/>
    <n v="706.98"/>
    <n v="13130000768"/>
  </r>
  <r>
    <x v="9"/>
    <d v="1899-12-30T22:56:13"/>
    <n v="1769"/>
    <n v="13002561"/>
    <n v="13"/>
    <n v="22589"/>
    <s v="Retail Sale"/>
    <n v="18"/>
    <n v="64370"/>
    <x v="50"/>
    <s v="Avesta"/>
    <s v="Novartis"/>
    <n v="1"/>
    <n v="128.97"/>
    <n v="186.92"/>
    <n v="0"/>
    <n v="0"/>
    <m/>
    <n v="29"/>
    <n v="1"/>
    <n v="4"/>
    <n v="186.92"/>
    <n v="13130000769"/>
  </r>
  <r>
    <x v="9"/>
    <d v="1899-12-30T20:10:33"/>
    <n v="1770"/>
    <n v="13002561"/>
    <n v="13"/>
    <n v="22589"/>
    <s v="Retail Sale"/>
    <n v="18"/>
    <n v="91593"/>
    <x v="88"/>
    <s v="Grand Capital"/>
    <s v="Sanofi"/>
    <n v="2"/>
    <n v="360.8"/>
    <n v="464.68"/>
    <n v="0"/>
    <n v="0"/>
    <m/>
    <n v="29"/>
    <n v="1"/>
    <n v="4"/>
    <n v="464.68"/>
    <n v="13130000770"/>
  </r>
  <r>
    <x v="2"/>
    <d v="1899-12-30T08:34:33"/>
    <n v="1771"/>
    <n v="13002561"/>
    <n v="13"/>
    <n v="22589"/>
    <s v="Retail Sale"/>
    <n v="15"/>
    <n v="91349"/>
    <x v="54"/>
    <s v="Pharmcomplect"/>
    <s v="KRKA"/>
    <n v="1"/>
    <n v="331.65"/>
    <n v="480.23"/>
    <n v="0"/>
    <n v="0"/>
    <m/>
    <n v="29"/>
    <n v="1"/>
    <n v="5"/>
    <n v="480.23"/>
    <n v="13130000771"/>
  </r>
  <r>
    <x v="25"/>
    <d v="1899-12-30T16:40:04"/>
    <n v="1772"/>
    <n v="13002561"/>
    <n v="13"/>
    <n v="22589"/>
    <s v="Retail Sale"/>
    <n v="18"/>
    <n v="31430"/>
    <x v="45"/>
    <s v="Avesta"/>
    <s v="Dr. Reddy's"/>
    <n v="2"/>
    <n v="201.27"/>
    <n v="255.22"/>
    <n v="25.52"/>
    <n v="25.52"/>
    <s v="BONUS_CARD"/>
    <n v="29"/>
    <n v="1"/>
    <n v="6"/>
    <n v="229.7"/>
    <n v="13130000772"/>
  </r>
  <r>
    <x v="28"/>
    <d v="1899-12-30T22:38:06"/>
    <n v="1773"/>
    <n v="13002561"/>
    <n v="13"/>
    <n v="22589"/>
    <s v="Retail Sale"/>
    <n v="18"/>
    <n v="32569"/>
    <x v="54"/>
    <s v="Grand Capital"/>
    <s v="Takeda"/>
    <n v="1"/>
    <n v="345.35"/>
    <n v="573.67999999999995"/>
    <n v="0"/>
    <n v="0"/>
    <m/>
    <n v="29"/>
    <n v="1"/>
    <n v="6"/>
    <n v="573.67999999999995"/>
    <n v="13130000773"/>
  </r>
  <r>
    <x v="11"/>
    <d v="1899-12-30T12:18:24"/>
    <n v="1774"/>
    <n v="13002561"/>
    <n v="13"/>
    <n v="22589"/>
    <s v="Retail Sale"/>
    <n v="18"/>
    <n v="52139"/>
    <x v="30"/>
    <s v="Avesta"/>
    <s v="TEVA"/>
    <n v="3"/>
    <n v="38.79"/>
    <n v="54.55"/>
    <n v="5.46"/>
    <n v="5.46"/>
    <s v="BONUS_CARD"/>
    <n v="29"/>
    <n v="1"/>
    <n v="4"/>
    <n v="49.09"/>
    <n v="13130000774"/>
  </r>
  <r>
    <x v="20"/>
    <d v="1899-12-30T13:26:49"/>
    <n v="1775"/>
    <n v="13002561"/>
    <n v="13"/>
    <n v="22589"/>
    <s v="Retail Sale"/>
    <n v="18"/>
    <n v="98259"/>
    <x v="88"/>
    <s v="Katren"/>
    <s v="KRKA"/>
    <n v="3"/>
    <n v="320.83"/>
    <n v="472.53"/>
    <n v="0"/>
    <n v="0"/>
    <m/>
    <n v="29"/>
    <n v="1"/>
    <n v="6"/>
    <n v="472.53"/>
    <n v="13130000775"/>
  </r>
  <r>
    <x v="11"/>
    <d v="1899-12-30T08:04:05"/>
    <n v="1776"/>
    <n v="13002561"/>
    <n v="13"/>
    <n v="22589"/>
    <s v="Retail Sale"/>
    <n v="18"/>
    <n v="94525"/>
    <x v="29"/>
    <s v="Pharmcomplect"/>
    <s v="Takeda"/>
    <n v="3"/>
    <n v="46.3"/>
    <n v="74.95"/>
    <n v="0"/>
    <n v="0"/>
    <m/>
    <n v="29"/>
    <n v="1"/>
    <n v="2"/>
    <n v="74.95"/>
    <n v="13130000776"/>
  </r>
  <r>
    <x v="24"/>
    <d v="1899-12-30T17:55:46"/>
    <n v="1777"/>
    <n v="13002561"/>
    <n v="13"/>
    <n v="22589"/>
    <s v="Retail Sale"/>
    <n v="18"/>
    <n v="61441"/>
    <x v="22"/>
    <s v="Grand Capital"/>
    <s v="Bayer"/>
    <n v="1"/>
    <n v="165.24"/>
    <n v="208.58"/>
    <n v="0"/>
    <n v="0"/>
    <m/>
    <n v="29"/>
    <n v="1"/>
    <n v="4"/>
    <n v="208.58"/>
    <n v="13130000777"/>
  </r>
  <r>
    <x v="18"/>
    <d v="1899-12-30T16:10:23"/>
    <n v="1778"/>
    <n v="13002561"/>
    <n v="13"/>
    <n v="22589"/>
    <s v="Retail Sale"/>
    <n v="15"/>
    <n v="27636"/>
    <x v="89"/>
    <s v="Pharmcomplect"/>
    <s v="TEVA"/>
    <n v="1"/>
    <n v="423.85"/>
    <n v="588.95000000000005"/>
    <n v="58.9"/>
    <n v="58.9"/>
    <s v="BONUS_CARD"/>
    <n v="29"/>
    <n v="1"/>
    <n v="1"/>
    <n v="530.04999999999995"/>
    <n v="13130000778"/>
  </r>
  <r>
    <x v="4"/>
    <d v="1899-12-30T16:27:36"/>
    <n v="1779"/>
    <n v="13002561"/>
    <n v="13"/>
    <n v="22589"/>
    <s v="Retail Sale"/>
    <n v="18"/>
    <n v="64509"/>
    <x v="24"/>
    <s v="Pulse"/>
    <s v="TEVA"/>
    <n v="1"/>
    <n v="95.73"/>
    <n v="142.53"/>
    <n v="0"/>
    <n v="0"/>
    <m/>
    <n v="29"/>
    <n v="1"/>
    <n v="3"/>
    <n v="142.53"/>
    <n v="13130000779"/>
  </r>
  <r>
    <x v="16"/>
    <d v="1899-12-30T22:45:06"/>
    <n v="1780"/>
    <n v="13002561"/>
    <n v="13"/>
    <n v="22589"/>
    <s v="Retail Sale"/>
    <n v="18"/>
    <n v="28837"/>
    <x v="1"/>
    <s v="Pharmcomplect"/>
    <s v="TEVA"/>
    <n v="2"/>
    <n v="149.78"/>
    <n v="196.44"/>
    <n v="0"/>
    <n v="0"/>
    <m/>
    <n v="29"/>
    <n v="1"/>
    <n v="1"/>
    <n v="196.44"/>
    <n v="13130000780"/>
  </r>
  <r>
    <x v="8"/>
    <d v="1899-12-30T09:09:48"/>
    <n v="1781"/>
    <n v="13002561"/>
    <n v="13"/>
    <n v="22589"/>
    <s v="Retail Sale"/>
    <n v="15"/>
    <n v="38618"/>
    <x v="59"/>
    <s v="Grand Capital"/>
    <s v="Bayer"/>
    <n v="3"/>
    <n v="353.84"/>
    <n v="569.37"/>
    <n v="56.94"/>
    <n v="56.94"/>
    <s v="BONUS_CARD"/>
    <n v="29"/>
    <n v="1"/>
    <n v="1"/>
    <n v="512.42999999999995"/>
    <n v="13130000781"/>
  </r>
  <r>
    <x v="18"/>
    <d v="1899-12-30T08:21:20"/>
    <n v="1782"/>
    <n v="13002561"/>
    <n v="13"/>
    <n v="22589"/>
    <s v="Retail Sale"/>
    <n v="15"/>
    <n v="96803"/>
    <x v="13"/>
    <s v="Grand Capital"/>
    <s v="Bayer"/>
    <n v="3"/>
    <n v="64.3"/>
    <n v="84.83"/>
    <n v="4.24"/>
    <n v="4.24"/>
    <s v="BONUS_CARD"/>
    <n v="29"/>
    <n v="1"/>
    <n v="2"/>
    <n v="80.59"/>
    <n v="13130000782"/>
  </r>
  <r>
    <x v="6"/>
    <d v="1899-12-30T08:39:35"/>
    <n v="1783"/>
    <n v="13002561"/>
    <n v="13"/>
    <n v="22589"/>
    <s v="Retail Sale"/>
    <n v="15"/>
    <n v="86400"/>
    <x v="51"/>
    <s v="Protek"/>
    <s v="TEVA"/>
    <n v="3"/>
    <n v="176.58"/>
    <n v="271.36"/>
    <n v="0"/>
    <n v="0"/>
    <m/>
    <n v="29"/>
    <n v="1"/>
    <n v="4"/>
    <n v="271.36"/>
    <n v="13130000783"/>
  </r>
  <r>
    <x v="27"/>
    <d v="1899-12-30T08:40:58"/>
    <n v="1784"/>
    <n v="13002561"/>
    <n v="13"/>
    <n v="22589"/>
    <s v="Retail Sale"/>
    <n v="15"/>
    <n v="56158"/>
    <x v="85"/>
    <s v="Protek"/>
    <s v="Pfizer"/>
    <n v="3"/>
    <n v="273.3"/>
    <n v="453.1"/>
    <n v="22.66"/>
    <n v="22.66"/>
    <s v="BONUS_CARD"/>
    <n v="29"/>
    <n v="1"/>
    <n v="4"/>
    <n v="430.44"/>
    <n v="13130000784"/>
  </r>
  <r>
    <x v="18"/>
    <d v="1899-12-30T19:37:18"/>
    <n v="1785"/>
    <n v="13002561"/>
    <n v="13"/>
    <n v="22589"/>
    <s v="Retail Sale"/>
    <n v="18"/>
    <n v="86587"/>
    <x v="43"/>
    <s v="Pulse"/>
    <s v="Bayer"/>
    <n v="1"/>
    <n v="51.47"/>
    <n v="70.959999999999994"/>
    <n v="3.55"/>
    <n v="3.55"/>
    <s v="BONUS_CARD"/>
    <n v="29"/>
    <n v="1"/>
    <n v="6"/>
    <n v="67.41"/>
    <n v="13130000785"/>
  </r>
  <r>
    <x v="30"/>
    <d v="1899-12-30T13:59:03"/>
    <n v="1786"/>
    <n v="13002561"/>
    <n v="13"/>
    <n v="22589"/>
    <s v="Retail Sale"/>
    <n v="18"/>
    <n v="84150"/>
    <x v="57"/>
    <s v="Protek"/>
    <s v="Bayer"/>
    <n v="1"/>
    <n v="111.89"/>
    <n v="181.35"/>
    <n v="9.07"/>
    <n v="9.07"/>
    <s v="BONUS_CARD"/>
    <n v="29"/>
    <n v="1"/>
    <n v="4"/>
    <n v="172.28"/>
    <n v="13130000786"/>
  </r>
  <r>
    <x v="21"/>
    <d v="1899-12-30T14:01:34"/>
    <n v="1787"/>
    <n v="13002561"/>
    <n v="13"/>
    <n v="22589"/>
    <s v="Retail Sale"/>
    <n v="18"/>
    <n v="17675"/>
    <x v="66"/>
    <s v="Grand Capital"/>
    <s v="Pfizer"/>
    <n v="1"/>
    <n v="530.39"/>
    <n v="809.91"/>
    <n v="40.5"/>
    <n v="40.5"/>
    <s v="BONUS_CARD"/>
    <n v="29"/>
    <n v="1"/>
    <n v="3"/>
    <n v="769.41"/>
    <n v="13130000787"/>
  </r>
  <r>
    <x v="30"/>
    <d v="1899-12-30T21:36:14"/>
    <n v="1788"/>
    <n v="13002561"/>
    <n v="13"/>
    <n v="22589"/>
    <s v="Retail Sale"/>
    <n v="15"/>
    <n v="18939"/>
    <x v="67"/>
    <s v="Protek"/>
    <s v="TEVA"/>
    <n v="3"/>
    <n v="303.95999999999998"/>
    <n v="506.84"/>
    <n v="50.68"/>
    <n v="50.68"/>
    <s v="BONUS_CARD"/>
    <n v="29"/>
    <n v="1"/>
    <n v="1"/>
    <n v="456.16"/>
    <n v="13130000788"/>
  </r>
  <r>
    <x v="25"/>
    <d v="1899-12-30T11:49:22"/>
    <n v="1789"/>
    <n v="13002561"/>
    <n v="13"/>
    <n v="22589"/>
    <s v="Retail Sale"/>
    <n v="18"/>
    <n v="13975"/>
    <x v="24"/>
    <s v="Pharmcomplect"/>
    <s v="Novartis"/>
    <n v="1"/>
    <n v="49.05"/>
    <n v="67.819999999999993"/>
    <n v="3.39"/>
    <n v="3.39"/>
    <s v="BONUS_CARD"/>
    <n v="29"/>
    <n v="1"/>
    <n v="3"/>
    <n v="64.430000000000007"/>
    <n v="13130000789"/>
  </r>
  <r>
    <x v="19"/>
    <d v="1899-12-30T20:23:21"/>
    <n v="1790"/>
    <n v="13002561"/>
    <n v="13"/>
    <n v="22589"/>
    <s v="Retail Sale"/>
    <n v="15"/>
    <n v="87804"/>
    <x v="0"/>
    <s v="Grand Capital"/>
    <s v="Bayer"/>
    <n v="2"/>
    <n v="96.19"/>
    <n v="144.96"/>
    <n v="0"/>
    <n v="0"/>
    <m/>
    <n v="29"/>
    <n v="1"/>
    <n v="1"/>
    <n v="144.96"/>
    <n v="13130000790"/>
  </r>
  <r>
    <x v="6"/>
    <d v="1899-12-30T16:22:08"/>
    <n v="1791"/>
    <n v="13002561"/>
    <n v="13"/>
    <n v="22589"/>
    <s v="Retail Sale"/>
    <n v="15"/>
    <n v="73301"/>
    <x v="16"/>
    <s v="Pharmcomplect"/>
    <s v="Novartis"/>
    <n v="1"/>
    <n v="23.23"/>
    <n v="36.659999999999997"/>
    <n v="0"/>
    <n v="0"/>
    <m/>
    <n v="29"/>
    <n v="1"/>
    <n v="4"/>
    <n v="36.659999999999997"/>
    <n v="13130000791"/>
  </r>
  <r>
    <x v="21"/>
    <d v="1899-12-30T08:38:50"/>
    <n v="1792"/>
    <n v="13002561"/>
    <n v="13"/>
    <n v="22589"/>
    <s v="Retail Sale"/>
    <n v="18"/>
    <n v="34612"/>
    <x v="11"/>
    <s v="Pharmcomplect"/>
    <s v="Bayer"/>
    <n v="2"/>
    <n v="78.569999999999993"/>
    <n v="133.04"/>
    <n v="13.3"/>
    <n v="13.3"/>
    <s v="BONUS_CARD"/>
    <n v="29"/>
    <n v="1"/>
    <n v="6"/>
    <n v="119.74"/>
    <n v="13130000792"/>
  </r>
  <r>
    <x v="11"/>
    <d v="1899-12-30T19:48:16"/>
    <n v="1793"/>
    <n v="13002561"/>
    <n v="13"/>
    <n v="22589"/>
    <s v="Retail Sale"/>
    <n v="18"/>
    <n v="11351"/>
    <x v="62"/>
    <s v="Katren"/>
    <s v="Novartis"/>
    <n v="1"/>
    <n v="451.1"/>
    <n v="670.74"/>
    <n v="33.54"/>
    <n v="33.54"/>
    <s v="BONUS_CARD"/>
    <n v="29"/>
    <n v="1"/>
    <n v="1"/>
    <n v="637.20000000000005"/>
    <n v="13130000793"/>
  </r>
  <r>
    <x v="22"/>
    <d v="1899-12-30T17:07:14"/>
    <n v="1794"/>
    <n v="13002561"/>
    <n v="13"/>
    <n v="22589"/>
    <s v="Retail Sale"/>
    <n v="15"/>
    <n v="34339"/>
    <x v="12"/>
    <s v="Katren"/>
    <s v="Takeda"/>
    <n v="2"/>
    <n v="287.24"/>
    <n v="410.07"/>
    <n v="20.5"/>
    <n v="20.5"/>
    <s v="BONUS_CARD"/>
    <n v="29"/>
    <n v="1"/>
    <n v="2"/>
    <n v="389.57"/>
    <n v="13130000794"/>
  </r>
  <r>
    <x v="7"/>
    <d v="1899-12-30T17:54:17"/>
    <n v="1795"/>
    <n v="13002561"/>
    <n v="13"/>
    <n v="22589"/>
    <s v="Retail Sale"/>
    <n v="15"/>
    <n v="76161"/>
    <x v="36"/>
    <s v="Grand Capital"/>
    <s v="Pfizer"/>
    <n v="3"/>
    <n v="147.09"/>
    <n v="235.35"/>
    <n v="0"/>
    <n v="0"/>
    <m/>
    <n v="29"/>
    <n v="1"/>
    <n v="1"/>
    <n v="235.35"/>
    <n v="13130000795"/>
  </r>
  <r>
    <x v="20"/>
    <d v="1899-12-30T08:36:27"/>
    <n v="1796"/>
    <n v="13002561"/>
    <n v="13"/>
    <n v="22589"/>
    <s v="Retail Sale"/>
    <n v="15"/>
    <n v="93076"/>
    <x v="25"/>
    <s v="Avesta"/>
    <s v="Sanofi"/>
    <n v="2"/>
    <n v="84.86"/>
    <n v="143.03"/>
    <n v="14.3"/>
    <n v="14.3"/>
    <s v="BONUS_CARD"/>
    <n v="29"/>
    <n v="1"/>
    <n v="6"/>
    <n v="128.72999999999999"/>
    <n v="13130000796"/>
  </r>
  <r>
    <x v="14"/>
    <d v="1899-12-30T15:16:06"/>
    <n v="1797"/>
    <n v="13002561"/>
    <n v="13"/>
    <n v="22589"/>
    <s v="Retail Sale"/>
    <n v="18"/>
    <n v="10669"/>
    <x v="28"/>
    <s v="Avesta"/>
    <s v="Bayer"/>
    <n v="3"/>
    <n v="283.97000000000003"/>
    <n v="462.16"/>
    <n v="0"/>
    <n v="0"/>
    <m/>
    <n v="29"/>
    <n v="1"/>
    <n v="4"/>
    <n v="462.16"/>
    <n v="13130000797"/>
  </r>
  <r>
    <x v="28"/>
    <d v="1899-12-30T17:01:41"/>
    <n v="1798"/>
    <n v="13002561"/>
    <n v="13"/>
    <n v="22589"/>
    <s v="Retail Sale"/>
    <n v="18"/>
    <n v="51300"/>
    <x v="4"/>
    <s v="Pulse"/>
    <s v="Pfizer"/>
    <n v="3"/>
    <n v="411.34"/>
    <n v="550.58000000000004"/>
    <n v="55.06"/>
    <n v="55.06"/>
    <s v="BONUS_CARD"/>
    <n v="29"/>
    <n v="1"/>
    <n v="2"/>
    <n v="495.52"/>
    <n v="13130000798"/>
  </r>
  <r>
    <x v="19"/>
    <d v="1899-12-30T08:43:37"/>
    <n v="1799"/>
    <n v="13002561"/>
    <n v="13"/>
    <n v="22589"/>
    <s v="Retail Sale"/>
    <n v="15"/>
    <n v="23239"/>
    <x v="39"/>
    <s v="Avesta"/>
    <s v="TEVA"/>
    <n v="3"/>
    <n v="331.59"/>
    <n v="552.4"/>
    <n v="55.24"/>
    <n v="55.24"/>
    <s v="BONUS_CARD"/>
    <n v="29"/>
    <n v="1"/>
    <n v="4"/>
    <n v="497.16"/>
    <n v="13130000799"/>
  </r>
  <r>
    <x v="30"/>
    <d v="1899-12-30T10:31:25"/>
    <n v="1800"/>
    <n v="13002561"/>
    <n v="13"/>
    <n v="22589"/>
    <s v="Retail Sale"/>
    <n v="18"/>
    <n v="38524"/>
    <x v="78"/>
    <s v="Avesta"/>
    <s v="Novartis"/>
    <n v="3"/>
    <n v="45.58"/>
    <n v="69.59"/>
    <n v="3.48"/>
    <n v="3.48"/>
    <s v="BONUS_CARD"/>
    <n v="29"/>
    <n v="1"/>
    <n v="4"/>
    <n v="66.11"/>
    <n v="13130000800"/>
  </r>
  <r>
    <x v="16"/>
    <d v="1899-12-30T13:56:24"/>
    <n v="1801"/>
    <n v="13002561"/>
    <n v="13"/>
    <n v="22589"/>
    <s v="Retail Sale"/>
    <n v="18"/>
    <n v="74837"/>
    <x v="40"/>
    <s v="Grand Capital"/>
    <s v="Novartis"/>
    <n v="1"/>
    <n v="563.17999999999995"/>
    <n v="840.31"/>
    <n v="42.02"/>
    <n v="42.02"/>
    <s v="BONUS_CARD"/>
    <n v="29"/>
    <n v="1"/>
    <n v="4"/>
    <n v="798.29"/>
    <n v="13130000801"/>
  </r>
  <r>
    <x v="27"/>
    <d v="1899-12-30T17:40:58"/>
    <n v="1802"/>
    <n v="13002561"/>
    <n v="13"/>
    <n v="22589"/>
    <s v="Retail Sale"/>
    <n v="15"/>
    <n v="10016"/>
    <x v="49"/>
    <s v="Pharmcomplect"/>
    <s v="Dr. Reddy's"/>
    <n v="1"/>
    <n v="194.53"/>
    <n v="313"/>
    <n v="0"/>
    <n v="0"/>
    <m/>
    <n v="29"/>
    <n v="1"/>
    <n v="1"/>
    <n v="313"/>
    <n v="13130000802"/>
  </r>
  <r>
    <x v="28"/>
    <d v="1899-12-30T09:52:27"/>
    <n v="1803"/>
    <n v="13002561"/>
    <n v="13"/>
    <n v="22589"/>
    <s v="Retail Sale"/>
    <n v="15"/>
    <n v="95128"/>
    <x v="62"/>
    <s v="Grand Capital"/>
    <s v="Novartis"/>
    <n v="3"/>
    <n v="18.989999999999998"/>
    <n v="31.26"/>
    <n v="0"/>
    <n v="0"/>
    <m/>
    <n v="29"/>
    <n v="1"/>
    <n v="5"/>
    <n v="31.26"/>
    <n v="13130000803"/>
  </r>
  <r>
    <x v="26"/>
    <d v="1899-12-30T13:06:48"/>
    <n v="1804"/>
    <n v="13002561"/>
    <n v="13"/>
    <n v="22589"/>
    <s v="Retail Sale"/>
    <n v="15"/>
    <n v="67067"/>
    <x v="0"/>
    <s v="Protek"/>
    <s v="KRKA"/>
    <n v="3"/>
    <n v="236.98"/>
    <n v="303.08"/>
    <n v="30.31"/>
    <n v="30.31"/>
    <s v="BONUS_CARD"/>
    <n v="29"/>
    <n v="1"/>
    <n v="5"/>
    <n v="272.77"/>
    <n v="13130000804"/>
  </r>
  <r>
    <x v="27"/>
    <d v="1899-12-30T20:59:29"/>
    <n v="1805"/>
    <n v="13002561"/>
    <n v="13"/>
    <n v="22589"/>
    <s v="Retail Sale"/>
    <n v="18"/>
    <n v="15581"/>
    <x v="46"/>
    <s v="Pulse"/>
    <s v="Dr. Reddy's"/>
    <n v="3"/>
    <n v="265.44"/>
    <n v="440.86"/>
    <n v="22.04"/>
    <n v="22.04"/>
    <s v="BONUS_CARD"/>
    <n v="29"/>
    <n v="1"/>
    <n v="1"/>
    <n v="418.82"/>
    <n v="13130000805"/>
  </r>
  <r>
    <x v="24"/>
    <d v="1899-12-30T10:02:47"/>
    <n v="1806"/>
    <n v="13002561"/>
    <n v="13"/>
    <n v="22589"/>
    <s v="Retail Sale"/>
    <n v="18"/>
    <n v="53829"/>
    <x v="46"/>
    <s v="Grand Capital"/>
    <s v="Takeda"/>
    <n v="1"/>
    <n v="439.73"/>
    <n v="564.33000000000004"/>
    <n v="0"/>
    <n v="0"/>
    <m/>
    <n v="29"/>
    <n v="1"/>
    <n v="3"/>
    <n v="564.33000000000004"/>
    <n v="13130000806"/>
  </r>
  <r>
    <x v="29"/>
    <d v="1899-12-30T10:10:17"/>
    <n v="1807"/>
    <n v="13002561"/>
    <n v="13"/>
    <n v="22589"/>
    <s v="Retail Sale"/>
    <n v="18"/>
    <n v="92132"/>
    <x v="62"/>
    <s v="Pulse"/>
    <s v="Sanofi"/>
    <n v="2"/>
    <n v="221.03"/>
    <n v="368.58"/>
    <n v="36.86"/>
    <n v="36.86"/>
    <s v="BONUS_CARD"/>
    <n v="29"/>
    <n v="1"/>
    <n v="5"/>
    <n v="331.72"/>
    <n v="13130000807"/>
  </r>
  <r>
    <x v="27"/>
    <d v="1899-12-30T12:04:12"/>
    <n v="1808"/>
    <n v="13002561"/>
    <n v="13"/>
    <n v="22589"/>
    <s v="Retail Sale"/>
    <n v="18"/>
    <n v="55218"/>
    <x v="77"/>
    <s v="Avesta"/>
    <s v="Sanofi"/>
    <n v="2"/>
    <n v="219.82"/>
    <n v="276.64999999999998"/>
    <n v="13.83"/>
    <n v="13.83"/>
    <s v="BONUS_CARD"/>
    <n v="29"/>
    <n v="1"/>
    <n v="3"/>
    <n v="262.82"/>
    <n v="13130000808"/>
  </r>
  <r>
    <x v="24"/>
    <d v="1899-12-30T22:40:38"/>
    <n v="1809"/>
    <n v="13002561"/>
    <n v="13"/>
    <n v="22589"/>
    <s v="Retail Sale"/>
    <n v="18"/>
    <n v="34592"/>
    <x v="43"/>
    <s v="Pharmcomplect"/>
    <s v="Pfizer"/>
    <n v="2"/>
    <n v="478.15"/>
    <n v="769.18"/>
    <n v="76.92"/>
    <n v="76.92"/>
    <s v="BONUS_CARD"/>
    <n v="29"/>
    <n v="1"/>
    <n v="4"/>
    <n v="692.26"/>
    <n v="13130000809"/>
  </r>
  <r>
    <x v="8"/>
    <d v="1899-12-30T20:41:10"/>
    <n v="1810"/>
    <n v="13002561"/>
    <n v="13"/>
    <n v="22589"/>
    <s v="Retail Sale"/>
    <n v="15"/>
    <n v="13490"/>
    <x v="51"/>
    <s v="Protek"/>
    <s v="Bayer"/>
    <n v="2"/>
    <n v="116.59"/>
    <n v="191.73"/>
    <n v="19.170000000000002"/>
    <n v="19.170000000000002"/>
    <s v="BONUS_CARD"/>
    <n v="29"/>
    <n v="1"/>
    <n v="3"/>
    <n v="172.56"/>
    <n v="13130000810"/>
  </r>
  <r>
    <x v="1"/>
    <d v="1899-12-30T12:44:37"/>
    <n v="1811"/>
    <n v="13002561"/>
    <n v="13"/>
    <n v="22589"/>
    <s v="Retail Sale"/>
    <n v="15"/>
    <n v="16490"/>
    <x v="67"/>
    <s v="Avesta"/>
    <s v="Dr. Reddy's"/>
    <n v="3"/>
    <n v="133.62"/>
    <n v="188.63"/>
    <n v="18.86"/>
    <n v="18.86"/>
    <s v="BONUS_CARD"/>
    <n v="29"/>
    <n v="1"/>
    <n v="2"/>
    <n v="169.77"/>
    <n v="13130000811"/>
  </r>
  <r>
    <x v="11"/>
    <d v="1899-12-30T09:16:16"/>
    <n v="1812"/>
    <n v="13002561"/>
    <n v="13"/>
    <n v="22589"/>
    <s v="Retail Sale"/>
    <n v="15"/>
    <n v="53710"/>
    <x v="88"/>
    <s v="Grand Capital"/>
    <s v="Sanofi"/>
    <n v="2"/>
    <n v="200.94"/>
    <n v="276.41000000000003"/>
    <n v="0"/>
    <n v="0"/>
    <m/>
    <n v="29"/>
    <n v="1"/>
    <n v="3"/>
    <n v="276.41000000000003"/>
    <n v="13130000812"/>
  </r>
  <r>
    <x v="10"/>
    <d v="1899-12-30T19:13:31"/>
    <n v="1813"/>
    <n v="13002561"/>
    <n v="13"/>
    <n v="22589"/>
    <s v="Retail Sale"/>
    <n v="15"/>
    <n v="19258"/>
    <x v="29"/>
    <s v="Protek"/>
    <s v="Pfizer"/>
    <n v="2"/>
    <n v="533.51"/>
    <n v="706.06"/>
    <n v="0"/>
    <n v="0"/>
    <m/>
    <n v="29"/>
    <n v="1"/>
    <n v="5"/>
    <n v="706.06"/>
    <n v="13130000813"/>
  </r>
  <r>
    <x v="4"/>
    <d v="1899-12-30T13:13:17"/>
    <n v="1814"/>
    <n v="13002561"/>
    <n v="13"/>
    <n v="22589"/>
    <s v="Retail Sale"/>
    <n v="15"/>
    <n v="88065"/>
    <x v="86"/>
    <s v="Katren"/>
    <s v="Takeda"/>
    <n v="2"/>
    <n v="588.27"/>
    <n v="814.61"/>
    <n v="40.729999999999997"/>
    <n v="40.729999999999997"/>
    <s v="BONUS_CARD"/>
    <n v="29"/>
    <n v="1"/>
    <n v="6"/>
    <n v="773.88"/>
    <n v="13130000814"/>
  </r>
  <r>
    <x v="22"/>
    <d v="1899-12-30T21:10:02"/>
    <n v="1815"/>
    <n v="13002561"/>
    <n v="13"/>
    <n v="22589"/>
    <s v="Retail Sale"/>
    <n v="15"/>
    <n v="22922"/>
    <x v="30"/>
    <s v="Grand Capital"/>
    <s v="Takeda"/>
    <n v="1"/>
    <n v="61.81"/>
    <n v="80.239999999999995"/>
    <n v="0"/>
    <n v="0"/>
    <m/>
    <n v="29"/>
    <n v="1"/>
    <n v="5"/>
    <n v="80.239999999999995"/>
    <n v="13130000815"/>
  </r>
  <r>
    <x v="13"/>
    <d v="1899-12-30T16:17:16"/>
    <n v="1816"/>
    <n v="13002561"/>
    <n v="13"/>
    <n v="22589"/>
    <s v="Retail Sale"/>
    <n v="15"/>
    <n v="10763"/>
    <x v="72"/>
    <s v="Grand Capital"/>
    <s v="Bayer"/>
    <n v="1"/>
    <n v="343.09"/>
    <n v="481.06"/>
    <n v="48.11"/>
    <n v="48.11"/>
    <s v="BONUS_CARD"/>
    <n v="29"/>
    <n v="1"/>
    <n v="2"/>
    <n v="432.95"/>
    <n v="13130000816"/>
  </r>
  <r>
    <x v="13"/>
    <d v="1899-12-30T10:13:14"/>
    <n v="1817"/>
    <n v="13002561"/>
    <n v="13"/>
    <n v="22589"/>
    <s v="Retail Sale"/>
    <n v="15"/>
    <n v="25285"/>
    <x v="85"/>
    <s v="Avesta"/>
    <s v="TEVA"/>
    <n v="2"/>
    <n v="261.16000000000003"/>
    <n v="389.2"/>
    <n v="19.46"/>
    <n v="19.46"/>
    <s v="BONUS_CARD"/>
    <n v="29"/>
    <n v="1"/>
    <n v="6"/>
    <n v="369.74"/>
    <n v="13130000817"/>
  </r>
  <r>
    <x v="7"/>
    <d v="1899-12-30T09:30:36"/>
    <n v="1818"/>
    <n v="13002561"/>
    <n v="13"/>
    <n v="22589"/>
    <s v="Retail Sale"/>
    <n v="18"/>
    <n v="26265"/>
    <x v="17"/>
    <s v="Grand Capital"/>
    <s v="Sanofi"/>
    <n v="3"/>
    <n v="358.03"/>
    <n v="602.69000000000005"/>
    <n v="0"/>
    <n v="0"/>
    <m/>
    <n v="29"/>
    <n v="1"/>
    <n v="5"/>
    <n v="602.69000000000005"/>
    <n v="13130000818"/>
  </r>
  <r>
    <x v="2"/>
    <d v="1899-12-30T10:37:24"/>
    <n v="1819"/>
    <n v="13002561"/>
    <n v="13"/>
    <n v="22589"/>
    <s v="Retail Sale"/>
    <n v="15"/>
    <n v="17738"/>
    <x v="32"/>
    <s v="Avesta"/>
    <s v="Dr. Reddy's"/>
    <n v="3"/>
    <n v="449"/>
    <n v="636.39"/>
    <n v="31.82"/>
    <n v="31.82"/>
    <s v="BONUS_CARD"/>
    <n v="29"/>
    <n v="1"/>
    <n v="2"/>
    <n v="604.57000000000005"/>
    <n v="13130000819"/>
  </r>
  <r>
    <x v="19"/>
    <d v="1899-12-30T08:13:36"/>
    <n v="1820"/>
    <n v="13002561"/>
    <n v="13"/>
    <n v="22589"/>
    <s v="Retail Sale"/>
    <n v="15"/>
    <n v="79198"/>
    <x v="28"/>
    <s v="Protek"/>
    <s v="Takeda"/>
    <n v="2"/>
    <n v="493.75"/>
    <n v="784"/>
    <n v="0"/>
    <n v="0"/>
    <m/>
    <n v="29"/>
    <n v="1"/>
    <n v="1"/>
    <n v="784"/>
    <n v="13130000820"/>
  </r>
  <r>
    <x v="15"/>
    <d v="1899-12-30T11:55:26"/>
    <n v="1821"/>
    <n v="13002561"/>
    <n v="13"/>
    <n v="22589"/>
    <s v="Retail Sale"/>
    <n v="15"/>
    <n v="97683"/>
    <x v="44"/>
    <s v="Protek"/>
    <s v="KRKA"/>
    <n v="1"/>
    <n v="521.63"/>
    <n v="802.1"/>
    <n v="0"/>
    <n v="0"/>
    <m/>
    <n v="29"/>
    <n v="1"/>
    <n v="3"/>
    <n v="802.1"/>
    <n v="13130000821"/>
  </r>
  <r>
    <x v="3"/>
    <d v="1899-12-30T20:11:45"/>
    <n v="1822"/>
    <n v="13002561"/>
    <n v="13"/>
    <n v="22589"/>
    <s v="Retail Sale"/>
    <n v="18"/>
    <n v="84165"/>
    <x v="5"/>
    <s v="Protek"/>
    <s v="TEVA"/>
    <n v="1"/>
    <n v="522.72"/>
    <n v="779.56"/>
    <n v="0"/>
    <n v="0"/>
    <m/>
    <n v="29"/>
    <n v="1"/>
    <n v="2"/>
    <n v="779.56"/>
    <n v="13130000822"/>
  </r>
  <r>
    <x v="18"/>
    <d v="1899-12-30T15:00:27"/>
    <n v="1823"/>
    <n v="13002561"/>
    <n v="13"/>
    <n v="22589"/>
    <s v="Retail Sale"/>
    <n v="15"/>
    <n v="35599"/>
    <x v="14"/>
    <s v="Pharmcomplect"/>
    <s v="TEVA"/>
    <n v="1"/>
    <n v="251.34"/>
    <n v="411.21"/>
    <n v="41.12"/>
    <n v="41.12"/>
    <s v="BONUS_CARD"/>
    <n v="29"/>
    <n v="1"/>
    <n v="3"/>
    <n v="370.09"/>
    <n v="13130000823"/>
  </r>
  <r>
    <x v="25"/>
    <d v="1899-12-30T19:03:05"/>
    <n v="1824"/>
    <n v="13002561"/>
    <n v="13"/>
    <n v="22589"/>
    <s v="Retail Sale"/>
    <n v="15"/>
    <n v="51019"/>
    <x v="38"/>
    <s v="Katren"/>
    <s v="Sanofi"/>
    <n v="2"/>
    <n v="170.71"/>
    <n v="275.19"/>
    <n v="0"/>
    <n v="0"/>
    <m/>
    <n v="29"/>
    <n v="1"/>
    <n v="6"/>
    <n v="275.19"/>
    <n v="13130000824"/>
  </r>
  <r>
    <x v="21"/>
    <d v="1899-12-30T17:49:49"/>
    <n v="1825"/>
    <n v="13002561"/>
    <n v="13"/>
    <n v="22589"/>
    <s v="Retail Sale"/>
    <n v="18"/>
    <n v="16554"/>
    <x v="33"/>
    <s v="Avesta"/>
    <s v="Novartis"/>
    <n v="1"/>
    <n v="488.57"/>
    <n v="830.36"/>
    <n v="83.04"/>
    <n v="83.04"/>
    <s v="BONUS_CARD"/>
    <n v="29"/>
    <n v="1"/>
    <n v="2"/>
    <n v="747.32"/>
    <n v="13130000825"/>
  </r>
  <r>
    <x v="9"/>
    <d v="1899-12-30T11:09:11"/>
    <n v="1826"/>
    <n v="13002561"/>
    <n v="13"/>
    <n v="22589"/>
    <s v="Retail Sale"/>
    <n v="18"/>
    <n v="41099"/>
    <x v="36"/>
    <s v="Pharmcomplect"/>
    <s v="Novartis"/>
    <n v="3"/>
    <n v="10.14"/>
    <n v="15.87"/>
    <n v="0"/>
    <n v="0"/>
    <m/>
    <n v="29"/>
    <n v="1"/>
    <n v="4"/>
    <n v="15.87"/>
    <n v="13130000826"/>
  </r>
  <r>
    <x v="3"/>
    <d v="1899-12-30T18:40:53"/>
    <n v="1827"/>
    <n v="13002561"/>
    <n v="13"/>
    <n v="22589"/>
    <s v="Retail Sale"/>
    <n v="18"/>
    <n v="33493"/>
    <x v="14"/>
    <s v="Avesta"/>
    <s v="Pfizer"/>
    <n v="3"/>
    <n v="334.32"/>
    <n v="522.52"/>
    <n v="26.13"/>
    <n v="26.13"/>
    <s v="BONUS_CARD"/>
    <n v="29"/>
    <n v="1"/>
    <n v="6"/>
    <n v="496.39"/>
    <n v="13130000827"/>
  </r>
  <r>
    <x v="20"/>
    <d v="1899-12-30T12:14:40"/>
    <n v="1828"/>
    <n v="13002561"/>
    <n v="13"/>
    <n v="22589"/>
    <s v="Retail Sale"/>
    <n v="18"/>
    <n v="29793"/>
    <x v="40"/>
    <s v="Grand Capital"/>
    <s v="TEVA"/>
    <n v="1"/>
    <n v="77.209999999999994"/>
    <n v="98.99"/>
    <n v="9.9"/>
    <n v="9.9"/>
    <s v="BONUS_CARD"/>
    <n v="29"/>
    <n v="1"/>
    <n v="6"/>
    <n v="89.09"/>
    <n v="13130000828"/>
  </r>
  <r>
    <x v="28"/>
    <d v="1899-12-30T21:49:58"/>
    <n v="1829"/>
    <n v="13002561"/>
    <n v="13"/>
    <n v="22589"/>
    <s v="Retail Sale"/>
    <n v="18"/>
    <n v="68793"/>
    <x v="20"/>
    <s v="Katren"/>
    <s v="Bayer"/>
    <n v="2"/>
    <n v="363.74"/>
    <n v="587.22"/>
    <n v="0"/>
    <n v="0"/>
    <m/>
    <n v="29"/>
    <n v="1"/>
    <n v="5"/>
    <n v="587.22"/>
    <n v="13130000829"/>
  </r>
  <r>
    <x v="18"/>
    <d v="1899-12-30T19:32:29"/>
    <n v="1830"/>
    <n v="13002561"/>
    <n v="13"/>
    <n v="22589"/>
    <s v="Retail Sale"/>
    <n v="18"/>
    <n v="54985"/>
    <x v="80"/>
    <s v="Avesta"/>
    <s v="Dr. Reddy's"/>
    <n v="3"/>
    <n v="198.57"/>
    <n v="327.81"/>
    <n v="32.78"/>
    <n v="32.78"/>
    <s v="BONUS_CARD"/>
    <n v="29"/>
    <n v="1"/>
    <n v="2"/>
    <n v="295.02999999999997"/>
    <n v="13130000830"/>
  </r>
  <r>
    <x v="0"/>
    <d v="1899-12-30T12:07:16"/>
    <n v="1831"/>
    <n v="13002561"/>
    <n v="13"/>
    <n v="22589"/>
    <s v="Retail Sale"/>
    <n v="15"/>
    <n v="15301"/>
    <x v="23"/>
    <s v="Protek"/>
    <s v="Sanofi"/>
    <n v="1"/>
    <n v="19.899999999999999"/>
    <n v="27.15"/>
    <n v="2.71"/>
    <n v="2.71"/>
    <s v="BONUS_CARD"/>
    <n v="29"/>
    <n v="1"/>
    <n v="3"/>
    <n v="24.44"/>
    <n v="13130000831"/>
  </r>
  <r>
    <x v="5"/>
    <d v="1899-12-30T20:12:19"/>
    <n v="1832"/>
    <n v="13002561"/>
    <n v="13"/>
    <n v="22589"/>
    <s v="Retail Sale"/>
    <n v="18"/>
    <n v="86717"/>
    <x v="55"/>
    <s v="Pulse"/>
    <s v="TEVA"/>
    <n v="2"/>
    <n v="257.14999999999998"/>
    <n v="433.34"/>
    <n v="21.67"/>
    <n v="21.67"/>
    <s v="BONUS_CARD"/>
    <n v="29"/>
    <n v="1"/>
    <n v="3"/>
    <n v="411.67"/>
    <n v="13130000832"/>
  </r>
  <r>
    <x v="12"/>
    <d v="1899-12-30T08:46:41"/>
    <n v="1833"/>
    <n v="13002561"/>
    <n v="13"/>
    <n v="22589"/>
    <s v="Retail Sale"/>
    <n v="18"/>
    <n v="36350"/>
    <x v="62"/>
    <s v="Pulse"/>
    <s v="TEVA"/>
    <n v="2"/>
    <n v="142.76"/>
    <n v="189.9"/>
    <n v="0"/>
    <n v="0"/>
    <m/>
    <n v="29"/>
    <n v="1"/>
    <n v="3"/>
    <n v="189.9"/>
    <n v="13130000833"/>
  </r>
  <r>
    <x v="18"/>
    <d v="1899-12-30T13:39:11"/>
    <n v="1834"/>
    <n v="13002561"/>
    <n v="13"/>
    <n v="22589"/>
    <s v="Retail Sale"/>
    <n v="18"/>
    <n v="69119"/>
    <x v="44"/>
    <s v="Grand Capital"/>
    <s v="Dr. Reddy's"/>
    <n v="1"/>
    <n v="69.03"/>
    <n v="89.61"/>
    <n v="8.9600000000000009"/>
    <n v="8.9600000000000009"/>
    <s v="BONUS_CARD"/>
    <n v="29"/>
    <n v="1"/>
    <n v="6"/>
    <n v="80.650000000000006"/>
    <n v="13130000834"/>
  </r>
  <r>
    <x v="25"/>
    <d v="1899-12-30T21:44:42"/>
    <n v="1835"/>
    <n v="13002561"/>
    <n v="13"/>
    <n v="22589"/>
    <s v="Retail Sale"/>
    <n v="15"/>
    <n v="62230"/>
    <x v="85"/>
    <s v="Protek"/>
    <s v="Dr. Reddy's"/>
    <n v="2"/>
    <n v="146.30000000000001"/>
    <n v="247.6"/>
    <n v="12.38"/>
    <n v="12.38"/>
    <s v="BONUS_CARD"/>
    <n v="29"/>
    <n v="1"/>
    <n v="2"/>
    <n v="235.22"/>
    <n v="13130000835"/>
  </r>
  <r>
    <x v="5"/>
    <d v="1899-12-30T22:11:42"/>
    <n v="1836"/>
    <n v="13002561"/>
    <n v="13"/>
    <n v="22589"/>
    <s v="Retail Sale"/>
    <n v="18"/>
    <n v="73976"/>
    <x v="47"/>
    <s v="Pharmcomplect"/>
    <s v="Sanofi"/>
    <n v="2"/>
    <n v="135.53"/>
    <n v="222.06"/>
    <n v="0"/>
    <n v="0"/>
    <m/>
    <n v="29"/>
    <n v="1"/>
    <n v="5"/>
    <n v="222.06"/>
    <n v="13130000836"/>
  </r>
  <r>
    <x v="17"/>
    <d v="1899-12-30T19:32:14"/>
    <n v="1837"/>
    <n v="13002561"/>
    <n v="13"/>
    <n v="22589"/>
    <s v="Retail Sale"/>
    <n v="18"/>
    <n v="15647"/>
    <x v="89"/>
    <s v="Grand Capital"/>
    <s v="Takeda"/>
    <n v="1"/>
    <n v="447.99"/>
    <n v="600.66999999999996"/>
    <n v="0"/>
    <n v="0"/>
    <m/>
    <n v="29"/>
    <n v="1"/>
    <n v="3"/>
    <n v="600.66999999999996"/>
    <n v="13130000837"/>
  </r>
  <r>
    <x v="19"/>
    <d v="1899-12-30T12:02:56"/>
    <n v="1838"/>
    <n v="13002561"/>
    <n v="13"/>
    <n v="22589"/>
    <s v="Retail Sale"/>
    <n v="15"/>
    <n v="49189"/>
    <x v="51"/>
    <s v="Protek"/>
    <s v="KRKA"/>
    <n v="3"/>
    <n v="486.41"/>
    <n v="690.51"/>
    <n v="0"/>
    <n v="0"/>
    <m/>
    <n v="29"/>
    <n v="1"/>
    <n v="3"/>
    <n v="690.51"/>
    <n v="13130000838"/>
  </r>
  <r>
    <x v="11"/>
    <d v="1899-12-30T18:47:11"/>
    <n v="1839"/>
    <n v="13002561"/>
    <n v="13"/>
    <n v="22589"/>
    <s v="Retail Sale"/>
    <n v="18"/>
    <n v="38010"/>
    <x v="18"/>
    <s v="Pulse"/>
    <s v="Sanofi"/>
    <n v="2"/>
    <n v="36.409999999999997"/>
    <n v="57.73"/>
    <n v="5.77"/>
    <n v="5.77"/>
    <s v="BONUS_CARD"/>
    <n v="29"/>
    <n v="1"/>
    <n v="6"/>
    <n v="51.96"/>
    <n v="13130000839"/>
  </r>
  <r>
    <x v="12"/>
    <d v="1899-12-30T21:03:33"/>
    <n v="1840"/>
    <n v="13002561"/>
    <n v="13"/>
    <n v="22589"/>
    <s v="Retail Sale"/>
    <n v="15"/>
    <n v="91660"/>
    <x v="74"/>
    <s v="Grand Capital"/>
    <s v="Takeda"/>
    <n v="2"/>
    <n v="154.66999999999999"/>
    <n v="255.75"/>
    <n v="12.79"/>
    <n v="12.79"/>
    <s v="BONUS_CARD"/>
    <n v="29"/>
    <n v="1"/>
    <n v="3"/>
    <n v="242.96"/>
    <n v="13130000840"/>
  </r>
  <r>
    <x v="19"/>
    <d v="1899-12-30T10:43:39"/>
    <n v="1841"/>
    <n v="13002561"/>
    <n v="13"/>
    <n v="22589"/>
    <s v="Retail Sale"/>
    <n v="18"/>
    <n v="44910"/>
    <x v="62"/>
    <s v="Katren"/>
    <s v="Novartis"/>
    <n v="3"/>
    <n v="470.19"/>
    <n v="693.32"/>
    <n v="34.67"/>
    <n v="34.67"/>
    <s v="BONUS_CARD"/>
    <n v="29"/>
    <n v="1"/>
    <n v="6"/>
    <n v="658.65"/>
    <n v="13130000841"/>
  </r>
  <r>
    <x v="9"/>
    <d v="1899-12-30T12:27:04"/>
    <n v="1842"/>
    <n v="13002561"/>
    <n v="13"/>
    <n v="22589"/>
    <s v="Retail Sale"/>
    <n v="15"/>
    <n v="77094"/>
    <x v="15"/>
    <s v="Protek"/>
    <s v="Pfizer"/>
    <n v="3"/>
    <n v="130.04"/>
    <n v="199.51"/>
    <n v="19.95"/>
    <n v="19.95"/>
    <s v="BONUS_CARD"/>
    <n v="29"/>
    <n v="1"/>
    <n v="3"/>
    <n v="179.56"/>
    <n v="13130000842"/>
  </r>
  <r>
    <x v="28"/>
    <d v="1899-12-30T09:53:35"/>
    <n v="1843"/>
    <n v="13002561"/>
    <n v="13"/>
    <n v="22589"/>
    <s v="Retail Sale"/>
    <n v="15"/>
    <n v="24670"/>
    <x v="62"/>
    <s v="Pharmcomplect"/>
    <s v="Pfizer"/>
    <n v="1"/>
    <n v="87.76"/>
    <n v="111.94"/>
    <n v="5.6"/>
    <n v="5.6"/>
    <s v="BONUS_CARD"/>
    <n v="29"/>
    <n v="1"/>
    <n v="6"/>
    <n v="106.34"/>
    <n v="13130000843"/>
  </r>
  <r>
    <x v="30"/>
    <d v="1899-12-30T12:32:26"/>
    <n v="1844"/>
    <n v="13002561"/>
    <n v="13"/>
    <n v="22589"/>
    <s v="Retail Sale"/>
    <n v="18"/>
    <n v="21195"/>
    <x v="30"/>
    <s v="Protek"/>
    <s v="Takeda"/>
    <n v="2"/>
    <n v="305.10000000000002"/>
    <n v="474.51"/>
    <n v="0"/>
    <n v="0"/>
    <m/>
    <n v="29"/>
    <n v="1"/>
    <n v="5"/>
    <n v="474.51"/>
    <n v="13130000844"/>
  </r>
  <r>
    <x v="18"/>
    <d v="1899-12-30T13:44:48"/>
    <n v="1845"/>
    <n v="13002561"/>
    <n v="13"/>
    <n v="22589"/>
    <s v="Retail Sale"/>
    <n v="15"/>
    <n v="24535"/>
    <x v="16"/>
    <s v="Protek"/>
    <s v="Dr. Reddy's"/>
    <n v="3"/>
    <n v="177.52"/>
    <n v="233.4"/>
    <n v="0"/>
    <n v="0"/>
    <m/>
    <n v="29"/>
    <n v="1"/>
    <n v="1"/>
    <n v="233.4"/>
    <n v="13130000845"/>
  </r>
  <r>
    <x v="19"/>
    <d v="1899-12-30T20:01:11"/>
    <n v="1846"/>
    <n v="13002561"/>
    <n v="13"/>
    <n v="22589"/>
    <s v="Retail Sale"/>
    <n v="15"/>
    <n v="32347"/>
    <x v="71"/>
    <s v="Katren"/>
    <s v="KRKA"/>
    <n v="3"/>
    <n v="490.78"/>
    <n v="681.02"/>
    <n v="68.099999999999994"/>
    <n v="68.099999999999994"/>
    <s v="BONUS_CARD"/>
    <n v="29"/>
    <n v="1"/>
    <n v="1"/>
    <n v="612.91999999999996"/>
    <n v="13130000846"/>
  </r>
  <r>
    <x v="18"/>
    <d v="1899-12-30T15:45:00"/>
    <n v="1847"/>
    <n v="13002561"/>
    <n v="13"/>
    <n v="22589"/>
    <s v="Retail Sale"/>
    <n v="18"/>
    <n v="87625"/>
    <x v="0"/>
    <s v="Protek"/>
    <s v="Sanofi"/>
    <n v="2"/>
    <n v="189.66"/>
    <n v="261.31"/>
    <n v="0"/>
    <n v="0"/>
    <m/>
    <n v="29"/>
    <n v="1"/>
    <n v="5"/>
    <n v="261.31"/>
    <n v="13130000847"/>
  </r>
  <r>
    <x v="18"/>
    <d v="1899-12-30T12:58:33"/>
    <n v="1848"/>
    <n v="13002561"/>
    <n v="13"/>
    <n v="22589"/>
    <s v="Retail Sale"/>
    <n v="18"/>
    <n v="92359"/>
    <x v="78"/>
    <s v="Grand Capital"/>
    <s v="Pfizer"/>
    <n v="1"/>
    <n v="46.7"/>
    <n v="62.98"/>
    <n v="3.15"/>
    <n v="3.15"/>
    <s v="BONUS_CARD"/>
    <n v="29"/>
    <n v="1"/>
    <n v="3"/>
    <n v="59.83"/>
    <n v="13130000848"/>
  </r>
  <r>
    <x v="19"/>
    <d v="1899-12-30T20:55:39"/>
    <n v="1849"/>
    <n v="13002561"/>
    <n v="13"/>
    <n v="22589"/>
    <s v="Retail Sale"/>
    <n v="18"/>
    <n v="38793"/>
    <x v="83"/>
    <s v="Avesta"/>
    <s v="Bayer"/>
    <n v="1"/>
    <n v="58.51"/>
    <n v="93.09"/>
    <n v="4.6500000000000004"/>
    <n v="4.6500000000000004"/>
    <s v="BONUS_CARD"/>
    <n v="29"/>
    <n v="1"/>
    <n v="1"/>
    <n v="88.44"/>
    <n v="13130000849"/>
  </r>
  <r>
    <x v="11"/>
    <d v="1899-12-30T11:52:27"/>
    <n v="1850"/>
    <n v="13002561"/>
    <n v="13"/>
    <n v="22589"/>
    <s v="Retail Sale"/>
    <n v="15"/>
    <n v="14482"/>
    <x v="66"/>
    <s v="Protek"/>
    <s v="Takeda"/>
    <n v="3"/>
    <n v="49.61"/>
    <n v="81.61"/>
    <n v="0"/>
    <n v="0"/>
    <m/>
    <n v="29"/>
    <n v="1"/>
    <n v="5"/>
    <n v="81.61"/>
    <n v="13130000850"/>
  </r>
  <r>
    <x v="21"/>
    <d v="1899-12-30T18:20:05"/>
    <n v="1851"/>
    <n v="13002561"/>
    <n v="13"/>
    <n v="22589"/>
    <s v="Retail Sale"/>
    <n v="15"/>
    <n v="19249"/>
    <x v="73"/>
    <s v="Avesta"/>
    <s v="Takeda"/>
    <n v="3"/>
    <n v="597.54999999999995"/>
    <n v="997.78"/>
    <n v="0"/>
    <n v="0"/>
    <m/>
    <n v="29"/>
    <n v="1"/>
    <n v="5"/>
    <n v="997.78"/>
    <n v="13130000851"/>
  </r>
  <r>
    <x v="28"/>
    <d v="1899-12-30T11:25:32"/>
    <n v="1852"/>
    <n v="13002561"/>
    <n v="13"/>
    <n v="22589"/>
    <s v="Retail Sale"/>
    <n v="18"/>
    <n v="13946"/>
    <x v="46"/>
    <s v="Katren"/>
    <s v="Takeda"/>
    <n v="1"/>
    <n v="5.44"/>
    <n v="6.81"/>
    <n v="0.34"/>
    <n v="0.34"/>
    <s v="BONUS_CARD"/>
    <n v="29"/>
    <n v="1"/>
    <n v="2"/>
    <n v="6.47"/>
    <n v="13130000852"/>
  </r>
  <r>
    <x v="3"/>
    <d v="1899-12-30T16:57:02"/>
    <n v="1853"/>
    <n v="13002561"/>
    <n v="13"/>
    <n v="22589"/>
    <s v="Retail Sale"/>
    <n v="15"/>
    <n v="62386"/>
    <x v="24"/>
    <s v="Avesta"/>
    <s v="KRKA"/>
    <n v="1"/>
    <n v="422.61"/>
    <n v="707.48"/>
    <n v="0"/>
    <n v="0"/>
    <m/>
    <n v="29"/>
    <n v="1"/>
    <n v="2"/>
    <n v="707.48"/>
    <n v="13130000853"/>
  </r>
  <r>
    <x v="19"/>
    <d v="1899-12-30T12:29:44"/>
    <n v="1854"/>
    <n v="13002561"/>
    <n v="13"/>
    <n v="22589"/>
    <s v="Retail Sale"/>
    <n v="15"/>
    <n v="44455"/>
    <x v="77"/>
    <s v="Protek"/>
    <s v="Takeda"/>
    <n v="1"/>
    <n v="575.67999999999995"/>
    <n v="755.59"/>
    <n v="75.56"/>
    <n v="75.56"/>
    <s v="BONUS_CARD"/>
    <n v="29"/>
    <n v="1"/>
    <n v="5"/>
    <n v="680.03"/>
    <n v="13130000854"/>
  </r>
  <r>
    <x v="18"/>
    <d v="1899-12-30T10:19:23"/>
    <n v="1855"/>
    <n v="13002561"/>
    <n v="13"/>
    <n v="22589"/>
    <s v="Retail Sale"/>
    <n v="15"/>
    <n v="58357"/>
    <x v="17"/>
    <s v="Protek"/>
    <s v="Novartis"/>
    <n v="2"/>
    <n v="576.54999999999995"/>
    <n v="937.12"/>
    <n v="0"/>
    <n v="0"/>
    <m/>
    <n v="29"/>
    <n v="1"/>
    <n v="1"/>
    <n v="937.12"/>
    <n v="13130000855"/>
  </r>
  <r>
    <x v="6"/>
    <d v="1899-12-30T19:17:32"/>
    <n v="1856"/>
    <n v="13002561"/>
    <n v="13"/>
    <n v="22589"/>
    <s v="Retail Sale"/>
    <n v="18"/>
    <n v="86539"/>
    <x v="86"/>
    <s v="Pharmcomplect"/>
    <s v="Novartis"/>
    <n v="3"/>
    <n v="56.68"/>
    <n v="95.2"/>
    <n v="9.52"/>
    <n v="9.52"/>
    <s v="BONUS_CARD"/>
    <n v="29"/>
    <n v="1"/>
    <n v="2"/>
    <n v="85.68"/>
    <n v="13130000856"/>
  </r>
  <r>
    <x v="9"/>
    <d v="1899-12-30T17:21:33"/>
    <n v="1857"/>
    <n v="13002561"/>
    <n v="13"/>
    <n v="22589"/>
    <s v="Retail Sale"/>
    <n v="18"/>
    <n v="63827"/>
    <x v="78"/>
    <s v="Grand Capital"/>
    <s v="Takeda"/>
    <n v="3"/>
    <n v="324.27999999999997"/>
    <n v="482.86"/>
    <n v="0"/>
    <n v="0"/>
    <m/>
    <n v="29"/>
    <n v="1"/>
    <n v="1"/>
    <n v="482.86"/>
    <n v="13130000857"/>
  </r>
  <r>
    <x v="2"/>
    <d v="1899-12-30T17:05:44"/>
    <n v="1858"/>
    <n v="13002561"/>
    <n v="13"/>
    <n v="22589"/>
    <s v="Retail Sale"/>
    <n v="15"/>
    <n v="99662"/>
    <x v="89"/>
    <s v="Grand Capital"/>
    <s v="Pfizer"/>
    <n v="3"/>
    <n v="534.14"/>
    <n v="822.88"/>
    <n v="82.29"/>
    <n v="82.29"/>
    <s v="BONUS_CARD"/>
    <n v="29"/>
    <n v="1"/>
    <n v="3"/>
    <n v="740.59"/>
    <n v="13130000858"/>
  </r>
  <r>
    <x v="13"/>
    <d v="1899-12-30T15:23:22"/>
    <n v="1859"/>
    <n v="13002561"/>
    <n v="13"/>
    <n v="22589"/>
    <s v="Retail Sale"/>
    <n v="15"/>
    <n v="84779"/>
    <x v="9"/>
    <s v="Pulse"/>
    <s v="Sanofi"/>
    <n v="1"/>
    <n v="463.91"/>
    <n v="642.67999999999995"/>
    <n v="64.27"/>
    <n v="64.27"/>
    <s v="BONUS_CARD"/>
    <n v="29"/>
    <n v="1"/>
    <n v="4"/>
    <n v="578.41"/>
    <n v="13130000859"/>
  </r>
  <r>
    <x v="4"/>
    <d v="1899-12-30T10:32:27"/>
    <n v="1860"/>
    <n v="13002561"/>
    <n v="13"/>
    <n v="22589"/>
    <s v="Retail Sale"/>
    <n v="15"/>
    <n v="20154"/>
    <x v="54"/>
    <s v="Protek"/>
    <s v="Dr. Reddy's"/>
    <n v="1"/>
    <n v="32.090000000000003"/>
    <n v="44.36"/>
    <n v="2.2200000000000002"/>
    <n v="2.2200000000000002"/>
    <s v="BONUS_CARD"/>
    <n v="29"/>
    <n v="1"/>
    <n v="6"/>
    <n v="42.14"/>
    <n v="13130000860"/>
  </r>
  <r>
    <x v="11"/>
    <d v="1899-12-30T13:53:23"/>
    <n v="1861"/>
    <n v="13002561"/>
    <n v="13"/>
    <n v="22589"/>
    <s v="Retail Sale"/>
    <n v="18"/>
    <n v="69288"/>
    <x v="32"/>
    <s v="Pharmcomplect"/>
    <s v="Dr. Reddy's"/>
    <n v="2"/>
    <n v="207.92"/>
    <n v="281.73"/>
    <n v="28.17"/>
    <n v="28.17"/>
    <s v="BONUS_CARD"/>
    <n v="29"/>
    <n v="1"/>
    <n v="2"/>
    <n v="253.56"/>
    <n v="13130000861"/>
  </r>
  <r>
    <x v="22"/>
    <d v="1899-12-30T20:49:04"/>
    <n v="1862"/>
    <n v="13002561"/>
    <n v="13"/>
    <n v="22589"/>
    <s v="Retail Sale"/>
    <n v="18"/>
    <n v="92686"/>
    <x v="35"/>
    <s v="Pharmcomplect"/>
    <s v="Pfizer"/>
    <n v="3"/>
    <n v="37.94"/>
    <n v="62.16"/>
    <n v="6.22"/>
    <n v="6.22"/>
    <s v="BONUS_CARD"/>
    <n v="29"/>
    <n v="1"/>
    <n v="5"/>
    <n v="55.94"/>
    <n v="13130000862"/>
  </r>
  <r>
    <x v="20"/>
    <d v="1899-12-30T20:14:10"/>
    <n v="1863"/>
    <n v="13002561"/>
    <n v="13"/>
    <n v="22589"/>
    <s v="Retail Sale"/>
    <n v="15"/>
    <n v="92484"/>
    <x v="44"/>
    <s v="Grand Capital"/>
    <s v="KRKA"/>
    <n v="3"/>
    <n v="348.4"/>
    <n v="583.13"/>
    <n v="0"/>
    <n v="0"/>
    <m/>
    <n v="29"/>
    <n v="1"/>
    <n v="1"/>
    <n v="583.13"/>
    <n v="13130000863"/>
  </r>
  <r>
    <x v="8"/>
    <d v="1899-12-30T22:31:39"/>
    <n v="1864"/>
    <n v="13002561"/>
    <n v="13"/>
    <n v="22589"/>
    <s v="Retail Sale"/>
    <n v="18"/>
    <n v="71342"/>
    <x v="37"/>
    <s v="Protek"/>
    <s v="Sanofi"/>
    <n v="3"/>
    <n v="354.3"/>
    <n v="478.27"/>
    <n v="47.83"/>
    <n v="47.83"/>
    <s v="BONUS_CARD"/>
    <n v="29"/>
    <n v="1"/>
    <n v="3"/>
    <n v="430.44"/>
    <n v="13130000864"/>
  </r>
  <r>
    <x v="13"/>
    <d v="1899-12-30T18:20:35"/>
    <n v="1865"/>
    <n v="13002561"/>
    <n v="13"/>
    <n v="22589"/>
    <s v="Retail Sale"/>
    <n v="18"/>
    <n v="81033"/>
    <x v="18"/>
    <s v="Pulse"/>
    <s v="Sanofi"/>
    <n v="1"/>
    <n v="68.819999999999993"/>
    <n v="112.92"/>
    <n v="5.65"/>
    <n v="5.65"/>
    <s v="BONUS_CARD"/>
    <n v="29"/>
    <n v="1"/>
    <n v="2"/>
    <n v="107.27"/>
    <n v="13130000865"/>
  </r>
  <r>
    <x v="24"/>
    <d v="1899-12-30T15:31:52"/>
    <n v="1866"/>
    <n v="13002561"/>
    <n v="13"/>
    <n v="22589"/>
    <s v="Retail Sale"/>
    <n v="18"/>
    <n v="22464"/>
    <x v="1"/>
    <s v="Pulse"/>
    <s v="Dr. Reddy's"/>
    <n v="3"/>
    <n v="129.88999999999999"/>
    <n v="165.08"/>
    <n v="0"/>
    <n v="0"/>
    <m/>
    <n v="29"/>
    <n v="1"/>
    <n v="6"/>
    <n v="165.08"/>
    <n v="13130000866"/>
  </r>
  <r>
    <x v="15"/>
    <d v="1899-12-30T18:04:39"/>
    <n v="1867"/>
    <n v="13002561"/>
    <n v="13"/>
    <n v="22589"/>
    <s v="Retail Sale"/>
    <n v="15"/>
    <n v="68150"/>
    <x v="2"/>
    <s v="Protek"/>
    <s v="Sanofi"/>
    <n v="1"/>
    <n v="397.59"/>
    <n v="625.70000000000005"/>
    <n v="0"/>
    <n v="0"/>
    <m/>
    <n v="29"/>
    <n v="1"/>
    <n v="1"/>
    <n v="625.70000000000005"/>
    <n v="13130000867"/>
  </r>
  <r>
    <x v="7"/>
    <d v="1899-12-30T21:13:30"/>
    <n v="1868"/>
    <n v="13002561"/>
    <n v="13"/>
    <n v="22589"/>
    <s v="Retail Sale"/>
    <n v="15"/>
    <n v="48182"/>
    <x v="55"/>
    <s v="Katren"/>
    <s v="Bayer"/>
    <n v="1"/>
    <n v="57.25"/>
    <n v="95.67"/>
    <n v="0"/>
    <n v="0"/>
    <m/>
    <n v="29"/>
    <n v="1"/>
    <n v="6"/>
    <n v="95.67"/>
    <n v="13130000868"/>
  </r>
  <r>
    <x v="16"/>
    <d v="1899-12-30T18:56:56"/>
    <n v="1869"/>
    <n v="13002561"/>
    <n v="13"/>
    <n v="22589"/>
    <s v="Retail Sale"/>
    <n v="15"/>
    <n v="34450"/>
    <x v="57"/>
    <s v="Protek"/>
    <s v="KRKA"/>
    <n v="2"/>
    <n v="591.57000000000005"/>
    <n v="809.45"/>
    <n v="80.95"/>
    <n v="80.95"/>
    <s v="BONUS_CARD"/>
    <n v="29"/>
    <n v="1"/>
    <n v="6"/>
    <n v="728.5"/>
    <n v="13130000869"/>
  </r>
  <r>
    <x v="20"/>
    <d v="1899-12-30T11:30:23"/>
    <n v="1870"/>
    <n v="13002561"/>
    <n v="13"/>
    <n v="22589"/>
    <s v="Retail Sale"/>
    <n v="15"/>
    <n v="62435"/>
    <x v="13"/>
    <s v="Avesta"/>
    <s v="Bayer"/>
    <n v="2"/>
    <n v="37.299999999999997"/>
    <n v="51.79"/>
    <n v="5.18"/>
    <n v="5.18"/>
    <s v="BONUS_CARD"/>
    <n v="29"/>
    <n v="1"/>
    <n v="3"/>
    <n v="46.61"/>
    <n v="13130000870"/>
  </r>
  <r>
    <x v="16"/>
    <d v="1899-12-30T08:56:06"/>
    <n v="1871"/>
    <n v="13002561"/>
    <n v="13"/>
    <n v="22589"/>
    <s v="Retail Sale"/>
    <n v="15"/>
    <n v="38797"/>
    <x v="80"/>
    <s v="Protek"/>
    <s v="Takeda"/>
    <n v="2"/>
    <n v="517.63"/>
    <n v="655.71"/>
    <n v="32.79"/>
    <n v="32.79"/>
    <s v="BONUS_CARD"/>
    <n v="29"/>
    <n v="1"/>
    <n v="5"/>
    <n v="622.91999999999996"/>
    <n v="13130000871"/>
  </r>
  <r>
    <x v="4"/>
    <d v="1899-12-30T08:29:30"/>
    <n v="1872"/>
    <n v="13002561"/>
    <n v="13"/>
    <n v="22589"/>
    <s v="Retail Sale"/>
    <n v="15"/>
    <n v="30849"/>
    <x v="44"/>
    <s v="Pharmcomplect"/>
    <s v="Bayer"/>
    <n v="2"/>
    <n v="223.15"/>
    <n v="374.56"/>
    <n v="18.73"/>
    <n v="18.73"/>
    <s v="BONUS_CARD"/>
    <n v="29"/>
    <n v="1"/>
    <n v="2"/>
    <n v="355.83"/>
    <n v="13130000872"/>
  </r>
  <r>
    <x v="25"/>
    <d v="1899-12-30T14:21:57"/>
    <n v="1873"/>
    <n v="13002561"/>
    <n v="13"/>
    <n v="22589"/>
    <s v="Retail Sale"/>
    <n v="15"/>
    <n v="11921"/>
    <x v="46"/>
    <s v="Pulse"/>
    <s v="Takeda"/>
    <n v="2"/>
    <n v="130.57"/>
    <n v="170.24"/>
    <n v="8.51"/>
    <n v="8.51"/>
    <s v="BONUS_CARD"/>
    <n v="29"/>
    <n v="1"/>
    <n v="6"/>
    <n v="161.72999999999999"/>
    <n v="13130000873"/>
  </r>
  <r>
    <x v="7"/>
    <d v="1899-12-30T20:00:36"/>
    <n v="1874"/>
    <n v="13002561"/>
    <n v="13"/>
    <n v="22589"/>
    <s v="Retail Sale"/>
    <n v="15"/>
    <n v="53355"/>
    <x v="58"/>
    <s v="Grand Capital"/>
    <s v="Novartis"/>
    <n v="3"/>
    <n v="342.7"/>
    <n v="436.68"/>
    <n v="43.67"/>
    <n v="43.67"/>
    <s v="BONUS_CARD"/>
    <n v="29"/>
    <n v="1"/>
    <n v="5"/>
    <n v="393.01"/>
    <n v="13130000874"/>
  </r>
  <r>
    <x v="16"/>
    <d v="1899-12-30T13:08:32"/>
    <n v="1875"/>
    <n v="13002561"/>
    <n v="13"/>
    <n v="22589"/>
    <s v="Retail Sale"/>
    <n v="15"/>
    <n v="81951"/>
    <x v="75"/>
    <s v="Pulse"/>
    <s v="TEVA"/>
    <n v="1"/>
    <n v="353.53"/>
    <n v="558.39"/>
    <n v="55.84"/>
    <n v="55.84"/>
    <s v="BONUS_CARD"/>
    <n v="29"/>
    <n v="1"/>
    <n v="5"/>
    <n v="502.55"/>
    <n v="13130000875"/>
  </r>
  <r>
    <x v="15"/>
    <d v="1899-12-30T20:05:50"/>
    <n v="1876"/>
    <n v="13002561"/>
    <n v="13"/>
    <n v="22589"/>
    <s v="Retail Sale"/>
    <n v="18"/>
    <n v="68745"/>
    <x v="56"/>
    <s v="Protek"/>
    <s v="Bayer"/>
    <n v="1"/>
    <n v="333.3"/>
    <n v="493.58"/>
    <n v="0"/>
    <n v="0"/>
    <m/>
    <n v="29"/>
    <n v="1"/>
    <n v="6"/>
    <n v="493.58"/>
    <n v="13130000876"/>
  </r>
  <r>
    <x v="22"/>
    <d v="1899-12-30T20:01:20"/>
    <n v="1877"/>
    <n v="13002561"/>
    <n v="13"/>
    <n v="22589"/>
    <s v="Retail Sale"/>
    <n v="18"/>
    <n v="97288"/>
    <x v="2"/>
    <s v="Pulse"/>
    <s v="Dr. Reddy's"/>
    <n v="3"/>
    <n v="431.65"/>
    <n v="585.57000000000005"/>
    <n v="0"/>
    <n v="0"/>
    <m/>
    <n v="29"/>
    <n v="1"/>
    <n v="2"/>
    <n v="585.57000000000005"/>
    <n v="13130000877"/>
  </r>
  <r>
    <x v="3"/>
    <d v="1899-12-30T16:19:58"/>
    <n v="1878"/>
    <n v="13002561"/>
    <n v="13"/>
    <n v="22589"/>
    <s v="Retail Sale"/>
    <n v="15"/>
    <n v="51040"/>
    <x v="42"/>
    <s v="Protek"/>
    <s v="Pfizer"/>
    <n v="2"/>
    <n v="94.35"/>
    <n v="139.9"/>
    <n v="0"/>
    <n v="0"/>
    <m/>
    <n v="29"/>
    <n v="1"/>
    <n v="3"/>
    <n v="139.9"/>
    <n v="13130000878"/>
  </r>
  <r>
    <x v="4"/>
    <d v="1899-12-30T18:51:00"/>
    <n v="1879"/>
    <n v="13002561"/>
    <n v="13"/>
    <n v="22589"/>
    <s v="Retail Sale"/>
    <n v="15"/>
    <n v="12975"/>
    <x v="65"/>
    <s v="Katren"/>
    <s v="Pfizer"/>
    <n v="3"/>
    <n v="481.66"/>
    <n v="780.43"/>
    <n v="78.040000000000006"/>
    <n v="78.040000000000006"/>
    <s v="BONUS_CARD"/>
    <n v="29"/>
    <n v="1"/>
    <n v="5"/>
    <n v="702.39"/>
    <n v="13130000879"/>
  </r>
  <r>
    <x v="6"/>
    <d v="1899-12-30T15:28:14"/>
    <n v="1880"/>
    <n v="13002561"/>
    <n v="13"/>
    <n v="22589"/>
    <s v="Retail Sale"/>
    <n v="15"/>
    <n v="73907"/>
    <x v="10"/>
    <s v="Avesta"/>
    <s v="Takeda"/>
    <n v="2"/>
    <n v="64.36"/>
    <n v="107.79"/>
    <n v="10.78"/>
    <n v="10.78"/>
    <s v="BONUS_CARD"/>
    <n v="29"/>
    <n v="1"/>
    <n v="3"/>
    <n v="97.01"/>
    <n v="13130000880"/>
  </r>
  <r>
    <x v="14"/>
    <d v="1899-12-30T10:43:47"/>
    <n v="1881"/>
    <n v="13002561"/>
    <n v="13"/>
    <n v="22589"/>
    <s v="Retail Sale"/>
    <n v="15"/>
    <n v="75973"/>
    <x v="54"/>
    <s v="Avesta"/>
    <s v="Sanofi"/>
    <n v="1"/>
    <n v="203.88"/>
    <n v="308.97000000000003"/>
    <n v="15.45"/>
    <n v="15.45"/>
    <s v="BONUS_CARD"/>
    <n v="29"/>
    <n v="1"/>
    <n v="5"/>
    <n v="293.52"/>
    <n v="13130000881"/>
  </r>
  <r>
    <x v="1"/>
    <d v="1899-12-30T20:44:46"/>
    <n v="1882"/>
    <n v="13002561"/>
    <n v="13"/>
    <n v="22589"/>
    <s v="Retail Sale"/>
    <n v="15"/>
    <n v="68478"/>
    <x v="89"/>
    <s v="Katren"/>
    <s v="TEVA"/>
    <n v="3"/>
    <n v="389.14"/>
    <n v="526.07000000000005"/>
    <n v="52.61"/>
    <n v="52.61"/>
    <s v="BONUS_CARD"/>
    <n v="29"/>
    <n v="1"/>
    <n v="1"/>
    <n v="473.46"/>
    <n v="13130000882"/>
  </r>
  <r>
    <x v="21"/>
    <d v="1899-12-30T10:21:56"/>
    <n v="1883"/>
    <n v="13002561"/>
    <n v="13"/>
    <n v="22589"/>
    <s v="Retail Sale"/>
    <n v="15"/>
    <n v="26114"/>
    <x v="23"/>
    <s v="Grand Capital"/>
    <s v="Bayer"/>
    <n v="3"/>
    <n v="175.79"/>
    <n v="275.22000000000003"/>
    <n v="0"/>
    <n v="0"/>
    <m/>
    <n v="29"/>
    <n v="1"/>
    <n v="5"/>
    <n v="275.22000000000003"/>
    <n v="13130000883"/>
  </r>
  <r>
    <x v="25"/>
    <d v="1899-12-30T10:33:38"/>
    <n v="1884"/>
    <n v="13002561"/>
    <n v="13"/>
    <n v="22589"/>
    <s v="Retail Sale"/>
    <n v="15"/>
    <n v="46483"/>
    <x v="80"/>
    <s v="Grand Capital"/>
    <s v="Bayer"/>
    <n v="2"/>
    <n v="171.52"/>
    <n v="258.31"/>
    <n v="12.92"/>
    <n v="12.92"/>
    <s v="BONUS_CARD"/>
    <n v="29"/>
    <n v="1"/>
    <n v="1"/>
    <n v="245.39"/>
    <n v="13130000884"/>
  </r>
  <r>
    <x v="17"/>
    <d v="1899-12-30T15:14:44"/>
    <n v="1885"/>
    <n v="13002561"/>
    <n v="13"/>
    <n v="22589"/>
    <s v="Retail Sale"/>
    <n v="18"/>
    <n v="97680"/>
    <x v="54"/>
    <s v="Protek"/>
    <s v="Bayer"/>
    <n v="1"/>
    <n v="459.85"/>
    <n v="620.70000000000005"/>
    <n v="0"/>
    <n v="0"/>
    <m/>
    <n v="29"/>
    <n v="1"/>
    <n v="3"/>
    <n v="620.70000000000005"/>
    <n v="13130000885"/>
  </r>
  <r>
    <x v="29"/>
    <d v="1899-12-30T19:11:20"/>
    <n v="1886"/>
    <n v="13002561"/>
    <n v="13"/>
    <n v="22589"/>
    <s v="Retail Sale"/>
    <n v="15"/>
    <n v="93791"/>
    <x v="8"/>
    <s v="Pulse"/>
    <s v="TEVA"/>
    <n v="2"/>
    <n v="518.65"/>
    <n v="807.87"/>
    <n v="0"/>
    <n v="0"/>
    <m/>
    <n v="29"/>
    <n v="1"/>
    <n v="2"/>
    <n v="807.87"/>
    <n v="13130000886"/>
  </r>
  <r>
    <x v="4"/>
    <d v="1899-12-30T16:37:08"/>
    <n v="1887"/>
    <n v="13002561"/>
    <n v="13"/>
    <n v="22589"/>
    <s v="Retail Sale"/>
    <n v="15"/>
    <n v="95470"/>
    <x v="85"/>
    <s v="Protek"/>
    <s v="Sanofi"/>
    <n v="1"/>
    <n v="8.67"/>
    <n v="13.05"/>
    <n v="1.31"/>
    <n v="1.31"/>
    <s v="BONUS_CARD"/>
    <n v="29"/>
    <n v="1"/>
    <n v="5"/>
    <n v="11.74"/>
    <n v="13130000887"/>
  </r>
  <r>
    <x v="20"/>
    <d v="1899-12-30T10:47:33"/>
    <n v="1888"/>
    <n v="13002561"/>
    <n v="13"/>
    <n v="22589"/>
    <s v="Retail Sale"/>
    <n v="15"/>
    <n v="71178"/>
    <x v="6"/>
    <s v="Avesta"/>
    <s v="Takeda"/>
    <n v="1"/>
    <n v="112.4"/>
    <n v="158.43"/>
    <n v="0"/>
    <n v="0"/>
    <m/>
    <n v="29"/>
    <n v="1"/>
    <n v="5"/>
    <n v="158.43"/>
    <n v="13130000888"/>
  </r>
  <r>
    <x v="23"/>
    <d v="1899-12-30T08:57:38"/>
    <n v="1889"/>
    <n v="13002561"/>
    <n v="13"/>
    <n v="22589"/>
    <s v="Retail Sale"/>
    <n v="18"/>
    <n v="75612"/>
    <x v="72"/>
    <s v="Grand Capital"/>
    <s v="Pfizer"/>
    <n v="2"/>
    <n v="529.19000000000005"/>
    <n v="755.22"/>
    <n v="75.52"/>
    <n v="75.52"/>
    <s v="BONUS_CARD"/>
    <n v="29"/>
    <n v="1"/>
    <n v="3"/>
    <n v="679.7"/>
    <n v="13130000889"/>
  </r>
  <r>
    <x v="30"/>
    <d v="1899-12-30T14:03:57"/>
    <n v="1890"/>
    <n v="13002561"/>
    <n v="13"/>
    <n v="22589"/>
    <s v="Retail Sale"/>
    <n v="15"/>
    <n v="67734"/>
    <x v="61"/>
    <s v="Pharmcomplect"/>
    <s v="Pfizer"/>
    <n v="3"/>
    <n v="599.35"/>
    <n v="830.71"/>
    <n v="41.54"/>
    <n v="41.54"/>
    <s v="BONUS_CARD"/>
    <n v="29"/>
    <n v="1"/>
    <n v="2"/>
    <n v="789.17"/>
    <n v="13130000890"/>
  </r>
  <r>
    <x v="22"/>
    <d v="1899-12-30T20:43:27"/>
    <n v="1891"/>
    <n v="13002561"/>
    <n v="13"/>
    <n v="22589"/>
    <s v="Retail Sale"/>
    <n v="15"/>
    <n v="67572"/>
    <x v="1"/>
    <s v="Pharmcomplect"/>
    <s v="Bayer"/>
    <n v="2"/>
    <n v="401.56"/>
    <n v="677.74"/>
    <n v="67.77"/>
    <n v="67.77"/>
    <s v="BONUS_CARD"/>
    <n v="29"/>
    <n v="1"/>
    <n v="2"/>
    <n v="609.97"/>
    <n v="13130000891"/>
  </r>
  <r>
    <x v="26"/>
    <d v="1899-12-30T17:05:29"/>
    <n v="1892"/>
    <n v="13002561"/>
    <n v="13"/>
    <n v="22589"/>
    <s v="Retail Sale"/>
    <n v="18"/>
    <n v="22888"/>
    <x v="87"/>
    <s v="Pulse"/>
    <s v="Novartis"/>
    <n v="1"/>
    <n v="240.34"/>
    <n v="331.16"/>
    <n v="33.119999999999997"/>
    <n v="33.119999999999997"/>
    <s v="BONUS_CARD"/>
    <n v="29"/>
    <n v="1"/>
    <n v="4"/>
    <n v="298.04000000000002"/>
    <n v="13130000892"/>
  </r>
  <r>
    <x v="14"/>
    <d v="1899-12-30T10:44:17"/>
    <n v="1893"/>
    <n v="13002561"/>
    <n v="13"/>
    <n v="22589"/>
    <s v="Retail Sale"/>
    <n v="15"/>
    <n v="60974"/>
    <x v="40"/>
    <s v="Pharmcomplect"/>
    <s v="Dr. Reddy's"/>
    <n v="2"/>
    <n v="11.48"/>
    <n v="18.66"/>
    <n v="0"/>
    <n v="0"/>
    <m/>
    <n v="29"/>
    <n v="1"/>
    <n v="2"/>
    <n v="18.66"/>
    <n v="13130000893"/>
  </r>
  <r>
    <x v="1"/>
    <d v="1899-12-30T21:28:10"/>
    <n v="1894"/>
    <n v="13002561"/>
    <n v="13"/>
    <n v="22589"/>
    <s v="Retail Sale"/>
    <n v="15"/>
    <n v="30673"/>
    <x v="70"/>
    <s v="Pulse"/>
    <s v="Pfizer"/>
    <n v="2"/>
    <n v="458.27"/>
    <n v="609.71"/>
    <n v="0"/>
    <n v="0"/>
    <m/>
    <n v="29"/>
    <n v="1"/>
    <n v="6"/>
    <n v="609.71"/>
    <n v="13130000894"/>
  </r>
  <r>
    <x v="0"/>
    <d v="1899-12-30T14:50:30"/>
    <n v="1895"/>
    <n v="13002561"/>
    <n v="13"/>
    <n v="22589"/>
    <s v="Retail Sale"/>
    <n v="18"/>
    <n v="78330"/>
    <x v="73"/>
    <s v="Pharmcomplect"/>
    <s v="Sanofi"/>
    <n v="2"/>
    <n v="584.44000000000005"/>
    <n v="815.46"/>
    <n v="40.770000000000003"/>
    <n v="40.770000000000003"/>
    <s v="BONUS_CARD"/>
    <n v="29"/>
    <n v="1"/>
    <n v="2"/>
    <n v="774.69"/>
    <n v="13130000895"/>
  </r>
  <r>
    <x v="6"/>
    <d v="1899-12-30T20:40:59"/>
    <n v="1896"/>
    <n v="13002561"/>
    <n v="13"/>
    <n v="22589"/>
    <s v="Retail Sale"/>
    <n v="15"/>
    <n v="54162"/>
    <x v="55"/>
    <s v="Pulse"/>
    <s v="Bayer"/>
    <n v="2"/>
    <n v="41.72"/>
    <n v="66.61"/>
    <n v="3.33"/>
    <n v="3.33"/>
    <s v="BONUS_CARD"/>
    <n v="29"/>
    <n v="1"/>
    <n v="2"/>
    <n v="63.28"/>
    <n v="13130000896"/>
  </r>
  <r>
    <x v="27"/>
    <d v="1899-12-30T11:48:06"/>
    <n v="1897"/>
    <n v="13002561"/>
    <n v="13"/>
    <n v="22589"/>
    <s v="Retail Sale"/>
    <n v="18"/>
    <n v="39469"/>
    <x v="61"/>
    <s v="Avesta"/>
    <s v="Sanofi"/>
    <n v="1"/>
    <n v="385.96"/>
    <n v="639.65"/>
    <n v="63.97"/>
    <n v="63.97"/>
    <s v="BONUS_CARD"/>
    <n v="29"/>
    <n v="1"/>
    <n v="1"/>
    <n v="575.67999999999995"/>
    <n v="13130000897"/>
  </r>
  <r>
    <x v="8"/>
    <d v="1899-12-30T08:42:48"/>
    <n v="1898"/>
    <n v="13002561"/>
    <n v="13"/>
    <n v="22589"/>
    <s v="Retail Sale"/>
    <n v="18"/>
    <n v="34764"/>
    <x v="3"/>
    <s v="Pharmcomplect"/>
    <s v="Novartis"/>
    <n v="2"/>
    <n v="390.89"/>
    <n v="570.83000000000004"/>
    <n v="28.54"/>
    <n v="28.54"/>
    <s v="BONUS_CARD"/>
    <n v="29"/>
    <n v="1"/>
    <n v="1"/>
    <n v="542.29"/>
    <n v="13130000898"/>
  </r>
  <r>
    <x v="0"/>
    <d v="1899-12-30T16:19:08"/>
    <n v="1899"/>
    <n v="13002561"/>
    <n v="13"/>
    <n v="22589"/>
    <s v="Retail Sale"/>
    <n v="18"/>
    <n v="30669"/>
    <x v="85"/>
    <s v="Protek"/>
    <s v="TEVA"/>
    <n v="3"/>
    <n v="83.04"/>
    <n v="134.85"/>
    <n v="6.74"/>
    <n v="6.74"/>
    <s v="BONUS_CARD"/>
    <n v="29"/>
    <n v="1"/>
    <n v="3"/>
    <n v="128.11000000000001"/>
    <n v="13130000899"/>
  </r>
  <r>
    <x v="7"/>
    <d v="1899-12-30T21:18:22"/>
    <n v="1900"/>
    <n v="13002561"/>
    <n v="13"/>
    <n v="22589"/>
    <s v="Retail Sale"/>
    <n v="15"/>
    <n v="81174"/>
    <x v="25"/>
    <s v="Avesta"/>
    <s v="Takeda"/>
    <n v="1"/>
    <n v="352.53"/>
    <n v="560.16"/>
    <n v="0"/>
    <n v="0"/>
    <m/>
    <n v="29"/>
    <n v="1"/>
    <n v="3"/>
    <n v="560.16"/>
    <n v="13130000900"/>
  </r>
  <r>
    <x v="20"/>
    <d v="1899-12-30T15:57:42"/>
    <n v="1901"/>
    <n v="13002561"/>
    <n v="13"/>
    <n v="22589"/>
    <s v="Retail Sale"/>
    <n v="15"/>
    <n v="96445"/>
    <x v="78"/>
    <s v="Pulse"/>
    <s v="Takeda"/>
    <n v="1"/>
    <n v="29.76"/>
    <n v="47.18"/>
    <n v="2.36"/>
    <n v="2.36"/>
    <s v="BONUS_CARD"/>
    <n v="29"/>
    <n v="1"/>
    <n v="5"/>
    <n v="44.82"/>
    <n v="13130000901"/>
  </r>
  <r>
    <x v="20"/>
    <d v="1899-12-30T21:38:40"/>
    <n v="1902"/>
    <n v="13002561"/>
    <n v="13"/>
    <n v="22589"/>
    <s v="Retail Sale"/>
    <n v="18"/>
    <n v="23534"/>
    <x v="65"/>
    <s v="Grand Capital"/>
    <s v="Novartis"/>
    <n v="3"/>
    <n v="225.42"/>
    <n v="315.52999999999997"/>
    <n v="31.55"/>
    <n v="31.55"/>
    <s v="BONUS_CARD"/>
    <n v="29"/>
    <n v="1"/>
    <n v="1"/>
    <n v="283.98"/>
    <n v="13130000902"/>
  </r>
  <r>
    <x v="1"/>
    <d v="1899-12-30T13:22:21"/>
    <n v="1903"/>
    <n v="13002561"/>
    <n v="13"/>
    <n v="22589"/>
    <s v="Retail Sale"/>
    <n v="15"/>
    <n v="84717"/>
    <x v="13"/>
    <s v="Pharmcomplect"/>
    <s v="Pfizer"/>
    <n v="3"/>
    <n v="153.15"/>
    <n v="247.19"/>
    <n v="24.72"/>
    <n v="24.72"/>
    <s v="BONUS_CARD"/>
    <n v="29"/>
    <n v="1"/>
    <n v="2"/>
    <n v="222.47"/>
    <n v="13130000903"/>
  </r>
  <r>
    <x v="1"/>
    <d v="1899-12-30T08:30:43"/>
    <n v="1904"/>
    <n v="13002561"/>
    <n v="13"/>
    <n v="22589"/>
    <s v="Retail Sale"/>
    <n v="15"/>
    <n v="22626"/>
    <x v="16"/>
    <s v="Protek"/>
    <s v="Novartis"/>
    <n v="1"/>
    <n v="192.87"/>
    <n v="281.81"/>
    <n v="0"/>
    <n v="0"/>
    <m/>
    <n v="29"/>
    <n v="1"/>
    <n v="4"/>
    <n v="281.81"/>
    <n v="13130000904"/>
  </r>
  <r>
    <x v="20"/>
    <d v="1899-12-30T16:42:35"/>
    <n v="1905"/>
    <n v="13002561"/>
    <n v="13"/>
    <n v="22589"/>
    <s v="Retail Sale"/>
    <n v="18"/>
    <n v="72563"/>
    <x v="87"/>
    <s v="Pharmcomplect"/>
    <s v="Sanofi"/>
    <n v="1"/>
    <n v="360.88"/>
    <n v="561.69000000000005"/>
    <n v="56.17"/>
    <n v="56.17"/>
    <s v="BONUS_CARD"/>
    <n v="29"/>
    <n v="1"/>
    <n v="6"/>
    <n v="505.52"/>
    <n v="13130000905"/>
  </r>
  <r>
    <x v="30"/>
    <d v="1899-12-30T10:14:46"/>
    <n v="1906"/>
    <n v="13002561"/>
    <n v="13"/>
    <n v="22589"/>
    <s v="Retail Sale"/>
    <n v="18"/>
    <n v="70370"/>
    <x v="55"/>
    <s v="Pharmcomplect"/>
    <s v="Bayer"/>
    <n v="1"/>
    <n v="315.36"/>
    <n v="533.64"/>
    <n v="53.36"/>
    <n v="53.36"/>
    <s v="BONUS_CARD"/>
    <n v="29"/>
    <n v="1"/>
    <n v="1"/>
    <n v="480.28"/>
    <n v="13130000906"/>
  </r>
  <r>
    <x v="24"/>
    <d v="1899-12-30T17:50:07"/>
    <n v="1907"/>
    <n v="13002561"/>
    <n v="13"/>
    <n v="22589"/>
    <s v="Retail Sale"/>
    <n v="15"/>
    <n v="47421"/>
    <x v="58"/>
    <s v="Grand Capital"/>
    <s v="Pfizer"/>
    <n v="2"/>
    <n v="502.17"/>
    <n v="706.44"/>
    <n v="35.32"/>
    <n v="35.32"/>
    <s v="BONUS_CARD"/>
    <n v="29"/>
    <n v="1"/>
    <n v="2"/>
    <n v="671.12"/>
    <n v="13130000907"/>
  </r>
  <r>
    <x v="13"/>
    <d v="1899-12-30T17:46:00"/>
    <n v="1908"/>
    <n v="13002561"/>
    <n v="13"/>
    <n v="22589"/>
    <s v="Retail Sale"/>
    <n v="18"/>
    <n v="12588"/>
    <x v="55"/>
    <s v="Protek"/>
    <s v="Takeda"/>
    <n v="1"/>
    <n v="143.91"/>
    <n v="233.46"/>
    <n v="0"/>
    <n v="0"/>
    <m/>
    <n v="29"/>
    <n v="1"/>
    <n v="6"/>
    <n v="233.46"/>
    <n v="13130000908"/>
  </r>
  <r>
    <x v="29"/>
    <d v="1899-12-30T16:40:18"/>
    <n v="1909"/>
    <n v="13002561"/>
    <n v="13"/>
    <n v="22589"/>
    <s v="Retail Sale"/>
    <n v="15"/>
    <n v="90749"/>
    <x v="43"/>
    <s v="Pharmcomplect"/>
    <s v="KRKA"/>
    <n v="3"/>
    <n v="31.71"/>
    <n v="39.64"/>
    <n v="1.98"/>
    <n v="1.98"/>
    <s v="BONUS_CARD"/>
    <n v="29"/>
    <n v="1"/>
    <n v="6"/>
    <n v="37.659999999999997"/>
    <n v="13130000909"/>
  </r>
  <r>
    <x v="12"/>
    <d v="1899-12-30T09:11:05"/>
    <n v="1910"/>
    <n v="13002561"/>
    <n v="13"/>
    <n v="22589"/>
    <s v="Retail Sale"/>
    <n v="18"/>
    <n v="52648"/>
    <x v="66"/>
    <s v="Avesta"/>
    <s v="Bayer"/>
    <n v="1"/>
    <n v="207.08"/>
    <n v="342.87"/>
    <n v="34.29"/>
    <n v="34.29"/>
    <s v="BONUS_CARD"/>
    <n v="29"/>
    <n v="1"/>
    <n v="2"/>
    <n v="308.58"/>
    <n v="13130000910"/>
  </r>
  <r>
    <x v="6"/>
    <d v="1899-12-30T14:17:03"/>
    <n v="1911"/>
    <n v="13002561"/>
    <n v="13"/>
    <n v="22589"/>
    <s v="Retail Sale"/>
    <n v="15"/>
    <n v="29411"/>
    <x v="31"/>
    <s v="Pulse"/>
    <s v="Sanofi"/>
    <n v="1"/>
    <n v="93.79"/>
    <n v="133.5"/>
    <n v="6.68"/>
    <n v="6.68"/>
    <s v="BONUS_CARD"/>
    <n v="29"/>
    <n v="1"/>
    <n v="6"/>
    <n v="126.82"/>
    <n v="13130000911"/>
  </r>
  <r>
    <x v="27"/>
    <d v="1899-12-30T19:41:43"/>
    <n v="1912"/>
    <n v="13002561"/>
    <n v="13"/>
    <n v="22589"/>
    <s v="Retail Sale"/>
    <n v="18"/>
    <n v="26846"/>
    <x v="60"/>
    <s v="Katren"/>
    <s v="Dr. Reddy's"/>
    <n v="2"/>
    <n v="527.02"/>
    <n v="806.59"/>
    <n v="0"/>
    <n v="0"/>
    <m/>
    <n v="29"/>
    <n v="1"/>
    <n v="3"/>
    <n v="806.59"/>
    <n v="13130000912"/>
  </r>
  <r>
    <x v="23"/>
    <d v="1899-12-30T09:12:56"/>
    <n v="1913"/>
    <n v="13002561"/>
    <n v="13"/>
    <n v="22589"/>
    <s v="Retail Sale"/>
    <n v="15"/>
    <n v="62823"/>
    <x v="57"/>
    <s v="Pharmcomplect"/>
    <s v="Sanofi"/>
    <n v="1"/>
    <n v="81.06"/>
    <n v="114.93"/>
    <n v="11.49"/>
    <n v="11.49"/>
    <s v="BONUS_CARD"/>
    <n v="29"/>
    <n v="1"/>
    <n v="5"/>
    <n v="103.44"/>
    <n v="13130000913"/>
  </r>
  <r>
    <x v="15"/>
    <d v="1899-12-30T22:37:46"/>
    <n v="1914"/>
    <n v="13002561"/>
    <n v="13"/>
    <n v="22589"/>
    <s v="Retail Sale"/>
    <n v="15"/>
    <n v="57090"/>
    <x v="54"/>
    <s v="Katren"/>
    <s v="KRKA"/>
    <n v="2"/>
    <n v="258.47000000000003"/>
    <n v="367.54"/>
    <n v="18.38"/>
    <n v="18.38"/>
    <s v="BONUS_CARD"/>
    <n v="29"/>
    <n v="1"/>
    <n v="6"/>
    <n v="349.16"/>
    <n v="13130000914"/>
  </r>
  <r>
    <x v="12"/>
    <d v="1899-12-30T22:04:33"/>
    <n v="1915"/>
    <n v="13002561"/>
    <n v="13"/>
    <n v="22589"/>
    <s v="Retail Sale"/>
    <n v="15"/>
    <n v="29336"/>
    <x v="57"/>
    <s v="Pulse"/>
    <s v="Pfizer"/>
    <n v="3"/>
    <n v="38.1"/>
    <n v="58.34"/>
    <n v="5.83"/>
    <n v="5.83"/>
    <s v="BONUS_CARD"/>
    <n v="29"/>
    <n v="1"/>
    <n v="2"/>
    <n v="52.51"/>
    <n v="13130000915"/>
  </r>
  <r>
    <x v="2"/>
    <d v="1899-12-30T10:27:26"/>
    <n v="1916"/>
    <n v="13002561"/>
    <n v="13"/>
    <n v="22589"/>
    <s v="Retail Sale"/>
    <n v="18"/>
    <n v="37208"/>
    <x v="41"/>
    <s v="Pulse"/>
    <s v="Bayer"/>
    <n v="1"/>
    <n v="255.42"/>
    <n v="364.13"/>
    <n v="36.409999999999997"/>
    <n v="36.409999999999997"/>
    <s v="BONUS_CARD"/>
    <n v="29"/>
    <n v="1"/>
    <n v="3"/>
    <n v="327.72"/>
    <n v="13130000916"/>
  </r>
  <r>
    <x v="0"/>
    <d v="1899-12-30T15:17:34"/>
    <n v="1917"/>
    <n v="13002561"/>
    <n v="13"/>
    <n v="22589"/>
    <s v="Retail Sale"/>
    <n v="18"/>
    <n v="21466"/>
    <x v="69"/>
    <s v="Pulse"/>
    <s v="Dr. Reddy's"/>
    <n v="3"/>
    <n v="422.63"/>
    <n v="714.95"/>
    <n v="35.75"/>
    <n v="35.75"/>
    <s v="BONUS_CARD"/>
    <n v="29"/>
    <n v="1"/>
    <n v="1"/>
    <n v="679.2"/>
    <n v="13130000917"/>
  </r>
  <r>
    <x v="11"/>
    <d v="1899-12-30T22:55:06"/>
    <n v="1918"/>
    <n v="13002561"/>
    <n v="13"/>
    <n v="22589"/>
    <s v="Retail Sale"/>
    <n v="18"/>
    <n v="32230"/>
    <x v="36"/>
    <s v="Pharmcomplect"/>
    <s v="Bayer"/>
    <n v="1"/>
    <n v="128.97999999999999"/>
    <n v="166.05"/>
    <n v="0"/>
    <n v="0"/>
    <m/>
    <n v="29"/>
    <n v="1"/>
    <n v="2"/>
    <n v="166.05"/>
    <n v="13130000918"/>
  </r>
  <r>
    <x v="23"/>
    <d v="1899-12-30T15:10:23"/>
    <n v="1919"/>
    <n v="13002561"/>
    <n v="13"/>
    <n v="22589"/>
    <s v="Retail Sale"/>
    <n v="15"/>
    <n v="24445"/>
    <x v="88"/>
    <s v="Avesta"/>
    <s v="KRKA"/>
    <n v="1"/>
    <n v="35.83"/>
    <n v="51.1"/>
    <n v="2.56"/>
    <n v="2.56"/>
    <s v="BONUS_CARD"/>
    <n v="29"/>
    <n v="1"/>
    <n v="6"/>
    <n v="48.54"/>
    <n v="13130000919"/>
  </r>
  <r>
    <x v="28"/>
    <d v="1899-12-30T11:24:44"/>
    <n v="1920"/>
    <n v="13002561"/>
    <n v="13"/>
    <n v="22589"/>
    <s v="Retail Sale"/>
    <n v="15"/>
    <n v="73598"/>
    <x v="30"/>
    <s v="Katren"/>
    <s v="Sanofi"/>
    <n v="3"/>
    <n v="414"/>
    <n v="564.9"/>
    <n v="0"/>
    <n v="0"/>
    <m/>
    <n v="29"/>
    <n v="1"/>
    <n v="6"/>
    <n v="564.9"/>
    <n v="13130000920"/>
  </r>
  <r>
    <x v="0"/>
    <d v="1899-12-30T21:02:09"/>
    <n v="1921"/>
    <n v="13002561"/>
    <n v="13"/>
    <n v="22589"/>
    <s v="Retail Sale"/>
    <n v="15"/>
    <n v="14959"/>
    <x v="75"/>
    <s v="Katren"/>
    <s v="Pfizer"/>
    <n v="1"/>
    <n v="341.2"/>
    <n v="490.84"/>
    <n v="0"/>
    <n v="0"/>
    <m/>
    <n v="29"/>
    <n v="1"/>
    <n v="4"/>
    <n v="490.84"/>
    <n v="13130000921"/>
  </r>
  <r>
    <x v="20"/>
    <d v="1899-12-30T19:24:26"/>
    <n v="1922"/>
    <n v="13002561"/>
    <n v="13"/>
    <n v="22589"/>
    <s v="Retail Sale"/>
    <n v="15"/>
    <n v="75973"/>
    <x v="1"/>
    <s v="Grand Capital"/>
    <s v="Pfizer"/>
    <n v="3"/>
    <n v="317.39"/>
    <n v="517.1"/>
    <n v="25.86"/>
    <n v="25.86"/>
    <s v="BONUS_CARD"/>
    <n v="29"/>
    <n v="1"/>
    <n v="4"/>
    <n v="491.24"/>
    <n v="13130000922"/>
  </r>
  <r>
    <x v="8"/>
    <d v="1899-12-30T20:40:03"/>
    <n v="1923"/>
    <n v="13002561"/>
    <n v="13"/>
    <n v="22589"/>
    <s v="Retail Sale"/>
    <n v="18"/>
    <n v="51013"/>
    <x v="28"/>
    <s v="Pulse"/>
    <s v="Sanofi"/>
    <n v="1"/>
    <n v="552.52"/>
    <n v="861.16"/>
    <n v="0"/>
    <n v="0"/>
    <m/>
    <n v="29"/>
    <n v="1"/>
    <n v="5"/>
    <n v="861.16"/>
    <n v="13130000923"/>
  </r>
  <r>
    <x v="28"/>
    <d v="1899-12-30T22:16:02"/>
    <n v="1924"/>
    <n v="13002561"/>
    <n v="13"/>
    <n v="22589"/>
    <s v="Retail Sale"/>
    <n v="18"/>
    <n v="76770"/>
    <x v="27"/>
    <s v="Grand Capital"/>
    <s v="Takeda"/>
    <n v="1"/>
    <n v="63.18"/>
    <n v="80.06"/>
    <n v="0"/>
    <n v="0"/>
    <m/>
    <n v="29"/>
    <n v="1"/>
    <n v="1"/>
    <n v="80.06"/>
    <n v="13130000924"/>
  </r>
  <r>
    <x v="23"/>
    <d v="1899-12-30T08:24:40"/>
    <n v="1925"/>
    <n v="13002561"/>
    <n v="13"/>
    <n v="22589"/>
    <s v="Retail Sale"/>
    <n v="18"/>
    <n v="23484"/>
    <x v="5"/>
    <s v="Pharmcomplect"/>
    <s v="Dr. Reddy's"/>
    <n v="1"/>
    <n v="102.74"/>
    <n v="167.73"/>
    <n v="16.77"/>
    <n v="16.77"/>
    <s v="BONUS_CARD"/>
    <n v="29"/>
    <n v="1"/>
    <n v="3"/>
    <n v="150.96"/>
    <n v="13130000925"/>
  </r>
  <r>
    <x v="22"/>
    <d v="1899-12-30T08:49:50"/>
    <n v="1926"/>
    <n v="13002561"/>
    <n v="13"/>
    <n v="22589"/>
    <s v="Retail Sale"/>
    <n v="18"/>
    <n v="93493"/>
    <x v="2"/>
    <s v="Pulse"/>
    <s v="Pfizer"/>
    <n v="2"/>
    <n v="587.51"/>
    <n v="818.27"/>
    <n v="0"/>
    <n v="0"/>
    <m/>
    <n v="29"/>
    <n v="1"/>
    <n v="4"/>
    <n v="818.27"/>
    <n v="13130000926"/>
  </r>
  <r>
    <x v="29"/>
    <d v="1899-12-30T20:15:56"/>
    <n v="1927"/>
    <n v="13002561"/>
    <n v="13"/>
    <n v="22589"/>
    <s v="Retail Sale"/>
    <n v="15"/>
    <n v="33131"/>
    <x v="23"/>
    <s v="Pharmcomplect"/>
    <s v="Bayer"/>
    <n v="2"/>
    <n v="102.87"/>
    <n v="147.97"/>
    <n v="7.4"/>
    <n v="7.4"/>
    <s v="BONUS_CARD"/>
    <n v="29"/>
    <n v="1"/>
    <n v="6"/>
    <n v="140.57"/>
    <n v="13130000927"/>
  </r>
  <r>
    <x v="24"/>
    <d v="1899-12-30T15:07:35"/>
    <n v="1928"/>
    <n v="13002561"/>
    <n v="13"/>
    <n v="22589"/>
    <s v="Retail Sale"/>
    <n v="15"/>
    <n v="74456"/>
    <x v="10"/>
    <s v="Avesta"/>
    <s v="TEVA"/>
    <n v="2"/>
    <n v="552.39"/>
    <n v="931.12"/>
    <n v="0"/>
    <n v="0"/>
    <m/>
    <n v="29"/>
    <n v="1"/>
    <n v="3"/>
    <n v="931.12"/>
    <n v="13130000928"/>
  </r>
  <r>
    <x v="4"/>
    <d v="1899-12-30T14:40:30"/>
    <n v="1929"/>
    <n v="13002561"/>
    <n v="13"/>
    <n v="22589"/>
    <s v="Retail Sale"/>
    <n v="18"/>
    <n v="71473"/>
    <x v="39"/>
    <s v="Grand Capital"/>
    <s v="Dr. Reddy's"/>
    <n v="3"/>
    <n v="305.49"/>
    <n v="508.09"/>
    <n v="0"/>
    <n v="0"/>
    <m/>
    <n v="29"/>
    <n v="1"/>
    <n v="6"/>
    <n v="508.09"/>
    <n v="13130000929"/>
  </r>
  <r>
    <x v="12"/>
    <d v="1899-12-30T08:16:28"/>
    <n v="1930"/>
    <n v="13002561"/>
    <n v="13"/>
    <n v="22589"/>
    <s v="Retail Sale"/>
    <n v="18"/>
    <n v="54731"/>
    <x v="68"/>
    <s v="Pharmcomplect"/>
    <s v="Dr. Reddy's"/>
    <n v="3"/>
    <n v="320.45"/>
    <n v="489.66"/>
    <n v="24.48"/>
    <n v="24.48"/>
    <s v="BONUS_CARD"/>
    <n v="29"/>
    <n v="1"/>
    <n v="5"/>
    <n v="465.18"/>
    <n v="13130000930"/>
  </r>
  <r>
    <x v="24"/>
    <d v="1899-12-30T12:52:25"/>
    <n v="1931"/>
    <n v="13002561"/>
    <n v="13"/>
    <n v="22589"/>
    <s v="Retail Sale"/>
    <n v="15"/>
    <n v="49113"/>
    <x v="46"/>
    <s v="Avesta"/>
    <s v="TEVA"/>
    <n v="3"/>
    <n v="91.09"/>
    <n v="151.72999999999999"/>
    <n v="0"/>
    <n v="0"/>
    <m/>
    <n v="29"/>
    <n v="1"/>
    <n v="4"/>
    <n v="151.72999999999999"/>
    <n v="13130000931"/>
  </r>
  <r>
    <x v="6"/>
    <d v="1899-12-30T22:26:38"/>
    <n v="1932"/>
    <n v="13002561"/>
    <n v="13"/>
    <n v="22589"/>
    <s v="Retail Sale"/>
    <n v="15"/>
    <n v="48791"/>
    <x v="45"/>
    <s v="Pharmcomplect"/>
    <s v="TEVA"/>
    <n v="1"/>
    <n v="319.89"/>
    <n v="526.65"/>
    <n v="26.33"/>
    <n v="26.33"/>
    <s v="BONUS_CARD"/>
    <n v="29"/>
    <n v="1"/>
    <n v="5"/>
    <n v="500.32"/>
    <n v="13130000932"/>
  </r>
  <r>
    <x v="18"/>
    <d v="1899-12-30T11:27:51"/>
    <n v="1933"/>
    <n v="13002561"/>
    <n v="13"/>
    <n v="22589"/>
    <s v="Retail Sale"/>
    <n v="15"/>
    <n v="46425"/>
    <x v="45"/>
    <s v="Pulse"/>
    <s v="Novartis"/>
    <n v="3"/>
    <n v="201.94"/>
    <n v="314.57"/>
    <n v="31.46"/>
    <n v="31.46"/>
    <s v="BONUS_CARD"/>
    <n v="29"/>
    <n v="1"/>
    <n v="5"/>
    <n v="283.11"/>
    <n v="13130000933"/>
  </r>
  <r>
    <x v="3"/>
    <d v="1899-12-30T10:17:08"/>
    <n v="1934"/>
    <n v="13002561"/>
    <n v="13"/>
    <n v="22589"/>
    <s v="Retail Sale"/>
    <n v="15"/>
    <n v="19814"/>
    <x v="66"/>
    <s v="Protek"/>
    <s v="Novartis"/>
    <n v="2"/>
    <n v="90.22"/>
    <n v="129.33000000000001"/>
    <n v="12.93"/>
    <n v="12.93"/>
    <s v="BONUS_CARD"/>
    <n v="29"/>
    <n v="1"/>
    <n v="2"/>
    <n v="116.4"/>
    <n v="13130000934"/>
  </r>
  <r>
    <x v="11"/>
    <d v="1899-12-30T09:56:26"/>
    <n v="1935"/>
    <n v="13002561"/>
    <n v="13"/>
    <n v="22589"/>
    <s v="Retail Sale"/>
    <n v="18"/>
    <n v="86857"/>
    <x v="56"/>
    <s v="Grand Capital"/>
    <s v="Bayer"/>
    <n v="2"/>
    <n v="255.25"/>
    <n v="413.96"/>
    <n v="0"/>
    <n v="0"/>
    <m/>
    <n v="29"/>
    <n v="1"/>
    <n v="5"/>
    <n v="413.96"/>
    <n v="13130000935"/>
  </r>
  <r>
    <x v="29"/>
    <d v="1899-12-30T19:53:05"/>
    <n v="1936"/>
    <n v="13002561"/>
    <n v="13"/>
    <n v="22589"/>
    <s v="Retail Sale"/>
    <n v="18"/>
    <n v="32585"/>
    <x v="43"/>
    <s v="Katren"/>
    <s v="Sanofi"/>
    <n v="2"/>
    <n v="97.45"/>
    <n v="134.03"/>
    <n v="6.7"/>
    <n v="6.7"/>
    <s v="BONUS_CARD"/>
    <n v="29"/>
    <n v="1"/>
    <n v="1"/>
    <n v="127.33"/>
    <n v="13130000936"/>
  </r>
  <r>
    <x v="19"/>
    <d v="1899-12-30T18:11:03"/>
    <n v="1937"/>
    <n v="13002561"/>
    <n v="13"/>
    <n v="22589"/>
    <s v="Retail Sale"/>
    <n v="15"/>
    <n v="58149"/>
    <x v="10"/>
    <s v="Pharmcomplect"/>
    <s v="TEVA"/>
    <n v="2"/>
    <n v="208.62"/>
    <n v="325.87"/>
    <n v="32.590000000000003"/>
    <n v="32.590000000000003"/>
    <s v="BONUS_CARD"/>
    <n v="29"/>
    <n v="1"/>
    <n v="1"/>
    <n v="293.27999999999997"/>
    <n v="13130000937"/>
  </r>
  <r>
    <x v="6"/>
    <d v="1899-12-30T13:18:24"/>
    <n v="1938"/>
    <n v="13002561"/>
    <n v="13"/>
    <n v="22589"/>
    <s v="Retail Sale"/>
    <n v="18"/>
    <n v="39051"/>
    <x v="73"/>
    <s v="Avesta"/>
    <s v="Takeda"/>
    <n v="2"/>
    <n v="232.61"/>
    <n v="382.24"/>
    <n v="38.22"/>
    <n v="38.22"/>
    <s v="BONUS_CARD"/>
    <n v="29"/>
    <n v="1"/>
    <n v="6"/>
    <n v="344.02"/>
    <n v="13130000938"/>
  </r>
  <r>
    <x v="7"/>
    <d v="1899-12-30T20:01:50"/>
    <n v="1939"/>
    <n v="13002561"/>
    <n v="13"/>
    <n v="22589"/>
    <s v="Retail Sale"/>
    <n v="15"/>
    <n v="59333"/>
    <x v="82"/>
    <s v="Katren"/>
    <s v="TEVA"/>
    <n v="2"/>
    <n v="395.51"/>
    <n v="528.51"/>
    <n v="52.85"/>
    <n v="52.85"/>
    <s v="BONUS_CARD"/>
    <n v="29"/>
    <n v="1"/>
    <n v="6"/>
    <n v="475.66"/>
    <n v="13130000939"/>
  </r>
  <r>
    <x v="28"/>
    <d v="1899-12-30T16:27:15"/>
    <n v="1940"/>
    <n v="13002561"/>
    <n v="13"/>
    <n v="22589"/>
    <s v="Retail Sale"/>
    <n v="18"/>
    <n v="77012"/>
    <x v="81"/>
    <s v="Grand Capital"/>
    <s v="Pfizer"/>
    <n v="2"/>
    <n v="249.64"/>
    <n v="356.81"/>
    <n v="17.84"/>
    <n v="17.84"/>
    <s v="BONUS_CARD"/>
    <n v="29"/>
    <n v="1"/>
    <n v="3"/>
    <n v="338.97"/>
    <n v="13130000940"/>
  </r>
  <r>
    <x v="5"/>
    <d v="1899-12-30T14:34:40"/>
    <n v="1941"/>
    <n v="13002561"/>
    <n v="13"/>
    <n v="22589"/>
    <s v="Retail Sale"/>
    <n v="18"/>
    <n v="63398"/>
    <x v="54"/>
    <s v="Avesta"/>
    <s v="Pfizer"/>
    <n v="2"/>
    <n v="238.27"/>
    <n v="303.77999999999997"/>
    <n v="0"/>
    <n v="0"/>
    <m/>
    <n v="29"/>
    <n v="1"/>
    <n v="3"/>
    <n v="303.77999999999997"/>
    <n v="13130000941"/>
  </r>
  <r>
    <x v="9"/>
    <d v="1899-12-30T12:52:11"/>
    <n v="1942"/>
    <n v="13002561"/>
    <n v="13"/>
    <n v="22589"/>
    <s v="Retail Sale"/>
    <n v="18"/>
    <n v="61680"/>
    <x v="36"/>
    <s v="Pulse"/>
    <s v="Takeda"/>
    <n v="2"/>
    <n v="89.03"/>
    <n v="116.87"/>
    <n v="11.69"/>
    <n v="11.69"/>
    <s v="BONUS_CARD"/>
    <n v="29"/>
    <n v="1"/>
    <n v="1"/>
    <n v="105.18"/>
    <n v="13130000942"/>
  </r>
  <r>
    <x v="11"/>
    <d v="1899-12-30T19:11:51"/>
    <n v="1943"/>
    <n v="13002561"/>
    <n v="13"/>
    <n v="22589"/>
    <s v="Retail Sale"/>
    <n v="18"/>
    <n v="31148"/>
    <x v="27"/>
    <s v="Grand Capital"/>
    <s v="Takeda"/>
    <n v="3"/>
    <n v="124.12"/>
    <n v="174.05"/>
    <n v="17.41"/>
    <n v="17.41"/>
    <s v="BONUS_CARD"/>
    <n v="29"/>
    <n v="1"/>
    <n v="1"/>
    <n v="156.63999999999999"/>
    <n v="13130000943"/>
  </r>
  <r>
    <x v="10"/>
    <d v="1899-12-30T15:11:18"/>
    <n v="1944"/>
    <n v="13002561"/>
    <n v="13"/>
    <n v="22589"/>
    <s v="Retail Sale"/>
    <n v="18"/>
    <n v="23842"/>
    <x v="24"/>
    <s v="Katren"/>
    <s v="Bayer"/>
    <n v="2"/>
    <n v="437.45"/>
    <n v="617.21"/>
    <n v="61.72"/>
    <n v="61.72"/>
    <s v="BONUS_CARD"/>
    <n v="29"/>
    <n v="1"/>
    <n v="1"/>
    <n v="555.49"/>
    <n v="13130000944"/>
  </r>
  <r>
    <x v="12"/>
    <d v="1899-12-30T09:31:55"/>
    <n v="1945"/>
    <n v="13002561"/>
    <n v="13"/>
    <n v="22589"/>
    <s v="Retail Sale"/>
    <n v="18"/>
    <n v="51868"/>
    <x v="29"/>
    <s v="Pharmcomplect"/>
    <s v="Novartis"/>
    <n v="2"/>
    <n v="261.74"/>
    <n v="405.05"/>
    <n v="0"/>
    <n v="0"/>
    <m/>
    <n v="29"/>
    <n v="1"/>
    <n v="3"/>
    <n v="405.05"/>
    <n v="13130000945"/>
  </r>
  <r>
    <x v="0"/>
    <d v="1899-12-30T13:45:37"/>
    <n v="1946"/>
    <n v="13002561"/>
    <n v="13"/>
    <n v="22589"/>
    <s v="Retail Sale"/>
    <n v="15"/>
    <n v="18159"/>
    <x v="23"/>
    <s v="Protek"/>
    <s v="Pfizer"/>
    <n v="3"/>
    <n v="462.77"/>
    <n v="617.52"/>
    <n v="0"/>
    <n v="0"/>
    <m/>
    <n v="29"/>
    <n v="1"/>
    <n v="5"/>
    <n v="617.52"/>
    <n v="13130000946"/>
  </r>
  <r>
    <x v="1"/>
    <d v="1899-12-30T21:25:06"/>
    <n v="1947"/>
    <n v="13002561"/>
    <n v="13"/>
    <n v="22589"/>
    <s v="Retail Sale"/>
    <n v="18"/>
    <n v="28612"/>
    <x v="17"/>
    <s v="Grand Capital"/>
    <s v="Pfizer"/>
    <n v="3"/>
    <n v="41.97"/>
    <n v="57.35"/>
    <n v="5.74"/>
    <n v="5.74"/>
    <s v="BONUS_CARD"/>
    <n v="29"/>
    <n v="1"/>
    <n v="1"/>
    <n v="51.61"/>
    <n v="13130000947"/>
  </r>
  <r>
    <x v="18"/>
    <d v="1899-12-30T18:29:06"/>
    <n v="1948"/>
    <n v="13002561"/>
    <n v="13"/>
    <n v="22589"/>
    <s v="Retail Sale"/>
    <n v="18"/>
    <n v="39859"/>
    <x v="0"/>
    <s v="Avesta"/>
    <s v="TEVA"/>
    <n v="3"/>
    <n v="219.34"/>
    <n v="312.29000000000002"/>
    <n v="0"/>
    <n v="0"/>
    <m/>
    <n v="29"/>
    <n v="1"/>
    <n v="1"/>
    <n v="312.29000000000002"/>
    <n v="13130000948"/>
  </r>
  <r>
    <x v="13"/>
    <d v="1899-12-30T12:43:16"/>
    <n v="1949"/>
    <n v="13002561"/>
    <n v="13"/>
    <n v="22589"/>
    <s v="Retail Sale"/>
    <n v="18"/>
    <n v="88968"/>
    <x v="10"/>
    <s v="Pharmcomplect"/>
    <s v="Novartis"/>
    <n v="2"/>
    <n v="399.61"/>
    <n v="562.76"/>
    <n v="0"/>
    <n v="0"/>
    <m/>
    <n v="29"/>
    <n v="1"/>
    <n v="3"/>
    <n v="562.76"/>
    <n v="13130000949"/>
  </r>
  <r>
    <x v="30"/>
    <d v="1899-12-30T17:16:45"/>
    <n v="1950"/>
    <n v="13002561"/>
    <n v="13"/>
    <n v="22589"/>
    <s v="Retail Sale"/>
    <n v="18"/>
    <n v="86437"/>
    <x v="69"/>
    <s v="Katren"/>
    <s v="Takeda"/>
    <n v="3"/>
    <n v="315.27999999999997"/>
    <n v="522.37"/>
    <n v="52.24"/>
    <n v="52.24"/>
    <s v="BONUS_CARD"/>
    <n v="29"/>
    <n v="1"/>
    <n v="3"/>
    <n v="470.13"/>
    <n v="13130000950"/>
  </r>
  <r>
    <x v="11"/>
    <d v="1899-12-30T13:47:21"/>
    <n v="1951"/>
    <n v="13002561"/>
    <n v="13"/>
    <n v="22589"/>
    <s v="Retail Sale"/>
    <n v="15"/>
    <n v="29504"/>
    <x v="35"/>
    <s v="Pharmcomplect"/>
    <s v="Takeda"/>
    <n v="3"/>
    <n v="12.59"/>
    <n v="18.29"/>
    <n v="0.91"/>
    <n v="0.91"/>
    <s v="BONUS_CARD"/>
    <n v="29"/>
    <n v="1"/>
    <n v="2"/>
    <n v="17.38"/>
    <n v="13130000951"/>
  </r>
  <r>
    <x v="29"/>
    <d v="1899-12-30T21:53:22"/>
    <n v="1952"/>
    <n v="13002561"/>
    <n v="13"/>
    <n v="22589"/>
    <s v="Retail Sale"/>
    <n v="18"/>
    <n v="88350"/>
    <x v="72"/>
    <s v="Pharmcomplect"/>
    <s v="Dr. Reddy's"/>
    <n v="2"/>
    <n v="131.03"/>
    <n v="207.13"/>
    <n v="10.36"/>
    <n v="10.36"/>
    <s v="BONUS_CARD"/>
    <n v="29"/>
    <n v="1"/>
    <n v="4"/>
    <n v="196.77"/>
    <n v="13130000952"/>
  </r>
  <r>
    <x v="19"/>
    <d v="1899-12-30T11:53:55"/>
    <n v="1953"/>
    <n v="13002561"/>
    <n v="13"/>
    <n v="22589"/>
    <s v="Retail Sale"/>
    <n v="15"/>
    <n v="42596"/>
    <x v="28"/>
    <s v="Pulse"/>
    <s v="Sanofi"/>
    <n v="1"/>
    <n v="471.51"/>
    <n v="772.97"/>
    <n v="38.65"/>
    <n v="38.65"/>
    <s v="BONUS_CARD"/>
    <n v="29"/>
    <n v="1"/>
    <n v="3"/>
    <n v="734.32"/>
    <n v="13130000953"/>
  </r>
  <r>
    <x v="22"/>
    <d v="1899-12-30T20:04:47"/>
    <n v="1954"/>
    <n v="13002561"/>
    <n v="13"/>
    <n v="22589"/>
    <s v="Retail Sale"/>
    <n v="18"/>
    <n v="32877"/>
    <x v="55"/>
    <s v="Grand Capital"/>
    <s v="Sanofi"/>
    <n v="1"/>
    <n v="140.25"/>
    <n v="235.22"/>
    <n v="11.76"/>
    <n v="11.76"/>
    <s v="BONUS_CARD"/>
    <n v="29"/>
    <n v="1"/>
    <n v="5"/>
    <n v="223.46"/>
    <n v="13130000954"/>
  </r>
  <r>
    <x v="20"/>
    <d v="1899-12-30T12:20:25"/>
    <n v="1955"/>
    <n v="13002561"/>
    <n v="13"/>
    <n v="22589"/>
    <s v="Retail Sale"/>
    <n v="15"/>
    <n v="78347"/>
    <x v="31"/>
    <s v="Protek"/>
    <s v="TEVA"/>
    <n v="3"/>
    <n v="417.02"/>
    <n v="645.04"/>
    <n v="0"/>
    <n v="0"/>
    <m/>
    <n v="29"/>
    <n v="1"/>
    <n v="5"/>
    <n v="645.04"/>
    <n v="13130000955"/>
  </r>
  <r>
    <x v="27"/>
    <d v="1899-12-30T14:27:16"/>
    <n v="1956"/>
    <n v="13002561"/>
    <n v="13"/>
    <n v="22589"/>
    <s v="Retail Sale"/>
    <n v="15"/>
    <n v="77354"/>
    <x v="5"/>
    <s v="Avesta"/>
    <s v="Takeda"/>
    <n v="1"/>
    <n v="333.44"/>
    <n v="463"/>
    <n v="23.15"/>
    <n v="23.15"/>
    <s v="BONUS_CARD"/>
    <n v="29"/>
    <n v="1"/>
    <n v="6"/>
    <n v="439.85"/>
    <n v="13130000956"/>
  </r>
  <r>
    <x v="13"/>
    <d v="1899-12-30T13:30:13"/>
    <n v="1957"/>
    <n v="13002561"/>
    <n v="13"/>
    <n v="22589"/>
    <s v="Retail Sale"/>
    <n v="18"/>
    <n v="75120"/>
    <x v="1"/>
    <s v="Pulse"/>
    <s v="Sanofi"/>
    <n v="3"/>
    <n v="136.15"/>
    <n v="208.39"/>
    <n v="10.42"/>
    <n v="10.42"/>
    <s v="BONUS_CARD"/>
    <n v="29"/>
    <n v="1"/>
    <n v="5"/>
    <n v="197.97"/>
    <n v="13130000957"/>
  </r>
  <r>
    <x v="29"/>
    <d v="1899-12-30T15:41:04"/>
    <n v="1958"/>
    <n v="13002561"/>
    <n v="13"/>
    <n v="22589"/>
    <s v="Retail Sale"/>
    <n v="15"/>
    <n v="47560"/>
    <x v="14"/>
    <s v="Pharmcomplect"/>
    <s v="KRKA"/>
    <n v="1"/>
    <n v="473.7"/>
    <n v="727.42"/>
    <n v="36.369999999999997"/>
    <n v="36.369999999999997"/>
    <s v="BONUS_CARD"/>
    <n v="29"/>
    <n v="1"/>
    <n v="2"/>
    <n v="691.05"/>
    <n v="13130000958"/>
  </r>
  <r>
    <x v="23"/>
    <d v="1899-12-30T10:32:11"/>
    <n v="1959"/>
    <n v="13002561"/>
    <n v="13"/>
    <n v="22589"/>
    <s v="Retail Sale"/>
    <n v="15"/>
    <n v="49253"/>
    <x v="68"/>
    <s v="Pulse"/>
    <s v="TEVA"/>
    <n v="1"/>
    <n v="528.54"/>
    <n v="779.41"/>
    <n v="77.94"/>
    <n v="77.94"/>
    <s v="BONUS_CARD"/>
    <n v="29"/>
    <n v="1"/>
    <n v="3"/>
    <n v="701.47"/>
    <n v="13130000959"/>
  </r>
  <r>
    <x v="7"/>
    <d v="1899-12-30T18:09:34"/>
    <n v="1960"/>
    <n v="13002561"/>
    <n v="13"/>
    <n v="22589"/>
    <s v="Retail Sale"/>
    <n v="18"/>
    <n v="33182"/>
    <x v="50"/>
    <s v="Grand Capital"/>
    <s v="Novartis"/>
    <n v="2"/>
    <n v="383.74"/>
    <n v="560.12"/>
    <n v="0"/>
    <n v="0"/>
    <m/>
    <n v="29"/>
    <n v="1"/>
    <n v="2"/>
    <n v="560.12"/>
    <n v="13130000960"/>
  </r>
  <r>
    <x v="9"/>
    <d v="1899-12-30T09:15:31"/>
    <n v="1961"/>
    <n v="13002561"/>
    <n v="13"/>
    <n v="22589"/>
    <s v="Retail Sale"/>
    <n v="18"/>
    <n v="20056"/>
    <x v="0"/>
    <s v="Avesta"/>
    <s v="Novartis"/>
    <n v="2"/>
    <n v="482.61"/>
    <n v="797.3"/>
    <n v="79.73"/>
    <n v="79.73"/>
    <s v="BONUS_CARD"/>
    <n v="29"/>
    <n v="1"/>
    <n v="1"/>
    <n v="717.57"/>
    <n v="13130000961"/>
  </r>
  <r>
    <x v="21"/>
    <d v="1899-12-30T10:13:04"/>
    <n v="1962"/>
    <n v="13002561"/>
    <n v="13"/>
    <n v="22589"/>
    <s v="Retail Sale"/>
    <n v="18"/>
    <n v="82812"/>
    <x v="87"/>
    <s v="Pulse"/>
    <s v="KRKA"/>
    <n v="1"/>
    <n v="52.67"/>
    <n v="87"/>
    <n v="0"/>
    <n v="0"/>
    <m/>
    <n v="29"/>
    <n v="1"/>
    <n v="2"/>
    <n v="87"/>
    <n v="13130000962"/>
  </r>
  <r>
    <x v="24"/>
    <d v="1899-12-30T18:57:09"/>
    <n v="1963"/>
    <n v="13002561"/>
    <n v="13"/>
    <n v="22589"/>
    <s v="Retail Sale"/>
    <n v="15"/>
    <n v="25748"/>
    <x v="38"/>
    <s v="Grand Capital"/>
    <s v="Pfizer"/>
    <n v="2"/>
    <n v="350.91"/>
    <n v="537.21"/>
    <n v="26.86"/>
    <n v="26.86"/>
    <s v="BONUS_CARD"/>
    <n v="29"/>
    <n v="1"/>
    <n v="4"/>
    <n v="510.35"/>
    <n v="13130000963"/>
  </r>
  <r>
    <x v="27"/>
    <d v="1899-12-30T15:16:28"/>
    <n v="1964"/>
    <n v="13002561"/>
    <n v="13"/>
    <n v="22589"/>
    <s v="Retail Sale"/>
    <n v="18"/>
    <n v="32622"/>
    <x v="65"/>
    <s v="Pharmcomplect"/>
    <s v="TEVA"/>
    <n v="2"/>
    <n v="556.86"/>
    <n v="814.08"/>
    <n v="0"/>
    <n v="0"/>
    <m/>
    <n v="29"/>
    <n v="1"/>
    <n v="3"/>
    <n v="814.08"/>
    <n v="13130000964"/>
  </r>
  <r>
    <x v="1"/>
    <d v="1899-12-30T10:30:02"/>
    <n v="1965"/>
    <n v="13002561"/>
    <n v="13"/>
    <n v="22589"/>
    <s v="Retail Sale"/>
    <n v="18"/>
    <n v="48509"/>
    <x v="45"/>
    <s v="Pharmcomplect"/>
    <s v="Bayer"/>
    <n v="2"/>
    <n v="535.27"/>
    <n v="881.81"/>
    <n v="0"/>
    <n v="0"/>
    <m/>
    <n v="29"/>
    <n v="1"/>
    <n v="5"/>
    <n v="881.81"/>
    <n v="13130000965"/>
  </r>
  <r>
    <x v="22"/>
    <d v="1899-12-30T11:25:22"/>
    <n v="1966"/>
    <n v="13002561"/>
    <n v="13"/>
    <n v="22589"/>
    <s v="Retail Sale"/>
    <n v="18"/>
    <n v="42571"/>
    <x v="2"/>
    <s v="Katren"/>
    <s v="Takeda"/>
    <n v="1"/>
    <n v="409.42"/>
    <n v="556.89"/>
    <n v="27.84"/>
    <n v="27.84"/>
    <s v="BONUS_CARD"/>
    <n v="29"/>
    <n v="1"/>
    <n v="5"/>
    <n v="529.04999999999995"/>
    <n v="13130000966"/>
  </r>
  <r>
    <x v="12"/>
    <d v="1899-12-30T08:40:53"/>
    <n v="1967"/>
    <n v="13002561"/>
    <n v="13"/>
    <n v="22589"/>
    <s v="Retail Sale"/>
    <n v="18"/>
    <n v="25173"/>
    <x v="40"/>
    <s v="Grand Capital"/>
    <s v="Takeda"/>
    <n v="3"/>
    <n v="591.37"/>
    <n v="809.63"/>
    <n v="40.479999999999997"/>
    <n v="40.479999999999997"/>
    <s v="BONUS_CARD"/>
    <n v="29"/>
    <n v="1"/>
    <n v="1"/>
    <n v="769.15"/>
    <n v="13130000967"/>
  </r>
  <r>
    <x v="18"/>
    <d v="1899-12-30T12:24:27"/>
    <n v="1968"/>
    <n v="13002561"/>
    <n v="13"/>
    <n v="22589"/>
    <s v="Retail Sale"/>
    <n v="18"/>
    <n v="21955"/>
    <x v="65"/>
    <s v="Protek"/>
    <s v="Takeda"/>
    <n v="2"/>
    <n v="442.89"/>
    <n v="742.48"/>
    <n v="0"/>
    <n v="0"/>
    <m/>
    <n v="29"/>
    <n v="1"/>
    <n v="4"/>
    <n v="742.48"/>
    <n v="13130000968"/>
  </r>
  <r>
    <x v="23"/>
    <d v="1899-12-30T13:45:08"/>
    <n v="1969"/>
    <n v="13002561"/>
    <n v="13"/>
    <n v="22589"/>
    <s v="Retail Sale"/>
    <n v="18"/>
    <n v="69692"/>
    <x v="41"/>
    <s v="Pulse"/>
    <s v="Bayer"/>
    <n v="3"/>
    <n v="343.12"/>
    <n v="437.43"/>
    <n v="0"/>
    <n v="0"/>
    <m/>
    <n v="29"/>
    <n v="1"/>
    <n v="1"/>
    <n v="437.43"/>
    <n v="13130000969"/>
  </r>
  <r>
    <x v="9"/>
    <d v="1899-12-30T20:54:54"/>
    <n v="1970"/>
    <n v="13002561"/>
    <n v="13"/>
    <n v="22589"/>
    <s v="Retail Sale"/>
    <n v="15"/>
    <n v="70084"/>
    <x v="81"/>
    <s v="Pulse"/>
    <s v="Takeda"/>
    <n v="2"/>
    <n v="455.36"/>
    <n v="735.9"/>
    <n v="73.59"/>
    <n v="73.59"/>
    <s v="BONUS_CARD"/>
    <n v="29"/>
    <n v="1"/>
    <n v="4"/>
    <n v="662.31"/>
    <n v="13130000970"/>
  </r>
  <r>
    <x v="15"/>
    <d v="1899-12-30T11:12:34"/>
    <n v="1971"/>
    <n v="13002561"/>
    <n v="13"/>
    <n v="22589"/>
    <s v="Retail Sale"/>
    <n v="18"/>
    <n v="70735"/>
    <x v="13"/>
    <s v="Avesta"/>
    <s v="Pfizer"/>
    <n v="3"/>
    <n v="326.86"/>
    <n v="415.44"/>
    <n v="20.77"/>
    <n v="20.77"/>
    <s v="BONUS_CARD"/>
    <n v="29"/>
    <n v="1"/>
    <n v="3"/>
    <n v="394.67"/>
    <n v="13130000971"/>
  </r>
  <r>
    <x v="19"/>
    <d v="1899-12-30T21:59:13"/>
    <n v="1972"/>
    <n v="13002561"/>
    <n v="13"/>
    <n v="22589"/>
    <s v="Retail Sale"/>
    <n v="15"/>
    <n v="29890"/>
    <x v="17"/>
    <s v="Avesta"/>
    <s v="Novartis"/>
    <n v="3"/>
    <n v="145.27000000000001"/>
    <n v="225.37"/>
    <n v="0"/>
    <n v="0"/>
    <m/>
    <n v="29"/>
    <n v="1"/>
    <n v="5"/>
    <n v="225.37"/>
    <n v="13130000972"/>
  </r>
  <r>
    <x v="14"/>
    <d v="1899-12-30T12:25:54"/>
    <n v="1973"/>
    <n v="13002561"/>
    <n v="13"/>
    <n v="22589"/>
    <s v="Retail Sale"/>
    <n v="15"/>
    <n v="89783"/>
    <x v="44"/>
    <s v="Pharmcomplect"/>
    <s v="Bayer"/>
    <n v="2"/>
    <n v="149.53"/>
    <n v="250.12"/>
    <n v="25.01"/>
    <n v="25.01"/>
    <s v="BONUS_CARD"/>
    <n v="29"/>
    <n v="1"/>
    <n v="2"/>
    <n v="225.11"/>
    <n v="13130000973"/>
  </r>
  <r>
    <x v="25"/>
    <d v="1899-12-30T16:05:21"/>
    <n v="1974"/>
    <n v="13002561"/>
    <n v="13"/>
    <n v="22589"/>
    <s v="Retail Sale"/>
    <n v="15"/>
    <n v="68226"/>
    <x v="67"/>
    <s v="Grand Capital"/>
    <s v="Novartis"/>
    <n v="3"/>
    <n v="178.66"/>
    <n v="226.88"/>
    <n v="22.69"/>
    <n v="22.69"/>
    <s v="BONUS_CARD"/>
    <n v="29"/>
    <n v="1"/>
    <n v="4"/>
    <n v="204.19"/>
    <n v="13130000974"/>
  </r>
  <r>
    <x v="17"/>
    <d v="1899-12-30T10:55:32"/>
    <n v="1975"/>
    <n v="13002561"/>
    <n v="13"/>
    <n v="22589"/>
    <s v="Retail Sale"/>
    <n v="18"/>
    <n v="37797"/>
    <x v="16"/>
    <s v="Pulse"/>
    <s v="Dr. Reddy's"/>
    <n v="2"/>
    <n v="283.76"/>
    <n v="418.34"/>
    <n v="0"/>
    <n v="0"/>
    <m/>
    <n v="29"/>
    <n v="1"/>
    <n v="5"/>
    <n v="418.34"/>
    <n v="13130000975"/>
  </r>
  <r>
    <x v="3"/>
    <d v="1899-12-30T13:43:35"/>
    <n v="1976"/>
    <n v="13002561"/>
    <n v="13"/>
    <n v="22589"/>
    <s v="Retail Sale"/>
    <n v="15"/>
    <n v="13678"/>
    <x v="80"/>
    <s v="Pharmcomplect"/>
    <s v="Pfizer"/>
    <n v="3"/>
    <n v="359.47"/>
    <n v="526.63"/>
    <n v="26.33"/>
    <n v="26.33"/>
    <s v="BONUS_CARD"/>
    <n v="29"/>
    <n v="1"/>
    <n v="1"/>
    <n v="500.3"/>
    <n v="13130000976"/>
  </r>
  <r>
    <x v="3"/>
    <d v="1899-12-30T14:54:05"/>
    <n v="1977"/>
    <n v="13002561"/>
    <n v="13"/>
    <n v="22589"/>
    <s v="Retail Sale"/>
    <n v="18"/>
    <n v="44469"/>
    <x v="40"/>
    <s v="Pharmcomplect"/>
    <s v="Dr. Reddy's"/>
    <n v="3"/>
    <n v="562.16"/>
    <n v="771.86"/>
    <n v="0"/>
    <n v="0"/>
    <m/>
    <n v="29"/>
    <n v="1"/>
    <n v="6"/>
    <n v="771.86"/>
    <n v="13130000977"/>
  </r>
  <r>
    <x v="22"/>
    <d v="1899-12-30T22:59:20"/>
    <n v="1978"/>
    <n v="13002561"/>
    <n v="13"/>
    <n v="22589"/>
    <s v="Retail Sale"/>
    <n v="15"/>
    <n v="70637"/>
    <x v="76"/>
    <s v="Avesta"/>
    <s v="Pfizer"/>
    <n v="1"/>
    <n v="407.52"/>
    <n v="679.08"/>
    <n v="33.950000000000003"/>
    <n v="33.950000000000003"/>
    <s v="BONUS_CARD"/>
    <n v="29"/>
    <n v="1"/>
    <n v="3"/>
    <n v="645.13"/>
    <n v="13130000978"/>
  </r>
  <r>
    <x v="1"/>
    <d v="1899-12-30T22:15:28"/>
    <n v="1979"/>
    <n v="13002561"/>
    <n v="13"/>
    <n v="22589"/>
    <s v="Retail Sale"/>
    <n v="18"/>
    <n v="66918"/>
    <x v="40"/>
    <s v="Avesta"/>
    <s v="Dr. Reddy's"/>
    <n v="3"/>
    <n v="28.09"/>
    <n v="44.37"/>
    <n v="2.2200000000000002"/>
    <n v="2.2200000000000002"/>
    <s v="BONUS_CARD"/>
    <n v="29"/>
    <n v="1"/>
    <n v="4"/>
    <n v="42.15"/>
    <n v="13130000979"/>
  </r>
  <r>
    <x v="27"/>
    <d v="1899-12-30T21:09:24"/>
    <n v="1980"/>
    <n v="13002561"/>
    <n v="13"/>
    <n v="22589"/>
    <s v="Retail Sale"/>
    <n v="18"/>
    <n v="65098"/>
    <x v="45"/>
    <s v="Pulse"/>
    <s v="Takeda"/>
    <n v="1"/>
    <n v="250.75"/>
    <n v="414.71"/>
    <n v="0"/>
    <n v="0"/>
    <m/>
    <n v="29"/>
    <n v="1"/>
    <n v="3"/>
    <n v="414.71"/>
    <n v="13130000980"/>
  </r>
  <r>
    <x v="5"/>
    <d v="1899-12-30T22:36:19"/>
    <n v="1981"/>
    <n v="13002561"/>
    <n v="13"/>
    <n v="22589"/>
    <s v="Retail Sale"/>
    <n v="18"/>
    <n v="48815"/>
    <x v="46"/>
    <s v="Grand Capital"/>
    <s v="Bayer"/>
    <n v="2"/>
    <n v="6.52"/>
    <n v="10.33"/>
    <n v="0.52"/>
    <n v="0.52"/>
    <s v="BONUS_CARD"/>
    <n v="29"/>
    <n v="1"/>
    <n v="4"/>
    <n v="9.81"/>
    <n v="13130000981"/>
  </r>
  <r>
    <x v="21"/>
    <d v="1899-12-30T19:53:06"/>
    <n v="1982"/>
    <n v="13002561"/>
    <n v="13"/>
    <n v="22589"/>
    <s v="Retail Sale"/>
    <n v="15"/>
    <n v="22029"/>
    <x v="52"/>
    <s v="Grand Capital"/>
    <s v="Bayer"/>
    <n v="3"/>
    <n v="210.65"/>
    <n v="296.85000000000002"/>
    <n v="29.69"/>
    <n v="29.69"/>
    <s v="BONUS_CARD"/>
    <n v="29"/>
    <n v="1"/>
    <n v="2"/>
    <n v="267.16000000000003"/>
    <n v="13130000982"/>
  </r>
  <r>
    <x v="25"/>
    <d v="1899-12-30T20:27:29"/>
    <n v="1983"/>
    <n v="13002561"/>
    <n v="13"/>
    <n v="22589"/>
    <s v="Retail Sale"/>
    <n v="15"/>
    <n v="97289"/>
    <x v="11"/>
    <s v="Grand Capital"/>
    <s v="Bayer"/>
    <n v="1"/>
    <n v="525.97"/>
    <n v="657.95"/>
    <n v="32.9"/>
    <n v="32.9"/>
    <s v="BONUS_CARD"/>
    <n v="29"/>
    <n v="1"/>
    <n v="5"/>
    <n v="625.04999999999995"/>
    <n v="13130000983"/>
  </r>
  <r>
    <x v="25"/>
    <d v="1899-12-30T08:06:09"/>
    <n v="1984"/>
    <n v="13002561"/>
    <n v="13"/>
    <n v="22589"/>
    <s v="Retail Sale"/>
    <n v="15"/>
    <n v="29470"/>
    <x v="55"/>
    <s v="Grand Capital"/>
    <s v="Novartis"/>
    <n v="1"/>
    <n v="445.46"/>
    <n v="666.04"/>
    <n v="33.299999999999997"/>
    <n v="33.299999999999997"/>
    <s v="BONUS_CARD"/>
    <n v="29"/>
    <n v="1"/>
    <n v="6"/>
    <n v="632.74"/>
    <n v="13130000984"/>
  </r>
  <r>
    <x v="22"/>
    <d v="1899-12-30T20:59:42"/>
    <n v="1985"/>
    <n v="13002561"/>
    <n v="13"/>
    <n v="22589"/>
    <s v="Retail Sale"/>
    <n v="15"/>
    <n v="50419"/>
    <x v="84"/>
    <s v="Pharmcomplect"/>
    <s v="Sanofi"/>
    <n v="1"/>
    <n v="208.7"/>
    <n v="313"/>
    <n v="15.65"/>
    <n v="15.65"/>
    <s v="BONUS_CARD"/>
    <n v="29"/>
    <n v="1"/>
    <n v="1"/>
    <n v="297.35000000000002"/>
    <n v="13130000985"/>
  </r>
  <r>
    <x v="0"/>
    <d v="1899-12-30T19:20:57"/>
    <n v="1986"/>
    <n v="13002561"/>
    <n v="13"/>
    <n v="22589"/>
    <s v="Retail Sale"/>
    <n v="18"/>
    <n v="19769"/>
    <x v="20"/>
    <s v="Pulse"/>
    <s v="KRKA"/>
    <n v="1"/>
    <n v="92.23"/>
    <n v="116.19"/>
    <n v="5.81"/>
    <n v="5.81"/>
    <s v="BONUS_CARD"/>
    <n v="29"/>
    <n v="1"/>
    <n v="1"/>
    <n v="110.38"/>
    <n v="13130000986"/>
  </r>
  <r>
    <x v="18"/>
    <d v="1899-12-30T21:48:55"/>
    <n v="1987"/>
    <n v="13002561"/>
    <n v="13"/>
    <n v="22589"/>
    <s v="Retail Sale"/>
    <n v="15"/>
    <n v="12228"/>
    <x v="83"/>
    <s v="Avesta"/>
    <s v="KRKA"/>
    <n v="2"/>
    <n v="61.21"/>
    <n v="88.9"/>
    <n v="4.45"/>
    <n v="4.45"/>
    <s v="BONUS_CARD"/>
    <n v="29"/>
    <n v="1"/>
    <n v="6"/>
    <n v="84.45"/>
    <n v="13130000987"/>
  </r>
  <r>
    <x v="27"/>
    <d v="1899-12-30T10:34:14"/>
    <n v="1988"/>
    <n v="13002561"/>
    <n v="13"/>
    <n v="22589"/>
    <s v="Retail Sale"/>
    <n v="15"/>
    <n v="18455"/>
    <x v="64"/>
    <s v="Pulse"/>
    <s v="Novartis"/>
    <n v="1"/>
    <n v="60.72"/>
    <n v="88.48"/>
    <n v="0"/>
    <n v="0"/>
    <m/>
    <n v="29"/>
    <n v="1"/>
    <n v="1"/>
    <n v="88.48"/>
    <n v="13130000988"/>
  </r>
  <r>
    <x v="19"/>
    <d v="1899-12-30T21:28:46"/>
    <n v="1989"/>
    <n v="13002561"/>
    <n v="13"/>
    <n v="22589"/>
    <s v="Retail Sale"/>
    <n v="18"/>
    <n v="54782"/>
    <x v="60"/>
    <s v="Pulse"/>
    <s v="Pfizer"/>
    <n v="2"/>
    <n v="24.39"/>
    <n v="35.020000000000003"/>
    <n v="1.75"/>
    <n v="1.75"/>
    <s v="BONUS_CARD"/>
    <n v="29"/>
    <n v="1"/>
    <n v="2"/>
    <n v="33.270000000000003"/>
    <n v="13130000989"/>
  </r>
  <r>
    <x v="5"/>
    <d v="1899-12-30T12:33:47"/>
    <n v="1990"/>
    <n v="13002561"/>
    <n v="13"/>
    <n v="22589"/>
    <s v="Retail Sale"/>
    <n v="15"/>
    <n v="89402"/>
    <x v="50"/>
    <s v="Pharmcomplect"/>
    <s v="KRKA"/>
    <n v="1"/>
    <n v="160.37"/>
    <n v="200.64"/>
    <n v="0"/>
    <n v="0"/>
    <m/>
    <n v="29"/>
    <n v="1"/>
    <n v="6"/>
    <n v="200.64"/>
    <n v="13130000990"/>
  </r>
  <r>
    <x v="29"/>
    <d v="1899-12-30T13:48:03"/>
    <n v="1991"/>
    <n v="13002561"/>
    <n v="13"/>
    <n v="22589"/>
    <s v="Retail Sale"/>
    <n v="15"/>
    <n v="20758"/>
    <x v="22"/>
    <s v="Grand Capital"/>
    <s v="Novartis"/>
    <n v="3"/>
    <n v="272.63"/>
    <n v="341.34"/>
    <n v="17.07"/>
    <n v="17.07"/>
    <s v="BONUS_CARD"/>
    <n v="29"/>
    <n v="1"/>
    <n v="6"/>
    <n v="324.27"/>
    <n v="13130000991"/>
  </r>
  <r>
    <x v="6"/>
    <d v="1899-12-30T17:08:32"/>
    <n v="1992"/>
    <n v="13002561"/>
    <n v="13"/>
    <n v="22589"/>
    <s v="Retail Sale"/>
    <n v="18"/>
    <n v="57471"/>
    <x v="81"/>
    <s v="Avesta"/>
    <s v="Dr. Reddy's"/>
    <n v="2"/>
    <n v="358.5"/>
    <n v="546.21"/>
    <n v="0"/>
    <n v="0"/>
    <m/>
    <n v="29"/>
    <n v="1"/>
    <n v="3"/>
    <n v="546.21"/>
    <n v="13130000992"/>
  </r>
  <r>
    <x v="28"/>
    <d v="1899-12-30T21:19:30"/>
    <n v="1993"/>
    <n v="13002561"/>
    <n v="13"/>
    <n v="22589"/>
    <s v="Retail Sale"/>
    <n v="18"/>
    <n v="45699"/>
    <x v="67"/>
    <s v="Protek"/>
    <s v="Takeda"/>
    <n v="1"/>
    <n v="101.69"/>
    <n v="148.11000000000001"/>
    <n v="7.41"/>
    <n v="7.41"/>
    <s v="BONUS_CARD"/>
    <n v="29"/>
    <n v="1"/>
    <n v="1"/>
    <n v="140.69999999999999"/>
    <n v="13130000993"/>
  </r>
  <r>
    <x v="24"/>
    <d v="1899-12-30T10:52:06"/>
    <n v="1994"/>
    <n v="13002561"/>
    <n v="13"/>
    <n v="22589"/>
    <s v="Retail Sale"/>
    <n v="15"/>
    <n v="87226"/>
    <x v="70"/>
    <s v="Pulse"/>
    <s v="Sanofi"/>
    <n v="2"/>
    <n v="510.34"/>
    <n v="837.86"/>
    <n v="0"/>
    <n v="0"/>
    <m/>
    <n v="29"/>
    <n v="1"/>
    <n v="3"/>
    <n v="837.86"/>
    <n v="13130000994"/>
  </r>
  <r>
    <x v="3"/>
    <d v="1899-12-30T13:27:30"/>
    <n v="1995"/>
    <n v="13002561"/>
    <n v="13"/>
    <n v="22589"/>
    <s v="Retail Sale"/>
    <n v="18"/>
    <n v="39308"/>
    <x v="63"/>
    <s v="Pulse"/>
    <s v="Takeda"/>
    <n v="3"/>
    <n v="414.23"/>
    <n v="631.77"/>
    <n v="0"/>
    <n v="0"/>
    <m/>
    <n v="29"/>
    <n v="1"/>
    <n v="5"/>
    <n v="631.77"/>
    <n v="13130000995"/>
  </r>
  <r>
    <x v="24"/>
    <d v="1899-12-30T22:34:23"/>
    <n v="1996"/>
    <n v="13002561"/>
    <n v="13"/>
    <n v="22589"/>
    <s v="Retail Sale"/>
    <n v="18"/>
    <n v="53188"/>
    <x v="62"/>
    <s v="Katren"/>
    <s v="Dr. Reddy's"/>
    <n v="3"/>
    <n v="418.16"/>
    <n v="569.54"/>
    <n v="56.95"/>
    <n v="56.95"/>
    <s v="BONUS_CARD"/>
    <n v="29"/>
    <n v="1"/>
    <n v="4"/>
    <n v="512.59"/>
    <n v="13130000996"/>
  </r>
  <r>
    <x v="5"/>
    <d v="1899-12-30T15:11:39"/>
    <n v="1997"/>
    <n v="13002561"/>
    <n v="13"/>
    <n v="22589"/>
    <s v="Retail Sale"/>
    <n v="15"/>
    <n v="16558"/>
    <x v="39"/>
    <s v="Avesta"/>
    <s v="Pfizer"/>
    <n v="3"/>
    <n v="196.83"/>
    <n v="253.63"/>
    <n v="25.36"/>
    <n v="25.36"/>
    <s v="BONUS_CARD"/>
    <n v="29"/>
    <n v="1"/>
    <n v="5"/>
    <n v="228.27"/>
    <n v="13130000997"/>
  </r>
  <r>
    <x v="19"/>
    <d v="1899-12-30T18:07:35"/>
    <n v="1998"/>
    <n v="13002561"/>
    <n v="13"/>
    <n v="22589"/>
    <s v="Retail Sale"/>
    <n v="18"/>
    <n v="58251"/>
    <x v="55"/>
    <s v="Protek"/>
    <s v="KRKA"/>
    <n v="2"/>
    <n v="133.88"/>
    <n v="185.99"/>
    <n v="9.3000000000000007"/>
    <n v="9.3000000000000007"/>
    <s v="BONUS_CARD"/>
    <n v="29"/>
    <n v="1"/>
    <n v="1"/>
    <n v="176.69"/>
    <n v="13130000998"/>
  </r>
  <r>
    <x v="26"/>
    <d v="1899-12-30T14:20:43"/>
    <n v="1999"/>
    <n v="13002561"/>
    <n v="13"/>
    <n v="22589"/>
    <s v="Retail Sale"/>
    <n v="15"/>
    <n v="27708"/>
    <x v="5"/>
    <s v="Pharmcomplect"/>
    <s v="Takeda"/>
    <n v="3"/>
    <n v="251.68"/>
    <n v="358.81"/>
    <n v="17.940000000000001"/>
    <n v="17.940000000000001"/>
    <s v="BONUS_CARD"/>
    <n v="29"/>
    <n v="1"/>
    <n v="6"/>
    <n v="340.87"/>
    <n v="13130000999"/>
  </r>
  <r>
    <x v="30"/>
    <d v="1899-12-30T17:36:12"/>
    <n v="2000"/>
    <n v="13002561"/>
    <n v="13"/>
    <n v="22589"/>
    <s v="Retail Sale"/>
    <n v="18"/>
    <n v="67381"/>
    <x v="67"/>
    <s v="Pulse"/>
    <s v="Pfizer"/>
    <n v="1"/>
    <n v="333.46"/>
    <n v="434.5"/>
    <n v="0"/>
    <n v="0"/>
    <m/>
    <n v="29"/>
    <n v="1"/>
    <n v="2"/>
    <n v="434.5"/>
    <n v="13130001000"/>
  </r>
  <r>
    <x v="18"/>
    <d v="1899-12-30T19:29:12"/>
    <n v="2001"/>
    <n v="13002561"/>
    <n v="13"/>
    <n v="22589"/>
    <s v="Retail Sale"/>
    <n v="15"/>
    <n v="87550"/>
    <x v="41"/>
    <s v="Avesta"/>
    <s v="Dr. Reddy's"/>
    <n v="3"/>
    <n v="179.75"/>
    <n v="286.48"/>
    <n v="28.65"/>
    <n v="28.65"/>
    <s v="BONUS_CARD"/>
    <n v="29"/>
    <n v="1"/>
    <n v="2"/>
    <n v="257.83"/>
    <n v="13130001001"/>
  </r>
  <r>
    <x v="13"/>
    <d v="1899-12-30T22:08:08"/>
    <n v="2002"/>
    <n v="13002561"/>
    <n v="13"/>
    <n v="22589"/>
    <s v="Retail Sale"/>
    <n v="18"/>
    <n v="27330"/>
    <x v="56"/>
    <s v="Avesta"/>
    <s v="Dr. Reddy's"/>
    <n v="3"/>
    <n v="224.29"/>
    <n v="357.7"/>
    <n v="35.770000000000003"/>
    <n v="35.770000000000003"/>
    <s v="BONUS_CARD"/>
    <n v="29"/>
    <n v="1"/>
    <n v="6"/>
    <n v="321.93"/>
    <n v="13130001002"/>
  </r>
  <r>
    <x v="17"/>
    <d v="1899-12-30T15:48:31"/>
    <n v="2003"/>
    <n v="13002561"/>
    <n v="13"/>
    <n v="22589"/>
    <s v="Retail Sale"/>
    <n v="18"/>
    <n v="36277"/>
    <x v="75"/>
    <s v="Protek"/>
    <s v="KRKA"/>
    <n v="2"/>
    <n v="569.24"/>
    <n v="715.41"/>
    <n v="35.770000000000003"/>
    <n v="35.770000000000003"/>
    <s v="BONUS_CARD"/>
    <n v="29"/>
    <n v="1"/>
    <n v="3"/>
    <n v="679.64"/>
    <n v="13130001003"/>
  </r>
  <r>
    <x v="7"/>
    <d v="1899-12-30T20:20:23"/>
    <n v="2004"/>
    <n v="13002561"/>
    <n v="13"/>
    <n v="22589"/>
    <s v="Retail Sale"/>
    <n v="18"/>
    <n v="67085"/>
    <x v="82"/>
    <s v="Avesta"/>
    <s v="TEVA"/>
    <n v="3"/>
    <n v="426.15"/>
    <n v="701.26"/>
    <n v="0"/>
    <n v="0"/>
    <m/>
    <n v="29"/>
    <n v="1"/>
    <n v="6"/>
    <n v="701.26"/>
    <n v="13130001004"/>
  </r>
  <r>
    <x v="1"/>
    <d v="1899-12-30T16:13:47"/>
    <n v="2005"/>
    <n v="13002561"/>
    <n v="13"/>
    <n v="22589"/>
    <s v="Retail Sale"/>
    <n v="18"/>
    <n v="75782"/>
    <x v="60"/>
    <s v="Pulse"/>
    <s v="Novartis"/>
    <n v="2"/>
    <n v="62.33"/>
    <n v="95.57"/>
    <n v="0"/>
    <n v="0"/>
    <m/>
    <n v="29"/>
    <n v="1"/>
    <n v="6"/>
    <n v="95.57"/>
    <n v="13130001005"/>
  </r>
  <r>
    <x v="8"/>
    <d v="1899-12-30T16:37:48"/>
    <n v="2006"/>
    <n v="13002561"/>
    <n v="13"/>
    <n v="22589"/>
    <s v="Retail Sale"/>
    <n v="15"/>
    <n v="23471"/>
    <x v="0"/>
    <s v="Pharmcomplect"/>
    <s v="Pfizer"/>
    <n v="2"/>
    <n v="104.78"/>
    <n v="162.09"/>
    <n v="0"/>
    <n v="0"/>
    <m/>
    <n v="29"/>
    <n v="1"/>
    <n v="2"/>
    <n v="162.09"/>
    <n v="13130001006"/>
  </r>
  <r>
    <x v="27"/>
    <d v="1899-12-30T09:48:22"/>
    <n v="2007"/>
    <n v="13002561"/>
    <n v="13"/>
    <n v="22589"/>
    <s v="Retail Sale"/>
    <n v="15"/>
    <n v="76769"/>
    <x v="45"/>
    <s v="Protek"/>
    <s v="KRKA"/>
    <n v="3"/>
    <n v="117.03"/>
    <n v="176.18"/>
    <n v="0"/>
    <n v="0"/>
    <m/>
    <n v="29"/>
    <n v="1"/>
    <n v="6"/>
    <n v="176.18"/>
    <n v="13130001007"/>
  </r>
  <r>
    <x v="17"/>
    <d v="1899-12-30T11:07:31"/>
    <n v="2008"/>
    <n v="13002561"/>
    <n v="13"/>
    <n v="22589"/>
    <s v="Retail Sale"/>
    <n v="18"/>
    <n v="13032"/>
    <x v="60"/>
    <s v="Protek"/>
    <s v="KRKA"/>
    <n v="1"/>
    <n v="383"/>
    <n v="577.69000000000005"/>
    <n v="28.88"/>
    <n v="28.88"/>
    <s v="BONUS_CARD"/>
    <n v="29"/>
    <n v="1"/>
    <n v="4"/>
    <n v="548.80999999999995"/>
    <n v="13130001008"/>
  </r>
  <r>
    <x v="24"/>
    <d v="1899-12-30T10:16:41"/>
    <n v="2009"/>
    <n v="13002561"/>
    <n v="13"/>
    <n v="22589"/>
    <s v="Retail Sale"/>
    <n v="15"/>
    <n v="30235"/>
    <x v="60"/>
    <s v="Pharmcomplect"/>
    <s v="KRKA"/>
    <n v="1"/>
    <n v="28.43"/>
    <n v="44.83"/>
    <n v="4.4800000000000004"/>
    <n v="4.4800000000000004"/>
    <s v="BONUS_CARD"/>
    <n v="29"/>
    <n v="1"/>
    <n v="4"/>
    <n v="40.35"/>
    <n v="13130001009"/>
  </r>
  <r>
    <x v="25"/>
    <d v="1899-12-30T20:46:32"/>
    <n v="2010"/>
    <n v="13002561"/>
    <n v="13"/>
    <n v="22589"/>
    <s v="Retail Sale"/>
    <n v="15"/>
    <n v="97655"/>
    <x v="32"/>
    <s v="Avesta"/>
    <s v="Bayer"/>
    <n v="1"/>
    <n v="535.96"/>
    <n v="691.17"/>
    <n v="34.56"/>
    <n v="34.56"/>
    <s v="BONUS_CARD"/>
    <n v="29"/>
    <n v="1"/>
    <n v="3"/>
    <n v="656.61"/>
    <n v="13130001010"/>
  </r>
  <r>
    <x v="19"/>
    <d v="1899-12-30T09:58:44"/>
    <n v="2011"/>
    <n v="13002561"/>
    <n v="13"/>
    <n v="22589"/>
    <s v="Retail Sale"/>
    <n v="15"/>
    <n v="50010"/>
    <x v="85"/>
    <s v="Pulse"/>
    <s v="Pfizer"/>
    <n v="3"/>
    <n v="92.65"/>
    <n v="146.1"/>
    <n v="7.3"/>
    <n v="7.3"/>
    <s v="BONUS_CARD"/>
    <n v="29"/>
    <n v="1"/>
    <n v="3"/>
    <n v="138.80000000000001"/>
    <n v="13130001011"/>
  </r>
  <r>
    <x v="27"/>
    <d v="1899-12-30T19:12:51"/>
    <n v="2012"/>
    <n v="13002561"/>
    <n v="13"/>
    <n v="22589"/>
    <s v="Retail Sale"/>
    <n v="15"/>
    <n v="73632"/>
    <x v="24"/>
    <s v="Avesta"/>
    <s v="Dr. Reddy's"/>
    <n v="2"/>
    <n v="208.49"/>
    <n v="262.68"/>
    <n v="26.27"/>
    <n v="26.27"/>
    <s v="BONUS_CARD"/>
    <n v="29"/>
    <n v="1"/>
    <n v="3"/>
    <n v="236.41"/>
    <n v="13130001012"/>
  </r>
  <r>
    <x v="30"/>
    <d v="1899-12-30T11:18:04"/>
    <n v="2013"/>
    <n v="13002561"/>
    <n v="13"/>
    <n v="22589"/>
    <s v="Retail Sale"/>
    <n v="15"/>
    <n v="63747"/>
    <x v="6"/>
    <s v="Grand Capital"/>
    <s v="Dr. Reddy's"/>
    <n v="1"/>
    <n v="81.03"/>
    <n v="123.12"/>
    <n v="0"/>
    <n v="0"/>
    <m/>
    <n v="29"/>
    <n v="1"/>
    <n v="6"/>
    <n v="123.12"/>
    <n v="13130001013"/>
  </r>
  <r>
    <x v="4"/>
    <d v="1899-12-30T10:51:15"/>
    <n v="2014"/>
    <n v="13002561"/>
    <n v="13"/>
    <n v="22589"/>
    <s v="Retail Sale"/>
    <n v="15"/>
    <n v="23632"/>
    <x v="36"/>
    <s v="Katren"/>
    <s v="Novartis"/>
    <n v="2"/>
    <n v="209.79"/>
    <n v="272.29000000000002"/>
    <n v="27.23"/>
    <n v="27.23"/>
    <s v="BONUS_CARD"/>
    <n v="29"/>
    <n v="1"/>
    <n v="4"/>
    <n v="245.06"/>
    <n v="13130001014"/>
  </r>
  <r>
    <x v="7"/>
    <d v="1899-12-30T08:06:05"/>
    <n v="2015"/>
    <n v="13002561"/>
    <n v="13"/>
    <n v="22589"/>
    <s v="Retail Sale"/>
    <n v="15"/>
    <n v="75212"/>
    <x v="60"/>
    <s v="Pulse"/>
    <s v="Pfizer"/>
    <n v="1"/>
    <n v="572.26"/>
    <n v="832.63"/>
    <n v="41.63"/>
    <n v="41.63"/>
    <s v="BONUS_CARD"/>
    <n v="29"/>
    <n v="1"/>
    <n v="4"/>
    <n v="791"/>
    <n v="13130001015"/>
  </r>
  <r>
    <x v="4"/>
    <d v="1899-12-30T20:39:10"/>
    <n v="2016"/>
    <n v="13002561"/>
    <n v="13"/>
    <n v="22589"/>
    <s v="Retail Sale"/>
    <n v="18"/>
    <n v="22640"/>
    <x v="38"/>
    <s v="Avesta"/>
    <s v="Bayer"/>
    <n v="2"/>
    <n v="372.09"/>
    <n v="522.38"/>
    <n v="26.12"/>
    <n v="26.12"/>
    <s v="BONUS_CARD"/>
    <n v="29"/>
    <n v="1"/>
    <n v="2"/>
    <n v="496.26"/>
    <n v="13130001016"/>
  </r>
  <r>
    <x v="4"/>
    <d v="1899-12-30T12:18:22"/>
    <n v="2017"/>
    <n v="13002561"/>
    <n v="13"/>
    <n v="22589"/>
    <s v="Retail Sale"/>
    <n v="18"/>
    <n v="11821"/>
    <x v="74"/>
    <s v="Grand Capital"/>
    <s v="KRKA"/>
    <n v="2"/>
    <n v="63.53"/>
    <n v="90.19"/>
    <n v="4.51"/>
    <n v="4.51"/>
    <s v="BONUS_CARD"/>
    <n v="29"/>
    <n v="1"/>
    <n v="5"/>
    <n v="85.68"/>
    <n v="13130001017"/>
  </r>
  <r>
    <x v="2"/>
    <d v="1899-12-30T15:06:14"/>
    <n v="2018"/>
    <n v="13002561"/>
    <n v="13"/>
    <n v="22589"/>
    <s v="Retail Sale"/>
    <n v="18"/>
    <n v="81371"/>
    <x v="25"/>
    <s v="Pulse"/>
    <s v="Dr. Reddy's"/>
    <n v="1"/>
    <n v="428.57"/>
    <n v="618.47"/>
    <n v="0"/>
    <n v="0"/>
    <m/>
    <n v="29"/>
    <n v="1"/>
    <n v="3"/>
    <n v="618.47"/>
    <n v="13130001018"/>
  </r>
  <r>
    <x v="3"/>
    <d v="1899-12-30T09:43:10"/>
    <n v="2019"/>
    <n v="13002561"/>
    <n v="13"/>
    <n v="22589"/>
    <s v="Retail Sale"/>
    <n v="15"/>
    <n v="37121"/>
    <x v="20"/>
    <s v="Grand Capital"/>
    <s v="Sanofi"/>
    <n v="3"/>
    <n v="275.11"/>
    <n v="361.32"/>
    <n v="18.07"/>
    <n v="18.07"/>
    <s v="BONUS_CARD"/>
    <n v="29"/>
    <n v="1"/>
    <n v="3"/>
    <n v="343.25"/>
    <n v="13130001019"/>
  </r>
  <r>
    <x v="8"/>
    <d v="1899-12-30T17:25:44"/>
    <n v="2020"/>
    <n v="13002561"/>
    <n v="13"/>
    <n v="22589"/>
    <s v="Retail Sale"/>
    <n v="18"/>
    <n v="44995"/>
    <x v="25"/>
    <s v="Grand Capital"/>
    <s v="Takeda"/>
    <n v="2"/>
    <n v="405.42"/>
    <n v="676"/>
    <n v="33.799999999999997"/>
    <n v="33.799999999999997"/>
    <s v="BONUS_CARD"/>
    <n v="29"/>
    <n v="1"/>
    <n v="6"/>
    <n v="642.20000000000005"/>
    <n v="13130001020"/>
  </r>
  <r>
    <x v="9"/>
    <d v="1899-12-30T18:41:18"/>
    <n v="2021"/>
    <n v="13002561"/>
    <n v="13"/>
    <n v="22589"/>
    <s v="Retail Sale"/>
    <n v="18"/>
    <n v="41461"/>
    <x v="25"/>
    <s v="Grand Capital"/>
    <s v="Novartis"/>
    <n v="1"/>
    <n v="546.09"/>
    <n v="781.22"/>
    <n v="78.12"/>
    <n v="78.12"/>
    <s v="BONUS_CARD"/>
    <n v="29"/>
    <n v="1"/>
    <n v="3"/>
    <n v="703.1"/>
    <n v="13130001021"/>
  </r>
  <r>
    <x v="28"/>
    <d v="1899-12-30T09:36:10"/>
    <n v="2022"/>
    <n v="13002561"/>
    <n v="13"/>
    <n v="22589"/>
    <s v="Retail Sale"/>
    <n v="18"/>
    <n v="72678"/>
    <x v="42"/>
    <s v="Avesta"/>
    <s v="Sanofi"/>
    <n v="2"/>
    <n v="154.97"/>
    <n v="198.66"/>
    <n v="19.87"/>
    <n v="19.87"/>
    <s v="BONUS_CARD"/>
    <n v="29"/>
    <n v="1"/>
    <n v="6"/>
    <n v="178.79"/>
    <n v="13130001022"/>
  </r>
  <r>
    <x v="1"/>
    <d v="1899-12-30T19:57:20"/>
    <n v="2023"/>
    <n v="13002561"/>
    <n v="13"/>
    <n v="22589"/>
    <s v="Retail Sale"/>
    <n v="18"/>
    <n v="30272"/>
    <x v="32"/>
    <s v="Avesta"/>
    <s v="Novartis"/>
    <n v="1"/>
    <n v="542.71"/>
    <n v="835.65"/>
    <n v="0"/>
    <n v="0"/>
    <m/>
    <n v="29"/>
    <n v="1"/>
    <n v="4"/>
    <n v="835.65"/>
    <n v="13130001023"/>
  </r>
  <r>
    <x v="28"/>
    <d v="1899-12-30T20:24:33"/>
    <n v="2024"/>
    <n v="13002561"/>
    <n v="13"/>
    <n v="22589"/>
    <s v="Retail Sale"/>
    <n v="15"/>
    <n v="52630"/>
    <x v="47"/>
    <s v="Avesta"/>
    <s v="Bayer"/>
    <n v="1"/>
    <n v="306.06"/>
    <n v="463.58"/>
    <n v="23.18"/>
    <n v="23.18"/>
    <s v="BONUS_CARD"/>
    <n v="29"/>
    <n v="1"/>
    <n v="3"/>
    <n v="440.4"/>
    <n v="13130001024"/>
  </r>
  <r>
    <x v="21"/>
    <d v="1899-12-30T22:23:59"/>
    <n v="2025"/>
    <n v="13002561"/>
    <n v="13"/>
    <n v="22589"/>
    <s v="Retail Sale"/>
    <n v="15"/>
    <n v="57812"/>
    <x v="59"/>
    <s v="Pharmcomplect"/>
    <s v="Bayer"/>
    <n v="3"/>
    <n v="239.17"/>
    <n v="309.08"/>
    <n v="15.45"/>
    <n v="15.45"/>
    <s v="BONUS_CARD"/>
    <n v="29"/>
    <n v="1"/>
    <n v="4"/>
    <n v="293.63"/>
    <n v="13130001025"/>
  </r>
  <r>
    <x v="2"/>
    <d v="1899-12-30T15:35:18"/>
    <n v="2026"/>
    <n v="13002561"/>
    <n v="13"/>
    <n v="22589"/>
    <s v="Retail Sale"/>
    <n v="15"/>
    <n v="89899"/>
    <x v="27"/>
    <s v="Katren"/>
    <s v="TEVA"/>
    <n v="3"/>
    <n v="258"/>
    <n v="355.5"/>
    <n v="0"/>
    <n v="0"/>
    <m/>
    <n v="29"/>
    <n v="1"/>
    <n v="5"/>
    <n v="355.5"/>
    <n v="13130001026"/>
  </r>
  <r>
    <x v="6"/>
    <d v="1899-12-30T13:30:37"/>
    <n v="2027"/>
    <n v="13002561"/>
    <n v="13"/>
    <n v="22589"/>
    <s v="Retail Sale"/>
    <n v="18"/>
    <n v="88577"/>
    <x v="50"/>
    <s v="Pharmcomplect"/>
    <s v="Sanofi"/>
    <n v="2"/>
    <n v="36.89"/>
    <n v="46.34"/>
    <n v="4.63"/>
    <n v="4.63"/>
    <s v="BONUS_CARD"/>
    <n v="29"/>
    <n v="1"/>
    <n v="1"/>
    <n v="41.71"/>
    <n v="13130001027"/>
  </r>
  <r>
    <x v="20"/>
    <d v="1899-12-30T10:32:08"/>
    <n v="2028"/>
    <n v="13002561"/>
    <n v="13"/>
    <n v="22589"/>
    <s v="Retail Sale"/>
    <n v="18"/>
    <n v="16307"/>
    <x v="49"/>
    <s v="Avesta"/>
    <s v="KRKA"/>
    <n v="1"/>
    <n v="531.61"/>
    <n v="703.24"/>
    <n v="35.159999999999997"/>
    <n v="35.159999999999997"/>
    <s v="BONUS_CARD"/>
    <n v="29"/>
    <n v="1"/>
    <n v="3"/>
    <n v="668.08"/>
    <n v="13130001028"/>
  </r>
  <r>
    <x v="2"/>
    <d v="1899-12-30T13:13:49"/>
    <n v="2029"/>
    <n v="13002561"/>
    <n v="13"/>
    <n v="22589"/>
    <s v="Retail Sale"/>
    <n v="18"/>
    <n v="71005"/>
    <x v="16"/>
    <s v="Katren"/>
    <s v="Bayer"/>
    <n v="1"/>
    <n v="183.12"/>
    <n v="268.16000000000003"/>
    <n v="0"/>
    <n v="0"/>
    <m/>
    <n v="29"/>
    <n v="1"/>
    <n v="4"/>
    <n v="268.16000000000003"/>
    <n v="13130001029"/>
  </r>
  <r>
    <x v="28"/>
    <d v="1899-12-30T16:43:19"/>
    <n v="2030"/>
    <n v="13002561"/>
    <n v="13"/>
    <n v="22589"/>
    <s v="Retail Sale"/>
    <n v="18"/>
    <n v="95324"/>
    <x v="76"/>
    <s v="Protek"/>
    <s v="Pfizer"/>
    <n v="1"/>
    <n v="373.16"/>
    <n v="605.94000000000005"/>
    <n v="0"/>
    <n v="0"/>
    <m/>
    <n v="29"/>
    <n v="1"/>
    <n v="4"/>
    <n v="605.94000000000005"/>
    <n v="13130001030"/>
  </r>
  <r>
    <x v="2"/>
    <d v="1899-12-30T17:04:57"/>
    <n v="2031"/>
    <n v="13002561"/>
    <n v="13"/>
    <n v="22589"/>
    <s v="Retail Sale"/>
    <n v="15"/>
    <n v="10936"/>
    <x v="72"/>
    <s v="Grand Capital"/>
    <s v="Novartis"/>
    <n v="3"/>
    <n v="488.56"/>
    <n v="804.5"/>
    <n v="0"/>
    <n v="0"/>
    <m/>
    <n v="29"/>
    <n v="1"/>
    <n v="4"/>
    <n v="804.5"/>
    <n v="13130001031"/>
  </r>
  <r>
    <x v="3"/>
    <d v="1899-12-30T13:42:37"/>
    <n v="2032"/>
    <n v="13002561"/>
    <n v="13"/>
    <n v="22589"/>
    <s v="Retail Sale"/>
    <n v="15"/>
    <n v="65205"/>
    <x v="80"/>
    <s v="Pulse"/>
    <s v="Bayer"/>
    <n v="3"/>
    <n v="503.94"/>
    <n v="759.71"/>
    <n v="0"/>
    <n v="0"/>
    <m/>
    <n v="29"/>
    <n v="1"/>
    <n v="4"/>
    <n v="759.71"/>
    <n v="13130001032"/>
  </r>
  <r>
    <x v="16"/>
    <d v="1899-12-30T11:29:21"/>
    <n v="2033"/>
    <n v="13002561"/>
    <n v="13"/>
    <n v="22589"/>
    <s v="Retail Sale"/>
    <n v="18"/>
    <n v="40653"/>
    <x v="18"/>
    <s v="Pharmcomplect"/>
    <s v="TEVA"/>
    <n v="2"/>
    <n v="124.58"/>
    <n v="161.12"/>
    <n v="8.06"/>
    <n v="8.06"/>
    <s v="BONUS_CARD"/>
    <n v="29"/>
    <n v="1"/>
    <n v="1"/>
    <n v="153.06"/>
    <n v="13130001033"/>
  </r>
  <r>
    <x v="14"/>
    <d v="1899-12-30T16:05:16"/>
    <n v="2034"/>
    <n v="13002561"/>
    <n v="13"/>
    <n v="22589"/>
    <s v="Retail Sale"/>
    <n v="15"/>
    <n v="95270"/>
    <x v="73"/>
    <s v="Avesta"/>
    <s v="Dr. Reddy's"/>
    <n v="1"/>
    <n v="416.21"/>
    <n v="561.4"/>
    <n v="56.14"/>
    <n v="56.14"/>
    <s v="BONUS_CARD"/>
    <n v="29"/>
    <n v="1"/>
    <n v="5"/>
    <n v="505.26"/>
    <n v="13130001034"/>
  </r>
  <r>
    <x v="22"/>
    <d v="1899-12-30T18:22:24"/>
    <n v="2035"/>
    <n v="13002561"/>
    <n v="13"/>
    <n v="22589"/>
    <s v="Retail Sale"/>
    <n v="15"/>
    <n v="71809"/>
    <x v="16"/>
    <s v="Katren"/>
    <s v="Pfizer"/>
    <n v="3"/>
    <n v="65.81"/>
    <n v="98.8"/>
    <n v="4.9400000000000004"/>
    <n v="4.9400000000000004"/>
    <s v="BONUS_CARD"/>
    <n v="29"/>
    <n v="1"/>
    <n v="4"/>
    <n v="93.86"/>
    <n v="13130001035"/>
  </r>
  <r>
    <x v="21"/>
    <d v="1899-12-30T18:39:03"/>
    <n v="2036"/>
    <n v="13002561"/>
    <n v="13"/>
    <n v="22589"/>
    <s v="Retail Sale"/>
    <n v="15"/>
    <n v="58605"/>
    <x v="53"/>
    <s v="Grand Capital"/>
    <s v="KRKA"/>
    <n v="1"/>
    <n v="280.73"/>
    <n v="367.8"/>
    <n v="0"/>
    <n v="0"/>
    <m/>
    <n v="29"/>
    <n v="1"/>
    <n v="2"/>
    <n v="367.8"/>
    <n v="13130001036"/>
  </r>
  <r>
    <x v="10"/>
    <d v="1899-12-30T18:26:53"/>
    <n v="2037"/>
    <n v="13002561"/>
    <n v="13"/>
    <n v="22589"/>
    <s v="Retail Sale"/>
    <n v="15"/>
    <n v="41819"/>
    <x v="33"/>
    <s v="Grand Capital"/>
    <s v="Sanofi"/>
    <n v="1"/>
    <n v="349.13"/>
    <n v="480.95"/>
    <n v="24.05"/>
    <n v="24.05"/>
    <s v="BONUS_CARD"/>
    <n v="29"/>
    <n v="1"/>
    <n v="2"/>
    <n v="456.9"/>
    <n v="13130001037"/>
  </r>
  <r>
    <x v="14"/>
    <d v="1899-12-30T15:46:59"/>
    <n v="2038"/>
    <n v="13002561"/>
    <n v="13"/>
    <n v="22589"/>
    <s v="Retail Sale"/>
    <n v="18"/>
    <n v="65617"/>
    <x v="32"/>
    <s v="Pharmcomplect"/>
    <s v="Bayer"/>
    <n v="3"/>
    <n v="270.31"/>
    <n v="382.66"/>
    <n v="0"/>
    <n v="0"/>
    <m/>
    <n v="29"/>
    <n v="1"/>
    <n v="4"/>
    <n v="382.66"/>
    <n v="13130001038"/>
  </r>
  <r>
    <x v="20"/>
    <d v="1899-12-30T21:22:24"/>
    <n v="2039"/>
    <n v="13002561"/>
    <n v="13"/>
    <n v="22589"/>
    <s v="Retail Sale"/>
    <n v="18"/>
    <n v="38610"/>
    <x v="74"/>
    <s v="Grand Capital"/>
    <s v="Pfizer"/>
    <n v="2"/>
    <n v="22.61"/>
    <n v="30.82"/>
    <n v="1.54"/>
    <n v="1.54"/>
    <s v="BONUS_CARD"/>
    <n v="29"/>
    <n v="1"/>
    <n v="1"/>
    <n v="29.28"/>
    <n v="13130001039"/>
  </r>
  <r>
    <x v="7"/>
    <d v="1899-12-30T11:42:41"/>
    <n v="2040"/>
    <n v="13002561"/>
    <n v="13"/>
    <n v="22589"/>
    <s v="Retail Sale"/>
    <n v="15"/>
    <n v="21063"/>
    <x v="15"/>
    <s v="Pharmcomplect"/>
    <s v="TEVA"/>
    <n v="2"/>
    <n v="382.9"/>
    <n v="590.05999999999995"/>
    <n v="59.01"/>
    <n v="59.01"/>
    <s v="BONUS_CARD"/>
    <n v="29"/>
    <n v="1"/>
    <n v="5"/>
    <n v="531.04999999999995"/>
    <n v="13130001040"/>
  </r>
  <r>
    <x v="14"/>
    <d v="1899-12-30T17:08:13"/>
    <n v="2041"/>
    <n v="13002561"/>
    <n v="13"/>
    <n v="22589"/>
    <s v="Retail Sale"/>
    <n v="15"/>
    <n v="15449"/>
    <x v="63"/>
    <s v="Pharmcomplect"/>
    <s v="Takeda"/>
    <n v="1"/>
    <n v="130.43"/>
    <n v="211.11"/>
    <n v="10.56"/>
    <n v="10.56"/>
    <s v="BONUS_CARD"/>
    <n v="29"/>
    <n v="1"/>
    <n v="2"/>
    <n v="200.55"/>
    <n v="13130001041"/>
  </r>
  <r>
    <x v="20"/>
    <d v="1899-12-30T16:32:28"/>
    <n v="2042"/>
    <n v="13002561"/>
    <n v="13"/>
    <n v="22589"/>
    <s v="Retail Sale"/>
    <n v="15"/>
    <n v="11274"/>
    <x v="64"/>
    <s v="Protek"/>
    <s v="Takeda"/>
    <n v="1"/>
    <n v="432.03"/>
    <n v="634.87"/>
    <n v="63.49"/>
    <n v="63.49"/>
    <s v="BONUS_CARD"/>
    <n v="29"/>
    <n v="1"/>
    <n v="2"/>
    <n v="571.38"/>
    <n v="13130001042"/>
  </r>
  <r>
    <x v="15"/>
    <d v="1899-12-30T22:39:05"/>
    <n v="2043"/>
    <n v="13002561"/>
    <n v="13"/>
    <n v="22589"/>
    <s v="Retail Sale"/>
    <n v="15"/>
    <n v="45477"/>
    <x v="67"/>
    <s v="Pharmcomplect"/>
    <s v="Takeda"/>
    <n v="2"/>
    <n v="341.21"/>
    <n v="544.80999999999995"/>
    <n v="54.48"/>
    <n v="54.48"/>
    <s v="BONUS_CARD"/>
    <n v="29"/>
    <n v="1"/>
    <n v="5"/>
    <n v="490.33"/>
    <n v="13130001043"/>
  </r>
  <r>
    <x v="10"/>
    <d v="1899-12-30T11:28:16"/>
    <n v="2044"/>
    <n v="13002561"/>
    <n v="13"/>
    <n v="22589"/>
    <s v="Retail Sale"/>
    <n v="18"/>
    <n v="81298"/>
    <x v="63"/>
    <s v="Pharmcomplect"/>
    <s v="KRKA"/>
    <n v="2"/>
    <n v="80.87"/>
    <n v="114.95"/>
    <n v="0"/>
    <n v="0"/>
    <m/>
    <n v="29"/>
    <n v="1"/>
    <n v="1"/>
    <n v="114.95"/>
    <n v="13130001044"/>
  </r>
  <r>
    <x v="3"/>
    <d v="1899-12-30T10:46:46"/>
    <n v="2045"/>
    <n v="13002561"/>
    <n v="13"/>
    <n v="22589"/>
    <s v="Retail Sale"/>
    <n v="15"/>
    <n v="87121"/>
    <x v="85"/>
    <s v="Pharmcomplect"/>
    <s v="Takeda"/>
    <n v="2"/>
    <n v="9.41"/>
    <n v="14.42"/>
    <n v="1.44"/>
    <n v="1.44"/>
    <s v="BONUS_CARD"/>
    <n v="29"/>
    <n v="1"/>
    <n v="6"/>
    <n v="12.98"/>
    <n v="13130001045"/>
  </r>
  <r>
    <x v="1"/>
    <d v="1899-12-30T08:04:48"/>
    <n v="2046"/>
    <n v="13002561"/>
    <n v="13"/>
    <n v="22589"/>
    <s v="Retail Sale"/>
    <n v="18"/>
    <n v="96725"/>
    <x v="72"/>
    <s v="Grand Capital"/>
    <s v="KRKA"/>
    <n v="2"/>
    <n v="244.02"/>
    <n v="306.63"/>
    <n v="15.33"/>
    <n v="15.33"/>
    <s v="BONUS_CARD"/>
    <n v="29"/>
    <n v="1"/>
    <n v="2"/>
    <n v="291.3"/>
    <n v="13130001046"/>
  </r>
  <r>
    <x v="15"/>
    <d v="1899-12-30T20:33:03"/>
    <n v="2047"/>
    <n v="13002561"/>
    <n v="13"/>
    <n v="22589"/>
    <s v="Retail Sale"/>
    <n v="15"/>
    <n v="96039"/>
    <x v="72"/>
    <s v="Grand Capital"/>
    <s v="Novartis"/>
    <n v="3"/>
    <n v="12.58"/>
    <n v="20.21"/>
    <n v="1.01"/>
    <n v="1.01"/>
    <s v="BONUS_CARD"/>
    <n v="29"/>
    <n v="1"/>
    <n v="5"/>
    <n v="19.2"/>
    <n v="13130001047"/>
  </r>
  <r>
    <x v="22"/>
    <d v="1899-12-30T22:40:37"/>
    <n v="2048"/>
    <n v="13002561"/>
    <n v="13"/>
    <n v="22589"/>
    <s v="Retail Sale"/>
    <n v="15"/>
    <n v="62464"/>
    <x v="6"/>
    <s v="Pulse"/>
    <s v="Novartis"/>
    <n v="1"/>
    <n v="281.97000000000003"/>
    <n v="478.73"/>
    <n v="0"/>
    <n v="0"/>
    <m/>
    <n v="29"/>
    <n v="1"/>
    <n v="4"/>
    <n v="478.73"/>
    <n v="13130001048"/>
  </r>
  <r>
    <x v="6"/>
    <d v="1899-12-30T12:45:46"/>
    <n v="2049"/>
    <n v="13002561"/>
    <n v="13"/>
    <n v="22589"/>
    <s v="Retail Sale"/>
    <n v="15"/>
    <n v="72914"/>
    <x v="36"/>
    <s v="Katren"/>
    <s v="Sanofi"/>
    <n v="2"/>
    <n v="265.37"/>
    <n v="421.38"/>
    <n v="42.14"/>
    <n v="42.14"/>
    <s v="BONUS_CARD"/>
    <n v="29"/>
    <n v="1"/>
    <n v="3"/>
    <n v="379.24"/>
    <n v="13130001049"/>
  </r>
  <r>
    <x v="1"/>
    <d v="1899-12-30T17:27:46"/>
    <n v="2050"/>
    <n v="13002561"/>
    <n v="13"/>
    <n v="22589"/>
    <s v="Retail Sale"/>
    <n v="18"/>
    <n v="85161"/>
    <x v="50"/>
    <s v="Avesta"/>
    <s v="Dr. Reddy's"/>
    <n v="1"/>
    <n v="105.6"/>
    <n v="170.69"/>
    <n v="8.5299999999999994"/>
    <n v="8.5299999999999994"/>
    <s v="BONUS_CARD"/>
    <n v="29"/>
    <n v="1"/>
    <n v="4"/>
    <n v="162.16"/>
    <n v="13130001050"/>
  </r>
  <r>
    <x v="29"/>
    <d v="1899-12-30T08:47:44"/>
    <n v="2051"/>
    <n v="13002561"/>
    <n v="13"/>
    <n v="22589"/>
    <s v="Retail Sale"/>
    <n v="15"/>
    <n v="17946"/>
    <x v="70"/>
    <s v="Avesta"/>
    <s v="Sanofi"/>
    <n v="1"/>
    <n v="71.89"/>
    <n v="119.77"/>
    <n v="0"/>
    <n v="0"/>
    <m/>
    <n v="29"/>
    <n v="1"/>
    <n v="5"/>
    <n v="119.77"/>
    <n v="13130001051"/>
  </r>
  <r>
    <x v="13"/>
    <d v="1899-12-30T17:59:12"/>
    <n v="2052"/>
    <n v="13002561"/>
    <n v="13"/>
    <n v="22589"/>
    <s v="Retail Sale"/>
    <n v="18"/>
    <n v="43788"/>
    <x v="84"/>
    <s v="Protek"/>
    <s v="Takeda"/>
    <n v="3"/>
    <n v="243.7"/>
    <n v="375.56"/>
    <n v="37.56"/>
    <n v="37.56"/>
    <s v="BONUS_CARD"/>
    <n v="29"/>
    <n v="1"/>
    <n v="5"/>
    <n v="338"/>
    <n v="13130001052"/>
  </r>
  <r>
    <x v="1"/>
    <d v="1899-12-30T12:39:03"/>
    <n v="2053"/>
    <n v="13002561"/>
    <n v="13"/>
    <n v="22589"/>
    <s v="Retail Sale"/>
    <n v="18"/>
    <n v="56214"/>
    <x v="82"/>
    <s v="Grand Capital"/>
    <s v="Pfizer"/>
    <n v="2"/>
    <n v="282.19"/>
    <n v="384.69"/>
    <n v="0"/>
    <n v="0"/>
    <m/>
    <n v="29"/>
    <n v="1"/>
    <n v="5"/>
    <n v="384.69"/>
    <n v="13130001053"/>
  </r>
  <r>
    <x v="17"/>
    <d v="1899-12-30T20:50:22"/>
    <n v="2054"/>
    <n v="13002561"/>
    <n v="13"/>
    <n v="22589"/>
    <s v="Retail Sale"/>
    <n v="15"/>
    <n v="78505"/>
    <x v="39"/>
    <s v="Protek"/>
    <s v="Sanofi"/>
    <n v="3"/>
    <n v="442.57"/>
    <n v="705.28"/>
    <n v="70.53"/>
    <n v="70.53"/>
    <s v="BONUS_CARD"/>
    <n v="29"/>
    <n v="1"/>
    <n v="1"/>
    <n v="634.75"/>
    <n v="13130001054"/>
  </r>
  <r>
    <x v="25"/>
    <d v="1899-12-30T09:37:04"/>
    <n v="2055"/>
    <n v="13002561"/>
    <n v="13"/>
    <n v="22589"/>
    <s v="Retail Sale"/>
    <n v="15"/>
    <n v="11357"/>
    <x v="88"/>
    <s v="Protek"/>
    <s v="Pfizer"/>
    <n v="1"/>
    <n v="230.15"/>
    <n v="358.8"/>
    <n v="0"/>
    <n v="0"/>
    <m/>
    <n v="29"/>
    <n v="1"/>
    <n v="6"/>
    <n v="358.8"/>
    <n v="13130001055"/>
  </r>
  <r>
    <x v="3"/>
    <d v="1899-12-30T16:20:27"/>
    <n v="2056"/>
    <n v="13002561"/>
    <n v="13"/>
    <n v="22589"/>
    <s v="Retail Sale"/>
    <n v="18"/>
    <n v="40824"/>
    <x v="70"/>
    <s v="Katren"/>
    <s v="Takeda"/>
    <n v="1"/>
    <n v="317.58999999999997"/>
    <n v="516.5"/>
    <n v="0"/>
    <n v="0"/>
    <m/>
    <n v="29"/>
    <n v="1"/>
    <n v="4"/>
    <n v="516.5"/>
    <n v="13130001056"/>
  </r>
  <r>
    <x v="12"/>
    <d v="1899-12-30T11:22:39"/>
    <n v="2057"/>
    <n v="13002561"/>
    <n v="13"/>
    <n v="22589"/>
    <s v="Retail Sale"/>
    <n v="15"/>
    <n v="86563"/>
    <x v="2"/>
    <s v="Grand Capital"/>
    <s v="Pfizer"/>
    <n v="2"/>
    <n v="489.5"/>
    <n v="743.09"/>
    <n v="37.15"/>
    <n v="37.15"/>
    <s v="BONUS_CARD"/>
    <n v="29"/>
    <n v="1"/>
    <n v="2"/>
    <n v="705.94"/>
    <n v="13130001057"/>
  </r>
  <r>
    <x v="24"/>
    <d v="1899-12-30T19:20:05"/>
    <n v="2058"/>
    <n v="13002561"/>
    <n v="13"/>
    <n v="22589"/>
    <s v="Retail Sale"/>
    <n v="15"/>
    <n v="24963"/>
    <x v="44"/>
    <s v="Pulse"/>
    <s v="Sanofi"/>
    <n v="3"/>
    <n v="545.76"/>
    <n v="925.99"/>
    <n v="0"/>
    <n v="0"/>
    <m/>
    <n v="29"/>
    <n v="1"/>
    <n v="2"/>
    <n v="925.99"/>
    <n v="13130001058"/>
  </r>
  <r>
    <x v="20"/>
    <d v="1899-12-30T18:46:43"/>
    <n v="2059"/>
    <n v="13002561"/>
    <n v="13"/>
    <n v="22589"/>
    <s v="Retail Sale"/>
    <n v="15"/>
    <n v="12695"/>
    <x v="54"/>
    <s v="Protek"/>
    <s v="Bayer"/>
    <n v="1"/>
    <n v="75.52"/>
    <n v="96.51"/>
    <n v="0"/>
    <n v="0"/>
    <m/>
    <n v="29"/>
    <n v="1"/>
    <n v="2"/>
    <n v="96.51"/>
    <n v="13130001059"/>
  </r>
  <r>
    <x v="12"/>
    <d v="1899-12-30T13:13:08"/>
    <n v="2060"/>
    <n v="13002561"/>
    <n v="13"/>
    <n v="22589"/>
    <s v="Retail Sale"/>
    <n v="15"/>
    <n v="23368"/>
    <x v="84"/>
    <s v="Katren"/>
    <s v="Takeda"/>
    <n v="2"/>
    <n v="466.28"/>
    <n v="694.28"/>
    <n v="69.430000000000007"/>
    <n v="69.430000000000007"/>
    <s v="BONUS_CARD"/>
    <n v="29"/>
    <n v="1"/>
    <n v="4"/>
    <n v="624.85"/>
    <n v="13130001060"/>
  </r>
  <r>
    <x v="16"/>
    <d v="1899-12-30T15:32:04"/>
    <n v="2061"/>
    <n v="13002561"/>
    <n v="13"/>
    <n v="22589"/>
    <s v="Retail Sale"/>
    <n v="15"/>
    <n v="10941"/>
    <x v="62"/>
    <s v="Grand Capital"/>
    <s v="Novartis"/>
    <n v="3"/>
    <n v="151.13"/>
    <n v="223.29"/>
    <n v="22.33"/>
    <n v="22.33"/>
    <s v="BONUS_CARD"/>
    <n v="29"/>
    <n v="1"/>
    <n v="1"/>
    <n v="200.96"/>
    <n v="13130001061"/>
  </r>
  <r>
    <x v="17"/>
    <d v="1899-12-30T19:30:30"/>
    <n v="2062"/>
    <n v="13002561"/>
    <n v="13"/>
    <n v="22589"/>
    <s v="Retail Sale"/>
    <n v="15"/>
    <n v="64867"/>
    <x v="65"/>
    <s v="Grand Capital"/>
    <s v="KRKA"/>
    <n v="2"/>
    <n v="486.43"/>
    <n v="781.53"/>
    <n v="78.150000000000006"/>
    <n v="78.150000000000006"/>
    <s v="BONUS_CARD"/>
    <n v="29"/>
    <n v="1"/>
    <n v="6"/>
    <n v="703.38"/>
    <n v="13130001062"/>
  </r>
  <r>
    <x v="11"/>
    <d v="1899-12-30T21:12:13"/>
    <n v="2063"/>
    <n v="13002561"/>
    <n v="13"/>
    <n v="22589"/>
    <s v="Retail Sale"/>
    <n v="18"/>
    <n v="47851"/>
    <x v="6"/>
    <s v="Avesta"/>
    <s v="TEVA"/>
    <n v="3"/>
    <n v="395.41"/>
    <n v="593.27"/>
    <n v="29.66"/>
    <n v="29.66"/>
    <s v="BONUS_CARD"/>
    <n v="29"/>
    <n v="1"/>
    <n v="2"/>
    <n v="563.61"/>
    <n v="13130001063"/>
  </r>
  <r>
    <x v="25"/>
    <d v="1899-12-30T12:52:01"/>
    <n v="2064"/>
    <n v="13002561"/>
    <n v="13"/>
    <n v="22589"/>
    <s v="Retail Sale"/>
    <n v="18"/>
    <n v="97183"/>
    <x v="36"/>
    <s v="Protek"/>
    <s v="KRKA"/>
    <n v="1"/>
    <n v="27.75"/>
    <n v="37.950000000000003"/>
    <n v="3.8"/>
    <n v="3.8"/>
    <s v="BONUS_CARD"/>
    <n v="29"/>
    <n v="1"/>
    <n v="1"/>
    <n v="34.15"/>
    <n v="13130001064"/>
  </r>
  <r>
    <x v="1"/>
    <d v="1899-12-30T17:52:04"/>
    <n v="2065"/>
    <n v="13002561"/>
    <n v="13"/>
    <n v="22589"/>
    <s v="Retail Sale"/>
    <n v="15"/>
    <n v="89598"/>
    <x v="4"/>
    <s v="Katren"/>
    <s v="TEVA"/>
    <n v="2"/>
    <n v="536.62"/>
    <n v="902.86"/>
    <n v="90.29"/>
    <n v="90.29"/>
    <s v="BONUS_CARD"/>
    <n v="29"/>
    <n v="1"/>
    <n v="4"/>
    <n v="812.57"/>
    <n v="13130001065"/>
  </r>
  <r>
    <x v="3"/>
    <d v="1899-12-30T15:01:44"/>
    <n v="2066"/>
    <n v="13002561"/>
    <n v="13"/>
    <n v="22589"/>
    <s v="Retail Sale"/>
    <n v="15"/>
    <n v="47418"/>
    <x v="32"/>
    <s v="Avesta"/>
    <s v="Takeda"/>
    <n v="3"/>
    <n v="356.7"/>
    <n v="497.86"/>
    <n v="49.79"/>
    <n v="49.79"/>
    <s v="BONUS_CARD"/>
    <n v="29"/>
    <n v="1"/>
    <n v="2"/>
    <n v="448.07"/>
    <n v="13130001066"/>
  </r>
  <r>
    <x v="15"/>
    <d v="1899-12-30T13:01:29"/>
    <n v="2067"/>
    <n v="13002561"/>
    <n v="13"/>
    <n v="22589"/>
    <s v="Retail Sale"/>
    <n v="15"/>
    <n v="66181"/>
    <x v="58"/>
    <s v="Avesta"/>
    <s v="Novartis"/>
    <n v="2"/>
    <n v="527.01"/>
    <n v="695.86"/>
    <n v="69.59"/>
    <n v="69.59"/>
    <s v="BONUS_CARD"/>
    <n v="29"/>
    <n v="1"/>
    <n v="2"/>
    <n v="626.27"/>
    <n v="13130001067"/>
  </r>
  <r>
    <x v="30"/>
    <d v="1899-12-30T10:53:57"/>
    <n v="2068"/>
    <n v="13002561"/>
    <n v="13"/>
    <n v="22589"/>
    <s v="Retail Sale"/>
    <n v="15"/>
    <n v="52841"/>
    <x v="53"/>
    <s v="Avesta"/>
    <s v="Takeda"/>
    <n v="2"/>
    <n v="248.97"/>
    <n v="337.95"/>
    <n v="16.899999999999999"/>
    <n v="16.899999999999999"/>
    <s v="BONUS_CARD"/>
    <n v="29"/>
    <n v="1"/>
    <n v="3"/>
    <n v="321.05"/>
    <n v="13130001068"/>
  </r>
  <r>
    <x v="4"/>
    <d v="1899-12-30T22:44:16"/>
    <n v="2069"/>
    <n v="13002561"/>
    <n v="13"/>
    <n v="22589"/>
    <s v="Retail Sale"/>
    <n v="15"/>
    <n v="73324"/>
    <x v="38"/>
    <s v="Grand Capital"/>
    <s v="Takeda"/>
    <n v="3"/>
    <n v="189.32"/>
    <n v="256.35000000000002"/>
    <n v="25.64"/>
    <n v="25.64"/>
    <s v="BONUS_CARD"/>
    <n v="29"/>
    <n v="1"/>
    <n v="2"/>
    <n v="230.71"/>
    <n v="13130001069"/>
  </r>
  <r>
    <x v="24"/>
    <d v="1899-12-30T13:52:44"/>
    <n v="2070"/>
    <n v="13002561"/>
    <n v="13"/>
    <n v="22589"/>
    <s v="Retail Sale"/>
    <n v="18"/>
    <n v="92720"/>
    <x v="2"/>
    <s v="Pulse"/>
    <s v="KRKA"/>
    <n v="1"/>
    <n v="95.82"/>
    <n v="145.77000000000001"/>
    <n v="7.29"/>
    <n v="7.29"/>
    <s v="BONUS_CARD"/>
    <n v="29"/>
    <n v="1"/>
    <n v="4"/>
    <n v="138.47999999999999"/>
    <n v="13130001070"/>
  </r>
  <r>
    <x v="30"/>
    <d v="1899-12-30T20:00:05"/>
    <n v="2071"/>
    <n v="13002561"/>
    <n v="13"/>
    <n v="22589"/>
    <s v="Retail Sale"/>
    <n v="15"/>
    <n v="63767"/>
    <x v="14"/>
    <s v="Avesta"/>
    <s v="Dr. Reddy's"/>
    <n v="1"/>
    <n v="352.14"/>
    <n v="463.34"/>
    <n v="46.33"/>
    <n v="46.33"/>
    <s v="BONUS_CARD"/>
    <n v="29"/>
    <n v="1"/>
    <n v="4"/>
    <n v="417.01"/>
    <n v="13130001071"/>
  </r>
  <r>
    <x v="15"/>
    <d v="1899-12-30T10:52:13"/>
    <n v="2072"/>
    <n v="13002561"/>
    <n v="13"/>
    <n v="22589"/>
    <s v="Retail Sale"/>
    <n v="15"/>
    <n v="58206"/>
    <x v="55"/>
    <s v="Protek"/>
    <s v="Sanofi"/>
    <n v="1"/>
    <n v="269.23"/>
    <n v="392.96"/>
    <n v="39.299999999999997"/>
    <n v="39.299999999999997"/>
    <s v="BONUS_CARD"/>
    <n v="29"/>
    <n v="1"/>
    <n v="2"/>
    <n v="353.66"/>
    <n v="13130001072"/>
  </r>
  <r>
    <x v="25"/>
    <d v="1899-12-30T17:01:59"/>
    <n v="2073"/>
    <n v="13002561"/>
    <n v="13"/>
    <n v="22589"/>
    <s v="Retail Sale"/>
    <n v="15"/>
    <n v="94274"/>
    <x v="89"/>
    <s v="Pulse"/>
    <s v="TEVA"/>
    <n v="3"/>
    <n v="573.13"/>
    <n v="905.28"/>
    <n v="45.26"/>
    <n v="45.26"/>
    <s v="BONUS_CARD"/>
    <n v="29"/>
    <n v="1"/>
    <n v="6"/>
    <n v="860.02"/>
    <n v="13130001073"/>
  </r>
  <r>
    <x v="4"/>
    <d v="1899-12-30T21:40:48"/>
    <n v="2074"/>
    <n v="13002561"/>
    <n v="13"/>
    <n v="22589"/>
    <s v="Retail Sale"/>
    <n v="15"/>
    <n v="43537"/>
    <x v="30"/>
    <s v="Pulse"/>
    <s v="Sanofi"/>
    <n v="1"/>
    <n v="513.11"/>
    <n v="854.56"/>
    <n v="85.46"/>
    <n v="85.46"/>
    <s v="BONUS_CARD"/>
    <n v="29"/>
    <n v="1"/>
    <n v="1"/>
    <n v="769.1"/>
    <n v="13130001074"/>
  </r>
  <r>
    <x v="5"/>
    <d v="1899-12-30T18:40:06"/>
    <n v="2075"/>
    <n v="13002561"/>
    <n v="13"/>
    <n v="22589"/>
    <s v="Retail Sale"/>
    <n v="15"/>
    <n v="82636"/>
    <x v="27"/>
    <s v="Pulse"/>
    <s v="Sanofi"/>
    <n v="2"/>
    <n v="69.63"/>
    <n v="113.7"/>
    <n v="0"/>
    <n v="0"/>
    <m/>
    <n v="29"/>
    <n v="1"/>
    <n v="2"/>
    <n v="113.7"/>
    <n v="13130001075"/>
  </r>
  <r>
    <x v="10"/>
    <d v="1899-12-30T17:38:23"/>
    <n v="2076"/>
    <n v="13002561"/>
    <n v="13"/>
    <n v="22589"/>
    <s v="Retail Sale"/>
    <n v="15"/>
    <n v="93958"/>
    <x v="10"/>
    <s v="Grand Capital"/>
    <s v="Dr. Reddy's"/>
    <n v="3"/>
    <n v="121.76"/>
    <n v="167.01"/>
    <n v="0"/>
    <n v="0"/>
    <m/>
    <n v="29"/>
    <n v="1"/>
    <n v="1"/>
    <n v="167.01"/>
    <n v="13130001076"/>
  </r>
  <r>
    <x v="28"/>
    <d v="1899-12-30T12:17:25"/>
    <n v="2077"/>
    <n v="13002561"/>
    <n v="13"/>
    <n v="22589"/>
    <s v="Retail Sale"/>
    <n v="15"/>
    <n v="71674"/>
    <x v="75"/>
    <s v="Pharmcomplect"/>
    <s v="KRKA"/>
    <n v="1"/>
    <n v="65.78"/>
    <n v="92.26"/>
    <n v="4.6100000000000003"/>
    <n v="4.6100000000000003"/>
    <s v="BONUS_CARD"/>
    <n v="29"/>
    <n v="1"/>
    <n v="1"/>
    <n v="87.65"/>
    <n v="13130001077"/>
  </r>
  <r>
    <x v="1"/>
    <d v="1899-12-30T21:36:38"/>
    <n v="2078"/>
    <n v="13002561"/>
    <n v="13"/>
    <n v="22589"/>
    <s v="Retail Sale"/>
    <n v="18"/>
    <n v="13308"/>
    <x v="49"/>
    <s v="Pulse"/>
    <s v="Bayer"/>
    <n v="3"/>
    <n v="212.86"/>
    <n v="343.81"/>
    <n v="34.380000000000003"/>
    <n v="34.380000000000003"/>
    <s v="BONUS_CARD"/>
    <n v="29"/>
    <n v="1"/>
    <n v="4"/>
    <n v="309.43"/>
    <n v="13130001078"/>
  </r>
  <r>
    <x v="5"/>
    <d v="1899-12-30T20:44:38"/>
    <n v="2079"/>
    <n v="13002561"/>
    <n v="13"/>
    <n v="22589"/>
    <s v="Retail Sale"/>
    <n v="15"/>
    <n v="98350"/>
    <x v="0"/>
    <s v="Avesta"/>
    <s v="Novartis"/>
    <n v="2"/>
    <n v="242.62"/>
    <n v="360.34"/>
    <n v="18.02"/>
    <n v="18.02"/>
    <s v="BONUS_CARD"/>
    <n v="29"/>
    <n v="1"/>
    <n v="2"/>
    <n v="342.32"/>
    <n v="13130001079"/>
  </r>
  <r>
    <x v="20"/>
    <d v="1899-12-30T15:36:27"/>
    <n v="2080"/>
    <n v="13002561"/>
    <n v="13"/>
    <n v="22589"/>
    <s v="Retail Sale"/>
    <n v="18"/>
    <n v="86317"/>
    <x v="5"/>
    <s v="Avesta"/>
    <s v="Novartis"/>
    <n v="1"/>
    <n v="276.62"/>
    <n v="377.21"/>
    <n v="0"/>
    <n v="0"/>
    <m/>
    <n v="29"/>
    <n v="1"/>
    <n v="3"/>
    <n v="377.21"/>
    <n v="13130001080"/>
  </r>
  <r>
    <x v="20"/>
    <d v="1899-12-30T20:03:10"/>
    <n v="2081"/>
    <n v="13002561"/>
    <n v="13"/>
    <n v="22589"/>
    <s v="Retail Sale"/>
    <n v="15"/>
    <n v="50155"/>
    <x v="44"/>
    <s v="Pulse"/>
    <s v="Pfizer"/>
    <n v="3"/>
    <n v="73.75"/>
    <n v="101.83"/>
    <n v="0"/>
    <n v="0"/>
    <m/>
    <n v="29"/>
    <n v="1"/>
    <n v="1"/>
    <n v="101.83"/>
    <n v="13130001081"/>
  </r>
  <r>
    <x v="18"/>
    <d v="1899-12-30T11:22:54"/>
    <n v="2082"/>
    <n v="13002561"/>
    <n v="13"/>
    <n v="22589"/>
    <s v="Retail Sale"/>
    <n v="18"/>
    <n v="23109"/>
    <x v="41"/>
    <s v="Avesta"/>
    <s v="Takeda"/>
    <n v="1"/>
    <n v="194.15"/>
    <n v="322.93"/>
    <n v="16.149999999999999"/>
    <n v="16.149999999999999"/>
    <s v="BONUS_CARD"/>
    <n v="29"/>
    <n v="1"/>
    <n v="5"/>
    <n v="306.77999999999997"/>
    <n v="13130001082"/>
  </r>
  <r>
    <x v="28"/>
    <d v="1899-12-30T13:09:06"/>
    <n v="2083"/>
    <n v="13002561"/>
    <n v="13"/>
    <n v="22589"/>
    <s v="Retail Sale"/>
    <n v="15"/>
    <n v="65148"/>
    <x v="11"/>
    <s v="Avesta"/>
    <s v="KRKA"/>
    <n v="3"/>
    <n v="489.31"/>
    <n v="623.61"/>
    <n v="62.36"/>
    <n v="62.36"/>
    <s v="BONUS_CARD"/>
    <n v="29"/>
    <n v="1"/>
    <n v="2"/>
    <n v="561.25"/>
    <n v="13130001083"/>
  </r>
  <r>
    <x v="21"/>
    <d v="1899-12-30T09:55:32"/>
    <n v="2084"/>
    <n v="13002561"/>
    <n v="13"/>
    <n v="22589"/>
    <s v="Retail Sale"/>
    <n v="15"/>
    <n v="47687"/>
    <x v="27"/>
    <s v="Avesta"/>
    <s v="TEVA"/>
    <n v="3"/>
    <n v="560.02"/>
    <n v="831.06"/>
    <n v="41.55"/>
    <n v="41.55"/>
    <s v="BONUS_CARD"/>
    <n v="29"/>
    <n v="1"/>
    <n v="3"/>
    <n v="789.51"/>
    <n v="13130001084"/>
  </r>
  <r>
    <x v="24"/>
    <d v="1899-12-30T17:35:30"/>
    <n v="2085"/>
    <n v="13002561"/>
    <n v="13"/>
    <n v="22589"/>
    <s v="Retail Sale"/>
    <n v="18"/>
    <n v="98947"/>
    <x v="2"/>
    <s v="Grand Capital"/>
    <s v="TEVA"/>
    <n v="2"/>
    <n v="31.76"/>
    <n v="42.12"/>
    <n v="4.21"/>
    <n v="4.21"/>
    <s v="BONUS_CARD"/>
    <n v="29"/>
    <n v="1"/>
    <n v="1"/>
    <n v="37.909999999999997"/>
    <n v="13130001085"/>
  </r>
  <r>
    <x v="17"/>
    <d v="1899-12-30T19:14:27"/>
    <n v="2086"/>
    <n v="13002561"/>
    <n v="13"/>
    <n v="22589"/>
    <s v="Retail Sale"/>
    <n v="15"/>
    <n v="57216"/>
    <x v="75"/>
    <s v="Protek"/>
    <s v="KRKA"/>
    <n v="1"/>
    <n v="31.94"/>
    <n v="48.85"/>
    <n v="2.44"/>
    <n v="2.44"/>
    <s v="BONUS_CARD"/>
    <n v="29"/>
    <n v="1"/>
    <n v="6"/>
    <n v="46.41"/>
    <n v="13130001086"/>
  </r>
  <r>
    <x v="13"/>
    <d v="1899-12-30T12:00:41"/>
    <n v="2087"/>
    <n v="13002561"/>
    <n v="13"/>
    <n v="22589"/>
    <s v="Retail Sale"/>
    <n v="15"/>
    <n v="58281"/>
    <x v="39"/>
    <s v="Protek"/>
    <s v="Bayer"/>
    <n v="2"/>
    <n v="29.39"/>
    <n v="48.6"/>
    <n v="2.4300000000000002"/>
    <n v="2.4300000000000002"/>
    <s v="BONUS_CARD"/>
    <n v="29"/>
    <n v="1"/>
    <n v="3"/>
    <n v="46.17"/>
    <n v="13130001087"/>
  </r>
  <r>
    <x v="19"/>
    <d v="1899-12-30T12:21:38"/>
    <n v="2088"/>
    <n v="13002561"/>
    <n v="13"/>
    <n v="22589"/>
    <s v="Retail Sale"/>
    <n v="18"/>
    <n v="32607"/>
    <x v="4"/>
    <s v="Protek"/>
    <s v="KRKA"/>
    <n v="2"/>
    <n v="35.380000000000003"/>
    <n v="45.29"/>
    <n v="2.2599999999999998"/>
    <n v="2.2599999999999998"/>
    <s v="BONUS_CARD"/>
    <n v="29"/>
    <n v="1"/>
    <n v="2"/>
    <n v="43.03"/>
    <n v="13130001088"/>
  </r>
  <r>
    <x v="14"/>
    <d v="1899-12-30T18:02:25"/>
    <n v="2089"/>
    <n v="13002561"/>
    <n v="13"/>
    <n v="22589"/>
    <s v="Retail Sale"/>
    <n v="15"/>
    <n v="36812"/>
    <x v="86"/>
    <s v="Avesta"/>
    <s v="TEVA"/>
    <n v="1"/>
    <n v="212.73"/>
    <n v="333.22"/>
    <n v="16.66"/>
    <n v="16.66"/>
    <s v="BONUS_CARD"/>
    <n v="29"/>
    <n v="1"/>
    <n v="5"/>
    <n v="316.56"/>
    <n v="13130001089"/>
  </r>
  <r>
    <x v="12"/>
    <d v="1899-12-30T14:44:31"/>
    <n v="2090"/>
    <n v="13002561"/>
    <n v="13"/>
    <n v="22589"/>
    <s v="Retail Sale"/>
    <n v="18"/>
    <n v="95966"/>
    <x v="60"/>
    <s v="Pulse"/>
    <s v="KRKA"/>
    <n v="1"/>
    <n v="103.17"/>
    <n v="138.86000000000001"/>
    <n v="0"/>
    <n v="0"/>
    <m/>
    <n v="29"/>
    <n v="1"/>
    <n v="6"/>
    <n v="138.86000000000001"/>
    <n v="13130001090"/>
  </r>
  <r>
    <x v="17"/>
    <d v="1899-12-30T12:20:25"/>
    <n v="2091"/>
    <n v="13002561"/>
    <n v="13"/>
    <n v="22589"/>
    <s v="Retail Sale"/>
    <n v="18"/>
    <n v="41839"/>
    <x v="58"/>
    <s v="Grand Capital"/>
    <s v="KRKA"/>
    <n v="2"/>
    <n v="381.7"/>
    <n v="632.45000000000005"/>
    <n v="0"/>
    <n v="0"/>
    <m/>
    <n v="29"/>
    <n v="1"/>
    <n v="5"/>
    <n v="632.45000000000005"/>
    <n v="13130001091"/>
  </r>
  <r>
    <x v="30"/>
    <d v="1899-12-30T19:25:55"/>
    <n v="2092"/>
    <n v="13002561"/>
    <n v="13"/>
    <n v="22589"/>
    <s v="Retail Sale"/>
    <n v="18"/>
    <n v="44704"/>
    <x v="62"/>
    <s v="Protek"/>
    <s v="Bayer"/>
    <n v="1"/>
    <n v="149.41999999999999"/>
    <n v="211.07"/>
    <n v="21.11"/>
    <n v="21.11"/>
    <s v="BONUS_CARD"/>
    <n v="29"/>
    <n v="1"/>
    <n v="1"/>
    <n v="189.96"/>
    <n v="13130001092"/>
  </r>
  <r>
    <x v="16"/>
    <d v="1899-12-30T13:43:05"/>
    <n v="2093"/>
    <n v="13002561"/>
    <n v="13"/>
    <n v="22589"/>
    <s v="Retail Sale"/>
    <n v="15"/>
    <n v="88467"/>
    <x v="13"/>
    <s v="Avesta"/>
    <s v="Sanofi"/>
    <n v="1"/>
    <n v="279.77999999999997"/>
    <n v="363.16"/>
    <n v="18.16"/>
    <n v="18.16"/>
    <s v="BONUS_CARD"/>
    <n v="29"/>
    <n v="1"/>
    <n v="4"/>
    <n v="345"/>
    <n v="13130001093"/>
  </r>
  <r>
    <x v="10"/>
    <d v="1899-12-30T13:24:26"/>
    <n v="2094"/>
    <n v="13002561"/>
    <n v="13"/>
    <n v="22589"/>
    <s v="Retail Sale"/>
    <n v="15"/>
    <n v="53205"/>
    <x v="25"/>
    <s v="Grand Capital"/>
    <s v="Sanofi"/>
    <n v="3"/>
    <n v="595.6"/>
    <n v="859.56"/>
    <n v="85.96"/>
    <n v="85.96"/>
    <s v="BONUS_CARD"/>
    <n v="29"/>
    <n v="1"/>
    <n v="6"/>
    <n v="773.6"/>
    <n v="13130001094"/>
  </r>
  <r>
    <x v="3"/>
    <d v="1899-12-30T18:20:55"/>
    <n v="2095"/>
    <n v="13002561"/>
    <n v="13"/>
    <n v="22589"/>
    <s v="Retail Sale"/>
    <n v="15"/>
    <n v="82947"/>
    <x v="71"/>
    <s v="Pharmcomplect"/>
    <s v="TEVA"/>
    <n v="2"/>
    <n v="30.17"/>
    <n v="47.91"/>
    <n v="2.4"/>
    <n v="2.4"/>
    <s v="BONUS_CARD"/>
    <n v="29"/>
    <n v="1"/>
    <n v="1"/>
    <n v="45.51"/>
    <n v="13130001095"/>
  </r>
  <r>
    <x v="21"/>
    <d v="1899-12-30T08:02:26"/>
    <n v="2096"/>
    <n v="13002561"/>
    <n v="13"/>
    <n v="22589"/>
    <s v="Retail Sale"/>
    <n v="18"/>
    <n v="19811"/>
    <x v="24"/>
    <s v="Protek"/>
    <s v="KRKA"/>
    <n v="1"/>
    <n v="128.94999999999999"/>
    <n v="216.71"/>
    <n v="10.84"/>
    <n v="10.84"/>
    <s v="BONUS_CARD"/>
    <n v="29"/>
    <n v="1"/>
    <n v="3"/>
    <n v="205.87"/>
    <n v="13130001096"/>
  </r>
  <r>
    <x v="16"/>
    <d v="1899-12-30T11:08:30"/>
    <n v="2097"/>
    <n v="13002561"/>
    <n v="13"/>
    <n v="22589"/>
    <s v="Retail Sale"/>
    <n v="18"/>
    <n v="72272"/>
    <x v="61"/>
    <s v="Avesta"/>
    <s v="Sanofi"/>
    <n v="3"/>
    <n v="450.41"/>
    <n v="692.52"/>
    <n v="0"/>
    <n v="0"/>
    <m/>
    <n v="29"/>
    <n v="1"/>
    <n v="2"/>
    <n v="692.52"/>
    <n v="13130001097"/>
  </r>
  <r>
    <x v="15"/>
    <d v="1899-12-30T12:44:43"/>
    <n v="2098"/>
    <n v="13002561"/>
    <n v="13"/>
    <n v="22589"/>
    <s v="Retail Sale"/>
    <n v="15"/>
    <n v="12925"/>
    <x v="78"/>
    <s v="Pulse"/>
    <s v="Pfizer"/>
    <n v="1"/>
    <n v="55.19"/>
    <n v="80.599999999999994"/>
    <n v="8.06"/>
    <n v="8.06"/>
    <s v="BONUS_CARD"/>
    <n v="29"/>
    <n v="1"/>
    <n v="3"/>
    <n v="72.540000000000006"/>
    <n v="13130001098"/>
  </r>
  <r>
    <x v="11"/>
    <d v="1899-12-30T15:24:37"/>
    <n v="2099"/>
    <n v="13002561"/>
    <n v="13"/>
    <n v="22589"/>
    <s v="Retail Sale"/>
    <n v="15"/>
    <n v="92416"/>
    <x v="29"/>
    <s v="Katren"/>
    <s v="Bayer"/>
    <n v="2"/>
    <n v="420.45"/>
    <n v="644"/>
    <n v="32.200000000000003"/>
    <n v="32.200000000000003"/>
    <s v="BONUS_CARD"/>
    <n v="29"/>
    <n v="1"/>
    <n v="4"/>
    <n v="611.79999999999995"/>
    <n v="13130001099"/>
  </r>
  <r>
    <x v="4"/>
    <d v="1899-12-30T21:15:47"/>
    <n v="2100"/>
    <n v="13002561"/>
    <n v="13"/>
    <n v="22589"/>
    <s v="Retail Sale"/>
    <n v="18"/>
    <n v="41994"/>
    <x v="46"/>
    <s v="Grand Capital"/>
    <s v="TEVA"/>
    <n v="1"/>
    <n v="312.64999999999998"/>
    <n v="403.94"/>
    <n v="20.2"/>
    <n v="20.2"/>
    <s v="BONUS_CARD"/>
    <n v="29"/>
    <n v="1"/>
    <n v="1"/>
    <n v="383.74"/>
    <n v="13130001100"/>
  </r>
  <r>
    <x v="30"/>
    <d v="1899-12-30T10:32:11"/>
    <n v="2101"/>
    <n v="13002561"/>
    <n v="13"/>
    <n v="22589"/>
    <s v="Retail Sale"/>
    <n v="18"/>
    <n v="55489"/>
    <x v="85"/>
    <s v="Pulse"/>
    <s v="TEVA"/>
    <n v="3"/>
    <n v="490.69"/>
    <n v="690.07"/>
    <n v="0"/>
    <n v="0"/>
    <m/>
    <n v="29"/>
    <n v="1"/>
    <n v="1"/>
    <n v="690.07"/>
    <n v="13130001101"/>
  </r>
  <r>
    <x v="23"/>
    <d v="1899-12-30T21:03:24"/>
    <n v="2102"/>
    <n v="13002561"/>
    <n v="13"/>
    <n v="22589"/>
    <s v="Retail Sale"/>
    <n v="18"/>
    <n v="64858"/>
    <x v="63"/>
    <s v="Katren"/>
    <s v="Dr. Reddy's"/>
    <n v="3"/>
    <n v="517.59"/>
    <n v="763.48"/>
    <n v="0"/>
    <n v="0"/>
    <m/>
    <n v="29"/>
    <n v="1"/>
    <n v="4"/>
    <n v="763.48"/>
    <n v="13130001102"/>
  </r>
  <r>
    <x v="16"/>
    <d v="1899-12-30T13:01:24"/>
    <n v="2103"/>
    <n v="13002561"/>
    <n v="13"/>
    <n v="22589"/>
    <s v="Retail Sale"/>
    <n v="15"/>
    <n v="66166"/>
    <x v="47"/>
    <s v="Avesta"/>
    <s v="Bayer"/>
    <n v="3"/>
    <n v="579.41999999999996"/>
    <n v="895.39"/>
    <n v="44.77"/>
    <n v="44.77"/>
    <s v="BONUS_CARD"/>
    <n v="29"/>
    <n v="1"/>
    <n v="2"/>
    <n v="850.62"/>
    <n v="13130001103"/>
  </r>
  <r>
    <x v="22"/>
    <d v="1899-12-30T12:19:20"/>
    <n v="2104"/>
    <n v="13002561"/>
    <n v="13"/>
    <n v="22589"/>
    <s v="Retail Sale"/>
    <n v="15"/>
    <n v="12631"/>
    <x v="42"/>
    <s v="Protek"/>
    <s v="Dr. Reddy's"/>
    <n v="1"/>
    <n v="333.6"/>
    <n v="471.97"/>
    <n v="47.2"/>
    <n v="47.2"/>
    <s v="BONUS_CARD"/>
    <n v="29"/>
    <n v="1"/>
    <n v="5"/>
    <n v="424.77"/>
    <n v="13130001104"/>
  </r>
  <r>
    <x v="6"/>
    <d v="1899-12-30T12:49:49"/>
    <n v="2105"/>
    <n v="13002561"/>
    <n v="13"/>
    <n v="22589"/>
    <s v="Retail Sale"/>
    <n v="15"/>
    <n v="67276"/>
    <x v="59"/>
    <s v="Pharmcomplect"/>
    <s v="KRKA"/>
    <n v="2"/>
    <n v="231.37"/>
    <n v="365.25"/>
    <n v="0"/>
    <n v="0"/>
    <m/>
    <n v="29"/>
    <n v="1"/>
    <n v="3"/>
    <n v="365.25"/>
    <n v="13130001105"/>
  </r>
  <r>
    <x v="1"/>
    <d v="1899-12-30T15:57:23"/>
    <n v="2106"/>
    <n v="13002561"/>
    <n v="13"/>
    <n v="22589"/>
    <s v="Retail Sale"/>
    <n v="15"/>
    <n v="25570"/>
    <x v="1"/>
    <s v="Pulse"/>
    <s v="Dr. Reddy's"/>
    <n v="3"/>
    <n v="114.84"/>
    <n v="168.64"/>
    <n v="8.43"/>
    <n v="8.43"/>
    <s v="BONUS_CARD"/>
    <n v="29"/>
    <n v="1"/>
    <n v="1"/>
    <n v="160.21"/>
    <n v="13130001106"/>
  </r>
  <r>
    <x v="17"/>
    <d v="1899-12-30T12:24:45"/>
    <n v="2107"/>
    <n v="13002561"/>
    <n v="13"/>
    <n v="22589"/>
    <s v="Retail Sale"/>
    <n v="15"/>
    <n v="32357"/>
    <x v="28"/>
    <s v="Protek"/>
    <s v="TEVA"/>
    <n v="1"/>
    <n v="576.32000000000005"/>
    <n v="863.05"/>
    <n v="0"/>
    <n v="0"/>
    <m/>
    <n v="29"/>
    <n v="1"/>
    <n v="3"/>
    <n v="863.05"/>
    <n v="13130001107"/>
  </r>
  <r>
    <x v="16"/>
    <d v="1899-12-30T11:29:59"/>
    <n v="2108"/>
    <n v="13002561"/>
    <n v="13"/>
    <n v="22589"/>
    <s v="Retail Sale"/>
    <n v="15"/>
    <n v="96491"/>
    <x v="43"/>
    <s v="Pharmcomplect"/>
    <s v="Bayer"/>
    <n v="2"/>
    <n v="483.24"/>
    <n v="651.25"/>
    <n v="32.56"/>
    <n v="32.56"/>
    <s v="BONUS_CARD"/>
    <n v="29"/>
    <n v="1"/>
    <n v="1"/>
    <n v="618.69000000000005"/>
    <n v="13130001108"/>
  </r>
  <r>
    <x v="22"/>
    <d v="1899-12-30T09:39:24"/>
    <n v="2109"/>
    <n v="13002561"/>
    <n v="13"/>
    <n v="22589"/>
    <s v="Retail Sale"/>
    <n v="15"/>
    <n v="99099"/>
    <x v="25"/>
    <s v="Katren"/>
    <s v="KRKA"/>
    <n v="2"/>
    <n v="259.8"/>
    <n v="399.71"/>
    <n v="0"/>
    <n v="0"/>
    <m/>
    <n v="29"/>
    <n v="1"/>
    <n v="6"/>
    <n v="399.71"/>
    <n v="13130001109"/>
  </r>
  <r>
    <x v="13"/>
    <d v="1899-12-30T09:20:50"/>
    <n v="2110"/>
    <n v="13002561"/>
    <n v="13"/>
    <n v="22589"/>
    <s v="Retail Sale"/>
    <n v="15"/>
    <n v="20281"/>
    <x v="19"/>
    <s v="Pharmcomplect"/>
    <s v="Pfizer"/>
    <n v="3"/>
    <n v="303.06"/>
    <n v="504.6"/>
    <n v="25.23"/>
    <n v="25.23"/>
    <s v="BONUS_CARD"/>
    <n v="29"/>
    <n v="1"/>
    <n v="6"/>
    <n v="479.37"/>
    <n v="13130001110"/>
  </r>
  <r>
    <x v="11"/>
    <d v="1899-12-30T18:10:44"/>
    <n v="2111"/>
    <n v="13002561"/>
    <n v="13"/>
    <n v="22589"/>
    <s v="Retail Sale"/>
    <n v="18"/>
    <n v="62502"/>
    <x v="19"/>
    <s v="Pharmcomplect"/>
    <s v="Dr. Reddy's"/>
    <n v="3"/>
    <n v="247.76"/>
    <n v="347.95"/>
    <n v="34.799999999999997"/>
    <n v="34.799999999999997"/>
    <s v="BONUS_CARD"/>
    <n v="29"/>
    <n v="1"/>
    <n v="5"/>
    <n v="313.14999999999998"/>
    <n v="13130001111"/>
  </r>
  <r>
    <x v="3"/>
    <d v="1899-12-30T21:12:59"/>
    <n v="2112"/>
    <n v="13002561"/>
    <n v="13"/>
    <n v="22589"/>
    <s v="Retail Sale"/>
    <n v="15"/>
    <n v="29856"/>
    <x v="87"/>
    <s v="Pulse"/>
    <s v="Dr. Reddy's"/>
    <n v="1"/>
    <n v="581.5"/>
    <n v="797.04"/>
    <n v="0"/>
    <n v="0"/>
    <m/>
    <n v="29"/>
    <n v="1"/>
    <n v="1"/>
    <n v="797.04"/>
    <n v="13130001112"/>
  </r>
  <r>
    <x v="8"/>
    <d v="1899-12-30T11:17:59"/>
    <n v="2113"/>
    <n v="13002561"/>
    <n v="13"/>
    <n v="22589"/>
    <s v="Retail Sale"/>
    <n v="15"/>
    <n v="22228"/>
    <x v="67"/>
    <s v="Pulse"/>
    <s v="Bayer"/>
    <n v="1"/>
    <n v="317.75"/>
    <n v="530.01"/>
    <n v="53"/>
    <n v="53"/>
    <s v="BONUS_CARD"/>
    <n v="29"/>
    <n v="1"/>
    <n v="6"/>
    <n v="477.01"/>
    <n v="13130001113"/>
  </r>
  <r>
    <x v="3"/>
    <d v="1899-12-30T22:58:58"/>
    <n v="2114"/>
    <n v="13002561"/>
    <n v="13"/>
    <n v="22589"/>
    <s v="Retail Sale"/>
    <n v="18"/>
    <n v="30813"/>
    <x v="47"/>
    <s v="Pharmcomplect"/>
    <s v="Dr. Reddy's"/>
    <n v="3"/>
    <n v="593.41"/>
    <n v="751.55"/>
    <n v="75.16"/>
    <n v="75.16"/>
    <s v="BONUS_CARD"/>
    <n v="29"/>
    <n v="1"/>
    <n v="2"/>
    <n v="676.39"/>
    <n v="13130001114"/>
  </r>
  <r>
    <x v="24"/>
    <d v="1899-12-30T10:15:51"/>
    <n v="2115"/>
    <n v="13002561"/>
    <n v="13"/>
    <n v="22589"/>
    <s v="Retail Sale"/>
    <n v="15"/>
    <n v="82163"/>
    <x v="26"/>
    <s v="Pulse"/>
    <s v="Dr. Reddy's"/>
    <n v="1"/>
    <n v="443.41"/>
    <n v="672.23"/>
    <n v="0"/>
    <n v="0"/>
    <m/>
    <n v="29"/>
    <n v="1"/>
    <n v="2"/>
    <n v="672.23"/>
    <n v="13130001115"/>
  </r>
  <r>
    <x v="9"/>
    <d v="1899-12-30T17:46:45"/>
    <n v="2116"/>
    <n v="13002561"/>
    <n v="13"/>
    <n v="22589"/>
    <s v="Retail Sale"/>
    <n v="15"/>
    <n v="30750"/>
    <x v="61"/>
    <s v="Pulse"/>
    <s v="Takeda"/>
    <n v="3"/>
    <n v="75.14"/>
    <n v="106.05"/>
    <n v="10.61"/>
    <n v="10.61"/>
    <s v="BONUS_CARD"/>
    <n v="29"/>
    <n v="1"/>
    <n v="4"/>
    <n v="95.44"/>
    <n v="13130001116"/>
  </r>
  <r>
    <x v="9"/>
    <d v="1899-12-30T08:18:22"/>
    <n v="2117"/>
    <n v="13002561"/>
    <n v="13"/>
    <n v="22589"/>
    <s v="Retail Sale"/>
    <n v="15"/>
    <n v="21978"/>
    <x v="68"/>
    <s v="Protek"/>
    <s v="Sanofi"/>
    <n v="3"/>
    <n v="70.53"/>
    <n v="115.16"/>
    <n v="5.76"/>
    <n v="5.76"/>
    <s v="BONUS_CARD"/>
    <n v="29"/>
    <n v="1"/>
    <n v="2"/>
    <n v="109.4"/>
    <n v="13130001117"/>
  </r>
  <r>
    <x v="21"/>
    <d v="1899-12-30T21:23:07"/>
    <n v="2118"/>
    <n v="13002561"/>
    <n v="13"/>
    <n v="22589"/>
    <s v="Retail Sale"/>
    <n v="18"/>
    <n v="10278"/>
    <x v="19"/>
    <s v="Katren"/>
    <s v="Takeda"/>
    <n v="3"/>
    <n v="458.45"/>
    <n v="684.55"/>
    <n v="34.229999999999997"/>
    <n v="34.229999999999997"/>
    <s v="BONUS_CARD"/>
    <n v="29"/>
    <n v="1"/>
    <n v="2"/>
    <n v="650.32000000000005"/>
    <n v="13130001118"/>
  </r>
  <r>
    <x v="8"/>
    <d v="1899-12-30T21:35:56"/>
    <n v="2119"/>
    <n v="13002561"/>
    <n v="13"/>
    <n v="22589"/>
    <s v="Retail Sale"/>
    <n v="15"/>
    <n v="74999"/>
    <x v="16"/>
    <s v="Pharmcomplect"/>
    <s v="KRKA"/>
    <n v="3"/>
    <n v="442.67"/>
    <n v="596.48"/>
    <n v="59.65"/>
    <n v="59.65"/>
    <s v="BONUS_CARD"/>
    <n v="29"/>
    <n v="1"/>
    <n v="3"/>
    <n v="536.83000000000004"/>
    <n v="13130001119"/>
  </r>
  <r>
    <x v="0"/>
    <d v="1899-12-30T11:13:41"/>
    <n v="2120"/>
    <n v="13002561"/>
    <n v="13"/>
    <n v="22589"/>
    <s v="Retail Sale"/>
    <n v="15"/>
    <n v="17402"/>
    <x v="41"/>
    <s v="Grand Capital"/>
    <s v="Bayer"/>
    <n v="1"/>
    <n v="496.07"/>
    <n v="776.72"/>
    <n v="0"/>
    <n v="0"/>
    <m/>
    <n v="29"/>
    <n v="1"/>
    <n v="2"/>
    <n v="776.72"/>
    <n v="13130001120"/>
  </r>
  <r>
    <x v="21"/>
    <d v="1899-12-30T17:52:11"/>
    <n v="2121"/>
    <n v="13002561"/>
    <n v="13"/>
    <n v="22589"/>
    <s v="Retail Sale"/>
    <n v="18"/>
    <n v="21309"/>
    <x v="25"/>
    <s v="Protek"/>
    <s v="Pfizer"/>
    <n v="2"/>
    <n v="521.36"/>
    <n v="849.81"/>
    <n v="42.49"/>
    <n v="42.49"/>
    <s v="BONUS_CARD"/>
    <n v="29"/>
    <n v="1"/>
    <n v="3"/>
    <n v="807.32"/>
    <n v="13130001121"/>
  </r>
  <r>
    <x v="3"/>
    <d v="1899-12-30T21:25:18"/>
    <n v="2122"/>
    <n v="13002561"/>
    <n v="13"/>
    <n v="22589"/>
    <s v="Retail Sale"/>
    <n v="18"/>
    <n v="25759"/>
    <x v="2"/>
    <s v="Katren"/>
    <s v="Sanofi"/>
    <n v="3"/>
    <n v="209.1"/>
    <n v="313.56"/>
    <n v="15.68"/>
    <n v="15.68"/>
    <s v="BONUS_CARD"/>
    <n v="29"/>
    <n v="1"/>
    <n v="6"/>
    <n v="297.88"/>
    <n v="13130001122"/>
  </r>
  <r>
    <x v="24"/>
    <d v="1899-12-30T19:34:15"/>
    <n v="2123"/>
    <n v="13002561"/>
    <n v="13"/>
    <n v="22589"/>
    <s v="Retail Sale"/>
    <n v="18"/>
    <n v="81334"/>
    <x v="31"/>
    <s v="Protek"/>
    <s v="Takeda"/>
    <n v="1"/>
    <n v="558.4"/>
    <n v="909.37"/>
    <n v="45.47"/>
    <n v="45.47"/>
    <s v="BONUS_CARD"/>
    <n v="29"/>
    <n v="1"/>
    <n v="2"/>
    <n v="863.9"/>
    <n v="13130001123"/>
  </r>
  <r>
    <x v="12"/>
    <d v="1899-12-30T11:15:54"/>
    <n v="2124"/>
    <n v="13002561"/>
    <n v="13"/>
    <n v="22589"/>
    <s v="Retail Sale"/>
    <n v="18"/>
    <n v="22547"/>
    <x v="58"/>
    <s v="Katren"/>
    <s v="Pfizer"/>
    <n v="2"/>
    <n v="528.9"/>
    <n v="712.76"/>
    <n v="0"/>
    <n v="0"/>
    <m/>
    <n v="29"/>
    <n v="1"/>
    <n v="3"/>
    <n v="712.76"/>
    <n v="13130001124"/>
  </r>
  <r>
    <x v="27"/>
    <d v="1899-12-30T21:33:42"/>
    <n v="2125"/>
    <n v="13002561"/>
    <n v="13"/>
    <n v="22589"/>
    <s v="Retail Sale"/>
    <n v="18"/>
    <n v="26837"/>
    <x v="48"/>
    <s v="Pulse"/>
    <s v="Takeda"/>
    <n v="2"/>
    <n v="123.59"/>
    <n v="178.33"/>
    <n v="8.92"/>
    <n v="8.92"/>
    <s v="BONUS_CARD"/>
    <n v="29"/>
    <n v="1"/>
    <n v="5"/>
    <n v="169.41"/>
    <n v="13130001125"/>
  </r>
  <r>
    <x v="21"/>
    <d v="1899-12-30T15:11:13"/>
    <n v="2126"/>
    <n v="13002561"/>
    <n v="13"/>
    <n v="22589"/>
    <s v="Retail Sale"/>
    <n v="15"/>
    <n v="48529"/>
    <x v="2"/>
    <s v="Avesta"/>
    <s v="Sanofi"/>
    <n v="3"/>
    <n v="585.41999999999996"/>
    <n v="851.7"/>
    <n v="42.59"/>
    <n v="42.59"/>
    <s v="BONUS_CARD"/>
    <n v="29"/>
    <n v="1"/>
    <n v="1"/>
    <n v="809.11"/>
    <n v="13130001126"/>
  </r>
  <r>
    <x v="1"/>
    <d v="1899-12-30T11:12:03"/>
    <n v="2127"/>
    <n v="13002561"/>
    <n v="13"/>
    <n v="22589"/>
    <s v="Retail Sale"/>
    <n v="15"/>
    <n v="72625"/>
    <x v="87"/>
    <s v="Katren"/>
    <s v="Novartis"/>
    <n v="1"/>
    <n v="407.52"/>
    <n v="613.86"/>
    <n v="30.69"/>
    <n v="30.69"/>
    <s v="BONUS_CARD"/>
    <n v="29"/>
    <n v="1"/>
    <n v="1"/>
    <n v="583.16999999999996"/>
    <n v="13130001127"/>
  </r>
  <r>
    <x v="29"/>
    <d v="1899-12-30T09:50:26"/>
    <n v="2128"/>
    <n v="13002561"/>
    <n v="13"/>
    <n v="22589"/>
    <s v="Retail Sale"/>
    <n v="18"/>
    <n v="90788"/>
    <x v="57"/>
    <s v="Avesta"/>
    <s v="Pfizer"/>
    <n v="2"/>
    <n v="190.26"/>
    <n v="242.5"/>
    <n v="0"/>
    <n v="0"/>
    <m/>
    <n v="29"/>
    <n v="1"/>
    <n v="4"/>
    <n v="242.5"/>
    <n v="13130001128"/>
  </r>
  <r>
    <x v="15"/>
    <d v="1899-12-30T15:53:34"/>
    <n v="2129"/>
    <n v="13002561"/>
    <n v="13"/>
    <n v="22589"/>
    <s v="Retail Sale"/>
    <n v="18"/>
    <n v="34711"/>
    <x v="71"/>
    <s v="Avesta"/>
    <s v="TEVA"/>
    <n v="2"/>
    <n v="310.01"/>
    <n v="464.55"/>
    <n v="46.46"/>
    <n v="46.46"/>
    <s v="BONUS_CARD"/>
    <n v="29"/>
    <n v="1"/>
    <n v="6"/>
    <n v="418.09"/>
    <n v="13130001129"/>
  </r>
  <r>
    <x v="29"/>
    <d v="1899-12-30T22:29:43"/>
    <n v="2130"/>
    <n v="13002561"/>
    <n v="13"/>
    <n v="22589"/>
    <s v="Retail Sale"/>
    <n v="18"/>
    <n v="79244"/>
    <x v="26"/>
    <s v="Protek"/>
    <s v="Pfizer"/>
    <n v="2"/>
    <n v="314.83"/>
    <n v="478.52"/>
    <n v="47.85"/>
    <n v="47.85"/>
    <s v="BONUS_CARD"/>
    <n v="29"/>
    <n v="1"/>
    <n v="2"/>
    <n v="430.67"/>
    <n v="13130001130"/>
  </r>
  <r>
    <x v="5"/>
    <d v="1899-12-30T11:28:50"/>
    <n v="2131"/>
    <n v="13002561"/>
    <n v="13"/>
    <n v="22589"/>
    <s v="Retail Sale"/>
    <n v="18"/>
    <n v="57773"/>
    <x v="34"/>
    <s v="Katren"/>
    <s v="Sanofi"/>
    <n v="3"/>
    <n v="248.55"/>
    <n v="386.5"/>
    <n v="38.65"/>
    <n v="38.65"/>
    <s v="BONUS_CARD"/>
    <n v="29"/>
    <n v="1"/>
    <n v="3"/>
    <n v="347.85"/>
    <n v="13130001131"/>
  </r>
  <r>
    <x v="23"/>
    <d v="1899-12-30T16:01:12"/>
    <n v="2132"/>
    <n v="13002561"/>
    <n v="13"/>
    <n v="22589"/>
    <s v="Retail Sale"/>
    <n v="18"/>
    <n v="86406"/>
    <x v="1"/>
    <s v="Avesta"/>
    <s v="Novartis"/>
    <n v="2"/>
    <n v="149.22999999999999"/>
    <n v="244.74"/>
    <n v="24.47"/>
    <n v="24.47"/>
    <s v="BONUS_CARD"/>
    <n v="29"/>
    <n v="1"/>
    <n v="1"/>
    <n v="220.27"/>
    <n v="13130001132"/>
  </r>
  <r>
    <x v="22"/>
    <d v="1899-12-30T09:30:46"/>
    <n v="2133"/>
    <n v="13002561"/>
    <n v="13"/>
    <n v="22589"/>
    <s v="Retail Sale"/>
    <n v="15"/>
    <n v="53592"/>
    <x v="19"/>
    <s v="Pulse"/>
    <s v="Sanofi"/>
    <n v="3"/>
    <n v="364.22"/>
    <n v="491.24"/>
    <n v="0"/>
    <n v="0"/>
    <m/>
    <n v="29"/>
    <n v="1"/>
    <n v="1"/>
    <n v="491.24"/>
    <n v="13130001133"/>
  </r>
  <r>
    <x v="1"/>
    <d v="1899-12-30T09:27:22"/>
    <n v="2134"/>
    <n v="13002561"/>
    <n v="13"/>
    <n v="22589"/>
    <s v="Retail Sale"/>
    <n v="18"/>
    <n v="34970"/>
    <x v="64"/>
    <s v="Pharmcomplect"/>
    <s v="Pfizer"/>
    <n v="2"/>
    <n v="174.98"/>
    <n v="239.15"/>
    <n v="0"/>
    <n v="0"/>
    <m/>
    <n v="29"/>
    <n v="1"/>
    <n v="2"/>
    <n v="239.15"/>
    <n v="13130001134"/>
  </r>
  <r>
    <x v="15"/>
    <d v="1899-12-30T16:55:28"/>
    <n v="2135"/>
    <n v="13002561"/>
    <n v="13"/>
    <n v="22589"/>
    <s v="Retail Sale"/>
    <n v="15"/>
    <n v="95651"/>
    <x v="71"/>
    <s v="Avesta"/>
    <s v="Pfizer"/>
    <n v="1"/>
    <n v="68.08"/>
    <n v="95.76"/>
    <n v="9.58"/>
    <n v="9.58"/>
    <s v="BONUS_CARD"/>
    <n v="29"/>
    <n v="1"/>
    <n v="1"/>
    <n v="86.18"/>
    <n v="13130001135"/>
  </r>
  <r>
    <x v="12"/>
    <d v="1899-12-30T14:44:53"/>
    <n v="2136"/>
    <n v="13002561"/>
    <n v="13"/>
    <n v="22589"/>
    <s v="Retail Sale"/>
    <n v="18"/>
    <n v="60350"/>
    <x v="0"/>
    <s v="Protek"/>
    <s v="Novartis"/>
    <n v="1"/>
    <n v="546.84"/>
    <n v="871.38"/>
    <n v="0"/>
    <n v="0"/>
    <m/>
    <n v="29"/>
    <n v="1"/>
    <n v="6"/>
    <n v="871.38"/>
    <n v="13130001136"/>
  </r>
  <r>
    <x v="18"/>
    <d v="1899-12-30T22:45:32"/>
    <n v="2137"/>
    <n v="13002561"/>
    <n v="13"/>
    <n v="22589"/>
    <s v="Retail Sale"/>
    <n v="18"/>
    <n v="75686"/>
    <x v="75"/>
    <s v="Grand Capital"/>
    <s v="KRKA"/>
    <n v="3"/>
    <n v="155.47"/>
    <n v="216.99"/>
    <n v="0"/>
    <n v="0"/>
    <m/>
    <n v="29"/>
    <n v="1"/>
    <n v="3"/>
    <n v="216.99"/>
    <n v="13130001137"/>
  </r>
  <r>
    <x v="30"/>
    <d v="1899-12-30T09:19:37"/>
    <n v="2138"/>
    <n v="13002561"/>
    <n v="13"/>
    <n v="22589"/>
    <s v="Retail Sale"/>
    <n v="18"/>
    <n v="63677"/>
    <x v="41"/>
    <s v="Pulse"/>
    <s v="Sanofi"/>
    <n v="2"/>
    <n v="561.92999999999995"/>
    <n v="921.85"/>
    <n v="0"/>
    <n v="0"/>
    <m/>
    <n v="29"/>
    <n v="1"/>
    <n v="3"/>
    <n v="921.85"/>
    <n v="13130001138"/>
  </r>
  <r>
    <x v="24"/>
    <d v="1899-12-30T16:47:00"/>
    <n v="2139"/>
    <n v="13002561"/>
    <n v="13"/>
    <n v="22589"/>
    <s v="Retail Sale"/>
    <n v="15"/>
    <n v="70226"/>
    <x v="41"/>
    <s v="Grand Capital"/>
    <s v="Pfizer"/>
    <n v="2"/>
    <n v="107.49"/>
    <n v="139.13999999999999"/>
    <n v="6.96"/>
    <n v="6.96"/>
    <s v="BONUS_CARD"/>
    <n v="29"/>
    <n v="1"/>
    <n v="2"/>
    <n v="132.18"/>
    <n v="13130001139"/>
  </r>
  <r>
    <x v="1"/>
    <d v="1899-12-30T14:07:33"/>
    <n v="2140"/>
    <n v="13002561"/>
    <n v="13"/>
    <n v="22589"/>
    <s v="Retail Sale"/>
    <n v="15"/>
    <n v="49677"/>
    <x v="82"/>
    <s v="Pharmcomplect"/>
    <s v="Novartis"/>
    <n v="2"/>
    <n v="263.83999999999997"/>
    <n v="420.2"/>
    <n v="21.01"/>
    <n v="21.01"/>
    <s v="BONUS_CARD"/>
    <n v="29"/>
    <n v="1"/>
    <n v="1"/>
    <n v="399.19"/>
    <n v="13130001140"/>
  </r>
  <r>
    <x v="10"/>
    <d v="1899-12-30T19:11:54"/>
    <n v="2141"/>
    <n v="13002561"/>
    <n v="13"/>
    <n v="22589"/>
    <s v="Retail Sale"/>
    <n v="15"/>
    <n v="28939"/>
    <x v="41"/>
    <s v="Protek"/>
    <s v="TEVA"/>
    <n v="3"/>
    <n v="567.99"/>
    <n v="756.51"/>
    <n v="0"/>
    <n v="0"/>
    <m/>
    <n v="29"/>
    <n v="1"/>
    <n v="3"/>
    <n v="756.51"/>
    <n v="13130001141"/>
  </r>
  <r>
    <x v="14"/>
    <d v="1899-12-30T15:18:17"/>
    <n v="2142"/>
    <n v="13002561"/>
    <n v="13"/>
    <n v="22589"/>
    <s v="Retail Sale"/>
    <n v="15"/>
    <n v="46460"/>
    <x v="72"/>
    <s v="Grand Capital"/>
    <s v="KRKA"/>
    <n v="1"/>
    <n v="536.79"/>
    <n v="877.49"/>
    <n v="87.75"/>
    <n v="87.75"/>
    <s v="BONUS_CARD"/>
    <n v="29"/>
    <n v="1"/>
    <n v="5"/>
    <n v="789.74"/>
    <n v="13130001142"/>
  </r>
  <r>
    <x v="4"/>
    <d v="1899-12-30T21:02:10"/>
    <n v="2143"/>
    <n v="13002561"/>
    <n v="13"/>
    <n v="22589"/>
    <s v="Retail Sale"/>
    <n v="15"/>
    <n v="86381"/>
    <x v="12"/>
    <s v="Pulse"/>
    <s v="Takeda"/>
    <n v="1"/>
    <n v="156.29"/>
    <n v="217.13"/>
    <n v="21.71"/>
    <n v="21.71"/>
    <s v="BONUS_CARD"/>
    <n v="29"/>
    <n v="1"/>
    <n v="4"/>
    <n v="195.42"/>
    <n v="13130001143"/>
  </r>
  <r>
    <x v="9"/>
    <d v="1899-12-30T15:25:51"/>
    <n v="2144"/>
    <n v="13002561"/>
    <n v="13"/>
    <n v="22589"/>
    <s v="Retail Sale"/>
    <n v="18"/>
    <n v="28047"/>
    <x v="9"/>
    <s v="Protek"/>
    <s v="Novartis"/>
    <n v="3"/>
    <n v="433.96"/>
    <n v="678.95"/>
    <n v="67.900000000000006"/>
    <n v="67.900000000000006"/>
    <s v="BONUS_CARD"/>
    <n v="29"/>
    <n v="1"/>
    <n v="4"/>
    <n v="611.04999999999995"/>
    <n v="13130001144"/>
  </r>
  <r>
    <x v="5"/>
    <d v="1899-12-30T12:53:53"/>
    <n v="2145"/>
    <n v="13002561"/>
    <n v="13"/>
    <n v="22589"/>
    <s v="Retail Sale"/>
    <n v="15"/>
    <n v="86683"/>
    <x v="20"/>
    <s v="Protek"/>
    <s v="Novartis"/>
    <n v="2"/>
    <n v="245.34"/>
    <n v="383.82"/>
    <n v="38.380000000000003"/>
    <n v="38.380000000000003"/>
    <s v="BONUS_CARD"/>
    <n v="29"/>
    <n v="1"/>
    <n v="4"/>
    <n v="345.44"/>
    <n v="13130001145"/>
  </r>
  <r>
    <x v="10"/>
    <d v="1899-12-30T16:15:51"/>
    <n v="2146"/>
    <n v="13002561"/>
    <n v="13"/>
    <n v="22589"/>
    <s v="Retail Sale"/>
    <n v="18"/>
    <n v="34185"/>
    <x v="49"/>
    <s v="Protek"/>
    <s v="TEVA"/>
    <n v="2"/>
    <n v="401.14"/>
    <n v="558.1"/>
    <n v="55.81"/>
    <n v="55.81"/>
    <s v="BONUS_CARD"/>
    <n v="29"/>
    <n v="1"/>
    <n v="1"/>
    <n v="502.29"/>
    <n v="13130001146"/>
  </r>
  <r>
    <x v="15"/>
    <d v="1899-12-30T15:58:11"/>
    <n v="2147"/>
    <n v="13002561"/>
    <n v="13"/>
    <n v="22589"/>
    <s v="Retail Sale"/>
    <n v="18"/>
    <n v="85671"/>
    <x v="55"/>
    <s v="Avesta"/>
    <s v="Pfizer"/>
    <n v="3"/>
    <n v="218.4"/>
    <n v="336.93"/>
    <n v="33.69"/>
    <n v="33.69"/>
    <s v="BONUS_CARD"/>
    <n v="29"/>
    <n v="1"/>
    <n v="4"/>
    <n v="303.24"/>
    <n v="13130001147"/>
  </r>
  <r>
    <x v="24"/>
    <d v="1899-12-30T10:14:09"/>
    <n v="2148"/>
    <n v="13002561"/>
    <n v="13"/>
    <n v="22589"/>
    <s v="Retail Sale"/>
    <n v="18"/>
    <n v="90641"/>
    <x v="58"/>
    <s v="Pulse"/>
    <s v="Novartis"/>
    <n v="3"/>
    <n v="128.21"/>
    <n v="173.78"/>
    <n v="8.69"/>
    <n v="8.69"/>
    <s v="BONUS_CARD"/>
    <n v="29"/>
    <n v="1"/>
    <n v="3"/>
    <n v="165.09"/>
    <n v="13130001148"/>
  </r>
  <r>
    <x v="9"/>
    <d v="1899-12-30T12:28:09"/>
    <n v="2149"/>
    <n v="13002561"/>
    <n v="13"/>
    <n v="22589"/>
    <s v="Retail Sale"/>
    <n v="18"/>
    <n v="52677"/>
    <x v="67"/>
    <s v="Pulse"/>
    <s v="Bayer"/>
    <n v="1"/>
    <n v="57.43"/>
    <n v="80.12"/>
    <n v="0"/>
    <n v="0"/>
    <m/>
    <n v="29"/>
    <n v="1"/>
    <n v="1"/>
    <n v="80.12"/>
    <n v="13130001149"/>
  </r>
  <r>
    <x v="5"/>
    <d v="1899-12-30T10:18:11"/>
    <n v="2150"/>
    <n v="13002561"/>
    <n v="13"/>
    <n v="22589"/>
    <s v="Retail Sale"/>
    <n v="18"/>
    <n v="88495"/>
    <x v="37"/>
    <s v="Grand Capital"/>
    <s v="TEVA"/>
    <n v="2"/>
    <n v="568.54"/>
    <n v="875.86"/>
    <n v="87.59"/>
    <n v="87.59"/>
    <s v="BONUS_CARD"/>
    <n v="29"/>
    <n v="1"/>
    <n v="5"/>
    <n v="788.27"/>
    <n v="13130001150"/>
  </r>
  <r>
    <x v="26"/>
    <d v="1899-12-30T13:19:47"/>
    <n v="2151"/>
    <n v="13002561"/>
    <n v="13"/>
    <n v="22589"/>
    <s v="Retail Sale"/>
    <n v="15"/>
    <n v="96361"/>
    <x v="76"/>
    <s v="Grand Capital"/>
    <s v="TEVA"/>
    <n v="1"/>
    <n v="50.45"/>
    <n v="63.76"/>
    <n v="0"/>
    <n v="0"/>
    <m/>
    <n v="29"/>
    <n v="1"/>
    <n v="1"/>
    <n v="63.76"/>
    <n v="13130001151"/>
  </r>
  <r>
    <x v="17"/>
    <d v="1899-12-30T16:27:57"/>
    <n v="2152"/>
    <n v="13002561"/>
    <n v="13"/>
    <n v="22589"/>
    <s v="Retail Sale"/>
    <n v="15"/>
    <n v="34620"/>
    <x v="84"/>
    <s v="Pulse"/>
    <s v="Sanofi"/>
    <n v="1"/>
    <n v="166.26"/>
    <n v="224.89"/>
    <n v="11.24"/>
    <n v="11.24"/>
    <s v="BONUS_CARD"/>
    <n v="29"/>
    <n v="1"/>
    <n v="3"/>
    <n v="213.65"/>
    <n v="13130001152"/>
  </r>
  <r>
    <x v="10"/>
    <d v="1899-12-30T17:23:32"/>
    <n v="2153"/>
    <n v="13002561"/>
    <n v="13"/>
    <n v="22589"/>
    <s v="Retail Sale"/>
    <n v="15"/>
    <n v="38330"/>
    <x v="5"/>
    <s v="Pharmcomplect"/>
    <s v="KRKA"/>
    <n v="3"/>
    <n v="99.38"/>
    <n v="147.78"/>
    <n v="7.39"/>
    <n v="7.39"/>
    <s v="BONUS_CARD"/>
    <n v="29"/>
    <n v="1"/>
    <n v="5"/>
    <n v="140.38999999999999"/>
    <n v="13130001153"/>
  </r>
  <r>
    <x v="3"/>
    <d v="1899-12-30T20:15:00"/>
    <n v="2154"/>
    <n v="13002561"/>
    <n v="13"/>
    <n v="22589"/>
    <s v="Retail Sale"/>
    <n v="15"/>
    <n v="68607"/>
    <x v="66"/>
    <s v="Pharmcomplect"/>
    <s v="Dr. Reddy's"/>
    <n v="3"/>
    <n v="312.51"/>
    <n v="393.14"/>
    <n v="39.31"/>
    <n v="39.31"/>
    <s v="BONUS_CARD"/>
    <n v="29"/>
    <n v="1"/>
    <n v="1"/>
    <n v="353.83"/>
    <n v="13130001154"/>
  </r>
  <r>
    <x v="0"/>
    <d v="1899-12-30T18:36:02"/>
    <n v="2155"/>
    <n v="13002561"/>
    <n v="13"/>
    <n v="22589"/>
    <s v="Retail Sale"/>
    <n v="18"/>
    <n v="13042"/>
    <x v="61"/>
    <s v="Grand Capital"/>
    <s v="Dr. Reddy's"/>
    <n v="3"/>
    <n v="533.32000000000005"/>
    <n v="825.39"/>
    <n v="41.27"/>
    <n v="41.27"/>
    <s v="BONUS_CARD"/>
    <n v="29"/>
    <n v="1"/>
    <n v="6"/>
    <n v="784.12"/>
    <n v="13130001155"/>
  </r>
  <r>
    <x v="10"/>
    <d v="1899-12-30T16:36:49"/>
    <n v="2156"/>
    <n v="13002561"/>
    <n v="13"/>
    <n v="22589"/>
    <s v="Retail Sale"/>
    <n v="15"/>
    <n v="96439"/>
    <x v="40"/>
    <s v="Avesta"/>
    <s v="Bayer"/>
    <n v="1"/>
    <n v="538.33000000000004"/>
    <n v="708.06"/>
    <n v="0"/>
    <n v="0"/>
    <m/>
    <n v="29"/>
    <n v="1"/>
    <n v="2"/>
    <n v="708.06"/>
    <n v="13130001156"/>
  </r>
  <r>
    <x v="29"/>
    <d v="1899-12-30T10:17:28"/>
    <n v="2157"/>
    <n v="13002561"/>
    <n v="13"/>
    <n v="22589"/>
    <s v="Retail Sale"/>
    <n v="18"/>
    <n v="45887"/>
    <x v="27"/>
    <s v="Katren"/>
    <s v="Pfizer"/>
    <n v="1"/>
    <n v="429.97"/>
    <n v="583.49"/>
    <n v="29.17"/>
    <n v="29.17"/>
    <s v="BONUS_CARD"/>
    <n v="29"/>
    <n v="1"/>
    <n v="2"/>
    <n v="554.32000000000005"/>
    <n v="13130001157"/>
  </r>
  <r>
    <x v="8"/>
    <d v="1899-12-30T13:31:10"/>
    <n v="2158"/>
    <n v="13002561"/>
    <n v="13"/>
    <n v="22589"/>
    <s v="Retail Sale"/>
    <n v="15"/>
    <n v="82418"/>
    <x v="63"/>
    <s v="Katren"/>
    <s v="Sanofi"/>
    <n v="2"/>
    <n v="364.51"/>
    <n v="492.16"/>
    <n v="49.22"/>
    <n v="49.22"/>
    <s v="BONUS_CARD"/>
    <n v="29"/>
    <n v="1"/>
    <n v="5"/>
    <n v="442.94"/>
    <n v="13130001158"/>
  </r>
  <r>
    <x v="29"/>
    <d v="1899-12-30T12:12:22"/>
    <n v="2159"/>
    <n v="13002561"/>
    <n v="13"/>
    <n v="22589"/>
    <s v="Retail Sale"/>
    <n v="18"/>
    <n v="28554"/>
    <x v="55"/>
    <s v="Avesta"/>
    <s v="Bayer"/>
    <n v="2"/>
    <n v="415.6"/>
    <n v="536.39"/>
    <n v="26.82"/>
    <n v="26.82"/>
    <s v="BONUS_CARD"/>
    <n v="29"/>
    <n v="1"/>
    <n v="6"/>
    <n v="509.57"/>
    <n v="13130001159"/>
  </r>
  <r>
    <x v="5"/>
    <d v="1899-12-30T08:26:04"/>
    <n v="2160"/>
    <n v="13002561"/>
    <n v="13"/>
    <n v="22589"/>
    <s v="Retail Sale"/>
    <n v="15"/>
    <n v="89635"/>
    <x v="37"/>
    <s v="Katren"/>
    <s v="Takeda"/>
    <n v="3"/>
    <n v="208.37"/>
    <n v="340.18"/>
    <n v="17.010000000000002"/>
    <n v="17.010000000000002"/>
    <s v="BONUS_CARD"/>
    <n v="29"/>
    <n v="1"/>
    <n v="5"/>
    <n v="323.17"/>
    <n v="13130001160"/>
  </r>
  <r>
    <x v="17"/>
    <d v="1899-12-30T14:06:55"/>
    <n v="2161"/>
    <n v="13002561"/>
    <n v="13"/>
    <n v="22589"/>
    <s v="Retail Sale"/>
    <n v="15"/>
    <n v="27711"/>
    <x v="10"/>
    <s v="Katren"/>
    <s v="Takeda"/>
    <n v="2"/>
    <n v="139.19999999999999"/>
    <n v="191.57"/>
    <n v="9.58"/>
    <n v="9.58"/>
    <s v="BONUS_CARD"/>
    <n v="29"/>
    <n v="1"/>
    <n v="1"/>
    <n v="181.99"/>
    <n v="13130001161"/>
  </r>
  <r>
    <x v="10"/>
    <d v="1899-12-30T21:35:09"/>
    <n v="2162"/>
    <n v="13002561"/>
    <n v="13"/>
    <n v="22589"/>
    <s v="Retail Sale"/>
    <n v="18"/>
    <n v="87412"/>
    <x v="13"/>
    <s v="Protek"/>
    <s v="Sanofi"/>
    <n v="1"/>
    <n v="85.78"/>
    <n v="120.04"/>
    <n v="6"/>
    <n v="6"/>
    <s v="BONUS_CARD"/>
    <n v="29"/>
    <n v="1"/>
    <n v="1"/>
    <n v="114.04"/>
    <n v="13130001162"/>
  </r>
  <r>
    <x v="18"/>
    <d v="1899-12-30T14:36:15"/>
    <n v="2163"/>
    <n v="13002561"/>
    <n v="13"/>
    <n v="22589"/>
    <s v="Retail Sale"/>
    <n v="18"/>
    <n v="85239"/>
    <x v="72"/>
    <s v="Avesta"/>
    <s v="Dr. Reddy's"/>
    <n v="1"/>
    <n v="53"/>
    <n v="70.81"/>
    <n v="7.08"/>
    <n v="7.08"/>
    <s v="BONUS_CARD"/>
    <n v="29"/>
    <n v="1"/>
    <n v="4"/>
    <n v="63.73"/>
    <n v="13130001163"/>
  </r>
  <r>
    <x v="15"/>
    <d v="1899-12-30T21:00:18"/>
    <n v="2164"/>
    <n v="13002561"/>
    <n v="13"/>
    <n v="22589"/>
    <s v="Retail Sale"/>
    <n v="15"/>
    <n v="27465"/>
    <x v="81"/>
    <s v="Pulse"/>
    <s v="Takeda"/>
    <n v="3"/>
    <n v="520.85"/>
    <n v="701.84"/>
    <n v="35.090000000000003"/>
    <n v="35.090000000000003"/>
    <s v="BONUS_CARD"/>
    <n v="29"/>
    <n v="1"/>
    <n v="2"/>
    <n v="666.75"/>
    <n v="13130001164"/>
  </r>
  <r>
    <x v="5"/>
    <d v="1899-12-30T17:38:40"/>
    <n v="2165"/>
    <n v="13002561"/>
    <n v="13"/>
    <n v="22589"/>
    <s v="Retail Sale"/>
    <n v="18"/>
    <n v="23550"/>
    <x v="82"/>
    <s v="Katren"/>
    <s v="Pfizer"/>
    <n v="3"/>
    <n v="127.32"/>
    <n v="182.25"/>
    <n v="18.23"/>
    <n v="18.23"/>
    <s v="BONUS_CARD"/>
    <n v="29"/>
    <n v="1"/>
    <n v="1"/>
    <n v="164.02"/>
    <n v="13130001165"/>
  </r>
  <r>
    <x v="25"/>
    <d v="1899-12-30T16:03:10"/>
    <n v="2166"/>
    <n v="13002561"/>
    <n v="13"/>
    <n v="22589"/>
    <s v="Retail Sale"/>
    <n v="15"/>
    <n v="74461"/>
    <x v="47"/>
    <s v="Protek"/>
    <s v="Dr. Reddy's"/>
    <n v="3"/>
    <n v="348.49"/>
    <n v="455.13"/>
    <n v="22.76"/>
    <n v="22.76"/>
    <s v="BONUS_CARD"/>
    <n v="29"/>
    <n v="1"/>
    <n v="4"/>
    <n v="432.37"/>
    <n v="13130001166"/>
  </r>
  <r>
    <x v="0"/>
    <d v="1899-12-30T10:23:09"/>
    <n v="2167"/>
    <n v="13002561"/>
    <n v="13"/>
    <n v="22589"/>
    <s v="Retail Sale"/>
    <n v="18"/>
    <n v="15851"/>
    <x v="20"/>
    <s v="Katren"/>
    <s v="TEVA"/>
    <n v="2"/>
    <n v="237.24"/>
    <n v="398.94"/>
    <n v="19.95"/>
    <n v="19.95"/>
    <s v="BONUS_CARD"/>
    <n v="29"/>
    <n v="1"/>
    <n v="5"/>
    <n v="378.99"/>
    <n v="13130001167"/>
  </r>
  <r>
    <x v="14"/>
    <d v="1899-12-30T14:57:30"/>
    <n v="2168"/>
    <n v="13002561"/>
    <n v="13"/>
    <n v="22589"/>
    <s v="Retail Sale"/>
    <n v="15"/>
    <n v="30334"/>
    <x v="41"/>
    <s v="Katren"/>
    <s v="Novartis"/>
    <n v="1"/>
    <n v="233.78"/>
    <n v="379.17"/>
    <n v="37.92"/>
    <n v="37.92"/>
    <s v="BONUS_CARD"/>
    <n v="29"/>
    <n v="1"/>
    <n v="5"/>
    <n v="341.25"/>
    <n v="13130001168"/>
  </r>
  <r>
    <x v="10"/>
    <d v="1899-12-30T09:33:09"/>
    <n v="2169"/>
    <n v="13002561"/>
    <n v="13"/>
    <n v="22589"/>
    <s v="Retail Sale"/>
    <n v="15"/>
    <n v="36528"/>
    <x v="16"/>
    <s v="Katren"/>
    <s v="Bayer"/>
    <n v="1"/>
    <n v="412.34"/>
    <n v="614.77"/>
    <n v="30.74"/>
    <n v="30.74"/>
    <s v="BONUS_CARD"/>
    <n v="29"/>
    <n v="1"/>
    <n v="4"/>
    <n v="584.03"/>
    <n v="13130001169"/>
  </r>
  <r>
    <x v="30"/>
    <d v="1899-12-30T12:39:45"/>
    <n v="2170"/>
    <n v="13002561"/>
    <n v="13"/>
    <n v="22589"/>
    <s v="Retail Sale"/>
    <n v="18"/>
    <n v="98548"/>
    <x v="86"/>
    <s v="Pharmcomplect"/>
    <s v="Novartis"/>
    <n v="3"/>
    <n v="131.58000000000001"/>
    <n v="209.08"/>
    <n v="10.45"/>
    <n v="10.45"/>
    <s v="BONUS_CARD"/>
    <n v="29"/>
    <n v="1"/>
    <n v="4"/>
    <n v="198.63"/>
    <n v="13130001170"/>
  </r>
  <r>
    <x v="11"/>
    <d v="1899-12-30T22:16:19"/>
    <n v="2171"/>
    <n v="13002561"/>
    <n v="13"/>
    <n v="22589"/>
    <s v="Retail Sale"/>
    <n v="15"/>
    <n v="68867"/>
    <x v="2"/>
    <s v="Katren"/>
    <s v="TEVA"/>
    <n v="1"/>
    <n v="569.27"/>
    <n v="724.17"/>
    <n v="36.21"/>
    <n v="36.21"/>
    <s v="BONUS_CARD"/>
    <n v="29"/>
    <n v="1"/>
    <n v="3"/>
    <n v="687.96"/>
    <n v="13130001171"/>
  </r>
  <r>
    <x v="5"/>
    <d v="1899-12-30T16:08:22"/>
    <n v="2172"/>
    <n v="13002561"/>
    <n v="13"/>
    <n v="22589"/>
    <s v="Retail Sale"/>
    <n v="15"/>
    <n v="26398"/>
    <x v="35"/>
    <s v="Grand Capital"/>
    <s v="Pfizer"/>
    <n v="3"/>
    <n v="193.02"/>
    <n v="290.3"/>
    <n v="0"/>
    <n v="0"/>
    <m/>
    <n v="29"/>
    <n v="1"/>
    <n v="2"/>
    <n v="290.3"/>
    <n v="13130001172"/>
  </r>
  <r>
    <x v="18"/>
    <d v="1899-12-30T22:41:38"/>
    <n v="2173"/>
    <n v="13002561"/>
    <n v="13"/>
    <n v="22589"/>
    <s v="Retail Sale"/>
    <n v="18"/>
    <n v="12564"/>
    <x v="7"/>
    <s v="Pharmcomplect"/>
    <s v="Pfizer"/>
    <n v="2"/>
    <n v="266.66000000000003"/>
    <n v="399.5"/>
    <n v="19.98"/>
    <n v="19.98"/>
    <s v="BONUS_CARD"/>
    <n v="29"/>
    <n v="1"/>
    <n v="5"/>
    <n v="379.52"/>
    <n v="13130001173"/>
  </r>
  <r>
    <x v="22"/>
    <d v="1899-12-30T18:53:40"/>
    <n v="2174"/>
    <n v="13002561"/>
    <n v="13"/>
    <n v="22589"/>
    <s v="Retail Sale"/>
    <n v="15"/>
    <n v="90206"/>
    <x v="69"/>
    <s v="Avesta"/>
    <s v="Dr. Reddy's"/>
    <n v="3"/>
    <n v="386.91"/>
    <n v="591.54999999999995"/>
    <n v="59.16"/>
    <n v="59.16"/>
    <s v="BONUS_CARD"/>
    <n v="29"/>
    <n v="1"/>
    <n v="5"/>
    <n v="532.39"/>
    <n v="13130001174"/>
  </r>
  <r>
    <x v="0"/>
    <d v="1899-12-30T15:06:30"/>
    <n v="2175"/>
    <n v="13002561"/>
    <n v="13"/>
    <n v="22589"/>
    <s v="Retail Sale"/>
    <n v="15"/>
    <n v="81456"/>
    <x v="7"/>
    <s v="Protek"/>
    <s v="Takeda"/>
    <n v="3"/>
    <n v="366"/>
    <n v="510.85"/>
    <n v="0"/>
    <n v="0"/>
    <m/>
    <n v="29"/>
    <n v="1"/>
    <n v="4"/>
    <n v="510.85"/>
    <n v="13130001175"/>
  </r>
  <r>
    <x v="19"/>
    <d v="1899-12-30T14:12:57"/>
    <n v="2176"/>
    <n v="13002561"/>
    <n v="13"/>
    <n v="22589"/>
    <s v="Retail Sale"/>
    <n v="15"/>
    <n v="67530"/>
    <x v="60"/>
    <s v="Katren"/>
    <s v="Novartis"/>
    <n v="1"/>
    <n v="338.89"/>
    <n v="546.54999999999995"/>
    <n v="54.66"/>
    <n v="54.66"/>
    <s v="BONUS_CARD"/>
    <n v="29"/>
    <n v="1"/>
    <n v="4"/>
    <n v="491.89"/>
    <n v="13130001176"/>
  </r>
  <r>
    <x v="26"/>
    <d v="1899-12-30T22:54:28"/>
    <n v="2177"/>
    <n v="13002561"/>
    <n v="13"/>
    <n v="22589"/>
    <s v="Retail Sale"/>
    <n v="15"/>
    <n v="56133"/>
    <x v="17"/>
    <s v="Grand Capital"/>
    <s v="Sanofi"/>
    <n v="1"/>
    <n v="363.12"/>
    <n v="518.63"/>
    <n v="0"/>
    <n v="0"/>
    <m/>
    <n v="29"/>
    <n v="1"/>
    <n v="2"/>
    <n v="518.63"/>
    <n v="13130001177"/>
  </r>
  <r>
    <x v="28"/>
    <d v="1899-12-30T19:56:55"/>
    <n v="2178"/>
    <n v="13002561"/>
    <n v="13"/>
    <n v="22589"/>
    <s v="Retail Sale"/>
    <n v="15"/>
    <n v="18385"/>
    <x v="15"/>
    <s v="Katren"/>
    <s v="Takeda"/>
    <n v="2"/>
    <n v="312.68"/>
    <n v="459.61"/>
    <n v="0"/>
    <n v="0"/>
    <m/>
    <n v="29"/>
    <n v="1"/>
    <n v="2"/>
    <n v="459.61"/>
    <n v="13130001178"/>
  </r>
  <r>
    <x v="30"/>
    <d v="1899-12-30T16:50:25"/>
    <n v="2179"/>
    <n v="13002561"/>
    <n v="13"/>
    <n v="22589"/>
    <s v="Retail Sale"/>
    <n v="15"/>
    <n v="50603"/>
    <x v="2"/>
    <s v="Protek"/>
    <s v="Bayer"/>
    <n v="2"/>
    <n v="341.69"/>
    <n v="562.21"/>
    <n v="28.11"/>
    <n v="28.11"/>
    <s v="BONUS_CARD"/>
    <n v="29"/>
    <n v="1"/>
    <n v="6"/>
    <n v="534.1"/>
    <n v="13130001179"/>
  </r>
  <r>
    <x v="28"/>
    <d v="1899-12-30T13:23:25"/>
    <n v="2180"/>
    <n v="13002561"/>
    <n v="13"/>
    <n v="22589"/>
    <s v="Retail Sale"/>
    <n v="15"/>
    <n v="13286"/>
    <x v="26"/>
    <s v="Pharmcomplect"/>
    <s v="Bayer"/>
    <n v="3"/>
    <n v="310.83999999999997"/>
    <n v="500.7"/>
    <n v="25.04"/>
    <n v="25.04"/>
    <s v="BONUS_CARD"/>
    <n v="29"/>
    <n v="1"/>
    <n v="6"/>
    <n v="475.66"/>
    <n v="13130001180"/>
  </r>
  <r>
    <x v="10"/>
    <d v="1899-12-30T21:26:48"/>
    <n v="2181"/>
    <n v="13002561"/>
    <n v="13"/>
    <n v="22589"/>
    <s v="Retail Sale"/>
    <n v="18"/>
    <n v="99044"/>
    <x v="53"/>
    <s v="Pulse"/>
    <s v="Pfizer"/>
    <n v="3"/>
    <n v="540.49"/>
    <n v="770.37"/>
    <n v="77.040000000000006"/>
    <n v="77.040000000000006"/>
    <s v="BONUS_CARD"/>
    <n v="29"/>
    <n v="1"/>
    <n v="2"/>
    <n v="693.33"/>
    <n v="13130001181"/>
  </r>
  <r>
    <x v="11"/>
    <d v="1899-12-30T17:51:00"/>
    <n v="2182"/>
    <n v="13002561"/>
    <n v="13"/>
    <n v="22589"/>
    <s v="Retail Sale"/>
    <n v="18"/>
    <n v="37484"/>
    <x v="32"/>
    <s v="Pulse"/>
    <s v="TEVA"/>
    <n v="1"/>
    <n v="546.98"/>
    <n v="890.75"/>
    <n v="44.54"/>
    <n v="44.54"/>
    <s v="BONUS_CARD"/>
    <n v="29"/>
    <n v="1"/>
    <n v="1"/>
    <n v="846.21"/>
    <n v="13130001182"/>
  </r>
  <r>
    <x v="25"/>
    <d v="1899-12-30T10:33:56"/>
    <n v="2183"/>
    <n v="13002561"/>
    <n v="13"/>
    <n v="22589"/>
    <s v="Retail Sale"/>
    <n v="18"/>
    <n v="37566"/>
    <x v="53"/>
    <s v="Pulse"/>
    <s v="TEVA"/>
    <n v="1"/>
    <n v="511.25"/>
    <n v="700.62"/>
    <n v="0"/>
    <n v="0"/>
    <m/>
    <n v="29"/>
    <n v="1"/>
    <n v="6"/>
    <n v="700.62"/>
    <n v="13130001183"/>
  </r>
  <r>
    <x v="21"/>
    <d v="1899-12-30T14:32:36"/>
    <n v="2184"/>
    <n v="13002561"/>
    <n v="13"/>
    <n v="22589"/>
    <s v="Retail Sale"/>
    <n v="15"/>
    <n v="35575"/>
    <x v="33"/>
    <s v="Pulse"/>
    <s v="Takeda"/>
    <n v="2"/>
    <n v="321.27999999999997"/>
    <n v="444.8"/>
    <n v="22.24"/>
    <n v="22.24"/>
    <s v="BONUS_CARD"/>
    <n v="29"/>
    <n v="1"/>
    <n v="1"/>
    <n v="422.56"/>
    <n v="13130001184"/>
  </r>
  <r>
    <x v="12"/>
    <d v="1899-12-30T19:00:53"/>
    <n v="2185"/>
    <n v="13002561"/>
    <n v="13"/>
    <n v="22589"/>
    <s v="Retail Sale"/>
    <n v="18"/>
    <n v="92253"/>
    <x v="62"/>
    <s v="Avesta"/>
    <s v="TEVA"/>
    <n v="3"/>
    <n v="494.16"/>
    <n v="822.9"/>
    <n v="82.29"/>
    <n v="82.29"/>
    <s v="BONUS_CARD"/>
    <n v="29"/>
    <n v="1"/>
    <n v="1"/>
    <n v="740.61"/>
    <n v="13130001185"/>
  </r>
  <r>
    <x v="14"/>
    <d v="1899-12-30T09:10:30"/>
    <n v="2186"/>
    <n v="13002561"/>
    <n v="13"/>
    <n v="22589"/>
    <s v="Retail Sale"/>
    <n v="15"/>
    <n v="31919"/>
    <x v="56"/>
    <s v="Protek"/>
    <s v="Dr. Reddy's"/>
    <n v="3"/>
    <n v="99.89"/>
    <n v="163"/>
    <n v="8.15"/>
    <n v="8.15"/>
    <s v="BONUS_CARD"/>
    <n v="29"/>
    <n v="1"/>
    <n v="4"/>
    <n v="154.85"/>
    <n v="13130001186"/>
  </r>
  <r>
    <x v="26"/>
    <d v="1899-12-30T22:52:36"/>
    <n v="2187"/>
    <n v="13002561"/>
    <n v="13"/>
    <n v="22589"/>
    <s v="Retail Sale"/>
    <n v="18"/>
    <n v="19010"/>
    <x v="32"/>
    <s v="Protek"/>
    <s v="Sanofi"/>
    <n v="2"/>
    <n v="402.23"/>
    <n v="516.69000000000005"/>
    <n v="25.83"/>
    <n v="25.83"/>
    <s v="BONUS_CARD"/>
    <n v="29"/>
    <n v="1"/>
    <n v="4"/>
    <n v="490.86"/>
    <n v="13130001187"/>
  </r>
  <r>
    <x v="10"/>
    <d v="1899-12-30T19:42:59"/>
    <n v="2188"/>
    <n v="13002561"/>
    <n v="13"/>
    <n v="22589"/>
    <s v="Retail Sale"/>
    <n v="18"/>
    <n v="10902"/>
    <x v="6"/>
    <s v="Pharmcomplect"/>
    <s v="Bayer"/>
    <n v="2"/>
    <n v="53.53"/>
    <n v="88.48"/>
    <n v="8.85"/>
    <n v="8.85"/>
    <s v="BONUS_CARD"/>
    <n v="29"/>
    <n v="1"/>
    <n v="2"/>
    <n v="79.63"/>
    <n v="13130001188"/>
  </r>
  <r>
    <x v="26"/>
    <d v="1899-12-30T22:53:36"/>
    <n v="2189"/>
    <n v="13002561"/>
    <n v="13"/>
    <n v="22589"/>
    <s v="Retail Sale"/>
    <n v="18"/>
    <n v="33773"/>
    <x v="26"/>
    <s v="Pulse"/>
    <s v="Dr. Reddy's"/>
    <n v="3"/>
    <n v="585.88"/>
    <n v="991.98"/>
    <n v="0"/>
    <n v="0"/>
    <m/>
    <n v="29"/>
    <n v="1"/>
    <n v="5"/>
    <n v="991.98"/>
    <n v="13130001189"/>
  </r>
  <r>
    <x v="3"/>
    <d v="1899-12-30T20:59:08"/>
    <n v="2190"/>
    <n v="13002561"/>
    <n v="13"/>
    <n v="22589"/>
    <s v="Retail Sale"/>
    <n v="15"/>
    <n v="69843"/>
    <x v="27"/>
    <s v="Protek"/>
    <s v="Takeda"/>
    <n v="3"/>
    <n v="130.56"/>
    <n v="185.41"/>
    <n v="0"/>
    <n v="0"/>
    <m/>
    <n v="29"/>
    <n v="1"/>
    <n v="1"/>
    <n v="185.41"/>
    <n v="13130001190"/>
  </r>
  <r>
    <x v="16"/>
    <d v="1899-12-30T09:28:12"/>
    <n v="2191"/>
    <n v="13002561"/>
    <n v="13"/>
    <n v="22589"/>
    <s v="Retail Sale"/>
    <n v="15"/>
    <n v="91094"/>
    <x v="59"/>
    <s v="Katren"/>
    <s v="Sanofi"/>
    <n v="1"/>
    <n v="16.12"/>
    <n v="23.79"/>
    <n v="2.38"/>
    <n v="2.38"/>
    <s v="BONUS_CARD"/>
    <n v="29"/>
    <n v="1"/>
    <n v="5"/>
    <n v="21.41"/>
    <n v="13130001191"/>
  </r>
  <r>
    <x v="28"/>
    <d v="1899-12-30T09:11:44"/>
    <n v="2192"/>
    <n v="13002561"/>
    <n v="13"/>
    <n v="22589"/>
    <s v="Retail Sale"/>
    <n v="15"/>
    <n v="93657"/>
    <x v="16"/>
    <s v="Grand Capital"/>
    <s v="Bayer"/>
    <n v="2"/>
    <n v="455.34"/>
    <n v="698.99"/>
    <n v="34.950000000000003"/>
    <n v="34.950000000000003"/>
    <s v="BONUS_CARD"/>
    <n v="29"/>
    <n v="1"/>
    <n v="6"/>
    <n v="664.04"/>
    <n v="13130001192"/>
  </r>
  <r>
    <x v="7"/>
    <d v="1899-12-30T08:22:12"/>
    <n v="2193"/>
    <n v="13002561"/>
    <n v="13"/>
    <n v="22589"/>
    <s v="Retail Sale"/>
    <n v="18"/>
    <n v="66134"/>
    <x v="85"/>
    <s v="Pharmcomplect"/>
    <s v="Novartis"/>
    <n v="1"/>
    <n v="262.08999999999997"/>
    <n v="440.28"/>
    <n v="44.03"/>
    <n v="44.03"/>
    <s v="BONUS_CARD"/>
    <n v="29"/>
    <n v="1"/>
    <n v="2"/>
    <n v="396.25"/>
    <n v="13130001193"/>
  </r>
  <r>
    <x v="29"/>
    <d v="1899-12-30T08:43:14"/>
    <n v="2194"/>
    <n v="13002561"/>
    <n v="13"/>
    <n v="22589"/>
    <s v="Retail Sale"/>
    <n v="15"/>
    <n v="79972"/>
    <x v="24"/>
    <s v="Avesta"/>
    <s v="Novartis"/>
    <n v="3"/>
    <n v="152.30000000000001"/>
    <n v="247.36"/>
    <n v="24.74"/>
    <n v="24.74"/>
    <s v="BONUS_CARD"/>
    <n v="29"/>
    <n v="1"/>
    <n v="5"/>
    <n v="222.62"/>
    <n v="13130001194"/>
  </r>
  <r>
    <x v="15"/>
    <d v="1899-12-30T19:41:22"/>
    <n v="2195"/>
    <n v="13002561"/>
    <n v="13"/>
    <n v="22589"/>
    <s v="Retail Sale"/>
    <n v="15"/>
    <n v="44994"/>
    <x v="25"/>
    <s v="Grand Capital"/>
    <s v="Dr. Reddy's"/>
    <n v="3"/>
    <n v="470.42"/>
    <n v="588.4"/>
    <n v="29.42"/>
    <n v="29.42"/>
    <s v="BONUS_CARD"/>
    <n v="29"/>
    <n v="1"/>
    <n v="5"/>
    <n v="558.98"/>
    <n v="13130001195"/>
  </r>
  <r>
    <x v="7"/>
    <d v="1899-12-30T12:23:03"/>
    <n v="2196"/>
    <n v="13002561"/>
    <n v="13"/>
    <n v="22589"/>
    <s v="Retail Sale"/>
    <n v="15"/>
    <n v="24175"/>
    <x v="19"/>
    <s v="Pharmcomplect"/>
    <s v="KRKA"/>
    <n v="2"/>
    <n v="42.22"/>
    <n v="55.4"/>
    <n v="5.54"/>
    <n v="5.54"/>
    <s v="BONUS_CARD"/>
    <n v="29"/>
    <n v="1"/>
    <n v="5"/>
    <n v="49.86"/>
    <n v="13130001196"/>
  </r>
  <r>
    <x v="5"/>
    <d v="1899-12-30T16:43:36"/>
    <n v="2197"/>
    <n v="13002561"/>
    <n v="13"/>
    <n v="22589"/>
    <s v="Retail Sale"/>
    <n v="15"/>
    <n v="73297"/>
    <x v="14"/>
    <s v="Pulse"/>
    <s v="Pfizer"/>
    <n v="2"/>
    <n v="464.53"/>
    <n v="788.73"/>
    <n v="39.44"/>
    <n v="39.44"/>
    <s v="BONUS_CARD"/>
    <n v="29"/>
    <n v="1"/>
    <n v="5"/>
    <n v="749.29"/>
    <n v="13130001197"/>
  </r>
  <r>
    <x v="28"/>
    <d v="1899-12-30T16:35:28"/>
    <n v="2198"/>
    <n v="13002561"/>
    <n v="13"/>
    <n v="22589"/>
    <s v="Retail Sale"/>
    <n v="18"/>
    <n v="17939"/>
    <x v="44"/>
    <s v="Pulse"/>
    <s v="Bayer"/>
    <n v="1"/>
    <n v="188.91"/>
    <n v="265.95999999999998"/>
    <n v="0"/>
    <n v="0"/>
    <m/>
    <n v="29"/>
    <n v="1"/>
    <n v="4"/>
    <n v="265.95999999999998"/>
    <n v="13130001198"/>
  </r>
  <r>
    <x v="17"/>
    <d v="1899-12-30T14:33:23"/>
    <n v="2199"/>
    <n v="13002561"/>
    <n v="13"/>
    <n v="22589"/>
    <s v="Retail Sale"/>
    <n v="15"/>
    <n v="53068"/>
    <x v="31"/>
    <s v="Avesta"/>
    <s v="Takeda"/>
    <n v="1"/>
    <n v="56.99"/>
    <n v="85.51"/>
    <n v="8.5500000000000007"/>
    <n v="8.5500000000000007"/>
    <s v="BONUS_CARD"/>
    <n v="29"/>
    <n v="1"/>
    <n v="1"/>
    <n v="76.959999999999994"/>
    <n v="13130001199"/>
  </r>
  <r>
    <x v="24"/>
    <d v="1899-12-30T08:42:25"/>
    <n v="2200"/>
    <n v="13002561"/>
    <n v="13"/>
    <n v="22589"/>
    <s v="Retail Sale"/>
    <n v="15"/>
    <n v="30820"/>
    <x v="13"/>
    <s v="Avesta"/>
    <s v="Sanofi"/>
    <n v="1"/>
    <n v="6.19"/>
    <n v="8.92"/>
    <n v="0.89"/>
    <n v="0.89"/>
    <s v="BONUS_CARD"/>
    <n v="29"/>
    <n v="1"/>
    <n v="4"/>
    <n v="8.0299999999999994"/>
    <n v="13130001200"/>
  </r>
  <r>
    <x v="2"/>
    <d v="1899-12-30T21:17:50"/>
    <n v="2201"/>
    <n v="13002561"/>
    <n v="13"/>
    <n v="22589"/>
    <s v="Retail Sale"/>
    <n v="15"/>
    <n v="41392"/>
    <x v="33"/>
    <s v="Grand Capital"/>
    <s v="Bayer"/>
    <n v="3"/>
    <n v="254.63"/>
    <n v="427.11"/>
    <n v="21.36"/>
    <n v="21.36"/>
    <s v="BONUS_CARD"/>
    <n v="29"/>
    <n v="1"/>
    <n v="4"/>
    <n v="405.75"/>
    <n v="13130001201"/>
  </r>
  <r>
    <x v="7"/>
    <d v="1899-12-30T13:36:54"/>
    <n v="2202"/>
    <n v="13002561"/>
    <n v="13"/>
    <n v="22589"/>
    <s v="Retail Sale"/>
    <n v="18"/>
    <n v="66416"/>
    <x v="25"/>
    <s v="Protek"/>
    <s v="Sanofi"/>
    <n v="1"/>
    <n v="170.86"/>
    <n v="244.01"/>
    <n v="24.4"/>
    <n v="24.4"/>
    <s v="BONUS_CARD"/>
    <n v="29"/>
    <n v="1"/>
    <n v="4"/>
    <n v="219.61"/>
    <n v="13130001202"/>
  </r>
  <r>
    <x v="26"/>
    <d v="1899-12-30T08:14:38"/>
    <n v="2203"/>
    <n v="13002561"/>
    <n v="13"/>
    <n v="22589"/>
    <s v="Retail Sale"/>
    <n v="15"/>
    <n v="90499"/>
    <x v="28"/>
    <s v="Katren"/>
    <s v="Pfizer"/>
    <n v="3"/>
    <n v="187.1"/>
    <n v="294.85000000000002"/>
    <n v="14.74"/>
    <n v="14.74"/>
    <s v="BONUS_CARD"/>
    <n v="29"/>
    <n v="1"/>
    <n v="4"/>
    <n v="280.11"/>
    <n v="13130001203"/>
  </r>
  <r>
    <x v="29"/>
    <d v="1899-12-30T21:56:29"/>
    <n v="2204"/>
    <n v="13002561"/>
    <n v="13"/>
    <n v="22589"/>
    <s v="Retail Sale"/>
    <n v="18"/>
    <n v="96804"/>
    <x v="60"/>
    <s v="Avesta"/>
    <s v="Pfizer"/>
    <n v="2"/>
    <n v="463.02"/>
    <n v="667.38"/>
    <n v="66.739999999999995"/>
    <n v="66.739999999999995"/>
    <s v="BONUS_CARD"/>
    <n v="29"/>
    <n v="1"/>
    <n v="2"/>
    <n v="600.64"/>
    <n v="13130001204"/>
  </r>
  <r>
    <x v="29"/>
    <d v="1899-12-30T19:39:09"/>
    <n v="2205"/>
    <n v="13002561"/>
    <n v="13"/>
    <n v="22589"/>
    <s v="Retail Sale"/>
    <n v="15"/>
    <n v="16577"/>
    <x v="51"/>
    <s v="Katren"/>
    <s v="Novartis"/>
    <n v="2"/>
    <n v="347.02"/>
    <n v="459.61"/>
    <n v="45.96"/>
    <n v="45.96"/>
    <s v="BONUS_CARD"/>
    <n v="29"/>
    <n v="1"/>
    <n v="6"/>
    <n v="413.65"/>
    <n v="13130001205"/>
  </r>
  <r>
    <x v="8"/>
    <d v="1899-12-30T22:51:59"/>
    <n v="2206"/>
    <n v="13002561"/>
    <n v="13"/>
    <n v="22589"/>
    <s v="Retail Sale"/>
    <n v="18"/>
    <n v="73756"/>
    <x v="52"/>
    <s v="Avesta"/>
    <s v="Dr. Reddy's"/>
    <n v="3"/>
    <n v="328.45"/>
    <n v="556.42999999999995"/>
    <n v="55.64"/>
    <n v="55.64"/>
    <s v="BONUS_CARD"/>
    <n v="29"/>
    <n v="1"/>
    <n v="6"/>
    <n v="500.79"/>
    <n v="13130001206"/>
  </r>
  <r>
    <x v="8"/>
    <d v="1899-12-30T17:23:59"/>
    <n v="2207"/>
    <n v="13002561"/>
    <n v="13"/>
    <n v="22589"/>
    <s v="Retail Sale"/>
    <n v="15"/>
    <n v="31374"/>
    <x v="37"/>
    <s v="Pharmcomplect"/>
    <s v="Bayer"/>
    <n v="2"/>
    <n v="73.92"/>
    <n v="94.22"/>
    <n v="0"/>
    <n v="0"/>
    <m/>
    <n v="29"/>
    <n v="1"/>
    <n v="5"/>
    <n v="94.22"/>
    <n v="13130001207"/>
  </r>
  <r>
    <x v="18"/>
    <d v="1899-12-30T10:17:18"/>
    <n v="2208"/>
    <n v="13002561"/>
    <n v="13"/>
    <n v="22589"/>
    <s v="Retail Sale"/>
    <n v="18"/>
    <n v="38525"/>
    <x v="75"/>
    <s v="Grand Capital"/>
    <s v="Pfizer"/>
    <n v="3"/>
    <n v="278.86"/>
    <n v="473.68"/>
    <n v="0"/>
    <n v="0"/>
    <m/>
    <n v="29"/>
    <n v="1"/>
    <n v="2"/>
    <n v="473.68"/>
    <n v="13130001208"/>
  </r>
  <r>
    <x v="23"/>
    <d v="1899-12-30T09:43:47"/>
    <n v="2209"/>
    <n v="13002561"/>
    <n v="13"/>
    <n v="22589"/>
    <s v="Retail Sale"/>
    <n v="15"/>
    <n v="78141"/>
    <x v="17"/>
    <s v="Avesta"/>
    <s v="Sanofi"/>
    <n v="2"/>
    <n v="578.64"/>
    <n v="744.64"/>
    <n v="0"/>
    <n v="0"/>
    <m/>
    <n v="29"/>
    <n v="1"/>
    <n v="2"/>
    <n v="744.64"/>
    <n v="13130001209"/>
  </r>
  <r>
    <x v="27"/>
    <d v="1899-12-30T18:50:15"/>
    <n v="2210"/>
    <n v="13002561"/>
    <n v="13"/>
    <n v="22589"/>
    <s v="Retail Sale"/>
    <n v="18"/>
    <n v="71332"/>
    <x v="35"/>
    <s v="Protek"/>
    <s v="Sanofi"/>
    <n v="3"/>
    <n v="414.3"/>
    <n v="553"/>
    <n v="0"/>
    <n v="0"/>
    <m/>
    <n v="29"/>
    <n v="1"/>
    <n v="1"/>
    <n v="553"/>
    <n v="13130001210"/>
  </r>
  <r>
    <x v="30"/>
    <d v="1899-12-30T16:51:55"/>
    <n v="2211"/>
    <n v="13002561"/>
    <n v="13"/>
    <n v="22589"/>
    <s v="Retail Sale"/>
    <n v="18"/>
    <n v="58442"/>
    <x v="86"/>
    <s v="Pulse"/>
    <s v="Bayer"/>
    <n v="1"/>
    <n v="503.82"/>
    <n v="754.79"/>
    <n v="75.48"/>
    <n v="75.48"/>
    <s v="BONUS_CARD"/>
    <n v="29"/>
    <n v="1"/>
    <n v="2"/>
    <n v="679.31"/>
    <n v="13130001211"/>
  </r>
  <r>
    <x v="7"/>
    <d v="1899-12-30T15:22:19"/>
    <n v="2212"/>
    <n v="13002561"/>
    <n v="13"/>
    <n v="22589"/>
    <s v="Retail Sale"/>
    <n v="18"/>
    <n v="58698"/>
    <x v="47"/>
    <s v="Grand Capital"/>
    <s v="TEVA"/>
    <n v="1"/>
    <n v="258.95999999999998"/>
    <n v="327.62"/>
    <n v="0"/>
    <n v="0"/>
    <m/>
    <n v="29"/>
    <n v="1"/>
    <n v="5"/>
    <n v="327.62"/>
    <n v="13130001212"/>
  </r>
  <r>
    <x v="20"/>
    <d v="1899-12-30T09:13:39"/>
    <n v="2213"/>
    <n v="13002561"/>
    <n v="13"/>
    <n v="22589"/>
    <s v="Retail Sale"/>
    <n v="15"/>
    <n v="45740"/>
    <x v="63"/>
    <s v="Grand Capital"/>
    <s v="KRKA"/>
    <n v="1"/>
    <n v="150.38"/>
    <n v="212.26"/>
    <n v="0"/>
    <n v="0"/>
    <m/>
    <n v="29"/>
    <n v="1"/>
    <n v="5"/>
    <n v="212.26"/>
    <n v="13130001213"/>
  </r>
  <r>
    <x v="5"/>
    <d v="1899-12-30T19:00:52"/>
    <n v="2214"/>
    <n v="13002561"/>
    <n v="13"/>
    <n v="22589"/>
    <s v="Retail Sale"/>
    <n v="18"/>
    <n v="41794"/>
    <x v="30"/>
    <s v="Avesta"/>
    <s v="TEVA"/>
    <n v="3"/>
    <n v="407.82"/>
    <n v="633.86"/>
    <n v="31.69"/>
    <n v="31.69"/>
    <s v="BONUS_CARD"/>
    <n v="29"/>
    <n v="1"/>
    <n v="3"/>
    <n v="602.16999999999996"/>
    <n v="13130001214"/>
  </r>
  <r>
    <x v="28"/>
    <d v="1899-12-30T21:20:23"/>
    <n v="2215"/>
    <n v="13002561"/>
    <n v="13"/>
    <n v="22589"/>
    <s v="Retail Sale"/>
    <n v="15"/>
    <n v="94680"/>
    <x v="12"/>
    <s v="Grand Capital"/>
    <s v="Novartis"/>
    <n v="3"/>
    <n v="61.36"/>
    <n v="104.11"/>
    <n v="5.21"/>
    <n v="5.21"/>
    <s v="BONUS_CARD"/>
    <n v="29"/>
    <n v="1"/>
    <n v="2"/>
    <n v="98.9"/>
    <n v="13130001215"/>
  </r>
  <r>
    <x v="13"/>
    <d v="1899-12-30T11:42:01"/>
    <n v="2216"/>
    <n v="13002561"/>
    <n v="13"/>
    <n v="22589"/>
    <s v="Retail Sale"/>
    <n v="15"/>
    <n v="22569"/>
    <x v="1"/>
    <s v="Grand Capital"/>
    <s v="Bayer"/>
    <n v="1"/>
    <n v="67.599999999999994"/>
    <n v="91.81"/>
    <n v="0"/>
    <n v="0"/>
    <m/>
    <n v="29"/>
    <n v="1"/>
    <n v="1"/>
    <n v="91.81"/>
    <n v="13130001216"/>
  </r>
  <r>
    <x v="6"/>
    <d v="1899-12-30T15:42:40"/>
    <n v="2217"/>
    <n v="13002561"/>
    <n v="13"/>
    <n v="22589"/>
    <s v="Retail Sale"/>
    <n v="18"/>
    <n v="69476"/>
    <x v="34"/>
    <s v="Pulse"/>
    <s v="KRKA"/>
    <n v="2"/>
    <n v="360.46"/>
    <n v="550.61"/>
    <n v="27.53"/>
    <n v="27.53"/>
    <s v="BONUS_CARD"/>
    <n v="29"/>
    <n v="1"/>
    <n v="2"/>
    <n v="523.08000000000004"/>
    <n v="13130001217"/>
  </r>
  <r>
    <x v="30"/>
    <d v="1899-12-30T09:56:39"/>
    <n v="2218"/>
    <n v="13002561"/>
    <n v="13"/>
    <n v="22589"/>
    <s v="Retail Sale"/>
    <n v="18"/>
    <n v="34985"/>
    <x v="80"/>
    <s v="Avesta"/>
    <s v="KRKA"/>
    <n v="2"/>
    <n v="543.51"/>
    <n v="779.56"/>
    <n v="38.979999999999997"/>
    <n v="38.979999999999997"/>
    <s v="BONUS_CARD"/>
    <n v="29"/>
    <n v="1"/>
    <n v="5"/>
    <n v="740.58"/>
    <n v="13130001218"/>
  </r>
  <r>
    <x v="1"/>
    <d v="1899-12-30T15:58:57"/>
    <n v="2219"/>
    <n v="13002561"/>
    <n v="13"/>
    <n v="22589"/>
    <s v="Retail Sale"/>
    <n v="18"/>
    <n v="10156"/>
    <x v="6"/>
    <s v="Avesta"/>
    <s v="KRKA"/>
    <n v="2"/>
    <n v="355.99"/>
    <n v="551.89"/>
    <n v="55.19"/>
    <n v="55.19"/>
    <s v="BONUS_CARD"/>
    <n v="29"/>
    <n v="1"/>
    <n v="1"/>
    <n v="496.7"/>
    <n v="13130001219"/>
  </r>
  <r>
    <x v="6"/>
    <d v="1899-12-30T08:49:53"/>
    <n v="2220"/>
    <n v="13002561"/>
    <n v="13"/>
    <n v="22589"/>
    <s v="Retail Sale"/>
    <n v="15"/>
    <n v="18396"/>
    <x v="5"/>
    <s v="Grand Capital"/>
    <s v="Takeda"/>
    <n v="3"/>
    <n v="446.62"/>
    <n v="641.73"/>
    <n v="0"/>
    <n v="0"/>
    <m/>
    <n v="29"/>
    <n v="1"/>
    <n v="6"/>
    <n v="641.73"/>
    <n v="13130001220"/>
  </r>
  <r>
    <x v="0"/>
    <d v="1899-12-30T09:48:34"/>
    <n v="2221"/>
    <n v="13002561"/>
    <n v="13"/>
    <n v="22589"/>
    <s v="Retail Sale"/>
    <n v="15"/>
    <n v="16741"/>
    <x v="39"/>
    <s v="Katren"/>
    <s v="Bayer"/>
    <n v="3"/>
    <n v="69.040000000000006"/>
    <n v="86.97"/>
    <n v="0"/>
    <n v="0"/>
    <m/>
    <n v="29"/>
    <n v="1"/>
    <n v="6"/>
    <n v="86.97"/>
    <n v="13130001221"/>
  </r>
  <r>
    <x v="25"/>
    <d v="1899-12-30T13:00:34"/>
    <n v="2222"/>
    <n v="13002561"/>
    <n v="13"/>
    <n v="22589"/>
    <s v="Retail Sale"/>
    <n v="15"/>
    <n v="11917"/>
    <x v="75"/>
    <s v="Pharmcomplect"/>
    <s v="TEVA"/>
    <n v="3"/>
    <n v="161.72999999999999"/>
    <n v="251.01"/>
    <n v="12.55"/>
    <n v="12.55"/>
    <s v="BONUS_CARD"/>
    <n v="29"/>
    <n v="1"/>
    <n v="2"/>
    <n v="238.46"/>
    <n v="13130001222"/>
  </r>
  <r>
    <x v="10"/>
    <d v="1899-12-30T21:11:43"/>
    <n v="2223"/>
    <n v="13002561"/>
    <n v="13"/>
    <n v="22589"/>
    <s v="Retail Sale"/>
    <n v="15"/>
    <n v="94939"/>
    <x v="27"/>
    <s v="Avesta"/>
    <s v="Bayer"/>
    <n v="3"/>
    <n v="401.07"/>
    <n v="661.27"/>
    <n v="66.13"/>
    <n v="66.13"/>
    <s v="BONUS_CARD"/>
    <n v="29"/>
    <n v="1"/>
    <n v="2"/>
    <n v="595.14"/>
    <n v="13130001223"/>
  </r>
  <r>
    <x v="25"/>
    <d v="1899-12-30T08:28:47"/>
    <n v="2224"/>
    <n v="13002561"/>
    <n v="13"/>
    <n v="22589"/>
    <s v="Retail Sale"/>
    <n v="18"/>
    <n v="90498"/>
    <x v="17"/>
    <s v="Grand Capital"/>
    <s v="Pfizer"/>
    <n v="1"/>
    <n v="97.89"/>
    <n v="161.01"/>
    <n v="16.100000000000001"/>
    <n v="16.100000000000001"/>
    <s v="BONUS_CARD"/>
    <n v="29"/>
    <n v="1"/>
    <n v="2"/>
    <n v="144.91"/>
    <n v="13130001224"/>
  </r>
  <r>
    <x v="21"/>
    <d v="1899-12-30T14:12:27"/>
    <n v="2225"/>
    <n v="13002561"/>
    <n v="13"/>
    <n v="22589"/>
    <s v="Retail Sale"/>
    <n v="18"/>
    <n v="98380"/>
    <x v="61"/>
    <s v="Pulse"/>
    <s v="TEVA"/>
    <n v="2"/>
    <n v="580.1"/>
    <n v="756.85"/>
    <n v="37.840000000000003"/>
    <n v="37.840000000000003"/>
    <s v="BONUS_CARD"/>
    <n v="29"/>
    <n v="1"/>
    <n v="5"/>
    <n v="719.01"/>
    <n v="13130001225"/>
  </r>
  <r>
    <x v="2"/>
    <d v="1899-12-30T14:13:12"/>
    <n v="2226"/>
    <n v="13002561"/>
    <n v="13"/>
    <n v="22589"/>
    <s v="Retail Sale"/>
    <n v="15"/>
    <n v="42400"/>
    <x v="59"/>
    <s v="Avesta"/>
    <s v="Pfizer"/>
    <n v="3"/>
    <n v="74.69"/>
    <n v="110.33"/>
    <n v="5.52"/>
    <n v="5.52"/>
    <s v="BONUS_CARD"/>
    <n v="29"/>
    <n v="1"/>
    <n v="6"/>
    <n v="104.81"/>
    <n v="13130001226"/>
  </r>
  <r>
    <x v="15"/>
    <d v="1899-12-30T22:35:57"/>
    <n v="2227"/>
    <n v="13002561"/>
    <n v="13"/>
    <n v="22589"/>
    <s v="Retail Sale"/>
    <n v="15"/>
    <n v="64140"/>
    <x v="85"/>
    <s v="Avesta"/>
    <s v="TEVA"/>
    <n v="1"/>
    <n v="486.53"/>
    <n v="683.79"/>
    <n v="34.19"/>
    <n v="34.19"/>
    <s v="BONUS_CARD"/>
    <n v="29"/>
    <n v="1"/>
    <n v="1"/>
    <n v="649.6"/>
    <n v="13130001227"/>
  </r>
  <r>
    <x v="7"/>
    <d v="1899-12-30T11:08:43"/>
    <n v="2228"/>
    <n v="13002561"/>
    <n v="13"/>
    <n v="22589"/>
    <s v="Retail Sale"/>
    <n v="15"/>
    <n v="42255"/>
    <x v="56"/>
    <s v="Pulse"/>
    <s v="Bayer"/>
    <n v="2"/>
    <n v="139.35"/>
    <n v="188.81"/>
    <n v="0"/>
    <n v="0"/>
    <m/>
    <n v="29"/>
    <n v="1"/>
    <n v="6"/>
    <n v="188.81"/>
    <n v="13130001228"/>
  </r>
  <r>
    <x v="26"/>
    <d v="1899-12-30T18:13:19"/>
    <n v="2229"/>
    <n v="13002561"/>
    <n v="13"/>
    <n v="22589"/>
    <s v="Retail Sale"/>
    <n v="18"/>
    <n v="44710"/>
    <x v="47"/>
    <s v="Katren"/>
    <s v="Novartis"/>
    <n v="1"/>
    <n v="132.41999999999999"/>
    <n v="204.27"/>
    <n v="10.210000000000001"/>
    <n v="10.210000000000001"/>
    <s v="BONUS_CARD"/>
    <n v="29"/>
    <n v="1"/>
    <n v="3"/>
    <n v="194.06"/>
    <n v="13130001229"/>
  </r>
  <r>
    <x v="25"/>
    <d v="1899-12-30T18:22:29"/>
    <n v="2230"/>
    <n v="13002561"/>
    <n v="13"/>
    <n v="22589"/>
    <s v="Retail Sale"/>
    <n v="18"/>
    <n v="68784"/>
    <x v="79"/>
    <s v="Protek"/>
    <s v="Sanofi"/>
    <n v="3"/>
    <n v="420.21"/>
    <n v="585.64"/>
    <n v="58.56"/>
    <n v="58.56"/>
    <s v="BONUS_CARD"/>
    <n v="29"/>
    <n v="1"/>
    <n v="6"/>
    <n v="527.08000000000004"/>
    <n v="13130001230"/>
  </r>
  <r>
    <x v="20"/>
    <d v="1899-12-30T16:41:24"/>
    <n v="2231"/>
    <n v="13002561"/>
    <n v="13"/>
    <n v="22589"/>
    <s v="Retail Sale"/>
    <n v="18"/>
    <n v="60580"/>
    <x v="83"/>
    <s v="Protek"/>
    <s v="KRKA"/>
    <n v="1"/>
    <n v="338.53"/>
    <n v="549.74"/>
    <n v="27.49"/>
    <n v="27.49"/>
    <s v="BONUS_CARD"/>
    <n v="29"/>
    <n v="1"/>
    <n v="5"/>
    <n v="522.25"/>
    <n v="13130001231"/>
  </r>
  <r>
    <x v="13"/>
    <d v="1899-12-30T11:38:38"/>
    <n v="2232"/>
    <n v="13002561"/>
    <n v="13"/>
    <n v="22589"/>
    <s v="Retail Sale"/>
    <n v="15"/>
    <n v="31478"/>
    <x v="87"/>
    <s v="Protek"/>
    <s v="Sanofi"/>
    <n v="1"/>
    <n v="253.23"/>
    <n v="399.85"/>
    <n v="39.99"/>
    <n v="39.99"/>
    <s v="BONUS_CARD"/>
    <n v="29"/>
    <n v="1"/>
    <n v="2"/>
    <n v="359.86"/>
    <n v="13130001232"/>
  </r>
  <r>
    <x v="22"/>
    <d v="1899-12-30T15:41:52"/>
    <n v="2233"/>
    <n v="13002561"/>
    <n v="13"/>
    <n v="22589"/>
    <s v="Retail Sale"/>
    <n v="15"/>
    <n v="56186"/>
    <x v="20"/>
    <s v="Pharmcomplect"/>
    <s v="KRKA"/>
    <n v="3"/>
    <n v="434.87"/>
    <n v="658"/>
    <n v="0"/>
    <n v="0"/>
    <m/>
    <n v="29"/>
    <n v="1"/>
    <n v="6"/>
    <n v="658"/>
    <n v="13130001233"/>
  </r>
  <r>
    <x v="30"/>
    <d v="1899-12-30T17:26:22"/>
    <n v="2234"/>
    <n v="13002561"/>
    <n v="13"/>
    <n v="22589"/>
    <s v="Retail Sale"/>
    <n v="15"/>
    <n v="87674"/>
    <x v="58"/>
    <s v="Pulse"/>
    <s v="Dr. Reddy's"/>
    <n v="1"/>
    <n v="214.72"/>
    <n v="270.35000000000002"/>
    <n v="27.04"/>
    <n v="27.04"/>
    <s v="BONUS_CARD"/>
    <n v="29"/>
    <n v="1"/>
    <n v="6"/>
    <n v="243.31"/>
    <n v="13130001234"/>
  </r>
  <r>
    <x v="5"/>
    <d v="1899-12-30T20:22:15"/>
    <n v="2235"/>
    <n v="13002561"/>
    <n v="13"/>
    <n v="22589"/>
    <s v="Retail Sale"/>
    <n v="18"/>
    <n v="61566"/>
    <x v="6"/>
    <s v="Katren"/>
    <s v="KRKA"/>
    <n v="1"/>
    <n v="191.66"/>
    <n v="248.45"/>
    <n v="24.84"/>
    <n v="24.84"/>
    <s v="BONUS_CARD"/>
    <n v="29"/>
    <n v="1"/>
    <n v="4"/>
    <n v="223.61"/>
    <n v="13130001235"/>
  </r>
  <r>
    <x v="21"/>
    <d v="1899-12-30T16:33:59"/>
    <n v="2236"/>
    <n v="13002561"/>
    <n v="13"/>
    <n v="22589"/>
    <s v="Retail Sale"/>
    <n v="15"/>
    <n v="98614"/>
    <x v="54"/>
    <s v="Pharmcomplect"/>
    <s v="Novartis"/>
    <n v="1"/>
    <n v="46.46"/>
    <n v="64.45"/>
    <n v="3.22"/>
    <n v="3.22"/>
    <s v="BONUS_CARD"/>
    <n v="29"/>
    <n v="1"/>
    <n v="3"/>
    <n v="61.23"/>
    <n v="13130001236"/>
  </r>
  <r>
    <x v="2"/>
    <d v="1899-12-30T22:22:19"/>
    <n v="2237"/>
    <n v="13002561"/>
    <n v="13"/>
    <n v="22589"/>
    <s v="Retail Sale"/>
    <n v="15"/>
    <n v="20630"/>
    <x v="66"/>
    <s v="Katren"/>
    <s v="TEVA"/>
    <n v="2"/>
    <n v="578.66"/>
    <n v="753.12"/>
    <n v="37.659999999999997"/>
    <n v="37.659999999999997"/>
    <s v="BONUS_CARD"/>
    <n v="29"/>
    <n v="1"/>
    <n v="6"/>
    <n v="715.46"/>
    <n v="13130001237"/>
  </r>
  <r>
    <x v="16"/>
    <d v="1899-12-30T17:39:30"/>
    <n v="2238"/>
    <n v="13002561"/>
    <n v="13"/>
    <n v="22589"/>
    <s v="Retail Sale"/>
    <n v="18"/>
    <n v="79796"/>
    <x v="64"/>
    <s v="Protek"/>
    <s v="KRKA"/>
    <n v="1"/>
    <n v="472.64"/>
    <n v="724.31"/>
    <n v="72.430000000000007"/>
    <n v="72.430000000000007"/>
    <s v="BONUS_CARD"/>
    <n v="29"/>
    <n v="1"/>
    <n v="6"/>
    <n v="651.88"/>
    <n v="13130001238"/>
  </r>
  <r>
    <x v="11"/>
    <d v="1899-12-30T16:18:01"/>
    <n v="2239"/>
    <n v="13002561"/>
    <n v="13"/>
    <n v="22589"/>
    <s v="Retail Sale"/>
    <n v="15"/>
    <n v="86215"/>
    <x v="83"/>
    <s v="Avesta"/>
    <s v="Dr. Reddy's"/>
    <n v="3"/>
    <n v="64.02"/>
    <n v="83.82"/>
    <n v="8.3800000000000008"/>
    <n v="8.3800000000000008"/>
    <s v="BONUS_CARD"/>
    <n v="29"/>
    <n v="1"/>
    <n v="4"/>
    <n v="75.44"/>
    <n v="13130001239"/>
  </r>
  <r>
    <x v="28"/>
    <d v="1899-12-30T08:08:03"/>
    <n v="2240"/>
    <n v="13002561"/>
    <n v="13"/>
    <n v="22589"/>
    <s v="Retail Sale"/>
    <n v="18"/>
    <n v="41147"/>
    <x v="60"/>
    <s v="Pharmcomplect"/>
    <s v="Pfizer"/>
    <n v="1"/>
    <n v="18.72"/>
    <n v="28.66"/>
    <n v="2.87"/>
    <n v="2.87"/>
    <s v="BONUS_CARD"/>
    <n v="29"/>
    <n v="1"/>
    <n v="1"/>
    <n v="25.79"/>
    <n v="13130001240"/>
  </r>
  <r>
    <x v="11"/>
    <d v="1899-12-30T12:00:37"/>
    <n v="2241"/>
    <n v="13002561"/>
    <n v="13"/>
    <n v="22589"/>
    <s v="Retail Sale"/>
    <n v="15"/>
    <n v="12166"/>
    <x v="46"/>
    <s v="Katren"/>
    <s v="Dr. Reddy's"/>
    <n v="1"/>
    <n v="220.02"/>
    <n v="333.67"/>
    <n v="33.369999999999997"/>
    <n v="33.369999999999997"/>
    <s v="BONUS_CARD"/>
    <n v="29"/>
    <n v="1"/>
    <n v="4"/>
    <n v="300.3"/>
    <n v="13130001241"/>
  </r>
  <r>
    <x v="6"/>
    <d v="1899-12-30T19:42:31"/>
    <n v="2242"/>
    <n v="13002561"/>
    <n v="13"/>
    <n v="22589"/>
    <s v="Retail Sale"/>
    <n v="15"/>
    <n v="63088"/>
    <x v="88"/>
    <s v="Grand Capital"/>
    <s v="Takeda"/>
    <n v="1"/>
    <n v="280.51"/>
    <n v="446.29"/>
    <n v="22.31"/>
    <n v="22.31"/>
    <s v="BONUS_CARD"/>
    <n v="29"/>
    <n v="1"/>
    <n v="6"/>
    <n v="423.98"/>
    <n v="13130001242"/>
  </r>
  <r>
    <x v="25"/>
    <d v="1899-12-30T11:43:48"/>
    <n v="2243"/>
    <n v="13002561"/>
    <n v="13"/>
    <n v="22589"/>
    <s v="Retail Sale"/>
    <n v="15"/>
    <n v="71916"/>
    <x v="65"/>
    <s v="Pharmcomplect"/>
    <s v="KRKA"/>
    <n v="1"/>
    <n v="232.99"/>
    <n v="358.38"/>
    <n v="35.840000000000003"/>
    <n v="35.840000000000003"/>
    <s v="BONUS_CARD"/>
    <n v="29"/>
    <n v="1"/>
    <n v="6"/>
    <n v="322.54000000000002"/>
    <n v="13130001243"/>
  </r>
  <r>
    <x v="8"/>
    <d v="1899-12-30T21:06:50"/>
    <n v="2244"/>
    <n v="13002561"/>
    <n v="13"/>
    <n v="22589"/>
    <s v="Retail Sale"/>
    <n v="18"/>
    <n v="82698"/>
    <x v="9"/>
    <s v="Avesta"/>
    <s v="Takeda"/>
    <n v="2"/>
    <n v="241.74"/>
    <n v="350.06"/>
    <n v="17.5"/>
    <n v="17.5"/>
    <s v="BONUS_CARD"/>
    <n v="29"/>
    <n v="1"/>
    <n v="1"/>
    <n v="332.56"/>
    <n v="13130001244"/>
  </r>
  <r>
    <x v="17"/>
    <d v="1899-12-30T17:55:16"/>
    <n v="2245"/>
    <n v="13002561"/>
    <n v="13"/>
    <n v="22589"/>
    <s v="Retail Sale"/>
    <n v="18"/>
    <n v="42825"/>
    <x v="34"/>
    <s v="Katren"/>
    <s v="Takeda"/>
    <n v="3"/>
    <n v="296.12"/>
    <n v="417.96"/>
    <n v="20.9"/>
    <n v="20.9"/>
    <s v="BONUS_CARD"/>
    <n v="29"/>
    <n v="1"/>
    <n v="3"/>
    <n v="397.06"/>
    <n v="13130001245"/>
  </r>
  <r>
    <x v="23"/>
    <d v="1899-12-30T22:25:44"/>
    <n v="2246"/>
    <n v="13002561"/>
    <n v="13"/>
    <n v="22589"/>
    <s v="Retail Sale"/>
    <n v="18"/>
    <n v="65143"/>
    <x v="20"/>
    <s v="Pharmcomplect"/>
    <s v="KRKA"/>
    <n v="1"/>
    <n v="573.72"/>
    <n v="799.15"/>
    <n v="0"/>
    <n v="0"/>
    <m/>
    <n v="29"/>
    <n v="1"/>
    <n v="3"/>
    <n v="799.15"/>
    <n v="13130001246"/>
  </r>
  <r>
    <x v="21"/>
    <d v="1899-12-30T08:41:42"/>
    <n v="2247"/>
    <n v="13002561"/>
    <n v="13"/>
    <n v="22589"/>
    <s v="Retail Sale"/>
    <n v="15"/>
    <n v="38928"/>
    <x v="48"/>
    <s v="Katren"/>
    <s v="Sanofi"/>
    <n v="3"/>
    <n v="307.56"/>
    <n v="485.42"/>
    <n v="0"/>
    <n v="0"/>
    <m/>
    <n v="29"/>
    <n v="1"/>
    <n v="6"/>
    <n v="485.42"/>
    <n v="13130001247"/>
  </r>
  <r>
    <x v="1"/>
    <d v="1899-12-30T14:12:51"/>
    <n v="2248"/>
    <n v="13002561"/>
    <n v="13"/>
    <n v="22589"/>
    <s v="Retail Sale"/>
    <n v="18"/>
    <n v="71816"/>
    <x v="74"/>
    <s v="Protek"/>
    <s v="Dr. Reddy's"/>
    <n v="1"/>
    <n v="380.02"/>
    <n v="479.92"/>
    <n v="0"/>
    <n v="0"/>
    <m/>
    <n v="29"/>
    <n v="1"/>
    <n v="6"/>
    <n v="479.92"/>
    <n v="13130001248"/>
  </r>
  <r>
    <x v="24"/>
    <d v="1899-12-30T15:10:40"/>
    <n v="2249"/>
    <n v="13002561"/>
    <n v="13"/>
    <n v="22589"/>
    <s v="Retail Sale"/>
    <n v="15"/>
    <n v="97391"/>
    <x v="70"/>
    <s v="Katren"/>
    <s v="Pfizer"/>
    <n v="3"/>
    <n v="330.91"/>
    <n v="454.88"/>
    <n v="22.74"/>
    <n v="22.74"/>
    <s v="BONUS_CARD"/>
    <n v="29"/>
    <n v="1"/>
    <n v="4"/>
    <n v="432.14"/>
    <n v="13130001249"/>
  </r>
  <r>
    <x v="13"/>
    <d v="1899-12-30T22:38:06"/>
    <n v="2250"/>
    <n v="13002561"/>
    <n v="13"/>
    <n v="22589"/>
    <s v="Retail Sale"/>
    <n v="18"/>
    <n v="87079"/>
    <x v="53"/>
    <s v="Avesta"/>
    <s v="KRKA"/>
    <n v="3"/>
    <n v="117.46"/>
    <n v="198.89"/>
    <n v="9.94"/>
    <n v="9.94"/>
    <s v="BONUS_CARD"/>
    <n v="29"/>
    <n v="1"/>
    <n v="2"/>
    <n v="188.95"/>
    <n v="13130001250"/>
  </r>
  <r>
    <x v="4"/>
    <d v="1899-12-30T15:24:32"/>
    <n v="2251"/>
    <n v="13002561"/>
    <n v="13"/>
    <n v="22589"/>
    <s v="Retail Sale"/>
    <n v="15"/>
    <n v="65246"/>
    <x v="3"/>
    <s v="Protek"/>
    <s v="Sanofi"/>
    <n v="3"/>
    <n v="373.39"/>
    <n v="576.79999999999995"/>
    <n v="57.68"/>
    <n v="57.68"/>
    <s v="BONUS_CARD"/>
    <n v="29"/>
    <n v="1"/>
    <n v="3"/>
    <n v="519.12"/>
    <n v="13130001251"/>
  </r>
  <r>
    <x v="4"/>
    <d v="1899-12-30T16:57:21"/>
    <n v="2252"/>
    <n v="13002561"/>
    <n v="13"/>
    <n v="22589"/>
    <s v="Retail Sale"/>
    <n v="15"/>
    <n v="91003"/>
    <x v="33"/>
    <s v="Avesta"/>
    <s v="Bayer"/>
    <n v="3"/>
    <n v="294.66000000000003"/>
    <n v="465.38"/>
    <n v="23.27"/>
    <n v="23.27"/>
    <s v="BONUS_CARD"/>
    <n v="29"/>
    <n v="1"/>
    <n v="6"/>
    <n v="442.11"/>
    <n v="13130001252"/>
  </r>
  <r>
    <x v="9"/>
    <d v="1899-12-30T11:20:30"/>
    <n v="2253"/>
    <n v="13002561"/>
    <n v="13"/>
    <n v="22589"/>
    <s v="Retail Sale"/>
    <n v="18"/>
    <n v="64013"/>
    <x v="77"/>
    <s v="Avesta"/>
    <s v="KRKA"/>
    <n v="1"/>
    <n v="174.13"/>
    <n v="249.2"/>
    <n v="12.46"/>
    <n v="12.46"/>
    <s v="BONUS_CARD"/>
    <n v="29"/>
    <n v="1"/>
    <n v="4"/>
    <n v="236.74"/>
    <n v="13130001253"/>
  </r>
  <r>
    <x v="11"/>
    <d v="1899-12-30T18:50:16"/>
    <n v="2254"/>
    <n v="13002561"/>
    <n v="13"/>
    <n v="22589"/>
    <s v="Retail Sale"/>
    <n v="15"/>
    <n v="95513"/>
    <x v="44"/>
    <s v="Katren"/>
    <s v="Takeda"/>
    <n v="1"/>
    <n v="311.94"/>
    <n v="450.85"/>
    <n v="45.09"/>
    <n v="45.09"/>
    <s v="BONUS_CARD"/>
    <n v="29"/>
    <n v="1"/>
    <n v="3"/>
    <n v="405.76"/>
    <n v="13130001254"/>
  </r>
  <r>
    <x v="9"/>
    <d v="1899-12-30T16:10:22"/>
    <n v="2255"/>
    <n v="13002561"/>
    <n v="13"/>
    <n v="22589"/>
    <s v="Retail Sale"/>
    <n v="15"/>
    <n v="79174"/>
    <x v="61"/>
    <s v="Avesta"/>
    <s v="Sanofi"/>
    <n v="2"/>
    <n v="257.43"/>
    <n v="411.46"/>
    <n v="0"/>
    <n v="0"/>
    <m/>
    <n v="29"/>
    <n v="1"/>
    <n v="3"/>
    <n v="411.46"/>
    <n v="13130001255"/>
  </r>
  <r>
    <x v="7"/>
    <d v="1899-12-30T18:19:18"/>
    <n v="2256"/>
    <n v="13002561"/>
    <n v="13"/>
    <n v="22589"/>
    <s v="Retail Sale"/>
    <n v="18"/>
    <n v="98915"/>
    <x v="89"/>
    <s v="Avesta"/>
    <s v="Bayer"/>
    <n v="2"/>
    <n v="420.71"/>
    <n v="586.85"/>
    <n v="29.34"/>
    <n v="29.34"/>
    <s v="BONUS_CARD"/>
    <n v="29"/>
    <n v="1"/>
    <n v="3"/>
    <n v="557.51"/>
    <n v="13130001256"/>
  </r>
  <r>
    <x v="25"/>
    <d v="1899-12-30T09:04:31"/>
    <n v="2257"/>
    <n v="13002561"/>
    <n v="13"/>
    <n v="22589"/>
    <s v="Retail Sale"/>
    <n v="18"/>
    <n v="97473"/>
    <x v="25"/>
    <s v="Pharmcomplect"/>
    <s v="Bayer"/>
    <n v="2"/>
    <n v="208.12"/>
    <n v="260.85000000000002"/>
    <n v="0"/>
    <n v="0"/>
    <m/>
    <n v="29"/>
    <n v="1"/>
    <n v="3"/>
    <n v="260.85000000000002"/>
    <n v="13130001257"/>
  </r>
  <r>
    <x v="25"/>
    <d v="1899-12-30T14:44:49"/>
    <n v="2258"/>
    <n v="13002561"/>
    <n v="13"/>
    <n v="22589"/>
    <s v="Retail Sale"/>
    <n v="15"/>
    <n v="25965"/>
    <x v="43"/>
    <s v="Katren"/>
    <s v="KRKA"/>
    <n v="1"/>
    <n v="556.78"/>
    <n v="765.17"/>
    <n v="76.52"/>
    <n v="76.52"/>
    <s v="BONUS_CARD"/>
    <n v="29"/>
    <n v="1"/>
    <n v="2"/>
    <n v="688.65"/>
    <n v="13130001258"/>
  </r>
  <r>
    <x v="19"/>
    <d v="1899-12-30T22:15:22"/>
    <n v="2259"/>
    <n v="13002561"/>
    <n v="13"/>
    <n v="22589"/>
    <s v="Retail Sale"/>
    <n v="18"/>
    <n v="42338"/>
    <x v="14"/>
    <s v="Pulse"/>
    <s v="TEVA"/>
    <n v="2"/>
    <n v="85.78"/>
    <n v="131.33000000000001"/>
    <n v="0"/>
    <n v="0"/>
    <m/>
    <n v="29"/>
    <n v="1"/>
    <n v="2"/>
    <n v="131.33000000000001"/>
    <n v="13130001259"/>
  </r>
  <r>
    <x v="13"/>
    <d v="1899-12-30T14:53:51"/>
    <n v="2260"/>
    <n v="13002561"/>
    <n v="13"/>
    <n v="22589"/>
    <s v="Retail Sale"/>
    <n v="18"/>
    <n v="38291"/>
    <x v="24"/>
    <s v="Pulse"/>
    <s v="Novartis"/>
    <n v="2"/>
    <n v="309.07"/>
    <n v="453.42"/>
    <n v="22.67"/>
    <n v="22.67"/>
    <s v="BONUS_CARD"/>
    <n v="29"/>
    <n v="1"/>
    <n v="3"/>
    <n v="430.75"/>
    <n v="13130001260"/>
  </r>
  <r>
    <x v="25"/>
    <d v="1899-12-30T11:00:05"/>
    <n v="2261"/>
    <n v="13002561"/>
    <n v="13"/>
    <n v="22589"/>
    <s v="Retail Sale"/>
    <n v="15"/>
    <n v="22918"/>
    <x v="35"/>
    <s v="Katren"/>
    <s v="TEVA"/>
    <n v="2"/>
    <n v="335.55"/>
    <n v="456.62"/>
    <n v="22.83"/>
    <n v="22.83"/>
    <s v="BONUS_CARD"/>
    <n v="29"/>
    <n v="1"/>
    <n v="5"/>
    <n v="433.79"/>
    <n v="13130001261"/>
  </r>
  <r>
    <x v="22"/>
    <d v="1899-12-30T09:08:43"/>
    <n v="2262"/>
    <n v="13002561"/>
    <n v="13"/>
    <n v="22589"/>
    <s v="Retail Sale"/>
    <n v="18"/>
    <n v="20010"/>
    <x v="48"/>
    <s v="Grand Capital"/>
    <s v="Takeda"/>
    <n v="1"/>
    <n v="98.42"/>
    <n v="134.69999999999999"/>
    <n v="0"/>
    <n v="0"/>
    <m/>
    <n v="29"/>
    <n v="1"/>
    <n v="6"/>
    <n v="134.69999999999999"/>
    <n v="13130001262"/>
  </r>
  <r>
    <x v="18"/>
    <d v="1899-12-30T08:19:06"/>
    <n v="2263"/>
    <n v="13002561"/>
    <n v="13"/>
    <n v="22589"/>
    <s v="Retail Sale"/>
    <n v="15"/>
    <n v="83266"/>
    <x v="10"/>
    <s v="Avesta"/>
    <s v="Novartis"/>
    <n v="1"/>
    <n v="176.83"/>
    <n v="222.84"/>
    <n v="0"/>
    <n v="0"/>
    <m/>
    <n v="29"/>
    <n v="1"/>
    <n v="2"/>
    <n v="222.84"/>
    <n v="13130001263"/>
  </r>
  <r>
    <x v="29"/>
    <d v="1899-12-30T13:23:04"/>
    <n v="2264"/>
    <n v="13002561"/>
    <n v="13"/>
    <n v="22589"/>
    <s v="Retail Sale"/>
    <n v="18"/>
    <n v="78441"/>
    <x v="36"/>
    <s v="Grand Capital"/>
    <s v="Pfizer"/>
    <n v="2"/>
    <n v="478.78"/>
    <n v="614.96"/>
    <n v="61.5"/>
    <n v="61.5"/>
    <s v="BONUS_CARD"/>
    <n v="29"/>
    <n v="1"/>
    <n v="1"/>
    <n v="553.46"/>
    <n v="13130001264"/>
  </r>
  <r>
    <x v="27"/>
    <d v="1899-12-30T11:36:36"/>
    <n v="2265"/>
    <n v="13002561"/>
    <n v="13"/>
    <n v="22589"/>
    <s v="Retail Sale"/>
    <n v="18"/>
    <n v="34086"/>
    <x v="89"/>
    <s v="Protek"/>
    <s v="Takeda"/>
    <n v="3"/>
    <n v="166.25"/>
    <n v="225.21"/>
    <n v="11.26"/>
    <n v="11.26"/>
    <s v="BONUS_CARD"/>
    <n v="29"/>
    <n v="1"/>
    <n v="4"/>
    <n v="213.95"/>
    <n v="13130001265"/>
  </r>
  <r>
    <x v="11"/>
    <d v="1899-12-30T18:47:59"/>
    <n v="2266"/>
    <n v="13002561"/>
    <n v="13"/>
    <n v="22589"/>
    <s v="Retail Sale"/>
    <n v="15"/>
    <n v="97985"/>
    <x v="23"/>
    <s v="Grand Capital"/>
    <s v="Dr. Reddy's"/>
    <n v="2"/>
    <n v="404.69"/>
    <n v="556.80999999999995"/>
    <n v="27.84"/>
    <n v="27.84"/>
    <s v="BONUS_CARD"/>
    <n v="29"/>
    <n v="1"/>
    <n v="3"/>
    <n v="528.97"/>
    <n v="13130001266"/>
  </r>
  <r>
    <x v="1"/>
    <d v="1899-12-30T19:46:42"/>
    <n v="2267"/>
    <n v="13002561"/>
    <n v="13"/>
    <n v="22589"/>
    <s v="Retail Sale"/>
    <n v="18"/>
    <n v="50011"/>
    <x v="9"/>
    <s v="Katren"/>
    <s v="Sanofi"/>
    <n v="3"/>
    <n v="341.56"/>
    <n v="466.42"/>
    <n v="46.64"/>
    <n v="46.64"/>
    <s v="BONUS_CARD"/>
    <n v="29"/>
    <n v="1"/>
    <n v="6"/>
    <n v="419.78"/>
    <n v="13130001267"/>
  </r>
  <r>
    <x v="21"/>
    <d v="1899-12-30T19:52:20"/>
    <n v="2268"/>
    <n v="13002561"/>
    <n v="13"/>
    <n v="22589"/>
    <s v="Retail Sale"/>
    <n v="18"/>
    <n v="24690"/>
    <x v="37"/>
    <s v="Protek"/>
    <s v="Takeda"/>
    <n v="1"/>
    <n v="322.54000000000002"/>
    <n v="489.41"/>
    <n v="0"/>
    <n v="0"/>
    <m/>
    <n v="29"/>
    <n v="1"/>
    <n v="3"/>
    <n v="489.41"/>
    <n v="13130001268"/>
  </r>
  <r>
    <x v="24"/>
    <d v="1899-12-30T15:04:39"/>
    <n v="2269"/>
    <n v="13002561"/>
    <n v="13"/>
    <n v="22589"/>
    <s v="Retail Sale"/>
    <n v="15"/>
    <n v="96906"/>
    <x v="8"/>
    <s v="Pulse"/>
    <s v="KRKA"/>
    <n v="2"/>
    <n v="537.57000000000005"/>
    <n v="805.13"/>
    <n v="40.26"/>
    <n v="40.26"/>
    <s v="BONUS_CARD"/>
    <n v="29"/>
    <n v="1"/>
    <n v="4"/>
    <n v="764.87"/>
    <n v="13130001269"/>
  </r>
  <r>
    <x v="22"/>
    <d v="1899-12-30T19:04:35"/>
    <n v="2270"/>
    <n v="13002561"/>
    <n v="13"/>
    <n v="22589"/>
    <s v="Retail Sale"/>
    <n v="18"/>
    <n v="10335"/>
    <x v="57"/>
    <s v="Pharmcomplect"/>
    <s v="Takeda"/>
    <n v="1"/>
    <n v="199.04"/>
    <n v="287.61"/>
    <n v="14.38"/>
    <n v="14.38"/>
    <s v="BONUS_CARD"/>
    <n v="29"/>
    <n v="1"/>
    <n v="2"/>
    <n v="273.23"/>
    <n v="13130001270"/>
  </r>
  <r>
    <x v="8"/>
    <d v="1899-12-30T09:05:55"/>
    <n v="2271"/>
    <n v="13002561"/>
    <n v="13"/>
    <n v="22589"/>
    <s v="Retail Sale"/>
    <n v="18"/>
    <n v="83392"/>
    <x v="53"/>
    <s v="Katren"/>
    <s v="TEVA"/>
    <n v="3"/>
    <n v="297.86"/>
    <n v="501.57"/>
    <n v="50.16"/>
    <n v="50.16"/>
    <s v="BONUS_CARD"/>
    <n v="29"/>
    <n v="1"/>
    <n v="5"/>
    <n v="451.41"/>
    <n v="13130001271"/>
  </r>
  <r>
    <x v="18"/>
    <d v="1899-12-30T08:06:26"/>
    <n v="2272"/>
    <n v="13002561"/>
    <n v="13"/>
    <n v="22589"/>
    <s v="Retail Sale"/>
    <n v="15"/>
    <n v="77445"/>
    <x v="49"/>
    <s v="Pharmcomplect"/>
    <s v="Dr. Reddy's"/>
    <n v="2"/>
    <n v="66.31"/>
    <n v="84.96"/>
    <n v="4.25"/>
    <n v="4.25"/>
    <s v="BONUS_CARD"/>
    <n v="29"/>
    <n v="1"/>
    <n v="2"/>
    <n v="80.709999999999994"/>
    <n v="13130001272"/>
  </r>
  <r>
    <x v="24"/>
    <d v="1899-12-30T08:31:33"/>
    <n v="2273"/>
    <n v="13002561"/>
    <n v="13"/>
    <n v="22589"/>
    <s v="Retail Sale"/>
    <n v="18"/>
    <n v="45953"/>
    <x v="30"/>
    <s v="Pharmcomplect"/>
    <s v="KRKA"/>
    <n v="3"/>
    <n v="409.44"/>
    <n v="694.34"/>
    <n v="34.72"/>
    <n v="34.72"/>
    <s v="BONUS_CARD"/>
    <n v="29"/>
    <n v="1"/>
    <n v="6"/>
    <n v="659.62"/>
    <n v="13130001273"/>
  </r>
  <r>
    <x v="10"/>
    <d v="1899-12-30T11:35:41"/>
    <n v="2274"/>
    <n v="13002561"/>
    <n v="13"/>
    <n v="22589"/>
    <s v="Retail Sale"/>
    <n v="18"/>
    <n v="22692"/>
    <x v="41"/>
    <s v="Pulse"/>
    <s v="Dr. Reddy's"/>
    <n v="2"/>
    <n v="245.85"/>
    <n v="401.9"/>
    <n v="0"/>
    <n v="0"/>
    <m/>
    <n v="29"/>
    <n v="1"/>
    <n v="4"/>
    <n v="401.9"/>
    <n v="13130001274"/>
  </r>
  <r>
    <x v="10"/>
    <d v="1899-12-30T20:46:41"/>
    <n v="2275"/>
    <n v="13002561"/>
    <n v="13"/>
    <n v="22589"/>
    <s v="Retail Sale"/>
    <n v="18"/>
    <n v="62407"/>
    <x v="8"/>
    <s v="Grand Capital"/>
    <s v="KRKA"/>
    <n v="3"/>
    <n v="461.78"/>
    <n v="672.9"/>
    <n v="33.65"/>
    <n v="33.65"/>
    <s v="BONUS_CARD"/>
    <n v="29"/>
    <n v="1"/>
    <n v="2"/>
    <n v="639.25"/>
    <n v="13130001275"/>
  </r>
  <r>
    <x v="7"/>
    <d v="1899-12-30T20:22:02"/>
    <n v="2276"/>
    <n v="13002561"/>
    <n v="13"/>
    <n v="22589"/>
    <s v="Retail Sale"/>
    <n v="15"/>
    <n v="99011"/>
    <x v="49"/>
    <s v="Katren"/>
    <s v="Pfizer"/>
    <n v="3"/>
    <n v="272.45"/>
    <n v="414.91"/>
    <n v="41.49"/>
    <n v="41.49"/>
    <s v="BONUS_CARD"/>
    <n v="29"/>
    <n v="1"/>
    <n v="3"/>
    <n v="373.42"/>
    <n v="13130001276"/>
  </r>
  <r>
    <x v="3"/>
    <d v="1899-12-30T11:51:52"/>
    <n v="2277"/>
    <n v="13002561"/>
    <n v="13"/>
    <n v="22589"/>
    <s v="Retail Sale"/>
    <n v="18"/>
    <n v="75750"/>
    <x v="19"/>
    <s v="Pharmcomplect"/>
    <s v="KRKA"/>
    <n v="3"/>
    <n v="41.16"/>
    <n v="61.39"/>
    <n v="6.14"/>
    <n v="6.14"/>
    <s v="BONUS_CARD"/>
    <n v="29"/>
    <n v="1"/>
    <n v="3"/>
    <n v="55.25"/>
    <n v="13130001277"/>
  </r>
  <r>
    <x v="4"/>
    <d v="1899-12-30T12:32:50"/>
    <n v="2278"/>
    <n v="13002561"/>
    <n v="13"/>
    <n v="22589"/>
    <s v="Retail Sale"/>
    <n v="15"/>
    <n v="57499"/>
    <x v="13"/>
    <s v="Katren"/>
    <s v="Pfizer"/>
    <n v="2"/>
    <n v="263.04000000000002"/>
    <n v="359.9"/>
    <n v="35.99"/>
    <n v="35.99"/>
    <s v="BONUS_CARD"/>
    <n v="29"/>
    <n v="1"/>
    <n v="3"/>
    <n v="323.91000000000003"/>
    <n v="13130001278"/>
  </r>
  <r>
    <x v="22"/>
    <d v="1899-12-30T09:41:43"/>
    <n v="2279"/>
    <n v="13002561"/>
    <n v="13"/>
    <n v="22589"/>
    <s v="Retail Sale"/>
    <n v="18"/>
    <n v="12421"/>
    <x v="22"/>
    <s v="Grand Capital"/>
    <s v="Novartis"/>
    <n v="1"/>
    <n v="574.82000000000005"/>
    <n v="909.28"/>
    <n v="0"/>
    <n v="0"/>
    <m/>
    <n v="29"/>
    <n v="1"/>
    <n v="6"/>
    <n v="909.28"/>
    <n v="13130001279"/>
  </r>
  <r>
    <x v="15"/>
    <d v="1899-12-30T22:57:28"/>
    <n v="2280"/>
    <n v="13002561"/>
    <n v="13"/>
    <n v="22589"/>
    <s v="Retail Sale"/>
    <n v="15"/>
    <n v="32906"/>
    <x v="84"/>
    <s v="Grand Capital"/>
    <s v="Novartis"/>
    <n v="2"/>
    <n v="271.14"/>
    <n v="411.7"/>
    <n v="20.59"/>
    <n v="20.59"/>
    <s v="BONUS_CARD"/>
    <n v="29"/>
    <n v="1"/>
    <n v="5"/>
    <n v="391.11"/>
    <n v="13130001280"/>
  </r>
  <r>
    <x v="29"/>
    <d v="1899-12-30T18:25:31"/>
    <n v="2281"/>
    <n v="13002561"/>
    <n v="13"/>
    <n v="22589"/>
    <s v="Retail Sale"/>
    <n v="15"/>
    <n v="78854"/>
    <x v="69"/>
    <s v="Katren"/>
    <s v="Sanofi"/>
    <n v="3"/>
    <n v="101.26"/>
    <n v="163.46"/>
    <n v="16.350000000000001"/>
    <n v="16.350000000000001"/>
    <s v="BONUS_CARD"/>
    <n v="29"/>
    <n v="1"/>
    <n v="6"/>
    <n v="147.11000000000001"/>
    <n v="13130001281"/>
  </r>
  <r>
    <x v="25"/>
    <d v="1899-12-30T10:17:55"/>
    <n v="2282"/>
    <n v="13002561"/>
    <n v="13"/>
    <n v="22589"/>
    <s v="Retail Sale"/>
    <n v="18"/>
    <n v="44526"/>
    <x v="35"/>
    <s v="Protek"/>
    <s v="Bayer"/>
    <n v="3"/>
    <n v="51.56"/>
    <n v="72.569999999999993"/>
    <n v="3.63"/>
    <n v="3.63"/>
    <s v="BONUS_CARD"/>
    <n v="29"/>
    <n v="1"/>
    <n v="6"/>
    <n v="68.94"/>
    <n v="13130001282"/>
  </r>
  <r>
    <x v="28"/>
    <d v="1899-12-30T14:29:07"/>
    <n v="2283"/>
    <n v="13002561"/>
    <n v="13"/>
    <n v="22589"/>
    <s v="Retail Sale"/>
    <n v="18"/>
    <n v="42197"/>
    <x v="30"/>
    <s v="Grand Capital"/>
    <s v="KRKA"/>
    <n v="1"/>
    <n v="32.270000000000003"/>
    <n v="46.37"/>
    <n v="4.6399999999999997"/>
    <n v="4.6399999999999997"/>
    <s v="BONUS_CARD"/>
    <n v="29"/>
    <n v="1"/>
    <n v="6"/>
    <n v="41.73"/>
    <n v="13130001283"/>
  </r>
  <r>
    <x v="6"/>
    <d v="1899-12-30T22:17:58"/>
    <n v="2284"/>
    <n v="13002561"/>
    <n v="13"/>
    <n v="22589"/>
    <s v="Retail Sale"/>
    <n v="18"/>
    <n v="84410"/>
    <x v="13"/>
    <s v="Pharmcomplect"/>
    <s v="Pfizer"/>
    <n v="3"/>
    <n v="184.93"/>
    <n v="263.95"/>
    <n v="0"/>
    <n v="0"/>
    <m/>
    <n v="29"/>
    <n v="1"/>
    <n v="6"/>
    <n v="263.95"/>
    <n v="13130001284"/>
  </r>
  <r>
    <x v="12"/>
    <d v="1899-12-30T18:32:26"/>
    <n v="2285"/>
    <n v="13002561"/>
    <n v="13"/>
    <n v="22589"/>
    <s v="Retail Sale"/>
    <n v="15"/>
    <n v="19728"/>
    <x v="29"/>
    <s v="Katren"/>
    <s v="Pfizer"/>
    <n v="3"/>
    <n v="534.03"/>
    <n v="856.2"/>
    <n v="85.62"/>
    <n v="85.62"/>
    <s v="BONUS_CARD"/>
    <n v="29"/>
    <n v="1"/>
    <n v="1"/>
    <n v="770.58"/>
    <n v="13130001285"/>
  </r>
  <r>
    <x v="13"/>
    <d v="1899-12-30T17:38:12"/>
    <n v="2286"/>
    <n v="13002561"/>
    <n v="13"/>
    <n v="22589"/>
    <s v="Retail Sale"/>
    <n v="15"/>
    <n v="24569"/>
    <x v="9"/>
    <s v="Pharmcomplect"/>
    <s v="Novartis"/>
    <n v="2"/>
    <n v="334.84"/>
    <n v="421.47"/>
    <n v="42.15"/>
    <n v="42.15"/>
    <s v="BONUS_CARD"/>
    <n v="29"/>
    <n v="1"/>
    <n v="4"/>
    <n v="379.32"/>
    <n v="13130001286"/>
  </r>
  <r>
    <x v="6"/>
    <d v="1899-12-30T20:52:22"/>
    <n v="2287"/>
    <n v="13002561"/>
    <n v="13"/>
    <n v="22589"/>
    <s v="Retail Sale"/>
    <n v="18"/>
    <n v="43970"/>
    <x v="50"/>
    <s v="Pulse"/>
    <s v="Bayer"/>
    <n v="2"/>
    <n v="320.26"/>
    <n v="441.05"/>
    <n v="22.05"/>
    <n v="22.05"/>
    <s v="BONUS_CARD"/>
    <n v="29"/>
    <n v="1"/>
    <n v="5"/>
    <n v="419"/>
    <n v="13130001287"/>
  </r>
  <r>
    <x v="24"/>
    <d v="1899-12-30T08:46:47"/>
    <n v="2288"/>
    <n v="13002561"/>
    <n v="13"/>
    <n v="22589"/>
    <s v="Retail Sale"/>
    <n v="15"/>
    <n v="18502"/>
    <x v="15"/>
    <s v="Avesta"/>
    <s v="TEVA"/>
    <n v="2"/>
    <n v="599.20000000000005"/>
    <n v="896.89"/>
    <n v="89.69"/>
    <n v="89.69"/>
    <s v="BONUS_CARD"/>
    <n v="29"/>
    <n v="1"/>
    <n v="5"/>
    <n v="807.2"/>
    <n v="13130001288"/>
  </r>
  <r>
    <x v="27"/>
    <d v="1899-12-30T15:52:53"/>
    <n v="2289"/>
    <n v="13002561"/>
    <n v="13"/>
    <n v="22589"/>
    <s v="Retail Sale"/>
    <n v="18"/>
    <n v="45881"/>
    <x v="87"/>
    <s v="Avesta"/>
    <s v="Pfizer"/>
    <n v="3"/>
    <n v="210.62"/>
    <n v="271.07"/>
    <n v="0"/>
    <n v="0"/>
    <m/>
    <n v="29"/>
    <n v="1"/>
    <n v="5"/>
    <n v="271.07"/>
    <n v="13130001289"/>
  </r>
  <r>
    <x v="11"/>
    <d v="1899-12-30T19:22:16"/>
    <n v="2290"/>
    <n v="13002561"/>
    <n v="13"/>
    <n v="22589"/>
    <s v="Retail Sale"/>
    <n v="18"/>
    <n v="47431"/>
    <x v="9"/>
    <s v="Pulse"/>
    <s v="Takeda"/>
    <n v="3"/>
    <n v="248.49"/>
    <n v="409.33"/>
    <n v="40.93"/>
    <n v="40.93"/>
    <s v="BONUS_CARD"/>
    <n v="29"/>
    <n v="1"/>
    <n v="3"/>
    <n v="368.4"/>
    <n v="13130001290"/>
  </r>
  <r>
    <x v="21"/>
    <d v="1899-12-30T13:13:18"/>
    <n v="2291"/>
    <n v="13002561"/>
    <n v="13"/>
    <n v="22589"/>
    <s v="Retail Sale"/>
    <n v="15"/>
    <n v="18479"/>
    <x v="19"/>
    <s v="Pulse"/>
    <s v="Dr. Reddy's"/>
    <n v="3"/>
    <n v="204.95"/>
    <n v="341.26"/>
    <n v="0"/>
    <n v="0"/>
    <m/>
    <n v="29"/>
    <n v="1"/>
    <n v="4"/>
    <n v="341.26"/>
    <n v="13130001291"/>
  </r>
  <r>
    <x v="18"/>
    <d v="1899-12-30T09:25:18"/>
    <n v="2292"/>
    <n v="13002561"/>
    <n v="13"/>
    <n v="22589"/>
    <s v="Retail Sale"/>
    <n v="18"/>
    <n v="43893"/>
    <x v="15"/>
    <s v="Katren"/>
    <s v="Sanofi"/>
    <n v="2"/>
    <n v="156.38"/>
    <n v="261.61"/>
    <n v="26.16"/>
    <n v="26.16"/>
    <s v="BONUS_CARD"/>
    <n v="29"/>
    <n v="1"/>
    <n v="5"/>
    <n v="235.45"/>
    <n v="13130001292"/>
  </r>
  <r>
    <x v="6"/>
    <d v="1899-12-30T16:52:37"/>
    <n v="2293"/>
    <n v="13002561"/>
    <n v="13"/>
    <n v="22589"/>
    <s v="Retail Sale"/>
    <n v="15"/>
    <n v="23957"/>
    <x v="4"/>
    <s v="Protek"/>
    <s v="TEVA"/>
    <n v="1"/>
    <n v="93.49"/>
    <n v="140.38"/>
    <n v="7.02"/>
    <n v="7.02"/>
    <s v="BONUS_CARD"/>
    <n v="29"/>
    <n v="1"/>
    <n v="2"/>
    <n v="133.36000000000001"/>
    <n v="13130001293"/>
  </r>
  <r>
    <x v="19"/>
    <d v="1899-12-30T14:09:05"/>
    <n v="2294"/>
    <n v="13002561"/>
    <n v="13"/>
    <n v="22589"/>
    <s v="Retail Sale"/>
    <n v="18"/>
    <n v="64292"/>
    <x v="2"/>
    <s v="Pulse"/>
    <s v="Novartis"/>
    <n v="2"/>
    <n v="161.91999999999999"/>
    <n v="249.47"/>
    <n v="0"/>
    <n v="0"/>
    <m/>
    <n v="29"/>
    <n v="1"/>
    <n v="1"/>
    <n v="249.47"/>
    <n v="13130001294"/>
  </r>
  <r>
    <x v="30"/>
    <d v="1899-12-30T17:25:34"/>
    <n v="2295"/>
    <n v="13002561"/>
    <n v="13"/>
    <n v="22589"/>
    <s v="Retail Sale"/>
    <n v="15"/>
    <n v="30672"/>
    <x v="77"/>
    <s v="Katren"/>
    <s v="Dr. Reddy's"/>
    <n v="2"/>
    <n v="431.96"/>
    <n v="550.23"/>
    <n v="55.02"/>
    <n v="55.02"/>
    <s v="BONUS_CARD"/>
    <n v="29"/>
    <n v="1"/>
    <n v="6"/>
    <n v="495.21"/>
    <n v="13130001295"/>
  </r>
  <r>
    <x v="1"/>
    <d v="1899-12-30T12:28:36"/>
    <n v="2296"/>
    <n v="13002561"/>
    <n v="13"/>
    <n v="22589"/>
    <s v="Retail Sale"/>
    <n v="18"/>
    <n v="93482"/>
    <x v="58"/>
    <s v="Protek"/>
    <s v="Takeda"/>
    <n v="3"/>
    <n v="54.86"/>
    <n v="89.47"/>
    <n v="0"/>
    <n v="0"/>
    <m/>
    <n v="29"/>
    <n v="1"/>
    <n v="6"/>
    <n v="89.47"/>
    <n v="13130001296"/>
  </r>
  <r>
    <x v="26"/>
    <d v="1899-12-30T12:37:48"/>
    <n v="2297"/>
    <n v="13002561"/>
    <n v="13"/>
    <n v="22589"/>
    <s v="Retail Sale"/>
    <n v="18"/>
    <n v="66967"/>
    <x v="88"/>
    <s v="Protek"/>
    <s v="Dr. Reddy's"/>
    <n v="2"/>
    <n v="400.98"/>
    <n v="664.92"/>
    <n v="66.489999999999995"/>
    <n v="66.489999999999995"/>
    <s v="BONUS_CARD"/>
    <n v="29"/>
    <n v="1"/>
    <n v="1"/>
    <n v="598.42999999999995"/>
    <n v="13130001297"/>
  </r>
  <r>
    <x v="1"/>
    <d v="1899-12-30T18:03:05"/>
    <n v="2298"/>
    <n v="13002561"/>
    <n v="13"/>
    <n v="22589"/>
    <s v="Retail Sale"/>
    <n v="15"/>
    <n v="42626"/>
    <x v="84"/>
    <s v="Pharmcomplect"/>
    <s v="Takeda"/>
    <n v="3"/>
    <n v="179.99"/>
    <n v="266.16000000000003"/>
    <n v="0"/>
    <n v="0"/>
    <m/>
    <n v="29"/>
    <n v="1"/>
    <n v="2"/>
    <n v="266.16000000000003"/>
    <n v="13130001298"/>
  </r>
  <r>
    <x v="10"/>
    <d v="1899-12-30T09:22:13"/>
    <n v="2299"/>
    <n v="13002561"/>
    <n v="13"/>
    <n v="22589"/>
    <s v="Retail Sale"/>
    <n v="15"/>
    <n v="82375"/>
    <x v="54"/>
    <s v="Pulse"/>
    <s v="Dr. Reddy's"/>
    <n v="1"/>
    <n v="162.41"/>
    <n v="217.32"/>
    <n v="0"/>
    <n v="0"/>
    <m/>
    <n v="29"/>
    <n v="1"/>
    <n v="1"/>
    <n v="217.32"/>
    <n v="13130001299"/>
  </r>
  <r>
    <x v="23"/>
    <d v="1899-12-30T15:52:19"/>
    <n v="2300"/>
    <n v="13002561"/>
    <n v="13"/>
    <n v="22589"/>
    <s v="Retail Sale"/>
    <n v="18"/>
    <n v="92687"/>
    <x v="10"/>
    <s v="Avesta"/>
    <s v="Takeda"/>
    <n v="2"/>
    <n v="203.36"/>
    <n v="282.11"/>
    <n v="28.21"/>
    <n v="28.21"/>
    <s v="BONUS_CARD"/>
    <n v="29"/>
    <n v="1"/>
    <n v="5"/>
    <n v="253.9"/>
    <n v="13130001300"/>
  </r>
  <r>
    <x v="16"/>
    <d v="1899-12-30T12:45:57"/>
    <n v="2301"/>
    <n v="13002561"/>
    <n v="13"/>
    <n v="22589"/>
    <s v="Retail Sale"/>
    <n v="18"/>
    <n v="56499"/>
    <x v="70"/>
    <s v="Pharmcomplect"/>
    <s v="KRKA"/>
    <n v="2"/>
    <n v="286.43"/>
    <n v="438.67"/>
    <n v="0"/>
    <n v="0"/>
    <m/>
    <n v="29"/>
    <n v="1"/>
    <n v="2"/>
    <n v="438.67"/>
    <n v="13130001301"/>
  </r>
  <r>
    <x v="8"/>
    <d v="1899-12-30T12:39:59"/>
    <n v="2302"/>
    <n v="13002561"/>
    <n v="13"/>
    <n v="22589"/>
    <s v="Retail Sale"/>
    <n v="15"/>
    <n v="57144"/>
    <x v="42"/>
    <s v="Avesta"/>
    <s v="Sanofi"/>
    <n v="2"/>
    <n v="168.02"/>
    <n v="240.92"/>
    <n v="12.05"/>
    <n v="12.05"/>
    <s v="BONUS_CARD"/>
    <n v="29"/>
    <n v="1"/>
    <n v="6"/>
    <n v="228.87"/>
    <n v="13130001302"/>
  </r>
  <r>
    <x v="20"/>
    <d v="1899-12-30T22:06:05"/>
    <n v="2303"/>
    <n v="13002561"/>
    <n v="13"/>
    <n v="22589"/>
    <s v="Retail Sale"/>
    <n v="15"/>
    <n v="82856"/>
    <x v="30"/>
    <s v="Pharmcomplect"/>
    <s v="Dr. Reddy's"/>
    <n v="3"/>
    <n v="279.48"/>
    <n v="371.59"/>
    <n v="37.159999999999997"/>
    <n v="37.159999999999997"/>
    <s v="BONUS_CARD"/>
    <n v="29"/>
    <n v="1"/>
    <n v="4"/>
    <n v="334.43"/>
    <n v="13130001303"/>
  </r>
  <r>
    <x v="19"/>
    <d v="1899-12-30T19:37:08"/>
    <n v="2304"/>
    <n v="13002561"/>
    <n v="13"/>
    <n v="22589"/>
    <s v="Retail Sale"/>
    <n v="18"/>
    <n v="56291"/>
    <x v="29"/>
    <s v="Protek"/>
    <s v="Dr. Reddy's"/>
    <n v="3"/>
    <n v="461.37"/>
    <n v="680.84"/>
    <n v="34.04"/>
    <n v="34.04"/>
    <s v="BONUS_CARD"/>
    <n v="29"/>
    <n v="1"/>
    <n v="6"/>
    <n v="646.79999999999995"/>
    <n v="13130001304"/>
  </r>
  <r>
    <x v="8"/>
    <d v="1899-12-30T16:38:38"/>
    <n v="2305"/>
    <n v="13002561"/>
    <n v="13"/>
    <n v="22589"/>
    <s v="Retail Sale"/>
    <n v="18"/>
    <n v="80458"/>
    <x v="36"/>
    <s v="Avesta"/>
    <s v="TEVA"/>
    <n v="1"/>
    <n v="573.66"/>
    <n v="809.85"/>
    <n v="80.989999999999995"/>
    <n v="80.989999999999995"/>
    <s v="BONUS_CARD"/>
    <n v="29"/>
    <n v="1"/>
    <n v="6"/>
    <n v="728.86"/>
    <n v="13130001305"/>
  </r>
  <r>
    <x v="27"/>
    <d v="1899-12-30T20:12:14"/>
    <n v="2306"/>
    <n v="13002561"/>
    <n v="13"/>
    <n v="22589"/>
    <s v="Retail Sale"/>
    <n v="15"/>
    <n v="18950"/>
    <x v="69"/>
    <s v="Katren"/>
    <s v="Pfizer"/>
    <n v="3"/>
    <n v="74.150000000000006"/>
    <n v="112.85"/>
    <n v="0"/>
    <n v="0"/>
    <m/>
    <n v="29"/>
    <n v="1"/>
    <n v="5"/>
    <n v="112.85"/>
    <n v="13130001306"/>
  </r>
  <r>
    <x v="8"/>
    <d v="1899-12-30T08:06:33"/>
    <n v="2307"/>
    <n v="13002561"/>
    <n v="13"/>
    <n v="22589"/>
    <s v="Retail Sale"/>
    <n v="18"/>
    <n v="89331"/>
    <x v="11"/>
    <s v="Avesta"/>
    <s v="Bayer"/>
    <n v="3"/>
    <n v="94.74"/>
    <n v="159.93"/>
    <n v="8"/>
    <n v="8"/>
    <s v="BONUS_CARD"/>
    <n v="29"/>
    <n v="1"/>
    <n v="2"/>
    <n v="151.93"/>
    <n v="13130001307"/>
  </r>
  <r>
    <x v="21"/>
    <d v="1899-12-30T20:02:11"/>
    <n v="2308"/>
    <n v="13002561"/>
    <n v="13"/>
    <n v="22589"/>
    <s v="Retail Sale"/>
    <n v="18"/>
    <n v="70485"/>
    <x v="6"/>
    <s v="Katren"/>
    <s v="Bayer"/>
    <n v="1"/>
    <n v="27.32"/>
    <n v="45.86"/>
    <n v="2.29"/>
    <n v="2.29"/>
    <s v="BONUS_CARD"/>
    <n v="29"/>
    <n v="1"/>
    <n v="6"/>
    <n v="43.57"/>
    <n v="13130001308"/>
  </r>
  <r>
    <x v="5"/>
    <d v="1899-12-30T22:20:39"/>
    <n v="2309"/>
    <n v="13002561"/>
    <n v="13"/>
    <n v="22589"/>
    <s v="Retail Sale"/>
    <n v="15"/>
    <n v="11679"/>
    <x v="22"/>
    <s v="Grand Capital"/>
    <s v="KRKA"/>
    <n v="2"/>
    <n v="366.23"/>
    <n v="619.16"/>
    <n v="61.92"/>
    <n v="61.92"/>
    <s v="BONUS_CARD"/>
    <n v="29"/>
    <n v="1"/>
    <n v="3"/>
    <n v="557.24"/>
    <n v="13130001309"/>
  </r>
  <r>
    <x v="27"/>
    <d v="1899-12-30T08:15:14"/>
    <n v="2310"/>
    <n v="13002561"/>
    <n v="13"/>
    <n v="22589"/>
    <s v="Retail Sale"/>
    <n v="15"/>
    <n v="50878"/>
    <x v="27"/>
    <s v="Grand Capital"/>
    <s v="Sanofi"/>
    <n v="2"/>
    <n v="302.25"/>
    <n v="445.84"/>
    <n v="22.29"/>
    <n v="22.29"/>
    <s v="BONUS_CARD"/>
    <n v="29"/>
    <n v="1"/>
    <n v="1"/>
    <n v="423.55"/>
    <n v="13130001310"/>
  </r>
  <r>
    <x v="1"/>
    <d v="1899-12-30T19:57:15"/>
    <n v="2311"/>
    <n v="13002561"/>
    <n v="13"/>
    <n v="22589"/>
    <s v="Retail Sale"/>
    <n v="15"/>
    <n v="90117"/>
    <x v="24"/>
    <s v="Protek"/>
    <s v="KRKA"/>
    <n v="2"/>
    <n v="116.88"/>
    <n v="171.22"/>
    <n v="0"/>
    <n v="0"/>
    <m/>
    <n v="29"/>
    <n v="1"/>
    <n v="3"/>
    <n v="171.22"/>
    <n v="13130001311"/>
  </r>
  <r>
    <x v="5"/>
    <d v="1899-12-30T19:57:18"/>
    <n v="2312"/>
    <n v="13002561"/>
    <n v="13"/>
    <n v="22589"/>
    <s v="Retail Sale"/>
    <n v="18"/>
    <n v="51281"/>
    <x v="32"/>
    <s v="Protek"/>
    <s v="Pfizer"/>
    <n v="3"/>
    <n v="557.66"/>
    <n v="879.89"/>
    <n v="43.99"/>
    <n v="43.99"/>
    <s v="BONUS_CARD"/>
    <n v="29"/>
    <n v="1"/>
    <n v="5"/>
    <n v="835.9"/>
    <n v="13130001312"/>
  </r>
  <r>
    <x v="29"/>
    <d v="1899-12-30T11:43:11"/>
    <n v="2313"/>
    <n v="13002561"/>
    <n v="13"/>
    <n v="22589"/>
    <s v="Retail Sale"/>
    <n v="15"/>
    <n v="65620"/>
    <x v="59"/>
    <s v="Grand Capital"/>
    <s v="Dr. Reddy's"/>
    <n v="1"/>
    <n v="478.55"/>
    <n v="790.07"/>
    <n v="39.5"/>
    <n v="39.5"/>
    <s v="BONUS_CARD"/>
    <n v="29"/>
    <n v="1"/>
    <n v="3"/>
    <n v="750.57"/>
    <n v="13130001313"/>
  </r>
  <r>
    <x v="13"/>
    <d v="1899-12-30T22:07:31"/>
    <n v="2314"/>
    <n v="13002561"/>
    <n v="13"/>
    <n v="22589"/>
    <s v="Retail Sale"/>
    <n v="15"/>
    <n v="31404"/>
    <x v="84"/>
    <s v="Pharmcomplect"/>
    <s v="Novartis"/>
    <n v="2"/>
    <n v="102.04"/>
    <n v="145.56"/>
    <n v="7.28"/>
    <n v="7.28"/>
    <s v="BONUS_CARD"/>
    <n v="29"/>
    <n v="1"/>
    <n v="4"/>
    <n v="138.28"/>
    <n v="13130001314"/>
  </r>
  <r>
    <x v="8"/>
    <d v="1899-12-30T08:10:07"/>
    <n v="2315"/>
    <n v="13002561"/>
    <n v="13"/>
    <n v="22589"/>
    <s v="Retail Sale"/>
    <n v="15"/>
    <n v="39325"/>
    <x v="33"/>
    <s v="Katren"/>
    <s v="Novartis"/>
    <n v="2"/>
    <n v="5.34"/>
    <n v="7.49"/>
    <n v="0"/>
    <n v="0"/>
    <m/>
    <n v="29"/>
    <n v="1"/>
    <n v="1"/>
    <n v="7.49"/>
    <n v="13130001315"/>
  </r>
  <r>
    <x v="10"/>
    <d v="1899-12-30T11:13:54"/>
    <n v="2316"/>
    <n v="13002561"/>
    <n v="13"/>
    <n v="22589"/>
    <s v="Retail Sale"/>
    <n v="15"/>
    <n v="68265"/>
    <x v="49"/>
    <s v="Pharmcomplect"/>
    <s v="Novartis"/>
    <n v="1"/>
    <n v="547.67999999999995"/>
    <n v="687.61"/>
    <n v="68.760000000000005"/>
    <n v="68.760000000000005"/>
    <s v="BONUS_CARD"/>
    <n v="29"/>
    <n v="1"/>
    <n v="5"/>
    <n v="618.85"/>
    <n v="13130001316"/>
  </r>
  <r>
    <x v="6"/>
    <d v="1899-12-30T10:08:16"/>
    <n v="2317"/>
    <n v="13002561"/>
    <n v="13"/>
    <n v="22589"/>
    <s v="Retail Sale"/>
    <n v="18"/>
    <n v="49432"/>
    <x v="13"/>
    <s v="Pulse"/>
    <s v="Sanofi"/>
    <n v="2"/>
    <n v="100.28"/>
    <n v="127.41"/>
    <n v="6.37"/>
    <n v="6.37"/>
    <s v="BONUS_CARD"/>
    <n v="29"/>
    <n v="1"/>
    <n v="4"/>
    <n v="121.04"/>
    <n v="13130001317"/>
  </r>
  <r>
    <x v="8"/>
    <d v="1899-12-30T15:00:47"/>
    <n v="2318"/>
    <n v="13002561"/>
    <n v="13"/>
    <n v="22589"/>
    <s v="Retail Sale"/>
    <n v="18"/>
    <n v="69872"/>
    <x v="84"/>
    <s v="Pulse"/>
    <s v="Takeda"/>
    <n v="2"/>
    <n v="466.18"/>
    <n v="622.01"/>
    <n v="31.1"/>
    <n v="31.1"/>
    <s v="BONUS_CARD"/>
    <n v="29"/>
    <n v="1"/>
    <n v="1"/>
    <n v="590.91"/>
    <n v="13130001318"/>
  </r>
  <r>
    <x v="7"/>
    <d v="1899-12-30T22:15:43"/>
    <n v="2319"/>
    <n v="13002561"/>
    <n v="13"/>
    <n v="22589"/>
    <s v="Retail Sale"/>
    <n v="18"/>
    <n v="20425"/>
    <x v="46"/>
    <s v="Protek"/>
    <s v="TEVA"/>
    <n v="1"/>
    <n v="359.17"/>
    <n v="564.55999999999995"/>
    <n v="56.46"/>
    <n v="56.46"/>
    <s v="BONUS_CARD"/>
    <n v="29"/>
    <n v="1"/>
    <n v="5"/>
    <n v="508.1"/>
    <n v="13130001319"/>
  </r>
  <r>
    <x v="10"/>
    <d v="1899-12-30T08:29:24"/>
    <n v="2320"/>
    <n v="13002561"/>
    <n v="13"/>
    <n v="22589"/>
    <s v="Retail Sale"/>
    <n v="15"/>
    <n v="96516"/>
    <x v="1"/>
    <s v="Pulse"/>
    <s v="Takeda"/>
    <n v="3"/>
    <n v="497.01"/>
    <n v="770.01"/>
    <n v="38.5"/>
    <n v="38.5"/>
    <s v="BONUS_CARD"/>
    <n v="29"/>
    <n v="1"/>
    <n v="3"/>
    <n v="731.51"/>
    <n v="13130001320"/>
  </r>
  <r>
    <x v="27"/>
    <d v="1899-12-30T13:30:32"/>
    <n v="2321"/>
    <n v="13002561"/>
    <n v="13"/>
    <n v="22589"/>
    <s v="Retail Sale"/>
    <n v="18"/>
    <n v="38320"/>
    <x v="74"/>
    <s v="Grand Capital"/>
    <s v="Pfizer"/>
    <n v="3"/>
    <n v="106.48"/>
    <n v="150.38999999999999"/>
    <n v="0"/>
    <n v="0"/>
    <m/>
    <n v="29"/>
    <n v="1"/>
    <n v="5"/>
    <n v="150.38999999999999"/>
    <n v="13130001321"/>
  </r>
  <r>
    <x v="1"/>
    <d v="1899-12-30T22:57:54"/>
    <n v="2322"/>
    <n v="13002561"/>
    <n v="13"/>
    <n v="22589"/>
    <s v="Retail Sale"/>
    <n v="18"/>
    <n v="78089"/>
    <x v="76"/>
    <s v="Pulse"/>
    <s v="Takeda"/>
    <n v="1"/>
    <n v="301.89999999999998"/>
    <n v="407.3"/>
    <n v="0"/>
    <n v="0"/>
    <m/>
    <n v="29"/>
    <n v="1"/>
    <n v="6"/>
    <n v="407.3"/>
    <n v="13130001322"/>
  </r>
  <r>
    <x v="22"/>
    <d v="1899-12-30T14:31:16"/>
    <n v="2323"/>
    <n v="13002561"/>
    <n v="13"/>
    <n v="22589"/>
    <s v="Retail Sale"/>
    <n v="15"/>
    <n v="70062"/>
    <x v="23"/>
    <s v="Pulse"/>
    <s v="Dr. Reddy's"/>
    <n v="3"/>
    <n v="473.12"/>
    <n v="695.53"/>
    <n v="69.55"/>
    <n v="69.55"/>
    <s v="BONUS_CARD"/>
    <n v="29"/>
    <n v="1"/>
    <n v="4"/>
    <n v="625.98"/>
    <n v="13130001323"/>
  </r>
  <r>
    <x v="14"/>
    <d v="1899-12-30T22:21:48"/>
    <n v="2324"/>
    <n v="13002561"/>
    <n v="13"/>
    <n v="22589"/>
    <s v="Retail Sale"/>
    <n v="18"/>
    <n v="23891"/>
    <x v="65"/>
    <s v="Protek"/>
    <s v="KRKA"/>
    <n v="3"/>
    <n v="298.05"/>
    <n v="499.89"/>
    <n v="0"/>
    <n v="0"/>
    <m/>
    <n v="29"/>
    <n v="1"/>
    <n v="6"/>
    <n v="499.89"/>
    <n v="13130001324"/>
  </r>
  <r>
    <x v="29"/>
    <d v="1899-12-30T14:18:32"/>
    <n v="2325"/>
    <n v="13002561"/>
    <n v="13"/>
    <n v="22589"/>
    <s v="Retail Sale"/>
    <n v="15"/>
    <n v="96945"/>
    <x v="30"/>
    <s v="Avesta"/>
    <s v="Dr. Reddy's"/>
    <n v="1"/>
    <n v="197.47"/>
    <n v="264.47000000000003"/>
    <n v="0"/>
    <n v="0"/>
    <m/>
    <n v="29"/>
    <n v="1"/>
    <n v="6"/>
    <n v="264.47000000000003"/>
    <n v="13130001325"/>
  </r>
  <r>
    <x v="15"/>
    <d v="1899-12-30T14:54:24"/>
    <n v="2326"/>
    <n v="13002561"/>
    <n v="13"/>
    <n v="22589"/>
    <s v="Retail Sale"/>
    <n v="15"/>
    <n v="91037"/>
    <x v="32"/>
    <s v="Grand Capital"/>
    <s v="TEVA"/>
    <n v="1"/>
    <n v="83.25"/>
    <n v="135.24"/>
    <n v="6.76"/>
    <n v="6.76"/>
    <s v="BONUS_CARD"/>
    <n v="29"/>
    <n v="1"/>
    <n v="4"/>
    <n v="128.47999999999999"/>
    <n v="13130001326"/>
  </r>
  <r>
    <x v="2"/>
    <d v="1899-12-30T19:08:48"/>
    <n v="2327"/>
    <n v="13002561"/>
    <n v="13"/>
    <n v="22589"/>
    <s v="Retail Sale"/>
    <n v="15"/>
    <n v="69466"/>
    <x v="89"/>
    <s v="Protek"/>
    <s v="KRKA"/>
    <n v="2"/>
    <n v="281.24"/>
    <n v="420.64"/>
    <n v="21.03"/>
    <n v="21.03"/>
    <s v="BONUS_CARD"/>
    <n v="29"/>
    <n v="1"/>
    <n v="2"/>
    <n v="399.61"/>
    <n v="13130001327"/>
  </r>
  <r>
    <x v="11"/>
    <d v="1899-12-30T20:33:24"/>
    <n v="2328"/>
    <n v="13002561"/>
    <n v="13"/>
    <n v="22589"/>
    <s v="Retail Sale"/>
    <n v="15"/>
    <n v="41004"/>
    <x v="27"/>
    <s v="Protek"/>
    <s v="TEVA"/>
    <n v="2"/>
    <n v="54"/>
    <n v="90.36"/>
    <n v="4.5199999999999996"/>
    <n v="4.5199999999999996"/>
    <s v="BONUS_CARD"/>
    <n v="29"/>
    <n v="1"/>
    <n v="5"/>
    <n v="85.84"/>
    <n v="13130001328"/>
  </r>
  <r>
    <x v="16"/>
    <d v="1899-12-30T10:25:10"/>
    <n v="2329"/>
    <n v="13002561"/>
    <n v="13"/>
    <n v="22589"/>
    <s v="Retail Sale"/>
    <n v="18"/>
    <n v="11518"/>
    <x v="27"/>
    <s v="Grand Capital"/>
    <s v="Dr. Reddy's"/>
    <n v="2"/>
    <n v="353.8"/>
    <n v="466.64"/>
    <n v="23.33"/>
    <n v="23.33"/>
    <s v="BONUS_CARD"/>
    <n v="29"/>
    <n v="1"/>
    <n v="5"/>
    <n v="443.31"/>
    <n v="13130001329"/>
  </r>
  <r>
    <x v="18"/>
    <d v="1899-12-30T08:38:58"/>
    <n v="2330"/>
    <n v="13002561"/>
    <n v="13"/>
    <n v="22589"/>
    <s v="Retail Sale"/>
    <n v="15"/>
    <n v="34651"/>
    <x v="40"/>
    <s v="Pharmcomplect"/>
    <s v="Dr. Reddy's"/>
    <n v="1"/>
    <n v="314.8"/>
    <n v="535.04999999999995"/>
    <n v="53.5"/>
    <n v="53.5"/>
    <s v="BONUS_CARD"/>
    <n v="29"/>
    <n v="1"/>
    <n v="4"/>
    <n v="481.55"/>
    <n v="13130001330"/>
  </r>
  <r>
    <x v="5"/>
    <d v="1899-12-30T21:38:42"/>
    <n v="2331"/>
    <n v="13002561"/>
    <n v="13"/>
    <n v="22589"/>
    <s v="Retail Sale"/>
    <n v="18"/>
    <n v="90779"/>
    <x v="4"/>
    <s v="Katren"/>
    <s v="Pfizer"/>
    <n v="2"/>
    <n v="82.24"/>
    <n v="124.01"/>
    <n v="6.2"/>
    <n v="6.2"/>
    <s v="BONUS_CARD"/>
    <n v="29"/>
    <n v="1"/>
    <n v="5"/>
    <n v="117.81"/>
    <n v="13130001331"/>
  </r>
  <r>
    <x v="0"/>
    <d v="1899-12-30T17:57:39"/>
    <n v="2332"/>
    <n v="13002561"/>
    <n v="13"/>
    <n v="22589"/>
    <s v="Retail Sale"/>
    <n v="18"/>
    <n v="26290"/>
    <x v="46"/>
    <s v="Katren"/>
    <s v="Pfizer"/>
    <n v="3"/>
    <n v="283.14999999999998"/>
    <n v="467.66"/>
    <n v="46.77"/>
    <n v="46.77"/>
    <s v="BONUS_CARD"/>
    <n v="29"/>
    <n v="1"/>
    <n v="3"/>
    <n v="420.89"/>
    <n v="13130001332"/>
  </r>
  <r>
    <x v="28"/>
    <d v="1899-12-30T22:58:23"/>
    <n v="2333"/>
    <n v="13002561"/>
    <n v="13"/>
    <n v="22589"/>
    <s v="Retail Sale"/>
    <n v="18"/>
    <n v="46755"/>
    <x v="81"/>
    <s v="Pharmcomplect"/>
    <s v="KRKA"/>
    <n v="2"/>
    <n v="373.3"/>
    <n v="626.07000000000005"/>
    <n v="62.61"/>
    <n v="62.61"/>
    <s v="BONUS_CARD"/>
    <n v="29"/>
    <n v="1"/>
    <n v="2"/>
    <n v="563.46"/>
    <n v="13130001333"/>
  </r>
  <r>
    <x v="17"/>
    <d v="1899-12-30T12:59:12"/>
    <n v="2334"/>
    <n v="13002561"/>
    <n v="13"/>
    <n v="22589"/>
    <s v="Retail Sale"/>
    <n v="18"/>
    <n v="75979"/>
    <x v="65"/>
    <s v="Grand Capital"/>
    <s v="TEVA"/>
    <n v="1"/>
    <n v="79.13"/>
    <n v="118.89"/>
    <n v="0"/>
    <n v="0"/>
    <m/>
    <n v="29"/>
    <n v="1"/>
    <n v="5"/>
    <n v="118.89"/>
    <n v="13130001334"/>
  </r>
  <r>
    <x v="22"/>
    <d v="1899-12-30T10:45:42"/>
    <n v="2335"/>
    <n v="13002561"/>
    <n v="13"/>
    <n v="22589"/>
    <s v="Retail Sale"/>
    <n v="15"/>
    <n v="79306"/>
    <x v="45"/>
    <s v="Pulse"/>
    <s v="Pfizer"/>
    <n v="3"/>
    <n v="423.1"/>
    <n v="618.54999999999995"/>
    <n v="0"/>
    <n v="0"/>
    <m/>
    <n v="29"/>
    <n v="1"/>
    <n v="4"/>
    <n v="618.54999999999995"/>
    <n v="13130001335"/>
  </r>
  <r>
    <x v="17"/>
    <d v="1899-12-30T21:47:58"/>
    <n v="2336"/>
    <n v="13002561"/>
    <n v="13"/>
    <n v="22589"/>
    <s v="Retail Sale"/>
    <n v="18"/>
    <n v="19937"/>
    <x v="3"/>
    <s v="Katren"/>
    <s v="Dr. Reddy's"/>
    <n v="3"/>
    <n v="103.77"/>
    <n v="148.72"/>
    <n v="14.87"/>
    <n v="14.87"/>
    <s v="BONUS_CARD"/>
    <n v="29"/>
    <n v="1"/>
    <n v="6"/>
    <n v="133.85"/>
    <n v="13130001336"/>
  </r>
  <r>
    <x v="19"/>
    <d v="1899-12-30T19:37:38"/>
    <n v="2337"/>
    <n v="13002561"/>
    <n v="13"/>
    <n v="22589"/>
    <s v="Retail Sale"/>
    <n v="15"/>
    <n v="10838"/>
    <x v="1"/>
    <s v="Pulse"/>
    <s v="Sanofi"/>
    <n v="2"/>
    <n v="573.54"/>
    <n v="816.99"/>
    <n v="0"/>
    <n v="0"/>
    <m/>
    <n v="29"/>
    <n v="1"/>
    <n v="5"/>
    <n v="816.99"/>
    <n v="13130001337"/>
  </r>
  <r>
    <x v="26"/>
    <d v="1899-12-30T08:30:12"/>
    <n v="2338"/>
    <n v="13002561"/>
    <n v="13"/>
    <n v="22589"/>
    <s v="Retail Sale"/>
    <n v="18"/>
    <n v="89297"/>
    <x v="43"/>
    <s v="Protek"/>
    <s v="Sanofi"/>
    <n v="1"/>
    <n v="201.35"/>
    <n v="283.72000000000003"/>
    <n v="14.19"/>
    <n v="14.19"/>
    <s v="BONUS_CARD"/>
    <n v="29"/>
    <n v="1"/>
    <n v="6"/>
    <n v="269.52999999999997"/>
    <n v="13130001338"/>
  </r>
  <r>
    <x v="13"/>
    <d v="1899-12-30T18:21:47"/>
    <n v="2339"/>
    <n v="13002561"/>
    <n v="13"/>
    <n v="22589"/>
    <s v="Retail Sale"/>
    <n v="15"/>
    <n v="69184"/>
    <x v="65"/>
    <s v="Grand Capital"/>
    <s v="Novartis"/>
    <n v="1"/>
    <n v="148.43"/>
    <n v="198.5"/>
    <n v="19.850000000000001"/>
    <n v="19.850000000000001"/>
    <s v="BONUS_CARD"/>
    <n v="29"/>
    <n v="1"/>
    <n v="3"/>
    <n v="178.65"/>
    <n v="13130001339"/>
  </r>
  <r>
    <x v="3"/>
    <d v="1899-12-30T19:54:18"/>
    <n v="2340"/>
    <n v="13002561"/>
    <n v="13"/>
    <n v="22589"/>
    <s v="Retail Sale"/>
    <n v="18"/>
    <n v="94376"/>
    <x v="21"/>
    <s v="Protek"/>
    <s v="TEVA"/>
    <n v="3"/>
    <n v="167.7"/>
    <n v="233.07"/>
    <n v="23.31"/>
    <n v="23.31"/>
    <s v="BONUS_CARD"/>
    <n v="29"/>
    <n v="1"/>
    <n v="3"/>
    <n v="209.76"/>
    <n v="13130001340"/>
  </r>
  <r>
    <x v="21"/>
    <d v="1899-12-30T12:08:28"/>
    <n v="2341"/>
    <n v="13002561"/>
    <n v="13"/>
    <n v="22589"/>
    <s v="Retail Sale"/>
    <n v="18"/>
    <n v="47912"/>
    <x v="73"/>
    <s v="Grand Capital"/>
    <s v="KRKA"/>
    <n v="1"/>
    <n v="433.82"/>
    <n v="690.86"/>
    <n v="69.09"/>
    <n v="69.09"/>
    <s v="BONUS_CARD"/>
    <n v="29"/>
    <n v="1"/>
    <n v="5"/>
    <n v="621.77"/>
    <n v="13130001341"/>
  </r>
  <r>
    <x v="27"/>
    <d v="1899-12-30T22:16:21"/>
    <n v="2342"/>
    <n v="13002561"/>
    <n v="13"/>
    <n v="22589"/>
    <s v="Retail Sale"/>
    <n v="15"/>
    <n v="99533"/>
    <x v="63"/>
    <s v="Avesta"/>
    <s v="Dr. Reddy's"/>
    <n v="3"/>
    <n v="129.72"/>
    <n v="219.42"/>
    <n v="21.94"/>
    <n v="21.94"/>
    <s v="BONUS_CARD"/>
    <n v="29"/>
    <n v="1"/>
    <n v="4"/>
    <n v="197.48"/>
    <n v="13130001342"/>
  </r>
  <r>
    <x v="21"/>
    <d v="1899-12-30T22:42:40"/>
    <n v="2343"/>
    <n v="13002561"/>
    <n v="13"/>
    <n v="22589"/>
    <s v="Retail Sale"/>
    <n v="18"/>
    <n v="42113"/>
    <x v="9"/>
    <s v="Avesta"/>
    <s v="Novartis"/>
    <n v="3"/>
    <n v="207.86"/>
    <n v="289.11"/>
    <n v="0"/>
    <n v="0"/>
    <m/>
    <n v="29"/>
    <n v="1"/>
    <n v="4"/>
    <n v="289.11"/>
    <n v="13130001343"/>
  </r>
  <r>
    <x v="29"/>
    <d v="1899-12-30T12:06:27"/>
    <n v="2344"/>
    <n v="13002561"/>
    <n v="13"/>
    <n v="22589"/>
    <s v="Retail Sale"/>
    <n v="15"/>
    <n v="81093"/>
    <x v="48"/>
    <s v="Protek"/>
    <s v="Dr. Reddy's"/>
    <n v="3"/>
    <n v="69.900000000000006"/>
    <n v="114.25"/>
    <n v="5.71"/>
    <n v="5.71"/>
    <s v="BONUS_CARD"/>
    <n v="29"/>
    <n v="1"/>
    <n v="2"/>
    <n v="108.54"/>
    <n v="13130001344"/>
  </r>
  <r>
    <x v="18"/>
    <d v="1899-12-30T12:22:21"/>
    <n v="2345"/>
    <n v="13002561"/>
    <n v="13"/>
    <n v="22589"/>
    <s v="Retail Sale"/>
    <n v="18"/>
    <n v="28996"/>
    <x v="27"/>
    <s v="Protek"/>
    <s v="Novartis"/>
    <n v="3"/>
    <n v="407.03"/>
    <n v="623.76"/>
    <n v="31.19"/>
    <n v="31.19"/>
    <s v="BONUS_CARD"/>
    <n v="29"/>
    <n v="1"/>
    <n v="2"/>
    <n v="592.57000000000005"/>
    <n v="13130001345"/>
  </r>
  <r>
    <x v="22"/>
    <d v="1899-12-30T22:17:48"/>
    <n v="2346"/>
    <n v="13002561"/>
    <n v="13"/>
    <n v="22589"/>
    <s v="Retail Sale"/>
    <n v="15"/>
    <n v="27876"/>
    <x v="73"/>
    <s v="Grand Capital"/>
    <s v="TEVA"/>
    <n v="2"/>
    <n v="508.88"/>
    <n v="712.15"/>
    <n v="0"/>
    <n v="0"/>
    <m/>
    <n v="29"/>
    <n v="1"/>
    <n v="1"/>
    <n v="712.15"/>
    <n v="13130001346"/>
  </r>
  <r>
    <x v="26"/>
    <d v="1899-12-30T18:50:43"/>
    <n v="2347"/>
    <n v="13002561"/>
    <n v="13"/>
    <n v="22589"/>
    <s v="Retail Sale"/>
    <n v="15"/>
    <n v="18726"/>
    <x v="41"/>
    <s v="Pulse"/>
    <s v="KRKA"/>
    <n v="1"/>
    <n v="583.13"/>
    <n v="784.82"/>
    <n v="0"/>
    <n v="0"/>
    <m/>
    <n v="29"/>
    <n v="1"/>
    <n v="6"/>
    <n v="784.82"/>
    <n v="13130001347"/>
  </r>
  <r>
    <x v="26"/>
    <d v="1899-12-30T16:24:00"/>
    <n v="2348"/>
    <n v="13002561"/>
    <n v="13"/>
    <n v="22589"/>
    <s v="Retail Sale"/>
    <n v="18"/>
    <n v="61209"/>
    <x v="34"/>
    <s v="Protek"/>
    <s v="KRKA"/>
    <n v="1"/>
    <n v="64.56"/>
    <n v="107.32"/>
    <n v="5.37"/>
    <n v="5.37"/>
    <s v="BONUS_CARD"/>
    <n v="29"/>
    <n v="1"/>
    <n v="3"/>
    <n v="101.95"/>
    <n v="13130001348"/>
  </r>
  <r>
    <x v="30"/>
    <d v="1899-12-30T19:10:11"/>
    <n v="2349"/>
    <n v="13002561"/>
    <n v="13"/>
    <n v="22589"/>
    <s v="Retail Sale"/>
    <n v="15"/>
    <n v="77710"/>
    <x v="26"/>
    <s v="Pharmcomplect"/>
    <s v="KRKA"/>
    <n v="1"/>
    <n v="281.87"/>
    <n v="412.38"/>
    <n v="0"/>
    <n v="0"/>
    <m/>
    <n v="29"/>
    <n v="1"/>
    <n v="2"/>
    <n v="412.38"/>
    <n v="13130001349"/>
  </r>
  <r>
    <x v="27"/>
    <d v="1899-12-30T17:45:37"/>
    <n v="2350"/>
    <n v="13002561"/>
    <n v="13"/>
    <n v="22589"/>
    <s v="Retail Sale"/>
    <n v="18"/>
    <n v="91174"/>
    <x v="13"/>
    <s v="Pulse"/>
    <s v="Pfizer"/>
    <n v="2"/>
    <n v="120.06"/>
    <n v="201.56"/>
    <n v="10.08"/>
    <n v="10.08"/>
    <s v="BONUS_CARD"/>
    <n v="29"/>
    <n v="1"/>
    <n v="5"/>
    <n v="191.48"/>
    <n v="13130001350"/>
  </r>
  <r>
    <x v="9"/>
    <d v="1899-12-30T15:50:59"/>
    <n v="2351"/>
    <n v="13002561"/>
    <n v="13"/>
    <n v="22589"/>
    <s v="Retail Sale"/>
    <n v="15"/>
    <n v="72388"/>
    <x v="77"/>
    <s v="Katren"/>
    <s v="Takeda"/>
    <n v="1"/>
    <n v="95.71"/>
    <n v="142.08000000000001"/>
    <n v="14.21"/>
    <n v="14.21"/>
    <s v="BONUS_CARD"/>
    <n v="29"/>
    <n v="1"/>
    <n v="6"/>
    <n v="127.87"/>
    <n v="13130001351"/>
  </r>
  <r>
    <x v="19"/>
    <d v="1899-12-30T10:54:10"/>
    <n v="2352"/>
    <n v="13002561"/>
    <n v="13"/>
    <n v="22589"/>
    <s v="Retail Sale"/>
    <n v="15"/>
    <n v="59847"/>
    <x v="77"/>
    <s v="Katren"/>
    <s v="KRKA"/>
    <n v="1"/>
    <n v="189.13"/>
    <n v="267.19"/>
    <n v="13.36"/>
    <n v="13.36"/>
    <s v="BONUS_CARD"/>
    <n v="29"/>
    <n v="1"/>
    <n v="5"/>
    <n v="253.83"/>
    <n v="13130001352"/>
  </r>
  <r>
    <x v="10"/>
    <d v="1899-12-30T09:21:18"/>
    <n v="2353"/>
    <n v="13002561"/>
    <n v="13"/>
    <n v="22589"/>
    <s v="Retail Sale"/>
    <n v="18"/>
    <n v="54510"/>
    <x v="33"/>
    <s v="Pharmcomplect"/>
    <s v="Dr. Reddy's"/>
    <n v="2"/>
    <n v="388.52"/>
    <n v="600.07000000000005"/>
    <n v="60.01"/>
    <n v="60.01"/>
    <s v="BONUS_CARD"/>
    <n v="29"/>
    <n v="1"/>
    <n v="5"/>
    <n v="540.05999999999995"/>
    <n v="13130001353"/>
  </r>
  <r>
    <x v="21"/>
    <d v="1899-12-30T19:54:54"/>
    <n v="2354"/>
    <n v="13002561"/>
    <n v="13"/>
    <n v="22589"/>
    <s v="Retail Sale"/>
    <n v="15"/>
    <n v="99356"/>
    <x v="54"/>
    <s v="Pulse"/>
    <s v="Bayer"/>
    <n v="2"/>
    <n v="28.9"/>
    <n v="46.25"/>
    <n v="0"/>
    <n v="0"/>
    <m/>
    <n v="29"/>
    <n v="1"/>
    <n v="1"/>
    <n v="46.25"/>
    <n v="13130001354"/>
  </r>
  <r>
    <x v="2"/>
    <d v="1899-12-30T08:42:11"/>
    <n v="2355"/>
    <n v="13002561"/>
    <n v="13"/>
    <n v="22589"/>
    <s v="Retail Sale"/>
    <n v="18"/>
    <n v="26651"/>
    <x v="40"/>
    <s v="Pharmcomplect"/>
    <s v="KRKA"/>
    <n v="2"/>
    <n v="266.11"/>
    <n v="432.21"/>
    <n v="21.61"/>
    <n v="21.61"/>
    <s v="BONUS_CARD"/>
    <n v="29"/>
    <n v="1"/>
    <n v="4"/>
    <n v="410.6"/>
    <n v="13130001355"/>
  </r>
  <r>
    <x v="11"/>
    <d v="1899-12-30T11:23:34"/>
    <n v="2356"/>
    <n v="13002561"/>
    <n v="13"/>
    <n v="22589"/>
    <s v="Retail Sale"/>
    <n v="18"/>
    <n v="95774"/>
    <x v="84"/>
    <s v="Pharmcomplect"/>
    <s v="Dr. Reddy's"/>
    <n v="2"/>
    <n v="432.9"/>
    <n v="668.37"/>
    <n v="66.84"/>
    <n v="66.84"/>
    <s v="BONUS_CARD"/>
    <n v="29"/>
    <n v="1"/>
    <n v="6"/>
    <n v="601.53"/>
    <n v="13130001356"/>
  </r>
  <r>
    <x v="12"/>
    <d v="1899-12-30T13:59:51"/>
    <n v="2357"/>
    <n v="13002561"/>
    <n v="13"/>
    <n v="22589"/>
    <s v="Retail Sale"/>
    <n v="18"/>
    <n v="91503"/>
    <x v="50"/>
    <s v="Katren"/>
    <s v="KRKA"/>
    <n v="2"/>
    <n v="529.96"/>
    <n v="803.8"/>
    <n v="80.38"/>
    <n v="80.38"/>
    <s v="BONUS_CARD"/>
    <n v="29"/>
    <n v="1"/>
    <n v="6"/>
    <n v="723.42"/>
    <n v="13130001357"/>
  </r>
  <r>
    <x v="20"/>
    <d v="1899-12-30T12:28:10"/>
    <n v="2358"/>
    <n v="13002561"/>
    <n v="13"/>
    <n v="22589"/>
    <s v="Retail Sale"/>
    <n v="15"/>
    <n v="59638"/>
    <x v="47"/>
    <s v="Pharmcomplect"/>
    <s v="Sanofi"/>
    <n v="2"/>
    <n v="122.4"/>
    <n v="164.85"/>
    <n v="0"/>
    <n v="0"/>
    <m/>
    <n v="29"/>
    <n v="1"/>
    <n v="3"/>
    <n v="164.85"/>
    <n v="13130001358"/>
  </r>
  <r>
    <x v="2"/>
    <d v="1899-12-30T10:48:54"/>
    <n v="2359"/>
    <n v="13002561"/>
    <n v="13"/>
    <n v="22589"/>
    <s v="Retail Sale"/>
    <n v="18"/>
    <n v="99923"/>
    <x v="3"/>
    <s v="Protek"/>
    <s v="TEVA"/>
    <n v="3"/>
    <n v="195.46"/>
    <n v="258.76"/>
    <n v="25.88"/>
    <n v="25.88"/>
    <s v="BONUS_CARD"/>
    <n v="29"/>
    <n v="1"/>
    <n v="2"/>
    <n v="232.88"/>
    <n v="13130001359"/>
  </r>
  <r>
    <x v="29"/>
    <d v="1899-12-30T15:01:34"/>
    <n v="2360"/>
    <n v="13002561"/>
    <n v="13"/>
    <n v="22589"/>
    <s v="Retail Sale"/>
    <n v="18"/>
    <n v="41513"/>
    <x v="82"/>
    <s v="Protek"/>
    <s v="Dr. Reddy's"/>
    <n v="1"/>
    <n v="117.01"/>
    <n v="194.45"/>
    <n v="19.45"/>
    <n v="19.45"/>
    <s v="BONUS_CARD"/>
    <n v="29"/>
    <n v="1"/>
    <n v="6"/>
    <n v="175"/>
    <n v="13130001360"/>
  </r>
  <r>
    <x v="0"/>
    <d v="1899-12-30T12:07:17"/>
    <n v="2361"/>
    <n v="13002561"/>
    <n v="13"/>
    <n v="22589"/>
    <s v="Retail Sale"/>
    <n v="18"/>
    <n v="10444"/>
    <x v="79"/>
    <s v="Grand Capital"/>
    <s v="TEVA"/>
    <n v="2"/>
    <n v="36.56"/>
    <n v="58.24"/>
    <n v="0"/>
    <n v="0"/>
    <m/>
    <n v="29"/>
    <n v="1"/>
    <n v="6"/>
    <n v="58.24"/>
    <n v="13130001361"/>
  </r>
  <r>
    <x v="25"/>
    <d v="1899-12-30T11:19:09"/>
    <n v="2362"/>
    <n v="13002561"/>
    <n v="13"/>
    <n v="22589"/>
    <s v="Retail Sale"/>
    <n v="15"/>
    <n v="27101"/>
    <x v="62"/>
    <s v="Grand Capital"/>
    <s v="Novartis"/>
    <n v="1"/>
    <n v="549.08000000000004"/>
    <n v="863.87"/>
    <n v="43.19"/>
    <n v="43.19"/>
    <s v="BONUS_CARD"/>
    <n v="29"/>
    <n v="1"/>
    <n v="1"/>
    <n v="820.68"/>
    <n v="13130001362"/>
  </r>
  <r>
    <x v="6"/>
    <d v="1899-12-30T22:24:08"/>
    <n v="2363"/>
    <n v="13002561"/>
    <n v="13"/>
    <n v="22589"/>
    <s v="Retail Sale"/>
    <n v="15"/>
    <n v="41413"/>
    <x v="53"/>
    <s v="Pulse"/>
    <s v="Bayer"/>
    <n v="1"/>
    <n v="127.83"/>
    <n v="164.19"/>
    <n v="0"/>
    <n v="0"/>
    <m/>
    <n v="29"/>
    <n v="1"/>
    <n v="6"/>
    <n v="164.19"/>
    <n v="13130001363"/>
  </r>
  <r>
    <x v="18"/>
    <d v="1899-12-30T09:08:36"/>
    <n v="2364"/>
    <n v="13002561"/>
    <n v="13"/>
    <n v="22589"/>
    <s v="Retail Sale"/>
    <n v="18"/>
    <n v="51576"/>
    <x v="70"/>
    <s v="Protek"/>
    <s v="Bayer"/>
    <n v="1"/>
    <n v="102.78"/>
    <n v="142.82"/>
    <n v="14.28"/>
    <n v="14.28"/>
    <s v="BONUS_CARD"/>
    <n v="29"/>
    <n v="1"/>
    <n v="1"/>
    <n v="128.54"/>
    <n v="13130001364"/>
  </r>
  <r>
    <x v="10"/>
    <d v="1899-12-30T17:48:14"/>
    <n v="2365"/>
    <n v="13002561"/>
    <n v="13"/>
    <n v="22589"/>
    <s v="Retail Sale"/>
    <n v="15"/>
    <n v="75959"/>
    <x v="5"/>
    <s v="Pharmcomplect"/>
    <s v="Sanofi"/>
    <n v="2"/>
    <n v="589.01"/>
    <n v="862.71"/>
    <n v="0"/>
    <n v="0"/>
    <m/>
    <n v="29"/>
    <n v="1"/>
    <n v="3"/>
    <n v="862.71"/>
    <n v="13130001365"/>
  </r>
  <r>
    <x v="5"/>
    <d v="1899-12-30T14:20:19"/>
    <n v="2366"/>
    <n v="13002561"/>
    <n v="13"/>
    <n v="22589"/>
    <s v="Retail Sale"/>
    <n v="15"/>
    <n v="56773"/>
    <x v="38"/>
    <s v="Pharmcomplect"/>
    <s v="Bayer"/>
    <n v="2"/>
    <n v="336.47"/>
    <n v="543.28"/>
    <n v="54.33"/>
    <n v="54.33"/>
    <s v="BONUS_CARD"/>
    <n v="29"/>
    <n v="1"/>
    <n v="1"/>
    <n v="488.95"/>
    <n v="13130001366"/>
  </r>
  <r>
    <x v="12"/>
    <d v="1899-12-30T18:39:44"/>
    <n v="2367"/>
    <n v="13002561"/>
    <n v="13"/>
    <n v="22589"/>
    <s v="Retail Sale"/>
    <n v="18"/>
    <n v="68713"/>
    <x v="0"/>
    <s v="Avesta"/>
    <s v="KRKA"/>
    <n v="2"/>
    <n v="121.65"/>
    <n v="190.92"/>
    <n v="0"/>
    <n v="0"/>
    <m/>
    <n v="29"/>
    <n v="1"/>
    <n v="1"/>
    <n v="190.92"/>
    <n v="13130001367"/>
  </r>
  <r>
    <x v="7"/>
    <d v="1899-12-30T18:50:22"/>
    <n v="2368"/>
    <n v="13002561"/>
    <n v="13"/>
    <n v="22589"/>
    <s v="Retail Sale"/>
    <n v="18"/>
    <n v="83144"/>
    <x v="44"/>
    <s v="Protek"/>
    <s v="Sanofi"/>
    <n v="2"/>
    <n v="438.83"/>
    <n v="559.46"/>
    <n v="0"/>
    <n v="0"/>
    <m/>
    <n v="29"/>
    <n v="1"/>
    <n v="3"/>
    <n v="559.46"/>
    <n v="13130001368"/>
  </r>
  <r>
    <x v="22"/>
    <d v="1899-12-30T09:25:23"/>
    <n v="2369"/>
    <n v="13002561"/>
    <n v="13"/>
    <n v="22589"/>
    <s v="Retail Sale"/>
    <n v="18"/>
    <n v="96050"/>
    <x v="70"/>
    <s v="Pulse"/>
    <s v="Bayer"/>
    <n v="3"/>
    <n v="496.33"/>
    <n v="665.92"/>
    <n v="0"/>
    <n v="0"/>
    <m/>
    <n v="29"/>
    <n v="1"/>
    <n v="2"/>
    <n v="665.92"/>
    <n v="13130001369"/>
  </r>
  <r>
    <x v="25"/>
    <d v="1899-12-30T11:55:27"/>
    <n v="2370"/>
    <n v="13002561"/>
    <n v="13"/>
    <n v="22589"/>
    <s v="Retail Sale"/>
    <n v="18"/>
    <n v="49662"/>
    <x v="49"/>
    <s v="Grand Capital"/>
    <s v="Sanofi"/>
    <n v="1"/>
    <n v="355.05"/>
    <n v="450.29"/>
    <n v="22.51"/>
    <n v="22.51"/>
    <s v="BONUS_CARD"/>
    <n v="29"/>
    <n v="1"/>
    <n v="4"/>
    <n v="427.78"/>
    <n v="13130001370"/>
  </r>
  <r>
    <x v="2"/>
    <d v="1899-12-30T09:52:30"/>
    <n v="2371"/>
    <n v="13002561"/>
    <n v="13"/>
    <n v="22589"/>
    <s v="Retail Sale"/>
    <n v="18"/>
    <n v="43279"/>
    <x v="2"/>
    <s v="Grand Capital"/>
    <s v="TEVA"/>
    <n v="3"/>
    <n v="400.46"/>
    <n v="676.98"/>
    <n v="0"/>
    <n v="0"/>
    <m/>
    <n v="29"/>
    <n v="1"/>
    <n v="3"/>
    <n v="676.98"/>
    <n v="13130001371"/>
  </r>
  <r>
    <x v="28"/>
    <d v="1899-12-30T22:06:03"/>
    <n v="2372"/>
    <n v="13002561"/>
    <n v="13"/>
    <n v="22589"/>
    <s v="Retail Sale"/>
    <n v="15"/>
    <n v="36285"/>
    <x v="59"/>
    <s v="Grand Capital"/>
    <s v="Dr. Reddy's"/>
    <n v="3"/>
    <n v="139.13999999999999"/>
    <n v="202.23"/>
    <n v="0"/>
    <n v="0"/>
    <m/>
    <n v="29"/>
    <n v="1"/>
    <n v="1"/>
    <n v="202.23"/>
    <n v="13130001372"/>
  </r>
  <r>
    <x v="12"/>
    <d v="1899-12-30T14:31:46"/>
    <n v="2373"/>
    <n v="13002561"/>
    <n v="13"/>
    <n v="22589"/>
    <s v="Retail Sale"/>
    <n v="18"/>
    <n v="83318"/>
    <x v="10"/>
    <s v="Pulse"/>
    <s v="Pfizer"/>
    <n v="2"/>
    <n v="426.99"/>
    <n v="697.91"/>
    <n v="34.9"/>
    <n v="34.9"/>
    <s v="BONUS_CARD"/>
    <n v="29"/>
    <n v="1"/>
    <n v="1"/>
    <n v="663.01"/>
    <n v="13130001373"/>
  </r>
  <r>
    <x v="2"/>
    <d v="1899-12-30T14:54:43"/>
    <n v="2374"/>
    <n v="13002561"/>
    <n v="13"/>
    <n v="22589"/>
    <s v="Retail Sale"/>
    <n v="15"/>
    <n v="37000"/>
    <x v="39"/>
    <s v="Katren"/>
    <s v="Novartis"/>
    <n v="2"/>
    <n v="194.19"/>
    <n v="251.11"/>
    <n v="12.56"/>
    <n v="12.56"/>
    <s v="BONUS_CARD"/>
    <n v="29"/>
    <n v="1"/>
    <n v="2"/>
    <n v="238.55"/>
    <n v="13130001374"/>
  </r>
  <r>
    <x v="3"/>
    <d v="1899-12-30T21:07:53"/>
    <n v="2375"/>
    <n v="13002561"/>
    <n v="13"/>
    <n v="22589"/>
    <s v="Retail Sale"/>
    <n v="18"/>
    <n v="96273"/>
    <x v="66"/>
    <s v="Protek"/>
    <s v="TEVA"/>
    <n v="1"/>
    <n v="18.34"/>
    <n v="27.45"/>
    <n v="1.37"/>
    <n v="1.37"/>
    <s v="BONUS_CARD"/>
    <n v="29"/>
    <n v="1"/>
    <n v="2"/>
    <n v="26.08"/>
    <n v="13130001375"/>
  </r>
  <r>
    <x v="17"/>
    <d v="1899-12-30T11:27:33"/>
    <n v="2376"/>
    <n v="13002561"/>
    <n v="13"/>
    <n v="22589"/>
    <s v="Retail Sale"/>
    <n v="18"/>
    <n v="50878"/>
    <x v="2"/>
    <s v="Pharmcomplect"/>
    <s v="KRKA"/>
    <n v="1"/>
    <n v="551.45000000000005"/>
    <n v="856.86"/>
    <n v="42.84"/>
    <n v="42.84"/>
    <s v="BONUS_CARD"/>
    <n v="29"/>
    <n v="1"/>
    <n v="6"/>
    <n v="814.02"/>
    <n v="13130001376"/>
  </r>
  <r>
    <x v="29"/>
    <d v="1899-12-30T18:38:50"/>
    <n v="2377"/>
    <n v="13002561"/>
    <n v="13"/>
    <n v="22589"/>
    <s v="Retail Sale"/>
    <n v="18"/>
    <n v="53281"/>
    <x v="81"/>
    <s v="Protek"/>
    <s v="Bayer"/>
    <n v="2"/>
    <n v="474.72"/>
    <n v="781.32"/>
    <n v="0"/>
    <n v="0"/>
    <m/>
    <n v="29"/>
    <n v="1"/>
    <n v="3"/>
    <n v="781.32"/>
    <n v="13130001377"/>
  </r>
  <r>
    <x v="1"/>
    <d v="1899-12-30T14:26:05"/>
    <n v="2378"/>
    <n v="13002561"/>
    <n v="13"/>
    <n v="22589"/>
    <s v="Retail Sale"/>
    <n v="18"/>
    <n v="26031"/>
    <x v="26"/>
    <s v="Pulse"/>
    <s v="Takeda"/>
    <n v="3"/>
    <n v="508.18"/>
    <n v="775.87"/>
    <n v="0"/>
    <n v="0"/>
    <m/>
    <n v="29"/>
    <n v="1"/>
    <n v="2"/>
    <n v="775.87"/>
    <n v="13130001378"/>
  </r>
  <r>
    <x v="19"/>
    <d v="1899-12-30T17:35:08"/>
    <n v="2379"/>
    <n v="13002561"/>
    <n v="13"/>
    <n v="22589"/>
    <s v="Retail Sale"/>
    <n v="18"/>
    <n v="95611"/>
    <x v="36"/>
    <s v="Protek"/>
    <s v="Novartis"/>
    <n v="3"/>
    <n v="220.95"/>
    <n v="313.18"/>
    <n v="15.66"/>
    <n v="15.66"/>
    <s v="BONUS_CARD"/>
    <n v="29"/>
    <n v="1"/>
    <n v="1"/>
    <n v="297.52"/>
    <n v="13130001379"/>
  </r>
  <r>
    <x v="11"/>
    <d v="1899-12-30T15:19:29"/>
    <n v="2380"/>
    <n v="13002561"/>
    <n v="13"/>
    <n v="22589"/>
    <s v="Retail Sale"/>
    <n v="18"/>
    <n v="97177"/>
    <x v="22"/>
    <s v="Pharmcomplect"/>
    <s v="Takeda"/>
    <n v="3"/>
    <n v="498.8"/>
    <n v="737.55"/>
    <n v="36.880000000000003"/>
    <n v="36.880000000000003"/>
    <s v="BONUS_CARD"/>
    <n v="29"/>
    <n v="1"/>
    <n v="5"/>
    <n v="700.67"/>
    <n v="13130001380"/>
  </r>
  <r>
    <x v="2"/>
    <d v="1899-12-30T13:30:26"/>
    <n v="2381"/>
    <n v="13002561"/>
    <n v="13"/>
    <n v="22589"/>
    <s v="Retail Sale"/>
    <n v="18"/>
    <n v="42197"/>
    <x v="39"/>
    <s v="Katren"/>
    <s v="Novartis"/>
    <n v="1"/>
    <n v="368.85"/>
    <n v="515.42999999999995"/>
    <n v="0"/>
    <n v="0"/>
    <m/>
    <n v="29"/>
    <n v="1"/>
    <n v="4"/>
    <n v="515.42999999999995"/>
    <n v="13130001381"/>
  </r>
  <r>
    <x v="10"/>
    <d v="1899-12-30T14:39:16"/>
    <n v="2382"/>
    <n v="13002561"/>
    <n v="13"/>
    <n v="22589"/>
    <s v="Retail Sale"/>
    <n v="18"/>
    <n v="66783"/>
    <x v="23"/>
    <s v="Pulse"/>
    <s v="Dr. Reddy's"/>
    <n v="1"/>
    <n v="597.55999999999995"/>
    <n v="946.06"/>
    <n v="0"/>
    <n v="0"/>
    <m/>
    <n v="29"/>
    <n v="1"/>
    <n v="1"/>
    <n v="946.06"/>
    <n v="13130001382"/>
  </r>
  <r>
    <x v="18"/>
    <d v="1899-12-30T11:26:06"/>
    <n v="2383"/>
    <n v="13002561"/>
    <n v="13"/>
    <n v="22589"/>
    <s v="Retail Sale"/>
    <n v="15"/>
    <n v="50827"/>
    <x v="31"/>
    <s v="Protek"/>
    <s v="Novartis"/>
    <n v="3"/>
    <n v="375.9"/>
    <n v="488.13"/>
    <n v="24.41"/>
    <n v="24.41"/>
    <s v="BONUS_CARD"/>
    <n v="29"/>
    <n v="1"/>
    <n v="6"/>
    <n v="463.72"/>
    <n v="13130001383"/>
  </r>
  <r>
    <x v="14"/>
    <d v="1899-12-30T12:57:04"/>
    <n v="2384"/>
    <n v="13002561"/>
    <n v="13"/>
    <n v="22589"/>
    <s v="Retail Sale"/>
    <n v="18"/>
    <n v="79366"/>
    <x v="85"/>
    <s v="Avesta"/>
    <s v="Novartis"/>
    <n v="1"/>
    <n v="544.32000000000005"/>
    <n v="733.91"/>
    <n v="73.39"/>
    <n v="73.39"/>
    <s v="BONUS_CARD"/>
    <n v="29"/>
    <n v="1"/>
    <n v="6"/>
    <n v="660.52"/>
    <n v="13130001384"/>
  </r>
  <r>
    <x v="6"/>
    <d v="1899-12-30T08:42:34"/>
    <n v="2385"/>
    <n v="13002561"/>
    <n v="13"/>
    <n v="22589"/>
    <s v="Retail Sale"/>
    <n v="18"/>
    <n v="24582"/>
    <x v="10"/>
    <s v="Pulse"/>
    <s v="Dr. Reddy's"/>
    <n v="2"/>
    <n v="596.23"/>
    <n v="865.69"/>
    <n v="43.28"/>
    <n v="43.28"/>
    <s v="BONUS_CARD"/>
    <n v="29"/>
    <n v="1"/>
    <n v="6"/>
    <n v="822.41"/>
    <n v="13130001385"/>
  </r>
  <r>
    <x v="3"/>
    <d v="1899-12-30T12:20:13"/>
    <n v="2386"/>
    <n v="13002561"/>
    <n v="13"/>
    <n v="22589"/>
    <s v="Retail Sale"/>
    <n v="18"/>
    <n v="98950"/>
    <x v="59"/>
    <s v="Pulse"/>
    <s v="TEVA"/>
    <n v="2"/>
    <n v="86.46"/>
    <n v="112.37"/>
    <n v="5.62"/>
    <n v="5.62"/>
    <s v="BONUS_CARD"/>
    <n v="29"/>
    <n v="1"/>
    <n v="4"/>
    <n v="106.75"/>
    <n v="13130001386"/>
  </r>
  <r>
    <x v="17"/>
    <d v="1899-12-30T21:14:27"/>
    <n v="2387"/>
    <n v="13002561"/>
    <n v="13"/>
    <n v="22589"/>
    <s v="Retail Sale"/>
    <n v="18"/>
    <n v="30212"/>
    <x v="9"/>
    <s v="Katren"/>
    <s v="Sanofi"/>
    <n v="3"/>
    <n v="581.33000000000004"/>
    <n v="822.28"/>
    <n v="82.23"/>
    <n v="82.23"/>
    <s v="BONUS_CARD"/>
    <n v="29"/>
    <n v="1"/>
    <n v="2"/>
    <n v="740.05"/>
    <n v="13130001387"/>
  </r>
  <r>
    <x v="1"/>
    <d v="1899-12-30T17:18:53"/>
    <n v="2388"/>
    <n v="13002561"/>
    <n v="13"/>
    <n v="22589"/>
    <s v="Retail Sale"/>
    <n v="15"/>
    <n v="74755"/>
    <x v="70"/>
    <s v="Katren"/>
    <s v="Bayer"/>
    <n v="2"/>
    <n v="557.64"/>
    <n v="698.14"/>
    <n v="34.909999999999997"/>
    <n v="34.909999999999997"/>
    <s v="BONUS_CARD"/>
    <n v="29"/>
    <n v="1"/>
    <n v="6"/>
    <n v="663.23"/>
    <n v="13130001388"/>
  </r>
  <r>
    <x v="23"/>
    <d v="1899-12-30T21:23:04"/>
    <n v="2389"/>
    <n v="13002561"/>
    <n v="13"/>
    <n v="22589"/>
    <s v="Retail Sale"/>
    <n v="15"/>
    <n v="96315"/>
    <x v="86"/>
    <s v="Pharmcomplect"/>
    <s v="Pfizer"/>
    <n v="3"/>
    <n v="31.27"/>
    <n v="45.05"/>
    <n v="4.5"/>
    <n v="4.5"/>
    <s v="BONUS_CARD"/>
    <n v="29"/>
    <n v="1"/>
    <n v="4"/>
    <n v="40.549999999999997"/>
    <n v="13130001389"/>
  </r>
  <r>
    <x v="10"/>
    <d v="1899-12-30T21:18:07"/>
    <n v="2390"/>
    <n v="13002561"/>
    <n v="13"/>
    <n v="22589"/>
    <s v="Retail Sale"/>
    <n v="15"/>
    <n v="32158"/>
    <x v="35"/>
    <s v="Protek"/>
    <s v="Novartis"/>
    <n v="2"/>
    <n v="332.89"/>
    <n v="492.49"/>
    <n v="49.25"/>
    <n v="49.25"/>
    <s v="BONUS_CARD"/>
    <n v="29"/>
    <n v="1"/>
    <n v="2"/>
    <n v="443.24"/>
    <n v="13130001390"/>
  </r>
  <r>
    <x v="28"/>
    <d v="1899-12-30T12:03:33"/>
    <n v="2391"/>
    <n v="13002561"/>
    <n v="13"/>
    <n v="22589"/>
    <s v="Retail Sale"/>
    <n v="18"/>
    <n v="51342"/>
    <x v="43"/>
    <s v="Pharmcomplect"/>
    <s v="Sanofi"/>
    <n v="3"/>
    <n v="550.54"/>
    <n v="692.47"/>
    <n v="34.619999999999997"/>
    <n v="34.619999999999997"/>
    <s v="BONUS_CARD"/>
    <n v="29"/>
    <n v="1"/>
    <n v="4"/>
    <n v="657.85"/>
    <n v="13130001391"/>
  </r>
  <r>
    <x v="13"/>
    <d v="1899-12-30T17:20:44"/>
    <n v="2392"/>
    <n v="13002561"/>
    <n v="13"/>
    <n v="22589"/>
    <s v="Retail Sale"/>
    <n v="18"/>
    <n v="43795"/>
    <x v="5"/>
    <s v="Pulse"/>
    <s v="Bayer"/>
    <n v="3"/>
    <n v="114.27"/>
    <n v="177.36"/>
    <n v="17.739999999999998"/>
    <n v="17.739999999999998"/>
    <s v="BONUS_CARD"/>
    <n v="29"/>
    <n v="1"/>
    <n v="2"/>
    <n v="159.62"/>
    <n v="13130001392"/>
  </r>
  <r>
    <x v="18"/>
    <d v="1899-12-30T16:56:47"/>
    <n v="2393"/>
    <n v="13002561"/>
    <n v="13"/>
    <n v="22589"/>
    <s v="Retail Sale"/>
    <n v="18"/>
    <n v="86995"/>
    <x v="13"/>
    <s v="Avesta"/>
    <s v="TEVA"/>
    <n v="1"/>
    <n v="387.53"/>
    <n v="575.99"/>
    <n v="28.8"/>
    <n v="28.8"/>
    <s v="BONUS_CARD"/>
    <n v="29"/>
    <n v="1"/>
    <n v="5"/>
    <n v="547.19000000000005"/>
    <n v="13130001393"/>
  </r>
  <r>
    <x v="19"/>
    <d v="1899-12-30T20:38:14"/>
    <n v="2394"/>
    <n v="13002561"/>
    <n v="13"/>
    <n v="22589"/>
    <s v="Retail Sale"/>
    <n v="18"/>
    <n v="77270"/>
    <x v="16"/>
    <s v="Pharmcomplect"/>
    <s v="Dr. Reddy's"/>
    <n v="1"/>
    <n v="486.93"/>
    <n v="635.66999999999996"/>
    <n v="31.78"/>
    <n v="31.78"/>
    <s v="BONUS_CARD"/>
    <n v="29"/>
    <n v="1"/>
    <n v="3"/>
    <n v="603.89"/>
    <n v="13130001394"/>
  </r>
  <r>
    <x v="30"/>
    <d v="1899-12-30T11:40:35"/>
    <n v="2395"/>
    <n v="13002561"/>
    <n v="13"/>
    <n v="22589"/>
    <s v="Retail Sale"/>
    <n v="18"/>
    <n v="24950"/>
    <x v="6"/>
    <s v="Katren"/>
    <s v="Takeda"/>
    <n v="1"/>
    <n v="464.29"/>
    <n v="677.7"/>
    <n v="0"/>
    <n v="0"/>
    <m/>
    <n v="29"/>
    <n v="1"/>
    <n v="5"/>
    <n v="677.7"/>
    <n v="13130001395"/>
  </r>
  <r>
    <x v="26"/>
    <d v="1899-12-30T19:46:14"/>
    <n v="2396"/>
    <n v="13002561"/>
    <n v="13"/>
    <n v="22589"/>
    <s v="Retail Sale"/>
    <n v="15"/>
    <n v="21243"/>
    <x v="4"/>
    <s v="Protek"/>
    <s v="Pfizer"/>
    <n v="1"/>
    <n v="403.62"/>
    <n v="538.72"/>
    <n v="0"/>
    <n v="0"/>
    <m/>
    <n v="29"/>
    <n v="1"/>
    <n v="3"/>
    <n v="538.72"/>
    <n v="13130001396"/>
  </r>
  <r>
    <x v="24"/>
    <d v="1899-12-30T14:13:34"/>
    <n v="2397"/>
    <n v="13002561"/>
    <n v="13"/>
    <n v="22589"/>
    <s v="Retail Sale"/>
    <n v="15"/>
    <n v="61315"/>
    <x v="82"/>
    <s v="Pulse"/>
    <s v="Dr. Reddy's"/>
    <n v="3"/>
    <n v="279.06"/>
    <n v="427.98"/>
    <n v="0"/>
    <n v="0"/>
    <m/>
    <n v="29"/>
    <n v="1"/>
    <n v="1"/>
    <n v="427.98"/>
    <n v="13130001397"/>
  </r>
  <r>
    <x v="18"/>
    <d v="1899-12-30T13:46:18"/>
    <n v="2398"/>
    <n v="13002561"/>
    <n v="13"/>
    <n v="22589"/>
    <s v="Retail Sale"/>
    <n v="18"/>
    <n v="26548"/>
    <x v="17"/>
    <s v="Katren"/>
    <s v="KRKA"/>
    <n v="1"/>
    <n v="379.03"/>
    <n v="531.32000000000005"/>
    <n v="53.13"/>
    <n v="53.13"/>
    <s v="BONUS_CARD"/>
    <n v="29"/>
    <n v="1"/>
    <n v="4"/>
    <n v="478.19"/>
    <n v="13130001398"/>
  </r>
  <r>
    <x v="30"/>
    <d v="1899-12-30T17:35:15"/>
    <n v="2399"/>
    <n v="13002561"/>
    <n v="13"/>
    <n v="22589"/>
    <s v="Retail Sale"/>
    <n v="18"/>
    <n v="92174"/>
    <x v="15"/>
    <s v="Pulse"/>
    <s v="Dr. Reddy's"/>
    <n v="3"/>
    <n v="350.87"/>
    <n v="584.16"/>
    <n v="0"/>
    <n v="0"/>
    <m/>
    <n v="29"/>
    <n v="1"/>
    <n v="2"/>
    <n v="584.16"/>
    <n v="13130001399"/>
  </r>
  <r>
    <x v="8"/>
    <d v="1899-12-30T11:39:08"/>
    <n v="2400"/>
    <n v="13002561"/>
    <n v="13"/>
    <n v="22589"/>
    <s v="Retail Sale"/>
    <n v="18"/>
    <n v="84273"/>
    <x v="18"/>
    <s v="Katren"/>
    <s v="Sanofi"/>
    <n v="3"/>
    <n v="45.7"/>
    <n v="58.94"/>
    <n v="0"/>
    <n v="0"/>
    <m/>
    <n v="29"/>
    <n v="1"/>
    <n v="6"/>
    <n v="58.94"/>
    <n v="13130001400"/>
  </r>
  <r>
    <x v="29"/>
    <d v="1899-12-30T18:57:45"/>
    <n v="2401"/>
    <n v="13002561"/>
    <n v="13"/>
    <n v="22589"/>
    <s v="Retail Sale"/>
    <n v="15"/>
    <n v="53446"/>
    <x v="24"/>
    <s v="Pharmcomplect"/>
    <s v="TEVA"/>
    <n v="1"/>
    <n v="192.19"/>
    <n v="257.68"/>
    <n v="25.77"/>
    <n v="25.77"/>
    <s v="BONUS_CARD"/>
    <n v="29"/>
    <n v="1"/>
    <n v="5"/>
    <n v="231.91"/>
    <n v="13130001401"/>
  </r>
  <r>
    <x v="5"/>
    <d v="1899-12-30T16:44:02"/>
    <n v="2402"/>
    <n v="13002561"/>
    <n v="13"/>
    <n v="22589"/>
    <s v="Retail Sale"/>
    <n v="18"/>
    <n v="57789"/>
    <x v="46"/>
    <s v="Pulse"/>
    <s v="Sanofi"/>
    <n v="3"/>
    <n v="140.03"/>
    <n v="193.93"/>
    <n v="9.6999999999999993"/>
    <n v="9.6999999999999993"/>
    <s v="BONUS_CARD"/>
    <n v="29"/>
    <n v="1"/>
    <n v="1"/>
    <n v="184.23"/>
    <n v="13130001402"/>
  </r>
  <r>
    <x v="1"/>
    <d v="1899-12-30T10:57:57"/>
    <n v="2403"/>
    <n v="13002561"/>
    <n v="13"/>
    <n v="22589"/>
    <s v="Retail Sale"/>
    <n v="18"/>
    <n v="74682"/>
    <x v="63"/>
    <s v="Pulse"/>
    <s v="Dr. Reddy's"/>
    <n v="1"/>
    <n v="127.1"/>
    <n v="211.4"/>
    <n v="10.57"/>
    <n v="10.57"/>
    <s v="BONUS_CARD"/>
    <n v="29"/>
    <n v="1"/>
    <n v="6"/>
    <n v="200.83"/>
    <n v="13130001403"/>
  </r>
  <r>
    <x v="24"/>
    <d v="1899-12-30T10:02:01"/>
    <n v="2404"/>
    <n v="13002561"/>
    <n v="13"/>
    <n v="22589"/>
    <s v="Retail Sale"/>
    <n v="18"/>
    <n v="98646"/>
    <x v="69"/>
    <s v="Grand Capital"/>
    <s v="Bayer"/>
    <n v="3"/>
    <n v="392.9"/>
    <n v="644.35"/>
    <n v="32.22"/>
    <n v="32.22"/>
    <s v="BONUS_CARD"/>
    <n v="29"/>
    <n v="1"/>
    <n v="2"/>
    <n v="612.13"/>
    <n v="13130001404"/>
  </r>
  <r>
    <x v="21"/>
    <d v="1899-12-30T10:08:34"/>
    <n v="2405"/>
    <n v="13002561"/>
    <n v="13"/>
    <n v="22589"/>
    <s v="Retail Sale"/>
    <n v="18"/>
    <n v="22892"/>
    <x v="85"/>
    <s v="Pharmcomplect"/>
    <s v="Pfizer"/>
    <n v="3"/>
    <n v="395.07"/>
    <n v="537.39"/>
    <n v="26.87"/>
    <n v="26.87"/>
    <s v="BONUS_CARD"/>
    <n v="29"/>
    <n v="1"/>
    <n v="6"/>
    <n v="510.52"/>
    <n v="13130001405"/>
  </r>
  <r>
    <x v="22"/>
    <d v="1899-12-30T22:32:59"/>
    <n v="2406"/>
    <n v="13002561"/>
    <n v="13"/>
    <n v="22589"/>
    <s v="Retail Sale"/>
    <n v="15"/>
    <n v="98443"/>
    <x v="55"/>
    <s v="Pharmcomplect"/>
    <s v="TEVA"/>
    <n v="1"/>
    <n v="416.51"/>
    <n v="697.15"/>
    <n v="69.72"/>
    <n v="69.72"/>
    <s v="BONUS_CARD"/>
    <n v="29"/>
    <n v="1"/>
    <n v="3"/>
    <n v="627.42999999999995"/>
    <n v="13130001406"/>
  </r>
  <r>
    <x v="15"/>
    <d v="1899-12-30T19:19:32"/>
    <n v="2407"/>
    <n v="13002561"/>
    <n v="13"/>
    <n v="22589"/>
    <s v="Retail Sale"/>
    <n v="18"/>
    <n v="68610"/>
    <x v="2"/>
    <s v="Pulse"/>
    <s v="TEVA"/>
    <n v="3"/>
    <n v="508.21"/>
    <n v="777.47"/>
    <n v="38.869999999999997"/>
    <n v="38.869999999999997"/>
    <s v="BONUS_CARD"/>
    <n v="29"/>
    <n v="1"/>
    <n v="6"/>
    <n v="738.6"/>
    <n v="13130001407"/>
  </r>
  <r>
    <x v="6"/>
    <d v="1899-12-30T16:25:26"/>
    <n v="2408"/>
    <n v="13002561"/>
    <n v="13"/>
    <n v="22589"/>
    <s v="Retail Sale"/>
    <n v="15"/>
    <n v="58019"/>
    <x v="46"/>
    <s v="Pulse"/>
    <s v="Dr. Reddy's"/>
    <n v="3"/>
    <n v="373.36"/>
    <n v="514.07000000000005"/>
    <n v="0"/>
    <n v="0"/>
    <m/>
    <n v="29"/>
    <n v="1"/>
    <n v="1"/>
    <n v="514.07000000000005"/>
    <n v="13130001408"/>
  </r>
  <r>
    <x v="0"/>
    <d v="1899-12-30T15:39:43"/>
    <n v="2409"/>
    <n v="13002561"/>
    <n v="13"/>
    <n v="22589"/>
    <s v="Retail Sale"/>
    <n v="18"/>
    <n v="94744"/>
    <x v="11"/>
    <s v="Katren"/>
    <s v="Sanofi"/>
    <n v="3"/>
    <n v="402.87"/>
    <n v="530.73"/>
    <n v="53.07"/>
    <n v="53.07"/>
    <s v="BONUS_CARD"/>
    <n v="29"/>
    <n v="1"/>
    <n v="3"/>
    <n v="477.66"/>
    <n v="13130001409"/>
  </r>
  <r>
    <x v="18"/>
    <d v="1899-12-30T16:13:34"/>
    <n v="2410"/>
    <n v="13002561"/>
    <n v="13"/>
    <n v="22589"/>
    <s v="Retail Sale"/>
    <n v="18"/>
    <n v="36352"/>
    <x v="41"/>
    <s v="Pulse"/>
    <s v="Novartis"/>
    <n v="1"/>
    <n v="197.52"/>
    <n v="285.79000000000002"/>
    <n v="0"/>
    <n v="0"/>
    <m/>
    <n v="29"/>
    <n v="1"/>
    <n v="5"/>
    <n v="285.79000000000002"/>
    <n v="13130001410"/>
  </r>
  <r>
    <x v="24"/>
    <d v="1899-12-30T09:39:35"/>
    <n v="2411"/>
    <n v="13002561"/>
    <n v="13"/>
    <n v="22589"/>
    <s v="Retail Sale"/>
    <n v="18"/>
    <n v="40187"/>
    <x v="39"/>
    <s v="Pharmcomplect"/>
    <s v="Takeda"/>
    <n v="2"/>
    <n v="146.28"/>
    <n v="199.76"/>
    <n v="19.98"/>
    <n v="19.98"/>
    <s v="BONUS_CARD"/>
    <n v="29"/>
    <n v="1"/>
    <n v="2"/>
    <n v="179.78"/>
    <n v="13130001411"/>
  </r>
  <r>
    <x v="0"/>
    <d v="1899-12-30T17:57:26"/>
    <n v="2412"/>
    <n v="13002561"/>
    <n v="13"/>
    <n v="22589"/>
    <s v="Retail Sale"/>
    <n v="15"/>
    <n v="16829"/>
    <x v="68"/>
    <s v="Katren"/>
    <s v="Pfizer"/>
    <n v="1"/>
    <n v="311.23"/>
    <n v="503.04"/>
    <n v="25.15"/>
    <n v="25.15"/>
    <s v="BONUS_CARD"/>
    <n v="29"/>
    <n v="1"/>
    <n v="5"/>
    <n v="477.89"/>
    <n v="13130001412"/>
  </r>
  <r>
    <x v="23"/>
    <d v="1899-12-30T14:57:13"/>
    <n v="2413"/>
    <n v="13002561"/>
    <n v="13"/>
    <n v="22589"/>
    <s v="Retail Sale"/>
    <n v="18"/>
    <n v="62191"/>
    <x v="68"/>
    <s v="Grand Capital"/>
    <s v="Takeda"/>
    <n v="1"/>
    <n v="152.65"/>
    <n v="253.71"/>
    <n v="0"/>
    <n v="0"/>
    <m/>
    <n v="29"/>
    <n v="1"/>
    <n v="6"/>
    <n v="253.71"/>
    <n v="13130001413"/>
  </r>
  <r>
    <x v="29"/>
    <d v="1899-12-30T20:15:57"/>
    <n v="2414"/>
    <n v="13002561"/>
    <n v="13"/>
    <n v="22589"/>
    <s v="Retail Sale"/>
    <n v="18"/>
    <n v="92842"/>
    <x v="44"/>
    <s v="Pharmcomplect"/>
    <s v="TEVA"/>
    <n v="3"/>
    <n v="535.05999999999995"/>
    <n v="679.89"/>
    <n v="0"/>
    <n v="0"/>
    <m/>
    <n v="29"/>
    <n v="1"/>
    <n v="1"/>
    <n v="679.89"/>
    <n v="13130001414"/>
  </r>
  <r>
    <x v="28"/>
    <d v="1899-12-30T10:23:54"/>
    <n v="2415"/>
    <n v="13002561"/>
    <n v="13"/>
    <n v="22589"/>
    <s v="Retail Sale"/>
    <n v="18"/>
    <n v="75518"/>
    <x v="8"/>
    <s v="Katren"/>
    <s v="Takeda"/>
    <n v="2"/>
    <n v="424.41"/>
    <n v="568.74"/>
    <n v="56.87"/>
    <n v="56.87"/>
    <s v="BONUS_CARD"/>
    <n v="29"/>
    <n v="1"/>
    <n v="6"/>
    <n v="511.87"/>
    <n v="13130001415"/>
  </r>
  <r>
    <x v="9"/>
    <d v="1899-12-30T20:47:13"/>
    <n v="2416"/>
    <n v="13002561"/>
    <n v="13"/>
    <n v="22589"/>
    <s v="Retail Sale"/>
    <n v="18"/>
    <n v="98878"/>
    <x v="20"/>
    <s v="Grand Capital"/>
    <s v="TEVA"/>
    <n v="2"/>
    <n v="562.49"/>
    <n v="906.62"/>
    <n v="90.66"/>
    <n v="90.66"/>
    <s v="BONUS_CARD"/>
    <n v="29"/>
    <n v="1"/>
    <n v="6"/>
    <n v="815.96"/>
    <n v="13130001416"/>
  </r>
  <r>
    <x v="13"/>
    <d v="1899-12-30T13:38:08"/>
    <n v="2417"/>
    <n v="13002561"/>
    <n v="13"/>
    <n v="22589"/>
    <s v="Retail Sale"/>
    <n v="18"/>
    <n v="87997"/>
    <x v="8"/>
    <s v="Katren"/>
    <s v="Dr. Reddy's"/>
    <n v="2"/>
    <n v="523.96"/>
    <n v="733.15"/>
    <n v="36.659999999999997"/>
    <n v="36.659999999999997"/>
    <s v="BONUS_CARD"/>
    <n v="29"/>
    <n v="1"/>
    <n v="4"/>
    <n v="696.49"/>
    <n v="13130001417"/>
  </r>
  <r>
    <x v="23"/>
    <d v="1899-12-30T19:27:47"/>
    <n v="2418"/>
    <n v="13002561"/>
    <n v="13"/>
    <n v="22589"/>
    <s v="Retail Sale"/>
    <n v="18"/>
    <n v="67362"/>
    <x v="10"/>
    <s v="Pharmcomplect"/>
    <s v="Dr. Reddy's"/>
    <n v="1"/>
    <n v="6.49"/>
    <n v="8.92"/>
    <n v="0.89"/>
    <n v="0.89"/>
    <s v="BONUS_CARD"/>
    <n v="29"/>
    <n v="1"/>
    <n v="1"/>
    <n v="8.0299999999999994"/>
    <n v="13130001418"/>
  </r>
  <r>
    <x v="21"/>
    <d v="1899-12-30T11:25:54"/>
    <n v="2419"/>
    <n v="13002561"/>
    <n v="13"/>
    <n v="22589"/>
    <s v="Retail Sale"/>
    <n v="15"/>
    <n v="19965"/>
    <x v="15"/>
    <s v="Pulse"/>
    <s v="Bayer"/>
    <n v="2"/>
    <n v="214.26"/>
    <n v="267.88"/>
    <n v="26.79"/>
    <n v="26.79"/>
    <s v="BONUS_CARD"/>
    <n v="29"/>
    <n v="1"/>
    <n v="1"/>
    <n v="241.09"/>
    <n v="13130001419"/>
  </r>
  <r>
    <x v="10"/>
    <d v="1899-12-30T11:48:39"/>
    <n v="2420"/>
    <n v="13002561"/>
    <n v="13"/>
    <n v="22589"/>
    <s v="Retail Sale"/>
    <n v="18"/>
    <n v="19221"/>
    <x v="75"/>
    <s v="Pulse"/>
    <s v="Pfizer"/>
    <n v="2"/>
    <n v="501.2"/>
    <n v="668.27"/>
    <n v="0"/>
    <n v="0"/>
    <m/>
    <n v="29"/>
    <n v="1"/>
    <n v="2"/>
    <n v="668.27"/>
    <n v="13130001420"/>
  </r>
  <r>
    <x v="13"/>
    <d v="1899-12-30T14:17:57"/>
    <n v="2421"/>
    <n v="13002561"/>
    <n v="13"/>
    <n v="22589"/>
    <s v="Retail Sale"/>
    <n v="18"/>
    <n v="42311"/>
    <x v="64"/>
    <s v="Katren"/>
    <s v="Novartis"/>
    <n v="3"/>
    <n v="251.49"/>
    <n v="383.46"/>
    <n v="19.170000000000002"/>
    <n v="19.170000000000002"/>
    <s v="BONUS_CARD"/>
    <n v="29"/>
    <n v="1"/>
    <n v="6"/>
    <n v="364.29"/>
    <n v="13130001421"/>
  </r>
  <r>
    <x v="22"/>
    <d v="1899-12-30T15:24:37"/>
    <n v="2422"/>
    <n v="13002561"/>
    <n v="13"/>
    <n v="22589"/>
    <s v="Retail Sale"/>
    <n v="15"/>
    <n v="68783"/>
    <x v="40"/>
    <s v="Grand Capital"/>
    <s v="Takeda"/>
    <n v="2"/>
    <n v="249.02"/>
    <n v="317.60000000000002"/>
    <n v="31.76"/>
    <n v="31.76"/>
    <s v="BONUS_CARD"/>
    <n v="29"/>
    <n v="1"/>
    <n v="3"/>
    <n v="285.83999999999997"/>
    <n v="13130001422"/>
  </r>
  <r>
    <x v="26"/>
    <d v="1899-12-30T15:42:41"/>
    <n v="2423"/>
    <n v="13002561"/>
    <n v="13"/>
    <n v="22589"/>
    <s v="Retail Sale"/>
    <n v="18"/>
    <n v="98813"/>
    <x v="32"/>
    <s v="Katren"/>
    <s v="Sanofi"/>
    <n v="1"/>
    <n v="307.20999999999998"/>
    <n v="452.96"/>
    <n v="0"/>
    <n v="0"/>
    <m/>
    <n v="29"/>
    <n v="1"/>
    <n v="1"/>
    <n v="452.96"/>
    <n v="13130001423"/>
  </r>
  <r>
    <x v="10"/>
    <d v="1899-12-30T08:20:05"/>
    <n v="2424"/>
    <n v="13002561"/>
    <n v="13"/>
    <n v="22589"/>
    <s v="Retail Sale"/>
    <n v="18"/>
    <n v="40563"/>
    <x v="60"/>
    <s v="Katren"/>
    <s v="Bayer"/>
    <n v="2"/>
    <n v="89.61"/>
    <n v="147.30000000000001"/>
    <n v="0"/>
    <n v="0"/>
    <m/>
    <n v="29"/>
    <n v="1"/>
    <n v="3"/>
    <n v="147.30000000000001"/>
    <n v="13130001424"/>
  </r>
  <r>
    <x v="23"/>
    <d v="1899-12-30T08:32:13"/>
    <n v="2425"/>
    <n v="13002561"/>
    <n v="13"/>
    <n v="22589"/>
    <s v="Retail Sale"/>
    <n v="18"/>
    <n v="36182"/>
    <x v="45"/>
    <s v="Protek"/>
    <s v="KRKA"/>
    <n v="1"/>
    <n v="573.08000000000004"/>
    <n v="738.63"/>
    <n v="73.86"/>
    <n v="73.86"/>
    <s v="BONUS_CARD"/>
    <n v="29"/>
    <n v="1"/>
    <n v="3"/>
    <n v="664.77"/>
    <n v="13130001425"/>
  </r>
  <r>
    <x v="24"/>
    <d v="1899-12-30T13:43:16"/>
    <n v="2426"/>
    <n v="13002561"/>
    <n v="13"/>
    <n v="22589"/>
    <s v="Retail Sale"/>
    <n v="18"/>
    <n v="12053"/>
    <x v="45"/>
    <s v="Grand Capital"/>
    <s v="TEVA"/>
    <n v="3"/>
    <n v="39.619999999999997"/>
    <n v="54.13"/>
    <n v="5.41"/>
    <n v="5.41"/>
    <s v="BONUS_CARD"/>
    <n v="29"/>
    <n v="1"/>
    <n v="1"/>
    <n v="48.72"/>
    <n v="13130001426"/>
  </r>
  <r>
    <x v="17"/>
    <d v="1899-12-30T14:26:27"/>
    <n v="2427"/>
    <n v="13002561"/>
    <n v="13"/>
    <n v="22589"/>
    <s v="Retail Sale"/>
    <n v="18"/>
    <n v="36398"/>
    <x v="34"/>
    <s v="Pulse"/>
    <s v="Pfizer"/>
    <n v="2"/>
    <n v="13.66"/>
    <n v="19.77"/>
    <n v="0"/>
    <n v="0"/>
    <m/>
    <n v="29"/>
    <n v="1"/>
    <n v="6"/>
    <n v="19.77"/>
    <n v="13130001427"/>
  </r>
  <r>
    <x v="15"/>
    <d v="1899-12-30T21:17:17"/>
    <n v="2428"/>
    <n v="13002561"/>
    <n v="13"/>
    <n v="22589"/>
    <s v="Retail Sale"/>
    <n v="15"/>
    <n v="73229"/>
    <x v="5"/>
    <s v="Pharmcomplect"/>
    <s v="Takeda"/>
    <n v="3"/>
    <n v="426.51"/>
    <n v="579.52"/>
    <n v="28.98"/>
    <n v="28.98"/>
    <s v="BONUS_CARD"/>
    <n v="29"/>
    <n v="1"/>
    <n v="2"/>
    <n v="550.54"/>
    <n v="13130001428"/>
  </r>
  <r>
    <x v="15"/>
    <d v="1899-12-30T16:38:52"/>
    <n v="2429"/>
    <n v="13002561"/>
    <n v="13"/>
    <n v="22589"/>
    <s v="Retail Sale"/>
    <n v="18"/>
    <n v="97885"/>
    <x v="67"/>
    <s v="Pulse"/>
    <s v="TEVA"/>
    <n v="3"/>
    <n v="368.42"/>
    <n v="606.72"/>
    <n v="0"/>
    <n v="0"/>
    <m/>
    <n v="29"/>
    <n v="1"/>
    <n v="5"/>
    <n v="606.72"/>
    <n v="13130001429"/>
  </r>
  <r>
    <x v="14"/>
    <d v="1899-12-30T22:12:29"/>
    <n v="2430"/>
    <n v="13002561"/>
    <n v="13"/>
    <n v="22589"/>
    <s v="Retail Sale"/>
    <n v="18"/>
    <n v="61857"/>
    <x v="64"/>
    <s v="Avesta"/>
    <s v="Dr. Reddy's"/>
    <n v="1"/>
    <n v="377"/>
    <n v="625.29999999999995"/>
    <n v="31.27"/>
    <n v="31.27"/>
    <s v="BONUS_CARD"/>
    <n v="29"/>
    <n v="1"/>
    <n v="1"/>
    <n v="594.03"/>
    <n v="13130001430"/>
  </r>
  <r>
    <x v="23"/>
    <d v="1899-12-30T22:41:31"/>
    <n v="2431"/>
    <n v="13002561"/>
    <n v="13"/>
    <n v="22589"/>
    <s v="Retail Sale"/>
    <n v="18"/>
    <n v="57290"/>
    <x v="62"/>
    <s v="Protek"/>
    <s v="Bayer"/>
    <n v="3"/>
    <n v="147.88999999999999"/>
    <n v="221.85"/>
    <n v="0"/>
    <n v="0"/>
    <m/>
    <n v="29"/>
    <n v="1"/>
    <n v="6"/>
    <n v="221.85"/>
    <n v="13130001431"/>
  </r>
  <r>
    <x v="14"/>
    <d v="1899-12-30T09:43:53"/>
    <n v="2432"/>
    <n v="13002561"/>
    <n v="13"/>
    <n v="22589"/>
    <s v="Retail Sale"/>
    <n v="18"/>
    <n v="28728"/>
    <x v="55"/>
    <s v="Katren"/>
    <s v="Takeda"/>
    <n v="3"/>
    <n v="452.5"/>
    <n v="731.48"/>
    <n v="0"/>
    <n v="0"/>
    <m/>
    <n v="29"/>
    <n v="1"/>
    <n v="5"/>
    <n v="731.48"/>
    <n v="13130001432"/>
  </r>
  <r>
    <x v="16"/>
    <d v="1899-12-30T15:13:33"/>
    <n v="2433"/>
    <n v="13002561"/>
    <n v="13"/>
    <n v="22589"/>
    <s v="Retail Sale"/>
    <n v="15"/>
    <n v="57564"/>
    <x v="74"/>
    <s v="Katren"/>
    <s v="TEVA"/>
    <n v="2"/>
    <n v="506.04"/>
    <n v="784.94"/>
    <n v="39.25"/>
    <n v="39.25"/>
    <s v="BONUS_CARD"/>
    <n v="29"/>
    <n v="1"/>
    <n v="2"/>
    <n v="745.69"/>
    <n v="13130001433"/>
  </r>
  <r>
    <x v="22"/>
    <d v="1899-12-30T22:31:42"/>
    <n v="2434"/>
    <n v="13002561"/>
    <n v="13"/>
    <n v="22589"/>
    <s v="Retail Sale"/>
    <n v="18"/>
    <n v="85112"/>
    <x v="60"/>
    <s v="Pharmcomplect"/>
    <s v="KRKA"/>
    <n v="3"/>
    <n v="217.67"/>
    <n v="369.75"/>
    <n v="0"/>
    <n v="0"/>
    <m/>
    <n v="29"/>
    <n v="1"/>
    <n v="1"/>
    <n v="369.75"/>
    <n v="13130001434"/>
  </r>
  <r>
    <x v="25"/>
    <d v="1899-12-30T22:19:21"/>
    <n v="2435"/>
    <n v="13002561"/>
    <n v="13"/>
    <n v="22589"/>
    <s v="Retail Sale"/>
    <n v="18"/>
    <n v="97003"/>
    <x v="57"/>
    <s v="Grand Capital"/>
    <s v="Dr. Reddy's"/>
    <n v="3"/>
    <n v="309.95999999999998"/>
    <n v="457.33"/>
    <n v="22.87"/>
    <n v="22.87"/>
    <s v="BONUS_CARD"/>
    <n v="29"/>
    <n v="1"/>
    <n v="4"/>
    <n v="434.46"/>
    <n v="13130001435"/>
  </r>
  <r>
    <x v="12"/>
    <d v="1899-12-30T14:36:09"/>
    <n v="2436"/>
    <n v="13002561"/>
    <n v="13"/>
    <n v="22589"/>
    <s v="Retail Sale"/>
    <n v="18"/>
    <n v="69865"/>
    <x v="32"/>
    <s v="Protek"/>
    <s v="Sanofi"/>
    <n v="2"/>
    <n v="282.05"/>
    <n v="462.28"/>
    <n v="46.23"/>
    <n v="46.23"/>
    <s v="BONUS_CARD"/>
    <n v="29"/>
    <n v="1"/>
    <n v="1"/>
    <n v="416.05"/>
    <n v="13130001436"/>
  </r>
  <r>
    <x v="19"/>
    <d v="1899-12-30T15:58:17"/>
    <n v="2437"/>
    <n v="13002561"/>
    <n v="13"/>
    <n v="22589"/>
    <s v="Retail Sale"/>
    <n v="15"/>
    <n v="21970"/>
    <x v="7"/>
    <s v="Katren"/>
    <s v="Takeda"/>
    <n v="1"/>
    <n v="113.62"/>
    <n v="190.82"/>
    <n v="19.079999999999998"/>
    <n v="19.079999999999998"/>
    <s v="BONUS_CARD"/>
    <n v="29"/>
    <n v="1"/>
    <n v="3"/>
    <n v="171.74"/>
    <n v="13130001437"/>
  </r>
  <r>
    <x v="1"/>
    <d v="1899-12-30T13:45:56"/>
    <n v="2438"/>
    <n v="13002561"/>
    <n v="13"/>
    <n v="22589"/>
    <s v="Retail Sale"/>
    <n v="15"/>
    <n v="85562"/>
    <x v="22"/>
    <s v="Pulse"/>
    <s v="Pfizer"/>
    <n v="2"/>
    <n v="321.57"/>
    <n v="451.4"/>
    <n v="22.57"/>
    <n v="22.57"/>
    <s v="BONUS_CARD"/>
    <n v="29"/>
    <n v="1"/>
    <n v="5"/>
    <n v="428.83"/>
    <n v="13130001438"/>
  </r>
  <r>
    <x v="0"/>
    <d v="1899-12-30T21:22:00"/>
    <n v="2439"/>
    <n v="13002561"/>
    <n v="13"/>
    <n v="22589"/>
    <s v="Retail Sale"/>
    <n v="15"/>
    <n v="91044"/>
    <x v="4"/>
    <s v="Katren"/>
    <s v="Novartis"/>
    <n v="1"/>
    <n v="196.08"/>
    <n v="280.64999999999998"/>
    <n v="14.03"/>
    <n v="14.03"/>
    <s v="BONUS_CARD"/>
    <n v="29"/>
    <n v="1"/>
    <n v="4"/>
    <n v="266.62"/>
    <n v="13130001439"/>
  </r>
  <r>
    <x v="5"/>
    <d v="1899-12-30T15:19:06"/>
    <n v="2440"/>
    <n v="13002561"/>
    <n v="13"/>
    <n v="22589"/>
    <s v="Retail Sale"/>
    <n v="15"/>
    <n v="44676"/>
    <x v="74"/>
    <s v="Avesta"/>
    <s v="Pfizer"/>
    <n v="2"/>
    <n v="283.20999999999998"/>
    <n v="378.99"/>
    <n v="37.9"/>
    <n v="37.9"/>
    <s v="BONUS_CARD"/>
    <n v="29"/>
    <n v="1"/>
    <n v="2"/>
    <n v="341.09"/>
    <n v="13130001440"/>
  </r>
  <r>
    <x v="26"/>
    <d v="1899-12-30T20:48:35"/>
    <n v="2441"/>
    <n v="13002561"/>
    <n v="13"/>
    <n v="22589"/>
    <s v="Retail Sale"/>
    <n v="15"/>
    <n v="85097"/>
    <x v="79"/>
    <s v="Avesta"/>
    <s v="TEVA"/>
    <n v="3"/>
    <n v="219.83"/>
    <n v="324.41000000000003"/>
    <n v="16.22"/>
    <n v="16.22"/>
    <s v="BONUS_CARD"/>
    <n v="29"/>
    <n v="1"/>
    <n v="1"/>
    <n v="308.19"/>
    <n v="13130001441"/>
  </r>
  <r>
    <x v="30"/>
    <d v="1899-12-30T16:37:22"/>
    <n v="2442"/>
    <n v="13002561"/>
    <n v="13"/>
    <n v="22589"/>
    <s v="Retail Sale"/>
    <n v="18"/>
    <n v="15507"/>
    <x v="43"/>
    <s v="Katren"/>
    <s v="Sanofi"/>
    <n v="2"/>
    <n v="272.64999999999998"/>
    <n v="387.66"/>
    <n v="0"/>
    <n v="0"/>
    <m/>
    <n v="29"/>
    <n v="1"/>
    <n v="5"/>
    <n v="387.66"/>
    <n v="13130001442"/>
  </r>
  <r>
    <x v="22"/>
    <d v="1899-12-30T19:49:04"/>
    <n v="2443"/>
    <n v="13002561"/>
    <n v="13"/>
    <n v="22589"/>
    <s v="Retail Sale"/>
    <n v="15"/>
    <n v="83116"/>
    <x v="82"/>
    <s v="Protek"/>
    <s v="Pfizer"/>
    <n v="2"/>
    <n v="361.78"/>
    <n v="522.19000000000005"/>
    <n v="0"/>
    <n v="0"/>
    <m/>
    <n v="29"/>
    <n v="1"/>
    <n v="6"/>
    <n v="522.19000000000005"/>
    <n v="13130001443"/>
  </r>
  <r>
    <x v="12"/>
    <d v="1899-12-30T14:40:01"/>
    <n v="2444"/>
    <n v="13002561"/>
    <n v="13"/>
    <n v="22589"/>
    <s v="Retail Sale"/>
    <n v="15"/>
    <n v="35703"/>
    <x v="21"/>
    <s v="Pharmcomplect"/>
    <s v="Sanofi"/>
    <n v="1"/>
    <n v="244.33"/>
    <n v="399.86"/>
    <n v="39.99"/>
    <n v="39.99"/>
    <s v="BONUS_CARD"/>
    <n v="29"/>
    <n v="1"/>
    <n v="4"/>
    <n v="359.87"/>
    <n v="13130001444"/>
  </r>
  <r>
    <x v="19"/>
    <d v="1899-12-30T18:55:15"/>
    <n v="2445"/>
    <n v="13002561"/>
    <n v="13"/>
    <n v="22589"/>
    <s v="Retail Sale"/>
    <n v="18"/>
    <n v="28399"/>
    <x v="72"/>
    <s v="Protek"/>
    <s v="KRKA"/>
    <n v="1"/>
    <n v="477.48"/>
    <n v="705.68"/>
    <n v="70.569999999999993"/>
    <n v="70.569999999999993"/>
    <s v="BONUS_CARD"/>
    <n v="29"/>
    <n v="1"/>
    <n v="2"/>
    <n v="635.11"/>
    <n v="13130001445"/>
  </r>
  <r>
    <x v="4"/>
    <d v="1899-12-30T17:05:59"/>
    <n v="2446"/>
    <n v="13002561"/>
    <n v="13"/>
    <n v="22589"/>
    <s v="Retail Sale"/>
    <n v="15"/>
    <n v="83567"/>
    <x v="16"/>
    <s v="Pharmcomplect"/>
    <s v="Bayer"/>
    <n v="3"/>
    <n v="39.81"/>
    <n v="50.45"/>
    <n v="5.05"/>
    <n v="5.05"/>
    <s v="BONUS_CARD"/>
    <n v="29"/>
    <n v="1"/>
    <n v="1"/>
    <n v="45.4"/>
    <n v="13130001446"/>
  </r>
  <r>
    <x v="16"/>
    <d v="1899-12-30T13:13:15"/>
    <n v="2447"/>
    <n v="13002561"/>
    <n v="13"/>
    <n v="22589"/>
    <s v="Retail Sale"/>
    <n v="18"/>
    <n v="80178"/>
    <x v="68"/>
    <s v="Protek"/>
    <s v="KRKA"/>
    <n v="3"/>
    <n v="566.95000000000005"/>
    <n v="910.6"/>
    <n v="45.53"/>
    <n v="45.53"/>
    <s v="BONUS_CARD"/>
    <n v="29"/>
    <n v="1"/>
    <n v="5"/>
    <n v="865.07"/>
    <n v="13130001447"/>
  </r>
  <r>
    <x v="13"/>
    <d v="1899-12-30T19:31:36"/>
    <n v="2448"/>
    <n v="13002561"/>
    <n v="13"/>
    <n v="22589"/>
    <s v="Retail Sale"/>
    <n v="18"/>
    <n v="42465"/>
    <x v="14"/>
    <s v="Protek"/>
    <s v="KRKA"/>
    <n v="3"/>
    <n v="64.099999999999994"/>
    <n v="87.22"/>
    <n v="0"/>
    <n v="0"/>
    <m/>
    <n v="29"/>
    <n v="1"/>
    <n v="1"/>
    <n v="87.22"/>
    <n v="13130001448"/>
  </r>
  <r>
    <x v="17"/>
    <d v="1899-12-30T09:28:53"/>
    <n v="2449"/>
    <n v="13002561"/>
    <n v="13"/>
    <n v="22589"/>
    <s v="Retail Sale"/>
    <n v="15"/>
    <n v="62744"/>
    <x v="14"/>
    <s v="Grand Capital"/>
    <s v="KRKA"/>
    <n v="2"/>
    <n v="573.97"/>
    <n v="966.21"/>
    <n v="96.62"/>
    <n v="96.62"/>
    <s v="BONUS_CARD"/>
    <n v="29"/>
    <n v="1"/>
    <n v="1"/>
    <n v="869.59"/>
    <n v="13130001449"/>
  </r>
  <r>
    <x v="2"/>
    <d v="1899-12-30T11:46:33"/>
    <n v="2450"/>
    <n v="13002561"/>
    <n v="13"/>
    <n v="22589"/>
    <s v="Retail Sale"/>
    <n v="15"/>
    <n v="15641"/>
    <x v="39"/>
    <s v="Protek"/>
    <s v="Takeda"/>
    <n v="3"/>
    <n v="238.72"/>
    <n v="386.96"/>
    <n v="0"/>
    <n v="0"/>
    <m/>
    <n v="29"/>
    <n v="1"/>
    <n v="2"/>
    <n v="386.96"/>
    <n v="13130001450"/>
  </r>
  <r>
    <x v="5"/>
    <d v="1899-12-30T21:46:36"/>
    <n v="2451"/>
    <n v="13002561"/>
    <n v="13"/>
    <n v="22589"/>
    <s v="Retail Sale"/>
    <n v="15"/>
    <n v="21225"/>
    <x v="84"/>
    <s v="Katren"/>
    <s v="Takeda"/>
    <n v="1"/>
    <n v="598.38"/>
    <n v="928.11"/>
    <n v="46.41"/>
    <n v="46.41"/>
    <s v="BONUS_CARD"/>
    <n v="29"/>
    <n v="1"/>
    <n v="4"/>
    <n v="881.7"/>
    <n v="13130001451"/>
  </r>
  <r>
    <x v="12"/>
    <d v="1899-12-30T20:23:28"/>
    <n v="2452"/>
    <n v="13002561"/>
    <n v="13"/>
    <n v="22589"/>
    <s v="Retail Sale"/>
    <n v="15"/>
    <n v="16936"/>
    <x v="38"/>
    <s v="Pulse"/>
    <s v="Dr. Reddy's"/>
    <n v="3"/>
    <n v="500.93"/>
    <n v="820.83"/>
    <n v="0"/>
    <n v="0"/>
    <m/>
    <n v="29"/>
    <n v="1"/>
    <n v="4"/>
    <n v="820.83"/>
    <n v="13130001452"/>
  </r>
  <r>
    <x v="13"/>
    <d v="1899-12-30T08:27:37"/>
    <n v="2453"/>
    <n v="13002561"/>
    <n v="13"/>
    <n v="22589"/>
    <s v="Retail Sale"/>
    <n v="15"/>
    <n v="31818"/>
    <x v="73"/>
    <s v="Pharmcomplect"/>
    <s v="Bayer"/>
    <n v="1"/>
    <n v="311.17"/>
    <n v="510.96"/>
    <n v="0"/>
    <n v="0"/>
    <m/>
    <n v="29"/>
    <n v="1"/>
    <n v="2"/>
    <n v="510.96"/>
    <n v="13130001453"/>
  </r>
  <r>
    <x v="2"/>
    <d v="1899-12-30T22:40:05"/>
    <n v="2454"/>
    <n v="13002561"/>
    <n v="13"/>
    <n v="22589"/>
    <s v="Retail Sale"/>
    <n v="15"/>
    <n v="15550"/>
    <x v="17"/>
    <s v="Avesta"/>
    <s v="Novartis"/>
    <n v="3"/>
    <n v="360.42"/>
    <n v="596.05999999999995"/>
    <n v="29.8"/>
    <n v="29.8"/>
    <s v="BONUS_CARD"/>
    <n v="29"/>
    <n v="1"/>
    <n v="2"/>
    <n v="566.26"/>
    <n v="13130001454"/>
  </r>
  <r>
    <x v="25"/>
    <d v="1899-12-30T20:11:56"/>
    <n v="2455"/>
    <n v="13002561"/>
    <n v="13"/>
    <n v="22589"/>
    <s v="Retail Sale"/>
    <n v="18"/>
    <n v="98758"/>
    <x v="29"/>
    <s v="Grand Capital"/>
    <s v="TEVA"/>
    <n v="2"/>
    <n v="25.21"/>
    <n v="33.090000000000003"/>
    <n v="3.31"/>
    <n v="3.31"/>
    <s v="BONUS_CARD"/>
    <n v="29"/>
    <n v="1"/>
    <n v="5"/>
    <n v="29.78"/>
    <n v="13130001455"/>
  </r>
  <r>
    <x v="22"/>
    <d v="1899-12-30T11:38:42"/>
    <n v="2456"/>
    <n v="13002561"/>
    <n v="13"/>
    <n v="22589"/>
    <s v="Retail Sale"/>
    <n v="15"/>
    <n v="35781"/>
    <x v="20"/>
    <s v="Pulse"/>
    <s v="Bayer"/>
    <n v="3"/>
    <n v="453.87"/>
    <n v="573.12"/>
    <n v="0"/>
    <n v="0"/>
    <m/>
    <n v="29"/>
    <n v="1"/>
    <n v="4"/>
    <n v="573.12"/>
    <n v="13130001456"/>
  </r>
  <r>
    <x v="7"/>
    <d v="1899-12-30T21:57:34"/>
    <n v="2457"/>
    <n v="13002561"/>
    <n v="13"/>
    <n v="22589"/>
    <s v="Retail Sale"/>
    <n v="18"/>
    <n v="53087"/>
    <x v="42"/>
    <s v="Pharmcomplect"/>
    <s v="Pfizer"/>
    <n v="1"/>
    <n v="409.1"/>
    <n v="593.73"/>
    <n v="59.37"/>
    <n v="59.37"/>
    <s v="BONUS_CARD"/>
    <n v="29"/>
    <n v="1"/>
    <n v="1"/>
    <n v="534.36"/>
    <n v="13130001457"/>
  </r>
  <r>
    <x v="19"/>
    <d v="1899-12-30T18:26:21"/>
    <n v="2458"/>
    <n v="13002561"/>
    <n v="13"/>
    <n v="22589"/>
    <s v="Retail Sale"/>
    <n v="15"/>
    <n v="63063"/>
    <x v="30"/>
    <s v="Protek"/>
    <s v="Bayer"/>
    <n v="1"/>
    <n v="66.86"/>
    <n v="92.26"/>
    <n v="4.6100000000000003"/>
    <n v="4.6100000000000003"/>
    <s v="BONUS_CARD"/>
    <n v="29"/>
    <n v="1"/>
    <n v="3"/>
    <n v="87.65"/>
    <n v="13130001458"/>
  </r>
  <r>
    <x v="22"/>
    <d v="1899-12-30T22:39:30"/>
    <n v="2459"/>
    <n v="13002561"/>
    <n v="13"/>
    <n v="22589"/>
    <s v="Retail Sale"/>
    <n v="18"/>
    <n v="85403"/>
    <x v="84"/>
    <s v="Avesta"/>
    <s v="Novartis"/>
    <n v="1"/>
    <n v="248.8"/>
    <n v="329.06"/>
    <n v="16.45"/>
    <n v="16.45"/>
    <s v="BONUS_CARD"/>
    <n v="29"/>
    <n v="1"/>
    <n v="2"/>
    <n v="312.61"/>
    <n v="13130001459"/>
  </r>
  <r>
    <x v="23"/>
    <d v="1899-12-30T08:12:47"/>
    <n v="2460"/>
    <n v="13002561"/>
    <n v="13"/>
    <n v="22589"/>
    <s v="Retail Sale"/>
    <n v="18"/>
    <n v="91852"/>
    <x v="54"/>
    <s v="Protek"/>
    <s v="Sanofi"/>
    <n v="2"/>
    <n v="432.68"/>
    <n v="624.41999999999996"/>
    <n v="62.44"/>
    <n v="62.44"/>
    <s v="BONUS_CARD"/>
    <n v="29"/>
    <n v="1"/>
    <n v="3"/>
    <n v="561.98"/>
    <n v="13130001460"/>
  </r>
  <r>
    <x v="13"/>
    <d v="1899-12-30T20:30:52"/>
    <n v="2461"/>
    <n v="13002561"/>
    <n v="13"/>
    <n v="22589"/>
    <s v="Retail Sale"/>
    <n v="18"/>
    <n v="66524"/>
    <x v="73"/>
    <s v="Pulse"/>
    <s v="Dr. Reddy's"/>
    <n v="2"/>
    <n v="312.33999999999997"/>
    <n v="430.18"/>
    <n v="0"/>
    <n v="0"/>
    <m/>
    <n v="29"/>
    <n v="1"/>
    <n v="1"/>
    <n v="430.18"/>
    <n v="13130001461"/>
  </r>
  <r>
    <x v="10"/>
    <d v="1899-12-30T15:48:01"/>
    <n v="2462"/>
    <n v="13002561"/>
    <n v="13"/>
    <n v="22589"/>
    <s v="Retail Sale"/>
    <n v="18"/>
    <n v="21224"/>
    <x v="27"/>
    <s v="Avesta"/>
    <s v="TEVA"/>
    <n v="3"/>
    <n v="553.08000000000004"/>
    <n v="723.31"/>
    <n v="72.33"/>
    <n v="72.33"/>
    <s v="BONUS_CARD"/>
    <n v="29"/>
    <n v="1"/>
    <n v="4"/>
    <n v="650.98"/>
    <n v="13130001462"/>
  </r>
  <r>
    <x v="0"/>
    <d v="1899-12-30T09:24:37"/>
    <n v="2463"/>
    <n v="13002561"/>
    <n v="13"/>
    <n v="22589"/>
    <s v="Retail Sale"/>
    <n v="18"/>
    <n v="25374"/>
    <x v="23"/>
    <s v="Katren"/>
    <s v="Dr. Reddy's"/>
    <n v="2"/>
    <n v="72.23"/>
    <n v="99.09"/>
    <n v="0"/>
    <n v="0"/>
    <m/>
    <n v="29"/>
    <n v="1"/>
    <n v="3"/>
    <n v="99.09"/>
    <n v="13130001463"/>
  </r>
  <r>
    <x v="17"/>
    <d v="1899-12-30T16:45:03"/>
    <n v="2464"/>
    <n v="13002561"/>
    <n v="13"/>
    <n v="22589"/>
    <s v="Retail Sale"/>
    <n v="18"/>
    <n v="33353"/>
    <x v="20"/>
    <s v="Pulse"/>
    <s v="Pfizer"/>
    <n v="1"/>
    <n v="168.46"/>
    <n v="281.58999999999997"/>
    <n v="14.08"/>
    <n v="14.08"/>
    <s v="BONUS_CARD"/>
    <n v="29"/>
    <n v="1"/>
    <n v="3"/>
    <n v="267.51"/>
    <n v="13130001464"/>
  </r>
  <r>
    <x v="18"/>
    <d v="1899-12-30T09:10:45"/>
    <n v="2465"/>
    <n v="13002561"/>
    <n v="13"/>
    <n v="22589"/>
    <s v="Retail Sale"/>
    <n v="15"/>
    <n v="76124"/>
    <x v="49"/>
    <s v="Avesta"/>
    <s v="Novartis"/>
    <n v="1"/>
    <n v="333.78"/>
    <n v="419.39"/>
    <n v="41.94"/>
    <n v="41.94"/>
    <s v="BONUS_CARD"/>
    <n v="29"/>
    <n v="1"/>
    <n v="5"/>
    <n v="377.45"/>
    <n v="13130001465"/>
  </r>
  <r>
    <x v="20"/>
    <d v="1899-12-30T19:26:49"/>
    <n v="2466"/>
    <n v="13002561"/>
    <n v="13"/>
    <n v="22589"/>
    <s v="Retail Sale"/>
    <n v="15"/>
    <n v="77971"/>
    <x v="78"/>
    <s v="Grand Capital"/>
    <s v="Takeda"/>
    <n v="3"/>
    <n v="257.55"/>
    <n v="429.36"/>
    <n v="42.94"/>
    <n v="42.94"/>
    <s v="BONUS_CARD"/>
    <n v="29"/>
    <n v="1"/>
    <n v="3"/>
    <n v="386.42"/>
    <n v="13130001466"/>
  </r>
  <r>
    <x v="10"/>
    <d v="1899-12-30T13:22:45"/>
    <n v="2467"/>
    <n v="13002561"/>
    <n v="13"/>
    <n v="22589"/>
    <s v="Retail Sale"/>
    <n v="15"/>
    <n v="50650"/>
    <x v="19"/>
    <s v="Pulse"/>
    <s v="Takeda"/>
    <n v="2"/>
    <n v="355.18"/>
    <n v="506.43"/>
    <n v="0"/>
    <n v="0"/>
    <m/>
    <n v="29"/>
    <n v="1"/>
    <n v="6"/>
    <n v="506.43"/>
    <n v="13130001467"/>
  </r>
  <r>
    <x v="2"/>
    <d v="1899-12-30T09:46:47"/>
    <n v="2468"/>
    <n v="13002561"/>
    <n v="13"/>
    <n v="22589"/>
    <s v="Retail Sale"/>
    <n v="15"/>
    <n v="61250"/>
    <x v="29"/>
    <s v="Grand Capital"/>
    <s v="Sanofi"/>
    <n v="1"/>
    <n v="433.06"/>
    <n v="629.54999999999995"/>
    <n v="0"/>
    <n v="0"/>
    <m/>
    <n v="29"/>
    <n v="1"/>
    <n v="2"/>
    <n v="629.54999999999995"/>
    <n v="13130001468"/>
  </r>
  <r>
    <x v="26"/>
    <d v="1899-12-30T21:43:53"/>
    <n v="2469"/>
    <n v="13002561"/>
    <n v="13"/>
    <n v="22589"/>
    <s v="Retail Sale"/>
    <n v="18"/>
    <n v="72249"/>
    <x v="25"/>
    <s v="Grand Capital"/>
    <s v="Pfizer"/>
    <n v="2"/>
    <n v="255.91"/>
    <n v="402.94"/>
    <n v="40.29"/>
    <n v="40.29"/>
    <s v="BONUS_CARD"/>
    <n v="29"/>
    <n v="1"/>
    <n v="3"/>
    <n v="362.65"/>
    <n v="13130001469"/>
  </r>
  <r>
    <x v="19"/>
    <d v="1899-12-30T10:44:45"/>
    <n v="2470"/>
    <n v="13002561"/>
    <n v="13"/>
    <n v="22589"/>
    <s v="Retail Sale"/>
    <n v="18"/>
    <n v="39774"/>
    <x v="23"/>
    <s v="Pharmcomplect"/>
    <s v="Bayer"/>
    <n v="2"/>
    <n v="223.09"/>
    <n v="345.98"/>
    <n v="34.6"/>
    <n v="34.6"/>
    <s v="BONUS_CARD"/>
    <n v="29"/>
    <n v="1"/>
    <n v="3"/>
    <n v="311.38"/>
    <n v="13130001470"/>
  </r>
  <r>
    <x v="19"/>
    <d v="1899-12-30T09:21:20"/>
    <n v="2471"/>
    <n v="13002561"/>
    <n v="13"/>
    <n v="22589"/>
    <s v="Retail Sale"/>
    <n v="15"/>
    <n v="67220"/>
    <x v="64"/>
    <s v="Grand Capital"/>
    <s v="Takeda"/>
    <n v="1"/>
    <n v="500.97"/>
    <n v="689.67"/>
    <n v="0"/>
    <n v="0"/>
    <m/>
    <n v="29"/>
    <n v="1"/>
    <n v="4"/>
    <n v="689.67"/>
    <n v="13130001471"/>
  </r>
  <r>
    <x v="25"/>
    <d v="1899-12-30T20:32:19"/>
    <n v="2472"/>
    <n v="13002561"/>
    <n v="13"/>
    <n v="22589"/>
    <s v="Retail Sale"/>
    <n v="15"/>
    <n v="74077"/>
    <x v="32"/>
    <s v="Pulse"/>
    <s v="TEVA"/>
    <n v="2"/>
    <n v="39.14"/>
    <n v="49.68"/>
    <n v="4.97"/>
    <n v="4.97"/>
    <s v="BONUS_CARD"/>
    <n v="29"/>
    <n v="1"/>
    <n v="5"/>
    <n v="44.71"/>
    <n v="13130001472"/>
  </r>
  <r>
    <x v="30"/>
    <d v="1899-12-30T17:07:04"/>
    <n v="2473"/>
    <n v="13002561"/>
    <n v="13"/>
    <n v="22589"/>
    <s v="Retail Sale"/>
    <n v="15"/>
    <n v="84885"/>
    <x v="37"/>
    <s v="Pulse"/>
    <s v="KRKA"/>
    <n v="2"/>
    <n v="13.38"/>
    <n v="20.71"/>
    <n v="0"/>
    <n v="0"/>
    <m/>
    <n v="29"/>
    <n v="1"/>
    <n v="1"/>
    <n v="20.71"/>
    <n v="13130001473"/>
  </r>
  <r>
    <x v="9"/>
    <d v="1899-12-30T16:59:23"/>
    <n v="2474"/>
    <n v="13002561"/>
    <n v="13"/>
    <n v="22589"/>
    <s v="Retail Sale"/>
    <n v="15"/>
    <n v="73837"/>
    <x v="25"/>
    <s v="Avesta"/>
    <s v="Novartis"/>
    <n v="1"/>
    <n v="136.56"/>
    <n v="188.28"/>
    <n v="0"/>
    <n v="0"/>
    <m/>
    <n v="29"/>
    <n v="1"/>
    <n v="5"/>
    <n v="188.28"/>
    <n v="13130001474"/>
  </r>
  <r>
    <x v="16"/>
    <d v="1899-12-30T18:33:31"/>
    <n v="2475"/>
    <n v="13002561"/>
    <n v="13"/>
    <n v="22589"/>
    <s v="Retail Sale"/>
    <n v="15"/>
    <n v="42349"/>
    <x v="63"/>
    <s v="Avesta"/>
    <s v="Pfizer"/>
    <n v="2"/>
    <n v="432.01"/>
    <n v="724.31"/>
    <n v="0"/>
    <n v="0"/>
    <m/>
    <n v="29"/>
    <n v="1"/>
    <n v="5"/>
    <n v="724.31"/>
    <n v="13130001475"/>
  </r>
  <r>
    <x v="19"/>
    <d v="1899-12-30T14:14:33"/>
    <n v="2476"/>
    <n v="13002561"/>
    <n v="13"/>
    <n v="22589"/>
    <s v="Retail Sale"/>
    <n v="15"/>
    <n v="84911"/>
    <x v="20"/>
    <s v="Pulse"/>
    <s v="KRKA"/>
    <n v="1"/>
    <n v="36.270000000000003"/>
    <n v="48.61"/>
    <n v="4.8600000000000003"/>
    <n v="4.8600000000000003"/>
    <s v="BONUS_CARD"/>
    <n v="29"/>
    <n v="1"/>
    <n v="2"/>
    <n v="43.75"/>
    <n v="13130001476"/>
  </r>
  <r>
    <x v="30"/>
    <d v="1899-12-30T15:33:48"/>
    <n v="2477"/>
    <n v="13002561"/>
    <n v="13"/>
    <n v="22589"/>
    <s v="Retail Sale"/>
    <n v="15"/>
    <n v="61633"/>
    <x v="12"/>
    <s v="Avesta"/>
    <s v="Sanofi"/>
    <n v="3"/>
    <n v="22.42"/>
    <n v="35.5"/>
    <n v="3.55"/>
    <n v="3.55"/>
    <s v="BONUS_CARD"/>
    <n v="29"/>
    <n v="1"/>
    <n v="1"/>
    <n v="31.95"/>
    <n v="13130001477"/>
  </r>
  <r>
    <x v="30"/>
    <d v="1899-12-30T13:54:40"/>
    <n v="2478"/>
    <n v="13002561"/>
    <n v="13"/>
    <n v="22589"/>
    <s v="Retail Sale"/>
    <n v="15"/>
    <n v="59841"/>
    <x v="19"/>
    <s v="Avesta"/>
    <s v="Pfizer"/>
    <n v="1"/>
    <n v="127.79"/>
    <n v="178.6"/>
    <n v="0"/>
    <n v="0"/>
    <m/>
    <n v="29"/>
    <n v="1"/>
    <n v="5"/>
    <n v="178.6"/>
    <n v="13130001478"/>
  </r>
  <r>
    <x v="2"/>
    <d v="1899-12-30T11:33:41"/>
    <n v="2479"/>
    <n v="13002561"/>
    <n v="13"/>
    <n v="22589"/>
    <s v="Retail Sale"/>
    <n v="15"/>
    <n v="51964"/>
    <x v="86"/>
    <s v="Grand Capital"/>
    <s v="KRKA"/>
    <n v="3"/>
    <n v="434.65"/>
    <n v="656.98"/>
    <n v="65.7"/>
    <n v="65.7"/>
    <s v="BONUS_CARD"/>
    <n v="29"/>
    <n v="1"/>
    <n v="4"/>
    <n v="591.28"/>
    <n v="13130001479"/>
  </r>
  <r>
    <x v="19"/>
    <d v="1899-12-30T21:06:47"/>
    <n v="2480"/>
    <n v="13002561"/>
    <n v="13"/>
    <n v="22589"/>
    <s v="Retail Sale"/>
    <n v="15"/>
    <n v="42791"/>
    <x v="5"/>
    <s v="Grand Capital"/>
    <s v="Pfizer"/>
    <n v="2"/>
    <n v="326.12"/>
    <n v="531.21"/>
    <n v="26.56"/>
    <n v="26.56"/>
    <s v="BONUS_CARD"/>
    <n v="29"/>
    <n v="1"/>
    <n v="6"/>
    <n v="504.65"/>
    <n v="13130001480"/>
  </r>
  <r>
    <x v="14"/>
    <d v="1899-12-30T09:23:24"/>
    <n v="2481"/>
    <n v="13002561"/>
    <n v="13"/>
    <n v="22589"/>
    <s v="Retail Sale"/>
    <n v="15"/>
    <n v="97030"/>
    <x v="0"/>
    <s v="Katren"/>
    <s v="KRKA"/>
    <n v="2"/>
    <n v="252.26"/>
    <n v="397.11"/>
    <n v="19.86"/>
    <n v="19.86"/>
    <s v="BONUS_CARD"/>
    <n v="29"/>
    <n v="1"/>
    <n v="3"/>
    <n v="377.25"/>
    <n v="13130001481"/>
  </r>
  <r>
    <x v="12"/>
    <d v="1899-12-30T18:23:39"/>
    <n v="2482"/>
    <n v="13002561"/>
    <n v="13"/>
    <n v="22589"/>
    <s v="Retail Sale"/>
    <n v="15"/>
    <n v="23069"/>
    <x v="4"/>
    <s v="Pulse"/>
    <s v="Takeda"/>
    <n v="3"/>
    <n v="316.58999999999997"/>
    <n v="481.23"/>
    <n v="0"/>
    <n v="0"/>
    <m/>
    <n v="29"/>
    <n v="1"/>
    <n v="2"/>
    <n v="481.23"/>
    <n v="13130001482"/>
  </r>
  <r>
    <x v="29"/>
    <d v="1899-12-30T18:33:53"/>
    <n v="2483"/>
    <n v="13002561"/>
    <n v="13"/>
    <n v="22589"/>
    <s v="Retail Sale"/>
    <n v="15"/>
    <n v="77122"/>
    <x v="89"/>
    <s v="Avesta"/>
    <s v="Takeda"/>
    <n v="2"/>
    <n v="266.98"/>
    <n v="429.85"/>
    <n v="21.49"/>
    <n v="21.49"/>
    <s v="BONUS_CARD"/>
    <n v="29"/>
    <n v="1"/>
    <n v="2"/>
    <n v="408.36"/>
    <n v="13130001483"/>
  </r>
  <r>
    <x v="26"/>
    <d v="1899-12-30T14:21:42"/>
    <n v="2484"/>
    <n v="13002561"/>
    <n v="13"/>
    <n v="22589"/>
    <s v="Retail Sale"/>
    <n v="15"/>
    <n v="61152"/>
    <x v="11"/>
    <s v="Protek"/>
    <s v="Dr. Reddy's"/>
    <n v="3"/>
    <n v="489.03"/>
    <n v="647.78"/>
    <n v="0"/>
    <n v="0"/>
    <m/>
    <n v="29"/>
    <n v="1"/>
    <n v="4"/>
    <n v="647.78"/>
    <n v="13130001484"/>
  </r>
  <r>
    <x v="7"/>
    <d v="1899-12-30T14:22:59"/>
    <n v="2485"/>
    <n v="13002561"/>
    <n v="13"/>
    <n v="22589"/>
    <s v="Retail Sale"/>
    <n v="15"/>
    <n v="75899"/>
    <x v="82"/>
    <s v="Avesta"/>
    <s v="Sanofi"/>
    <n v="1"/>
    <n v="241.38"/>
    <n v="306.52999999999997"/>
    <n v="30.65"/>
    <n v="30.65"/>
    <s v="BONUS_CARD"/>
    <n v="29"/>
    <n v="1"/>
    <n v="2"/>
    <n v="275.88"/>
    <n v="13130001485"/>
  </r>
  <r>
    <x v="11"/>
    <d v="1899-12-30T10:48:07"/>
    <n v="2486"/>
    <n v="13002561"/>
    <n v="13"/>
    <n v="22589"/>
    <s v="Retail Sale"/>
    <n v="18"/>
    <n v="95081"/>
    <x v="71"/>
    <s v="Katren"/>
    <s v="KRKA"/>
    <n v="2"/>
    <n v="366.79"/>
    <n v="595.79999999999995"/>
    <n v="0"/>
    <n v="0"/>
    <m/>
    <n v="29"/>
    <n v="1"/>
    <n v="4"/>
    <n v="595.79999999999995"/>
    <n v="13130001486"/>
  </r>
  <r>
    <x v="23"/>
    <d v="1899-12-30T21:07:14"/>
    <n v="2487"/>
    <n v="13002561"/>
    <n v="13"/>
    <n v="22589"/>
    <s v="Retail Sale"/>
    <n v="18"/>
    <n v="20647"/>
    <x v="67"/>
    <s v="Pharmcomplect"/>
    <s v="TEVA"/>
    <n v="2"/>
    <n v="31.98"/>
    <n v="41.17"/>
    <n v="4.12"/>
    <n v="4.12"/>
    <s v="BONUS_CARD"/>
    <n v="29"/>
    <n v="1"/>
    <n v="5"/>
    <n v="37.049999999999997"/>
    <n v="13130001487"/>
  </r>
  <r>
    <x v="2"/>
    <d v="1899-12-30T20:12:00"/>
    <n v="2488"/>
    <n v="13002561"/>
    <n v="13"/>
    <n v="22589"/>
    <s v="Retail Sale"/>
    <n v="18"/>
    <n v="91869"/>
    <x v="50"/>
    <s v="Avesta"/>
    <s v="Novartis"/>
    <n v="1"/>
    <n v="73.11"/>
    <n v="121.21"/>
    <n v="0"/>
    <n v="0"/>
    <m/>
    <n v="29"/>
    <n v="1"/>
    <n v="4"/>
    <n v="121.21"/>
    <n v="13130001488"/>
  </r>
  <r>
    <x v="29"/>
    <d v="1899-12-30T22:43:37"/>
    <n v="2489"/>
    <n v="13002561"/>
    <n v="13"/>
    <n v="22589"/>
    <s v="Retail Sale"/>
    <n v="18"/>
    <n v="15075"/>
    <x v="34"/>
    <s v="Grand Capital"/>
    <s v="Novartis"/>
    <n v="3"/>
    <n v="235.37"/>
    <n v="319.08999999999997"/>
    <n v="0"/>
    <n v="0"/>
    <m/>
    <n v="29"/>
    <n v="1"/>
    <n v="6"/>
    <n v="319.08999999999997"/>
    <n v="13130001489"/>
  </r>
  <r>
    <x v="28"/>
    <d v="1899-12-30T22:21:16"/>
    <n v="2490"/>
    <n v="13002561"/>
    <n v="13"/>
    <n v="22589"/>
    <s v="Retail Sale"/>
    <n v="18"/>
    <n v="66190"/>
    <x v="60"/>
    <s v="Grand Capital"/>
    <s v="TEVA"/>
    <n v="1"/>
    <n v="466.21"/>
    <n v="653.6"/>
    <n v="32.68"/>
    <n v="32.68"/>
    <s v="BONUS_CARD"/>
    <n v="29"/>
    <n v="1"/>
    <n v="6"/>
    <n v="620.91999999999996"/>
    <n v="13130001490"/>
  </r>
  <r>
    <x v="28"/>
    <d v="1899-12-30T18:41:57"/>
    <n v="2491"/>
    <n v="13002561"/>
    <n v="13"/>
    <n v="22589"/>
    <s v="Retail Sale"/>
    <n v="15"/>
    <n v="54994"/>
    <x v="9"/>
    <s v="Pharmcomplect"/>
    <s v="KRKA"/>
    <n v="3"/>
    <n v="357.2"/>
    <n v="597"/>
    <n v="29.85"/>
    <n v="29.85"/>
    <s v="BONUS_CARD"/>
    <n v="29"/>
    <n v="1"/>
    <n v="6"/>
    <n v="567.15"/>
    <n v="13130001491"/>
  </r>
  <r>
    <x v="8"/>
    <d v="1899-12-30T22:49:30"/>
    <n v="2492"/>
    <n v="13002561"/>
    <n v="13"/>
    <n v="22589"/>
    <s v="Retail Sale"/>
    <n v="18"/>
    <n v="17900"/>
    <x v="72"/>
    <s v="Pharmcomplect"/>
    <s v="Takeda"/>
    <n v="3"/>
    <n v="333.35"/>
    <n v="548.28"/>
    <n v="54.83"/>
    <n v="54.83"/>
    <s v="BONUS_CARD"/>
    <n v="29"/>
    <n v="1"/>
    <n v="3"/>
    <n v="493.45"/>
    <n v="13130001492"/>
  </r>
  <r>
    <x v="20"/>
    <d v="1899-12-30T22:02:00"/>
    <n v="2493"/>
    <n v="13002561"/>
    <n v="13"/>
    <n v="22589"/>
    <s v="Retail Sale"/>
    <n v="15"/>
    <n v="53960"/>
    <x v="64"/>
    <s v="Avesta"/>
    <s v="Sanofi"/>
    <n v="1"/>
    <n v="535.04999999999995"/>
    <n v="870.47"/>
    <n v="0"/>
    <n v="0"/>
    <m/>
    <n v="29"/>
    <n v="1"/>
    <n v="1"/>
    <n v="870.47"/>
    <n v="13130001493"/>
  </r>
  <r>
    <x v="25"/>
    <d v="1899-12-30T22:10:51"/>
    <n v="2494"/>
    <n v="13002561"/>
    <n v="13"/>
    <n v="22589"/>
    <s v="Retail Sale"/>
    <n v="18"/>
    <n v="37113"/>
    <x v="57"/>
    <s v="Pharmcomplect"/>
    <s v="KRKA"/>
    <n v="1"/>
    <n v="588.14"/>
    <n v="998.6"/>
    <n v="99.86"/>
    <n v="99.86"/>
    <s v="BONUS_CARD"/>
    <n v="29"/>
    <n v="1"/>
    <n v="5"/>
    <n v="898.74"/>
    <n v="13130001494"/>
  </r>
  <r>
    <x v="10"/>
    <d v="1899-12-30T14:18:31"/>
    <n v="2495"/>
    <n v="13002561"/>
    <n v="13"/>
    <n v="22589"/>
    <s v="Retail Sale"/>
    <n v="18"/>
    <n v="96241"/>
    <x v="41"/>
    <s v="Pulse"/>
    <s v="Pfizer"/>
    <n v="2"/>
    <n v="179.26"/>
    <n v="294.57"/>
    <n v="0"/>
    <n v="0"/>
    <m/>
    <n v="29"/>
    <n v="1"/>
    <n v="1"/>
    <n v="294.57"/>
    <n v="13130001495"/>
  </r>
  <r>
    <x v="30"/>
    <d v="1899-12-30T16:48:00"/>
    <n v="2496"/>
    <n v="13002561"/>
    <n v="13"/>
    <n v="22589"/>
    <s v="Retail Sale"/>
    <n v="18"/>
    <n v="37179"/>
    <x v="20"/>
    <s v="Grand Capital"/>
    <s v="Takeda"/>
    <n v="3"/>
    <n v="248.54"/>
    <n v="321.77"/>
    <n v="32.18"/>
    <n v="32.18"/>
    <s v="BONUS_CARD"/>
    <n v="29"/>
    <n v="1"/>
    <n v="5"/>
    <n v="289.58999999999997"/>
    <n v="13130001496"/>
  </r>
  <r>
    <x v="10"/>
    <d v="1899-12-30T16:03:37"/>
    <n v="2497"/>
    <n v="13002561"/>
    <n v="13"/>
    <n v="22589"/>
    <s v="Retail Sale"/>
    <n v="15"/>
    <n v="68759"/>
    <x v="1"/>
    <s v="Protek"/>
    <s v="Sanofi"/>
    <n v="2"/>
    <n v="125.9"/>
    <n v="208.49"/>
    <n v="0"/>
    <n v="0"/>
    <m/>
    <n v="29"/>
    <n v="1"/>
    <n v="4"/>
    <n v="208.49"/>
    <n v="13130001497"/>
  </r>
  <r>
    <x v="24"/>
    <d v="1899-12-30T20:49:02"/>
    <n v="2498"/>
    <n v="13002561"/>
    <n v="13"/>
    <n v="22589"/>
    <s v="Retail Sale"/>
    <n v="18"/>
    <n v="97420"/>
    <x v="27"/>
    <s v="Pulse"/>
    <s v="Bayer"/>
    <n v="1"/>
    <n v="201.41"/>
    <n v="274.39"/>
    <n v="13.72"/>
    <n v="13.72"/>
    <s v="BONUS_CARD"/>
    <n v="29"/>
    <n v="1"/>
    <n v="3"/>
    <n v="260.67"/>
    <n v="13130001498"/>
  </r>
  <r>
    <x v="19"/>
    <d v="1899-12-30T20:18:25"/>
    <n v="2499"/>
    <n v="13002561"/>
    <n v="13"/>
    <n v="22589"/>
    <s v="Retail Sale"/>
    <n v="15"/>
    <n v="15931"/>
    <x v="39"/>
    <s v="Protek"/>
    <s v="Dr. Reddy's"/>
    <n v="1"/>
    <n v="147.16999999999999"/>
    <n v="240.2"/>
    <n v="12.01"/>
    <n v="12.01"/>
    <s v="BONUS_CARD"/>
    <n v="29"/>
    <n v="1"/>
    <n v="2"/>
    <n v="228.19"/>
    <n v="13130001499"/>
  </r>
  <r>
    <x v="25"/>
    <d v="1899-12-30T11:26:20"/>
    <n v="2500"/>
    <n v="13002561"/>
    <n v="13"/>
    <n v="22589"/>
    <s v="Retail Sale"/>
    <n v="18"/>
    <n v="30056"/>
    <x v="63"/>
    <s v="Pulse"/>
    <s v="Takeda"/>
    <n v="2"/>
    <n v="241.5"/>
    <n v="342.6"/>
    <n v="0"/>
    <n v="0"/>
    <m/>
    <n v="29"/>
    <n v="1"/>
    <n v="3"/>
    <n v="342.6"/>
    <n v="13130001500"/>
  </r>
  <r>
    <x v="19"/>
    <d v="1899-12-30T09:14:21"/>
    <n v="2501"/>
    <n v="13002561"/>
    <n v="13"/>
    <n v="22589"/>
    <s v="Retail Sale"/>
    <n v="18"/>
    <n v="29070"/>
    <x v="68"/>
    <s v="Pulse"/>
    <s v="Bayer"/>
    <n v="1"/>
    <n v="193.77"/>
    <n v="290.19"/>
    <n v="14.51"/>
    <n v="14.51"/>
    <s v="BONUS_CARD"/>
    <n v="29"/>
    <n v="1"/>
    <n v="5"/>
    <n v="275.68"/>
    <n v="13130001501"/>
  </r>
  <r>
    <x v="29"/>
    <d v="1899-12-30T19:59:54"/>
    <n v="2502"/>
    <n v="13002561"/>
    <n v="13"/>
    <n v="22589"/>
    <s v="Retail Sale"/>
    <n v="15"/>
    <n v="18281"/>
    <x v="25"/>
    <s v="Protek"/>
    <s v="KRKA"/>
    <n v="2"/>
    <n v="311.3"/>
    <n v="485.79"/>
    <n v="48.58"/>
    <n v="48.58"/>
    <s v="BONUS_CARD"/>
    <n v="29"/>
    <n v="1"/>
    <n v="6"/>
    <n v="437.21"/>
    <n v="13130001502"/>
  </r>
  <r>
    <x v="8"/>
    <d v="1899-12-30T08:17:39"/>
    <n v="2503"/>
    <n v="13002561"/>
    <n v="13"/>
    <n v="22589"/>
    <s v="Retail Sale"/>
    <n v="15"/>
    <n v="14450"/>
    <x v="8"/>
    <s v="Pulse"/>
    <s v="Bayer"/>
    <n v="3"/>
    <n v="77.17"/>
    <n v="102"/>
    <n v="0"/>
    <n v="0"/>
    <m/>
    <n v="29"/>
    <n v="1"/>
    <n v="5"/>
    <n v="102"/>
    <n v="13130001503"/>
  </r>
  <r>
    <x v="12"/>
    <d v="1899-12-30T08:05:16"/>
    <n v="2504"/>
    <n v="13002561"/>
    <n v="13"/>
    <n v="22589"/>
    <s v="Retail Sale"/>
    <n v="15"/>
    <n v="49247"/>
    <x v="48"/>
    <s v="Pharmcomplect"/>
    <s v="Bayer"/>
    <n v="3"/>
    <n v="178.64"/>
    <n v="246.69"/>
    <n v="0"/>
    <n v="0"/>
    <m/>
    <n v="29"/>
    <n v="1"/>
    <n v="5"/>
    <n v="246.69"/>
    <n v="13130001504"/>
  </r>
  <r>
    <x v="29"/>
    <d v="1899-12-30T09:15:37"/>
    <n v="2505"/>
    <n v="13002561"/>
    <n v="13"/>
    <n v="22589"/>
    <s v="Retail Sale"/>
    <n v="18"/>
    <n v="31091"/>
    <x v="11"/>
    <s v="Grand Capital"/>
    <s v="Sanofi"/>
    <n v="3"/>
    <n v="315.7"/>
    <n v="474.27"/>
    <n v="47.43"/>
    <n v="47.43"/>
    <s v="BONUS_CARD"/>
    <n v="29"/>
    <n v="1"/>
    <n v="2"/>
    <n v="426.84"/>
    <n v="13130001505"/>
  </r>
  <r>
    <x v="30"/>
    <d v="1899-12-30T21:29:24"/>
    <n v="2506"/>
    <n v="13002561"/>
    <n v="13"/>
    <n v="22589"/>
    <s v="Retail Sale"/>
    <n v="18"/>
    <n v="84119"/>
    <x v="3"/>
    <s v="Avesta"/>
    <s v="TEVA"/>
    <n v="2"/>
    <n v="470.97"/>
    <n v="649.78"/>
    <n v="0"/>
    <n v="0"/>
    <m/>
    <n v="29"/>
    <n v="1"/>
    <n v="6"/>
    <n v="649.78"/>
    <n v="13130001506"/>
  </r>
  <r>
    <x v="30"/>
    <d v="1899-12-30T11:32:35"/>
    <n v="2507"/>
    <n v="13002561"/>
    <n v="13"/>
    <n v="22589"/>
    <s v="Retail Sale"/>
    <n v="18"/>
    <n v="75804"/>
    <x v="18"/>
    <s v="Pulse"/>
    <s v="KRKA"/>
    <n v="2"/>
    <n v="446.87"/>
    <n v="745.11"/>
    <n v="0"/>
    <n v="0"/>
    <m/>
    <n v="29"/>
    <n v="1"/>
    <n v="1"/>
    <n v="745.11"/>
    <n v="13130001507"/>
  </r>
  <r>
    <x v="15"/>
    <d v="1899-12-30T17:00:59"/>
    <n v="2508"/>
    <n v="13002561"/>
    <n v="13"/>
    <n v="22589"/>
    <s v="Retail Sale"/>
    <n v="15"/>
    <n v="50346"/>
    <x v="20"/>
    <s v="Katren"/>
    <s v="Takeda"/>
    <n v="1"/>
    <n v="21.85"/>
    <n v="28.5"/>
    <n v="0"/>
    <n v="0"/>
    <m/>
    <n v="29"/>
    <n v="1"/>
    <n v="3"/>
    <n v="28.5"/>
    <n v="13130001508"/>
  </r>
  <r>
    <x v="26"/>
    <d v="1899-12-30T20:27:13"/>
    <n v="2509"/>
    <n v="13002561"/>
    <n v="13"/>
    <n v="22589"/>
    <s v="Retail Sale"/>
    <n v="15"/>
    <n v="93211"/>
    <x v="57"/>
    <s v="Pulse"/>
    <s v="Pfizer"/>
    <n v="1"/>
    <n v="346.02"/>
    <n v="463.1"/>
    <n v="0"/>
    <n v="0"/>
    <m/>
    <n v="29"/>
    <n v="1"/>
    <n v="5"/>
    <n v="463.1"/>
    <n v="13130001509"/>
  </r>
  <r>
    <x v="30"/>
    <d v="1899-12-30T16:28:47"/>
    <n v="2510"/>
    <n v="13002561"/>
    <n v="13"/>
    <n v="22589"/>
    <s v="Retail Sale"/>
    <n v="18"/>
    <n v="29098"/>
    <x v="1"/>
    <s v="Pulse"/>
    <s v="Pfizer"/>
    <n v="2"/>
    <n v="550.30999999999995"/>
    <n v="852.77"/>
    <n v="85.28"/>
    <n v="85.28"/>
    <s v="BONUS_CARD"/>
    <n v="29"/>
    <n v="1"/>
    <n v="2"/>
    <n v="767.49"/>
    <n v="13130001510"/>
  </r>
  <r>
    <x v="29"/>
    <d v="1899-12-30T17:58:49"/>
    <n v="2511"/>
    <n v="13002561"/>
    <n v="13"/>
    <n v="22589"/>
    <s v="Retail Sale"/>
    <n v="15"/>
    <n v="20340"/>
    <x v="44"/>
    <s v="Grand Capital"/>
    <s v="Bayer"/>
    <n v="1"/>
    <n v="434.48"/>
    <n v="732.21"/>
    <n v="36.61"/>
    <n v="36.61"/>
    <s v="BONUS_CARD"/>
    <n v="29"/>
    <n v="1"/>
    <n v="6"/>
    <n v="695.6"/>
    <n v="13130001511"/>
  </r>
  <r>
    <x v="4"/>
    <d v="1899-12-30T09:32:59"/>
    <n v="2512"/>
    <n v="13002561"/>
    <n v="13"/>
    <n v="22589"/>
    <s v="Retail Sale"/>
    <n v="15"/>
    <n v="27620"/>
    <x v="73"/>
    <s v="Protek"/>
    <s v="KRKA"/>
    <n v="1"/>
    <n v="110.02"/>
    <n v="162.81"/>
    <n v="16.28"/>
    <n v="16.28"/>
    <s v="BONUS_CARD"/>
    <n v="29"/>
    <n v="1"/>
    <n v="3"/>
    <n v="146.53"/>
    <n v="13130001512"/>
  </r>
  <r>
    <x v="14"/>
    <d v="1899-12-30T20:09:37"/>
    <n v="2513"/>
    <n v="13002561"/>
    <n v="13"/>
    <n v="22589"/>
    <s v="Retail Sale"/>
    <n v="15"/>
    <n v="57292"/>
    <x v="84"/>
    <s v="Avesta"/>
    <s v="TEVA"/>
    <n v="1"/>
    <n v="218.9"/>
    <n v="327.66000000000003"/>
    <n v="0"/>
    <n v="0"/>
    <m/>
    <n v="29"/>
    <n v="1"/>
    <n v="1"/>
    <n v="327.66000000000003"/>
    <n v="13130001513"/>
  </r>
  <r>
    <x v="24"/>
    <d v="1899-12-30T18:24:26"/>
    <n v="2514"/>
    <n v="13002561"/>
    <n v="13"/>
    <n v="22589"/>
    <s v="Retail Sale"/>
    <n v="18"/>
    <n v="14491"/>
    <x v="70"/>
    <s v="Avesta"/>
    <s v="KRKA"/>
    <n v="2"/>
    <n v="113.26"/>
    <n v="164.31"/>
    <n v="8.2200000000000006"/>
    <n v="8.2200000000000006"/>
    <s v="BONUS_CARD"/>
    <n v="29"/>
    <n v="1"/>
    <n v="3"/>
    <n v="156.09"/>
    <n v="13130001514"/>
  </r>
  <r>
    <x v="15"/>
    <d v="1899-12-30T10:42:49"/>
    <n v="2515"/>
    <n v="13002561"/>
    <n v="13"/>
    <n v="22589"/>
    <s v="Retail Sale"/>
    <n v="15"/>
    <n v="96397"/>
    <x v="56"/>
    <s v="Avesta"/>
    <s v="Novartis"/>
    <n v="2"/>
    <n v="517.21"/>
    <n v="664.72"/>
    <n v="66.47"/>
    <n v="66.47"/>
    <s v="BONUS_CARD"/>
    <n v="29"/>
    <n v="1"/>
    <n v="6"/>
    <n v="598.25"/>
    <n v="13130001515"/>
  </r>
  <r>
    <x v="11"/>
    <d v="1899-12-30T17:12:33"/>
    <n v="2516"/>
    <n v="13002561"/>
    <n v="13"/>
    <n v="22589"/>
    <s v="Retail Sale"/>
    <n v="18"/>
    <n v="20845"/>
    <x v="17"/>
    <s v="Protek"/>
    <s v="TEVA"/>
    <n v="1"/>
    <n v="496.87"/>
    <n v="701.85"/>
    <n v="70.19"/>
    <n v="70.19"/>
    <s v="BONUS_CARD"/>
    <n v="29"/>
    <n v="1"/>
    <n v="4"/>
    <n v="631.66"/>
    <n v="13130001516"/>
  </r>
  <r>
    <x v="13"/>
    <d v="1899-12-30T21:54:15"/>
    <n v="2517"/>
    <n v="13002561"/>
    <n v="13"/>
    <n v="22589"/>
    <s v="Retail Sale"/>
    <n v="18"/>
    <n v="30119"/>
    <x v="76"/>
    <s v="Grand Capital"/>
    <s v="Bayer"/>
    <n v="1"/>
    <n v="24.63"/>
    <n v="37.590000000000003"/>
    <n v="3.76"/>
    <n v="3.76"/>
    <s v="BONUS_CARD"/>
    <n v="29"/>
    <n v="1"/>
    <n v="1"/>
    <n v="33.83"/>
    <n v="13130001517"/>
  </r>
  <r>
    <x v="5"/>
    <d v="1899-12-30T15:11:24"/>
    <n v="2518"/>
    <n v="13002561"/>
    <n v="13"/>
    <n v="22589"/>
    <s v="Retail Sale"/>
    <n v="18"/>
    <n v="18672"/>
    <x v="42"/>
    <s v="Protek"/>
    <s v="Sanofi"/>
    <n v="3"/>
    <n v="305.08999999999997"/>
    <n v="402.23"/>
    <n v="20.11"/>
    <n v="20.11"/>
    <s v="BONUS_CARD"/>
    <n v="29"/>
    <n v="1"/>
    <n v="2"/>
    <n v="382.12"/>
    <n v="13130001518"/>
  </r>
  <r>
    <x v="24"/>
    <d v="1899-12-30T22:49:43"/>
    <n v="2519"/>
    <n v="13002561"/>
    <n v="13"/>
    <n v="22589"/>
    <s v="Retail Sale"/>
    <n v="15"/>
    <n v="25945"/>
    <x v="75"/>
    <s v="Avesta"/>
    <s v="Bayer"/>
    <n v="1"/>
    <n v="201.25"/>
    <n v="333.66"/>
    <n v="16.68"/>
    <n v="16.68"/>
    <s v="BONUS_CARD"/>
    <n v="29"/>
    <n v="1"/>
    <n v="3"/>
    <n v="316.98"/>
    <n v="13130001519"/>
  </r>
  <r>
    <x v="16"/>
    <d v="1899-12-30T20:40:46"/>
    <n v="2520"/>
    <n v="13002561"/>
    <n v="13"/>
    <n v="22589"/>
    <s v="Retail Sale"/>
    <n v="18"/>
    <n v="85513"/>
    <x v="65"/>
    <s v="Katren"/>
    <s v="Sanofi"/>
    <n v="3"/>
    <n v="386.23"/>
    <n v="623.94000000000005"/>
    <n v="0"/>
    <n v="0"/>
    <m/>
    <n v="29"/>
    <n v="1"/>
    <n v="1"/>
    <n v="623.94000000000005"/>
    <n v="13130001520"/>
  </r>
  <r>
    <x v="19"/>
    <d v="1899-12-30T11:34:02"/>
    <n v="2521"/>
    <n v="13002561"/>
    <n v="13"/>
    <n v="22589"/>
    <s v="Retail Sale"/>
    <n v="18"/>
    <n v="51203"/>
    <x v="51"/>
    <s v="Katren"/>
    <s v="Bayer"/>
    <n v="2"/>
    <n v="345.03"/>
    <n v="457.6"/>
    <n v="0"/>
    <n v="0"/>
    <m/>
    <n v="29"/>
    <n v="1"/>
    <n v="6"/>
    <n v="457.6"/>
    <n v="13130001521"/>
  </r>
  <r>
    <x v="18"/>
    <d v="1899-12-30T13:56:39"/>
    <n v="2522"/>
    <n v="13002561"/>
    <n v="13"/>
    <n v="22589"/>
    <s v="Retail Sale"/>
    <n v="18"/>
    <n v="63989"/>
    <x v="48"/>
    <s v="Pharmcomplect"/>
    <s v="Takeda"/>
    <n v="3"/>
    <n v="567.53"/>
    <n v="930.36"/>
    <n v="0"/>
    <n v="0"/>
    <m/>
    <n v="29"/>
    <n v="1"/>
    <n v="4"/>
    <n v="930.36"/>
    <n v="13130001522"/>
  </r>
  <r>
    <x v="29"/>
    <d v="1899-12-30T11:07:58"/>
    <n v="2523"/>
    <n v="13002561"/>
    <n v="13"/>
    <n v="22589"/>
    <s v="Retail Sale"/>
    <n v="18"/>
    <n v="31905"/>
    <x v="28"/>
    <s v="Katren"/>
    <s v="KRKA"/>
    <n v="3"/>
    <n v="443.16"/>
    <n v="573.80999999999995"/>
    <n v="57.38"/>
    <n v="57.38"/>
    <s v="BONUS_CARD"/>
    <n v="29"/>
    <n v="1"/>
    <n v="4"/>
    <n v="516.42999999999995"/>
    <n v="13130001523"/>
  </r>
  <r>
    <x v="29"/>
    <d v="1899-12-30T10:08:04"/>
    <n v="2524"/>
    <n v="13002561"/>
    <n v="13"/>
    <n v="22589"/>
    <s v="Retail Sale"/>
    <n v="18"/>
    <n v="19817"/>
    <x v="39"/>
    <s v="Avesta"/>
    <s v="Pfizer"/>
    <n v="3"/>
    <n v="316.93"/>
    <n v="517.74"/>
    <n v="0"/>
    <n v="0"/>
    <m/>
    <n v="29"/>
    <n v="1"/>
    <n v="6"/>
    <n v="517.74"/>
    <n v="13130001524"/>
  </r>
  <r>
    <x v="29"/>
    <d v="1899-12-30T12:43:32"/>
    <n v="2525"/>
    <n v="13002561"/>
    <n v="13"/>
    <n v="22589"/>
    <s v="Retail Sale"/>
    <n v="18"/>
    <n v="99198"/>
    <x v="27"/>
    <s v="Avesta"/>
    <s v="Takeda"/>
    <n v="3"/>
    <n v="285.91000000000003"/>
    <n v="485.61"/>
    <n v="0"/>
    <n v="0"/>
    <m/>
    <n v="29"/>
    <n v="1"/>
    <n v="6"/>
    <n v="485.61"/>
    <n v="13130001525"/>
  </r>
  <r>
    <x v="17"/>
    <d v="1899-12-30T14:32:48"/>
    <n v="2526"/>
    <n v="13002561"/>
    <n v="13"/>
    <n v="22589"/>
    <s v="Retail Sale"/>
    <n v="15"/>
    <n v="47129"/>
    <x v="7"/>
    <s v="Pharmcomplect"/>
    <s v="Sanofi"/>
    <n v="1"/>
    <n v="512.74"/>
    <n v="825.08"/>
    <n v="82.51"/>
    <n v="82.51"/>
    <s v="BONUS_CARD"/>
    <n v="29"/>
    <n v="1"/>
    <n v="5"/>
    <n v="742.57"/>
    <n v="13130001526"/>
  </r>
  <r>
    <x v="25"/>
    <d v="1899-12-30T10:47:15"/>
    <n v="2527"/>
    <n v="13002561"/>
    <n v="13"/>
    <n v="22589"/>
    <s v="Retail Sale"/>
    <n v="15"/>
    <n v="95182"/>
    <x v="89"/>
    <s v="Pulse"/>
    <s v="TEVA"/>
    <n v="3"/>
    <n v="149.91999999999999"/>
    <n v="253.94"/>
    <n v="12.7"/>
    <n v="12.7"/>
    <s v="BONUS_CARD"/>
    <n v="29"/>
    <n v="1"/>
    <n v="3"/>
    <n v="241.24"/>
    <n v="13130001527"/>
  </r>
  <r>
    <x v="3"/>
    <d v="1899-12-30T12:04:31"/>
    <n v="2528"/>
    <n v="13002561"/>
    <n v="13"/>
    <n v="22589"/>
    <s v="Retail Sale"/>
    <n v="18"/>
    <n v="57211"/>
    <x v="26"/>
    <s v="Protek"/>
    <s v="Sanofi"/>
    <n v="2"/>
    <n v="391"/>
    <n v="597.35"/>
    <n v="0"/>
    <n v="0"/>
    <m/>
    <n v="29"/>
    <n v="1"/>
    <n v="2"/>
    <n v="597.35"/>
    <n v="13130001528"/>
  </r>
  <r>
    <x v="18"/>
    <d v="1899-12-30T16:45:16"/>
    <n v="2529"/>
    <n v="13002561"/>
    <n v="13"/>
    <n v="22589"/>
    <s v="Retail Sale"/>
    <n v="15"/>
    <n v="15509"/>
    <x v="27"/>
    <s v="Katren"/>
    <s v="Dr. Reddy's"/>
    <n v="1"/>
    <n v="497.48"/>
    <n v="768.22"/>
    <n v="38.409999999999997"/>
    <n v="38.409999999999997"/>
    <s v="BONUS_CARD"/>
    <n v="29"/>
    <n v="1"/>
    <n v="3"/>
    <n v="729.81"/>
    <n v="13130001529"/>
  </r>
  <r>
    <x v="26"/>
    <d v="1899-12-30T19:29:08"/>
    <n v="2530"/>
    <n v="13002561"/>
    <n v="13"/>
    <n v="22589"/>
    <s v="Retail Sale"/>
    <n v="15"/>
    <n v="93606"/>
    <x v="27"/>
    <s v="Protek"/>
    <s v="Bayer"/>
    <n v="1"/>
    <n v="63.47"/>
    <n v="93.05"/>
    <n v="4.6500000000000004"/>
    <n v="4.6500000000000004"/>
    <s v="BONUS_CARD"/>
    <n v="29"/>
    <n v="1"/>
    <n v="4"/>
    <n v="88.4"/>
    <n v="13130001530"/>
  </r>
  <r>
    <x v="20"/>
    <d v="1899-12-30T13:28:26"/>
    <n v="2531"/>
    <n v="13002561"/>
    <n v="13"/>
    <n v="22589"/>
    <s v="Retail Sale"/>
    <n v="18"/>
    <n v="23975"/>
    <x v="30"/>
    <s v="Katren"/>
    <s v="Bayer"/>
    <n v="2"/>
    <n v="308.19"/>
    <n v="522.36"/>
    <n v="26.12"/>
    <n v="26.12"/>
    <s v="BONUS_CARD"/>
    <n v="29"/>
    <n v="1"/>
    <n v="4"/>
    <n v="496.24"/>
    <n v="13130001531"/>
  </r>
  <r>
    <x v="25"/>
    <d v="1899-12-30T17:26:16"/>
    <n v="2532"/>
    <n v="13002561"/>
    <n v="13"/>
    <n v="22589"/>
    <s v="Retail Sale"/>
    <n v="18"/>
    <n v="68935"/>
    <x v="86"/>
    <s v="Avesta"/>
    <s v="TEVA"/>
    <n v="1"/>
    <n v="494.05"/>
    <n v="735.53"/>
    <n v="36.78"/>
    <n v="36.78"/>
    <s v="BONUS_CARD"/>
    <n v="29"/>
    <n v="1"/>
    <n v="2"/>
    <n v="698.75"/>
    <n v="13130001532"/>
  </r>
  <r>
    <x v="26"/>
    <d v="1899-12-30T20:58:19"/>
    <n v="2533"/>
    <n v="13002561"/>
    <n v="13"/>
    <n v="22589"/>
    <s v="Retail Sale"/>
    <n v="18"/>
    <n v="63340"/>
    <x v="86"/>
    <s v="Pharmcomplect"/>
    <s v="TEVA"/>
    <n v="1"/>
    <n v="235.21"/>
    <n v="372.25"/>
    <n v="37.229999999999997"/>
    <n v="37.229999999999997"/>
    <s v="BONUS_CARD"/>
    <n v="29"/>
    <n v="1"/>
    <n v="1"/>
    <n v="335.02"/>
    <n v="13130001533"/>
  </r>
  <r>
    <x v="22"/>
    <d v="1899-12-30T15:11:59"/>
    <n v="2534"/>
    <n v="13002561"/>
    <n v="13"/>
    <n v="22589"/>
    <s v="Retail Sale"/>
    <n v="18"/>
    <n v="19244"/>
    <x v="74"/>
    <s v="Protek"/>
    <s v="Sanofi"/>
    <n v="1"/>
    <n v="564.94000000000005"/>
    <n v="957.47"/>
    <n v="47.87"/>
    <n v="47.87"/>
    <s v="BONUS_CARD"/>
    <n v="29"/>
    <n v="1"/>
    <n v="6"/>
    <n v="909.6"/>
    <n v="13130001534"/>
  </r>
  <r>
    <x v="19"/>
    <d v="1899-12-30T09:34:22"/>
    <n v="2535"/>
    <n v="13002561"/>
    <n v="13"/>
    <n v="22589"/>
    <s v="Retail Sale"/>
    <n v="18"/>
    <n v="91047"/>
    <x v="32"/>
    <s v="Protek"/>
    <s v="Sanofi"/>
    <n v="2"/>
    <n v="364.28"/>
    <n v="472.11"/>
    <n v="23.61"/>
    <n v="23.61"/>
    <s v="BONUS_CARD"/>
    <n v="29"/>
    <n v="1"/>
    <n v="5"/>
    <n v="448.5"/>
    <n v="13130001535"/>
  </r>
  <r>
    <x v="30"/>
    <d v="1899-12-30T21:16:42"/>
    <n v="2536"/>
    <n v="13002561"/>
    <n v="13"/>
    <n v="22589"/>
    <s v="Retail Sale"/>
    <n v="15"/>
    <n v="28191"/>
    <x v="77"/>
    <s v="Katren"/>
    <s v="Pfizer"/>
    <n v="3"/>
    <n v="332.32"/>
    <n v="551.76"/>
    <n v="27.59"/>
    <n v="27.59"/>
    <s v="BONUS_CARD"/>
    <n v="29"/>
    <n v="1"/>
    <n v="5"/>
    <n v="524.16999999999996"/>
    <n v="13130001536"/>
  </r>
  <r>
    <x v="18"/>
    <d v="1899-12-30T16:37:41"/>
    <n v="2537"/>
    <n v="13002561"/>
    <n v="13"/>
    <n v="22589"/>
    <s v="Retail Sale"/>
    <n v="18"/>
    <n v="92475"/>
    <x v="53"/>
    <s v="Avesta"/>
    <s v="Takeda"/>
    <n v="3"/>
    <n v="51.49"/>
    <n v="79.209999999999994"/>
    <n v="0"/>
    <n v="0"/>
    <m/>
    <n v="29"/>
    <n v="1"/>
    <n v="4"/>
    <n v="79.209999999999994"/>
    <n v="13130001537"/>
  </r>
  <r>
    <x v="15"/>
    <d v="1899-12-30T11:07:43"/>
    <n v="2538"/>
    <n v="13002561"/>
    <n v="13"/>
    <n v="22589"/>
    <s v="Retail Sale"/>
    <n v="15"/>
    <n v="21317"/>
    <x v="69"/>
    <s v="Grand Capital"/>
    <s v="Bayer"/>
    <n v="2"/>
    <n v="149.68"/>
    <n v="224.16"/>
    <n v="22.42"/>
    <n v="22.42"/>
    <s v="BONUS_CARD"/>
    <n v="29"/>
    <n v="1"/>
    <n v="1"/>
    <n v="201.74"/>
    <n v="13130001538"/>
  </r>
  <r>
    <x v="17"/>
    <d v="1899-12-30T12:56:03"/>
    <n v="2539"/>
    <n v="13002561"/>
    <n v="13"/>
    <n v="22589"/>
    <s v="Retail Sale"/>
    <n v="15"/>
    <n v="38812"/>
    <x v="37"/>
    <s v="Pharmcomplect"/>
    <s v="Novartis"/>
    <n v="2"/>
    <n v="213.89"/>
    <n v="278.94"/>
    <n v="13.95"/>
    <n v="13.95"/>
    <s v="BONUS_CARD"/>
    <n v="29"/>
    <n v="1"/>
    <n v="6"/>
    <n v="264.99"/>
    <n v="13130001539"/>
  </r>
  <r>
    <x v="4"/>
    <d v="1899-12-30T14:01:53"/>
    <n v="2540"/>
    <n v="13002561"/>
    <n v="13"/>
    <n v="22589"/>
    <s v="Retail Sale"/>
    <n v="18"/>
    <n v="32996"/>
    <x v="40"/>
    <s v="Katren"/>
    <s v="Novartis"/>
    <n v="1"/>
    <n v="128.99"/>
    <n v="183.88"/>
    <n v="9.19"/>
    <n v="9.19"/>
    <s v="BONUS_CARD"/>
    <n v="29"/>
    <n v="1"/>
    <n v="6"/>
    <n v="174.69"/>
    <n v="13130001540"/>
  </r>
  <r>
    <x v="6"/>
    <d v="1899-12-30T17:36:54"/>
    <n v="2541"/>
    <n v="13002561"/>
    <n v="13"/>
    <n v="22589"/>
    <s v="Retail Sale"/>
    <n v="15"/>
    <n v="70319"/>
    <x v="61"/>
    <s v="Pharmcomplect"/>
    <s v="Sanofi"/>
    <n v="3"/>
    <n v="128.16"/>
    <n v="199.22"/>
    <n v="9.9600000000000009"/>
    <n v="9.9600000000000009"/>
    <s v="BONUS_CARD"/>
    <n v="29"/>
    <n v="1"/>
    <n v="2"/>
    <n v="189.26"/>
    <n v="13130001541"/>
  </r>
  <r>
    <x v="5"/>
    <d v="1899-12-30T18:24:29"/>
    <n v="2542"/>
    <n v="13002561"/>
    <n v="13"/>
    <n v="22589"/>
    <s v="Retail Sale"/>
    <n v="18"/>
    <n v="76046"/>
    <x v="54"/>
    <s v="Protek"/>
    <s v="KRKA"/>
    <n v="1"/>
    <n v="281.23"/>
    <n v="427.33"/>
    <n v="0"/>
    <n v="0"/>
    <m/>
    <n v="29"/>
    <n v="1"/>
    <n v="4"/>
    <n v="427.33"/>
    <n v="13130001542"/>
  </r>
  <r>
    <x v="17"/>
    <d v="1899-12-30T15:55:12"/>
    <n v="2543"/>
    <n v="13002561"/>
    <n v="13"/>
    <n v="22589"/>
    <s v="Retail Sale"/>
    <n v="15"/>
    <n v="39977"/>
    <x v="45"/>
    <s v="Katren"/>
    <s v="Novartis"/>
    <n v="3"/>
    <n v="101.08"/>
    <n v="149.96"/>
    <n v="7.5"/>
    <n v="7.5"/>
    <s v="BONUS_CARD"/>
    <n v="29"/>
    <n v="1"/>
    <n v="6"/>
    <n v="142.46"/>
    <n v="13130001543"/>
  </r>
  <r>
    <x v="29"/>
    <d v="1899-12-30T17:57:57"/>
    <n v="2544"/>
    <n v="13002561"/>
    <n v="13"/>
    <n v="22589"/>
    <s v="Retail Sale"/>
    <n v="18"/>
    <n v="41078"/>
    <x v="32"/>
    <s v="Pharmcomplect"/>
    <s v="Bayer"/>
    <n v="3"/>
    <n v="79.39"/>
    <n v="109.21"/>
    <n v="0"/>
    <n v="0"/>
    <m/>
    <n v="29"/>
    <n v="1"/>
    <n v="3"/>
    <n v="109.21"/>
    <n v="13130001544"/>
  </r>
  <r>
    <x v="10"/>
    <d v="1899-12-30T17:13:04"/>
    <n v="2545"/>
    <n v="13002561"/>
    <n v="13"/>
    <n v="22589"/>
    <s v="Retail Sale"/>
    <n v="15"/>
    <n v="77660"/>
    <x v="77"/>
    <s v="Pulse"/>
    <s v="TEVA"/>
    <n v="3"/>
    <n v="582.51"/>
    <n v="729.64"/>
    <n v="0"/>
    <n v="0"/>
    <m/>
    <n v="29"/>
    <n v="1"/>
    <n v="6"/>
    <n v="729.64"/>
    <n v="13130001545"/>
  </r>
  <r>
    <x v="16"/>
    <d v="1899-12-30T09:02:48"/>
    <n v="2546"/>
    <n v="13002561"/>
    <n v="13"/>
    <n v="22589"/>
    <s v="Retail Sale"/>
    <n v="15"/>
    <n v="45787"/>
    <x v="42"/>
    <s v="Avesta"/>
    <s v="Pfizer"/>
    <n v="1"/>
    <n v="377.75"/>
    <n v="513.84"/>
    <n v="51.38"/>
    <n v="51.38"/>
    <s v="BONUS_CARD"/>
    <n v="29"/>
    <n v="1"/>
    <n v="3"/>
    <n v="462.46"/>
    <n v="13130001546"/>
  </r>
  <r>
    <x v="26"/>
    <d v="1899-12-30T09:41:22"/>
    <n v="2547"/>
    <n v="13002561"/>
    <n v="13"/>
    <n v="22589"/>
    <s v="Retail Sale"/>
    <n v="15"/>
    <n v="20852"/>
    <x v="25"/>
    <s v="Avesta"/>
    <s v="Novartis"/>
    <n v="2"/>
    <n v="320.75"/>
    <n v="448.15"/>
    <n v="22.41"/>
    <n v="22.41"/>
    <s v="BONUS_CARD"/>
    <n v="29"/>
    <n v="1"/>
    <n v="5"/>
    <n v="425.74"/>
    <n v="13130001547"/>
  </r>
  <r>
    <x v="24"/>
    <d v="1899-12-30T18:35:54"/>
    <n v="2548"/>
    <n v="13002561"/>
    <n v="13"/>
    <n v="22589"/>
    <s v="Retail Sale"/>
    <n v="18"/>
    <n v="56699"/>
    <x v="64"/>
    <s v="Katren"/>
    <s v="Sanofi"/>
    <n v="3"/>
    <n v="540.15"/>
    <n v="885.92"/>
    <n v="0"/>
    <n v="0"/>
    <m/>
    <n v="29"/>
    <n v="1"/>
    <n v="4"/>
    <n v="885.92"/>
    <n v="13130001548"/>
  </r>
  <r>
    <x v="4"/>
    <d v="1899-12-30T10:12:12"/>
    <n v="2549"/>
    <n v="13002561"/>
    <n v="13"/>
    <n v="22589"/>
    <s v="Retail Sale"/>
    <n v="18"/>
    <n v="39894"/>
    <x v="72"/>
    <s v="Katren"/>
    <s v="Takeda"/>
    <n v="1"/>
    <n v="385.55"/>
    <n v="515.09"/>
    <n v="51.51"/>
    <n v="51.51"/>
    <s v="BONUS_CARD"/>
    <n v="29"/>
    <n v="1"/>
    <n v="1"/>
    <n v="463.58"/>
    <n v="13130001549"/>
  </r>
  <r>
    <x v="8"/>
    <d v="1899-12-30T19:44:48"/>
    <n v="2550"/>
    <n v="13002561"/>
    <n v="13"/>
    <n v="22589"/>
    <s v="Retail Sale"/>
    <n v="18"/>
    <n v="74087"/>
    <x v="66"/>
    <s v="Katren"/>
    <s v="Bayer"/>
    <n v="3"/>
    <n v="250.7"/>
    <n v="405.57"/>
    <n v="20.28"/>
    <n v="20.28"/>
    <s v="BONUS_CARD"/>
    <n v="29"/>
    <n v="1"/>
    <n v="5"/>
    <n v="385.29"/>
    <n v="13130001550"/>
  </r>
  <r>
    <x v="17"/>
    <d v="1899-12-30T13:04:59"/>
    <n v="2551"/>
    <n v="13002561"/>
    <n v="13"/>
    <n v="22589"/>
    <s v="Retail Sale"/>
    <n v="18"/>
    <n v="24330"/>
    <x v="28"/>
    <s v="Pharmcomplect"/>
    <s v="Pfizer"/>
    <n v="1"/>
    <n v="404.66"/>
    <n v="546.52"/>
    <n v="54.65"/>
    <n v="54.65"/>
    <s v="BONUS_CARD"/>
    <n v="29"/>
    <n v="1"/>
    <n v="3"/>
    <n v="491.87"/>
    <n v="13130001551"/>
  </r>
  <r>
    <x v="19"/>
    <d v="1899-12-30T18:13:48"/>
    <n v="2552"/>
    <n v="13002561"/>
    <n v="13"/>
    <n v="22589"/>
    <s v="Retail Sale"/>
    <n v="15"/>
    <n v="77313"/>
    <x v="60"/>
    <s v="Protek"/>
    <s v="TEVA"/>
    <n v="1"/>
    <n v="435.79"/>
    <n v="551.11"/>
    <n v="27.56"/>
    <n v="27.56"/>
    <s v="BONUS_CARD"/>
    <n v="29"/>
    <n v="1"/>
    <n v="5"/>
    <n v="523.54999999999995"/>
    <n v="13130001552"/>
  </r>
  <r>
    <x v="24"/>
    <d v="1899-12-30T11:17:15"/>
    <n v="2553"/>
    <n v="13002561"/>
    <n v="13"/>
    <n v="22589"/>
    <s v="Retail Sale"/>
    <n v="15"/>
    <n v="35507"/>
    <x v="48"/>
    <s v="Protek"/>
    <s v="Takeda"/>
    <n v="2"/>
    <n v="70.02"/>
    <n v="102.41"/>
    <n v="10.24"/>
    <n v="10.24"/>
    <s v="BONUS_CARD"/>
    <n v="29"/>
    <n v="1"/>
    <n v="3"/>
    <n v="92.17"/>
    <n v="13130001553"/>
  </r>
  <r>
    <x v="18"/>
    <d v="1899-12-30T15:08:18"/>
    <n v="2554"/>
    <n v="13002561"/>
    <n v="13"/>
    <n v="22589"/>
    <s v="Retail Sale"/>
    <n v="15"/>
    <n v="42043"/>
    <x v="29"/>
    <s v="Avesta"/>
    <s v="Dr. Reddy's"/>
    <n v="3"/>
    <n v="151.63999999999999"/>
    <n v="233.78"/>
    <n v="0"/>
    <n v="0"/>
    <m/>
    <n v="29"/>
    <n v="1"/>
    <n v="5"/>
    <n v="233.78"/>
    <n v="13130001554"/>
  </r>
  <r>
    <x v="0"/>
    <d v="1899-12-30T19:18:19"/>
    <n v="2555"/>
    <n v="13002561"/>
    <n v="13"/>
    <n v="22589"/>
    <s v="Retail Sale"/>
    <n v="18"/>
    <n v="29374"/>
    <x v="44"/>
    <s v="Pulse"/>
    <s v="Takeda"/>
    <n v="2"/>
    <n v="359.31"/>
    <n v="555.77"/>
    <n v="27.79"/>
    <n v="27.79"/>
    <s v="BONUS_CARD"/>
    <n v="29"/>
    <n v="1"/>
    <n v="2"/>
    <n v="527.98"/>
    <n v="13130001555"/>
  </r>
  <r>
    <x v="25"/>
    <d v="1899-12-30T12:38:02"/>
    <n v="2556"/>
    <n v="13002561"/>
    <n v="13"/>
    <n v="22589"/>
    <s v="Retail Sale"/>
    <n v="15"/>
    <n v="18857"/>
    <x v="15"/>
    <s v="Avesta"/>
    <s v="Dr. Reddy's"/>
    <n v="2"/>
    <n v="176.59"/>
    <n v="263.44"/>
    <n v="0"/>
    <n v="0"/>
    <m/>
    <n v="29"/>
    <n v="1"/>
    <n v="1"/>
    <n v="263.44"/>
    <n v="13130001556"/>
  </r>
  <r>
    <x v="25"/>
    <d v="1899-12-30T14:31:05"/>
    <n v="2557"/>
    <n v="13002561"/>
    <n v="13"/>
    <n v="22589"/>
    <s v="Retail Sale"/>
    <n v="15"/>
    <n v="10473"/>
    <x v="86"/>
    <s v="Grand Capital"/>
    <s v="TEVA"/>
    <n v="1"/>
    <n v="581.41"/>
    <n v="930.56"/>
    <n v="46.53"/>
    <n v="46.53"/>
    <s v="BONUS_CARD"/>
    <n v="29"/>
    <n v="1"/>
    <n v="6"/>
    <n v="884.03"/>
    <n v="13130001557"/>
  </r>
  <r>
    <x v="27"/>
    <d v="1899-12-30T12:30:30"/>
    <n v="2558"/>
    <n v="13002561"/>
    <n v="13"/>
    <n v="22589"/>
    <s v="Retail Sale"/>
    <n v="15"/>
    <n v="56114"/>
    <x v="47"/>
    <s v="Pharmcomplect"/>
    <s v="KRKA"/>
    <n v="1"/>
    <n v="351.21"/>
    <n v="577.58000000000004"/>
    <n v="0"/>
    <n v="0"/>
    <m/>
    <n v="29"/>
    <n v="1"/>
    <n v="5"/>
    <n v="577.58000000000004"/>
    <n v="13130001558"/>
  </r>
  <r>
    <x v="16"/>
    <d v="1899-12-30T14:38:27"/>
    <n v="2559"/>
    <n v="13002561"/>
    <n v="13"/>
    <n v="22589"/>
    <s v="Retail Sale"/>
    <n v="15"/>
    <n v="65169"/>
    <x v="81"/>
    <s v="Pharmcomplect"/>
    <s v="Novartis"/>
    <n v="3"/>
    <n v="102.67"/>
    <n v="148.94999999999999"/>
    <n v="14.89"/>
    <n v="14.89"/>
    <s v="BONUS_CARD"/>
    <n v="29"/>
    <n v="1"/>
    <n v="2"/>
    <n v="134.06"/>
    <n v="13130001559"/>
  </r>
  <r>
    <x v="19"/>
    <d v="1899-12-30T11:55:04"/>
    <n v="2560"/>
    <n v="13002561"/>
    <n v="13"/>
    <n v="22589"/>
    <s v="Retail Sale"/>
    <n v="18"/>
    <n v="96220"/>
    <x v="28"/>
    <s v="Pharmcomplect"/>
    <s v="KRKA"/>
    <n v="1"/>
    <n v="65.22"/>
    <n v="90.03"/>
    <n v="4.5"/>
    <n v="4.5"/>
    <s v="BONUS_CARD"/>
    <n v="29"/>
    <n v="1"/>
    <n v="3"/>
    <n v="85.53"/>
    <n v="13130001560"/>
  </r>
  <r>
    <x v="5"/>
    <d v="1899-12-30T21:37:51"/>
    <n v="2561"/>
    <n v="13002561"/>
    <n v="13"/>
    <n v="22589"/>
    <s v="Retail Sale"/>
    <n v="15"/>
    <n v="88466"/>
    <x v="30"/>
    <s v="Protek"/>
    <s v="TEVA"/>
    <n v="1"/>
    <n v="308.63"/>
    <n v="494.66"/>
    <n v="49.47"/>
    <n v="49.47"/>
    <s v="BONUS_CARD"/>
    <n v="29"/>
    <n v="1"/>
    <n v="3"/>
    <n v="445.19"/>
    <n v="13130001561"/>
  </r>
  <r>
    <x v="22"/>
    <d v="1899-12-30T11:32:00"/>
    <n v="2562"/>
    <n v="13002561"/>
    <n v="13"/>
    <n v="22589"/>
    <s v="Retail Sale"/>
    <n v="15"/>
    <n v="98410"/>
    <x v="12"/>
    <s v="Avesta"/>
    <s v="Sanofi"/>
    <n v="1"/>
    <n v="97.49"/>
    <n v="153.72"/>
    <n v="7.69"/>
    <n v="7.69"/>
    <s v="BONUS_CARD"/>
    <n v="29"/>
    <n v="1"/>
    <n v="6"/>
    <n v="146.03"/>
    <n v="13130001562"/>
  </r>
  <r>
    <x v="3"/>
    <d v="1899-12-30T19:05:27"/>
    <n v="2563"/>
    <n v="13002561"/>
    <n v="13"/>
    <n v="22589"/>
    <s v="Retail Sale"/>
    <n v="18"/>
    <n v="63624"/>
    <x v="71"/>
    <s v="Pharmcomplect"/>
    <s v="Sanofi"/>
    <n v="1"/>
    <n v="409.32"/>
    <n v="576.75"/>
    <n v="57.68"/>
    <n v="57.68"/>
    <s v="BONUS_CARD"/>
    <n v="29"/>
    <n v="1"/>
    <n v="2"/>
    <n v="519.07000000000005"/>
    <n v="13130001563"/>
  </r>
  <r>
    <x v="26"/>
    <d v="1899-12-30T21:57:44"/>
    <n v="2564"/>
    <n v="13002561"/>
    <n v="13"/>
    <n v="22589"/>
    <s v="Retail Sale"/>
    <n v="15"/>
    <n v="80330"/>
    <x v="25"/>
    <s v="Protek"/>
    <s v="TEVA"/>
    <n v="2"/>
    <n v="491.74"/>
    <n v="791.69"/>
    <n v="79.17"/>
    <n v="79.17"/>
    <s v="BONUS_CARD"/>
    <n v="29"/>
    <n v="1"/>
    <n v="4"/>
    <n v="712.52"/>
    <n v="13130001564"/>
  </r>
  <r>
    <x v="29"/>
    <d v="1899-12-30T19:50:38"/>
    <n v="2565"/>
    <n v="13002561"/>
    <n v="13"/>
    <n v="22589"/>
    <s v="Retail Sale"/>
    <n v="15"/>
    <n v="91879"/>
    <x v="63"/>
    <s v="Protek"/>
    <s v="Bayer"/>
    <n v="2"/>
    <n v="512.55999999999995"/>
    <n v="815.07"/>
    <n v="40.75"/>
    <n v="40.75"/>
    <s v="BONUS_CARD"/>
    <n v="29"/>
    <n v="1"/>
    <n v="5"/>
    <n v="774.32"/>
    <n v="13130001565"/>
  </r>
  <r>
    <x v="16"/>
    <d v="1899-12-30T17:53:52"/>
    <n v="2566"/>
    <n v="13002561"/>
    <n v="13"/>
    <n v="22589"/>
    <s v="Retail Sale"/>
    <n v="18"/>
    <n v="41191"/>
    <x v="17"/>
    <s v="Pulse"/>
    <s v="Takeda"/>
    <n v="2"/>
    <n v="101.31"/>
    <n v="132.35"/>
    <n v="6.62"/>
    <n v="6.62"/>
    <s v="BONUS_CARD"/>
    <n v="29"/>
    <n v="1"/>
    <n v="5"/>
    <n v="125.73"/>
    <n v="13130001566"/>
  </r>
  <r>
    <x v="30"/>
    <d v="1899-12-30T17:08:48"/>
    <n v="2567"/>
    <n v="13002561"/>
    <n v="13"/>
    <n v="22589"/>
    <s v="Retail Sale"/>
    <n v="18"/>
    <n v="79688"/>
    <x v="88"/>
    <s v="Katren"/>
    <s v="Pfizer"/>
    <n v="2"/>
    <n v="413.45"/>
    <n v="700.87"/>
    <n v="70.09"/>
    <n v="70.09"/>
    <s v="BONUS_CARD"/>
    <n v="29"/>
    <n v="1"/>
    <n v="3"/>
    <n v="630.78"/>
    <n v="13130001567"/>
  </r>
  <r>
    <x v="15"/>
    <d v="1899-12-30T21:48:35"/>
    <n v="2568"/>
    <n v="13002561"/>
    <n v="13"/>
    <n v="22589"/>
    <s v="Retail Sale"/>
    <n v="15"/>
    <n v="41038"/>
    <x v="56"/>
    <s v="Pulse"/>
    <s v="KRKA"/>
    <n v="1"/>
    <n v="403.41"/>
    <n v="602.67999999999995"/>
    <n v="0"/>
    <n v="0"/>
    <m/>
    <n v="29"/>
    <n v="1"/>
    <n v="5"/>
    <n v="602.67999999999995"/>
    <n v="13130001568"/>
  </r>
  <r>
    <x v="16"/>
    <d v="1899-12-30T18:12:47"/>
    <n v="2569"/>
    <n v="13002561"/>
    <n v="13"/>
    <n v="22589"/>
    <s v="Retail Sale"/>
    <n v="18"/>
    <n v="39007"/>
    <x v="64"/>
    <s v="Katren"/>
    <s v="KRKA"/>
    <n v="3"/>
    <n v="55.06"/>
    <n v="70.260000000000005"/>
    <n v="7.03"/>
    <n v="7.03"/>
    <s v="BONUS_CARD"/>
    <n v="29"/>
    <n v="1"/>
    <n v="5"/>
    <n v="63.23"/>
    <n v="13130001569"/>
  </r>
  <r>
    <x v="14"/>
    <d v="1899-12-30T19:52:56"/>
    <n v="2570"/>
    <n v="13002561"/>
    <n v="13"/>
    <n v="22589"/>
    <s v="Retail Sale"/>
    <n v="18"/>
    <n v="90153"/>
    <x v="33"/>
    <s v="Katren"/>
    <s v="KRKA"/>
    <n v="3"/>
    <n v="131.68"/>
    <n v="166.66"/>
    <n v="16.670000000000002"/>
    <n v="16.670000000000002"/>
    <s v="BONUS_CARD"/>
    <n v="29"/>
    <n v="1"/>
    <n v="1"/>
    <n v="149.99"/>
    <n v="13130001570"/>
  </r>
  <r>
    <x v="29"/>
    <d v="1899-12-30T10:59:54"/>
    <n v="2571"/>
    <n v="13002561"/>
    <n v="13"/>
    <n v="22589"/>
    <s v="Retail Sale"/>
    <n v="15"/>
    <n v="11784"/>
    <x v="17"/>
    <s v="Protek"/>
    <s v="Sanofi"/>
    <n v="3"/>
    <n v="510.85"/>
    <n v="761.71"/>
    <n v="38.090000000000003"/>
    <n v="38.090000000000003"/>
    <s v="BONUS_CARD"/>
    <n v="29"/>
    <n v="1"/>
    <n v="3"/>
    <n v="723.62"/>
    <n v="13130001571"/>
  </r>
  <r>
    <x v="13"/>
    <d v="1899-12-30T20:30:01"/>
    <n v="2572"/>
    <n v="13002561"/>
    <n v="13"/>
    <n v="22589"/>
    <s v="Retail Sale"/>
    <n v="18"/>
    <n v="79848"/>
    <x v="21"/>
    <s v="Grand Capital"/>
    <s v="Bayer"/>
    <n v="2"/>
    <n v="14.86"/>
    <n v="25"/>
    <n v="2.5"/>
    <n v="2.5"/>
    <s v="BONUS_CARD"/>
    <n v="29"/>
    <n v="1"/>
    <n v="1"/>
    <n v="22.5"/>
    <n v="13130001572"/>
  </r>
  <r>
    <x v="24"/>
    <d v="1899-12-30T17:48:21"/>
    <n v="2573"/>
    <n v="13002561"/>
    <n v="13"/>
    <n v="22589"/>
    <s v="Retail Sale"/>
    <n v="15"/>
    <n v="16697"/>
    <x v="37"/>
    <s v="Pulse"/>
    <s v="Bayer"/>
    <n v="1"/>
    <n v="281.08999999999997"/>
    <n v="393.41"/>
    <n v="0"/>
    <n v="0"/>
    <m/>
    <n v="29"/>
    <n v="1"/>
    <n v="6"/>
    <n v="393.41"/>
    <n v="13130001573"/>
  </r>
  <r>
    <x v="17"/>
    <d v="1899-12-30T11:38:37"/>
    <n v="2574"/>
    <n v="13002561"/>
    <n v="13"/>
    <n v="22589"/>
    <s v="Retail Sale"/>
    <n v="15"/>
    <n v="93618"/>
    <x v="15"/>
    <s v="Protek"/>
    <s v="Takeda"/>
    <n v="3"/>
    <n v="546.30999999999995"/>
    <n v="769.4"/>
    <n v="0"/>
    <n v="0"/>
    <m/>
    <n v="29"/>
    <n v="1"/>
    <n v="1"/>
    <n v="769.4"/>
    <n v="13130001574"/>
  </r>
  <r>
    <x v="14"/>
    <d v="1899-12-30T15:09:42"/>
    <n v="2575"/>
    <n v="13002561"/>
    <n v="13"/>
    <n v="22589"/>
    <s v="Retail Sale"/>
    <n v="15"/>
    <n v="66329"/>
    <x v="29"/>
    <s v="Protek"/>
    <s v="Sanofi"/>
    <n v="3"/>
    <n v="282.58"/>
    <n v="462.48"/>
    <n v="46.25"/>
    <n v="46.25"/>
    <s v="BONUS_CARD"/>
    <n v="29"/>
    <n v="1"/>
    <n v="2"/>
    <n v="416.23"/>
    <n v="13130001575"/>
  </r>
  <r>
    <x v="10"/>
    <d v="1899-12-30T20:45:14"/>
    <n v="2576"/>
    <n v="13002561"/>
    <n v="13"/>
    <n v="22589"/>
    <s v="Retail Sale"/>
    <n v="18"/>
    <n v="28339"/>
    <x v="2"/>
    <s v="Pharmcomplect"/>
    <s v="KRKA"/>
    <n v="2"/>
    <n v="85.65"/>
    <n v="121.34"/>
    <n v="6.07"/>
    <n v="6.07"/>
    <s v="BONUS_CARD"/>
    <n v="29"/>
    <n v="1"/>
    <n v="3"/>
    <n v="115.27"/>
    <n v="13130001576"/>
  </r>
  <r>
    <x v="16"/>
    <d v="1899-12-30T14:50:35"/>
    <n v="2577"/>
    <n v="13002561"/>
    <n v="13"/>
    <n v="22589"/>
    <s v="Retail Sale"/>
    <n v="18"/>
    <n v="42219"/>
    <x v="4"/>
    <s v="Katren"/>
    <s v="TEVA"/>
    <n v="2"/>
    <n v="28.8"/>
    <n v="44.13"/>
    <n v="0"/>
    <n v="0"/>
    <m/>
    <n v="29"/>
    <n v="1"/>
    <n v="2"/>
    <n v="44.13"/>
    <n v="13130001577"/>
  </r>
  <r>
    <x v="24"/>
    <d v="1899-12-30T11:17:35"/>
    <n v="2578"/>
    <n v="13002561"/>
    <n v="13"/>
    <n v="22589"/>
    <s v="Retail Sale"/>
    <n v="15"/>
    <n v="71483"/>
    <x v="58"/>
    <s v="Pharmcomplect"/>
    <s v="Takeda"/>
    <n v="1"/>
    <n v="144.19999999999999"/>
    <n v="228.62"/>
    <n v="0"/>
    <n v="0"/>
    <m/>
    <n v="29"/>
    <n v="1"/>
    <n v="6"/>
    <n v="228.62"/>
    <n v="13130001578"/>
  </r>
  <r>
    <x v="16"/>
    <d v="1899-12-30T14:07:23"/>
    <n v="2579"/>
    <n v="13002561"/>
    <n v="13"/>
    <n v="22589"/>
    <s v="Retail Sale"/>
    <n v="15"/>
    <n v="25759"/>
    <x v="11"/>
    <s v="Pulse"/>
    <s v="Novartis"/>
    <n v="2"/>
    <n v="270.92"/>
    <n v="386.21"/>
    <n v="38.619999999999997"/>
    <n v="38.619999999999997"/>
    <s v="BONUS_CARD"/>
    <n v="29"/>
    <n v="1"/>
    <n v="4"/>
    <n v="347.59"/>
    <n v="13130001579"/>
  </r>
  <r>
    <x v="4"/>
    <d v="1899-12-30T15:10:11"/>
    <n v="2580"/>
    <n v="13002561"/>
    <n v="13"/>
    <n v="22589"/>
    <s v="Retail Sale"/>
    <n v="15"/>
    <n v="70789"/>
    <x v="8"/>
    <s v="Pulse"/>
    <s v="Pfizer"/>
    <n v="1"/>
    <n v="511.53"/>
    <n v="802.26"/>
    <n v="80.23"/>
    <n v="80.23"/>
    <s v="BONUS_CARD"/>
    <n v="29"/>
    <n v="1"/>
    <n v="4"/>
    <n v="722.03"/>
    <n v="13130001580"/>
  </r>
  <r>
    <x v="4"/>
    <d v="1899-12-30T16:08:57"/>
    <n v="2581"/>
    <n v="13002561"/>
    <n v="13"/>
    <n v="22589"/>
    <s v="Retail Sale"/>
    <n v="18"/>
    <n v="20390"/>
    <x v="66"/>
    <s v="Pharmcomplect"/>
    <s v="Dr. Reddy's"/>
    <n v="2"/>
    <n v="551.48"/>
    <n v="732.5"/>
    <n v="36.619999999999997"/>
    <n v="36.619999999999997"/>
    <s v="BONUS_CARD"/>
    <n v="29"/>
    <n v="1"/>
    <n v="6"/>
    <n v="695.88"/>
    <n v="13130001581"/>
  </r>
  <r>
    <x v="29"/>
    <d v="1899-12-30T16:25:43"/>
    <n v="2582"/>
    <n v="13002561"/>
    <n v="13"/>
    <n v="22589"/>
    <s v="Retail Sale"/>
    <n v="18"/>
    <n v="67602"/>
    <x v="74"/>
    <s v="Grand Capital"/>
    <s v="Dr. Reddy's"/>
    <n v="2"/>
    <n v="201.97"/>
    <n v="283.83999999999997"/>
    <n v="14.19"/>
    <n v="14.19"/>
    <s v="BONUS_CARD"/>
    <n v="29"/>
    <n v="1"/>
    <n v="1"/>
    <n v="269.64999999999998"/>
    <n v="13130001582"/>
  </r>
  <r>
    <x v="19"/>
    <d v="1899-12-30T16:27:55"/>
    <n v="2583"/>
    <n v="13002561"/>
    <n v="13"/>
    <n v="22589"/>
    <s v="Retail Sale"/>
    <n v="18"/>
    <n v="13911"/>
    <x v="28"/>
    <s v="Katren"/>
    <s v="Sanofi"/>
    <n v="3"/>
    <n v="207.14"/>
    <n v="311.38"/>
    <n v="15.57"/>
    <n v="15.57"/>
    <s v="BONUS_CARD"/>
    <n v="29"/>
    <n v="1"/>
    <n v="6"/>
    <n v="295.81"/>
    <n v="13130001583"/>
  </r>
  <r>
    <x v="27"/>
    <d v="1899-12-30T12:19:39"/>
    <n v="2584"/>
    <n v="13002561"/>
    <n v="13"/>
    <n v="22589"/>
    <s v="Retail Sale"/>
    <n v="18"/>
    <n v="53791"/>
    <x v="47"/>
    <s v="Protek"/>
    <s v="TEVA"/>
    <n v="2"/>
    <n v="130.63999999999999"/>
    <n v="186.9"/>
    <n v="0"/>
    <n v="0"/>
    <m/>
    <n v="29"/>
    <n v="1"/>
    <n v="3"/>
    <n v="186.9"/>
    <n v="13130001584"/>
  </r>
  <r>
    <x v="9"/>
    <d v="1899-12-30T19:39:16"/>
    <n v="2585"/>
    <n v="13002561"/>
    <n v="13"/>
    <n v="22589"/>
    <s v="Retail Sale"/>
    <n v="18"/>
    <n v="38602"/>
    <x v="89"/>
    <s v="Avesta"/>
    <s v="Novartis"/>
    <n v="2"/>
    <n v="177.42"/>
    <n v="241.31"/>
    <n v="0"/>
    <n v="0"/>
    <m/>
    <n v="29"/>
    <n v="1"/>
    <n v="2"/>
    <n v="241.31"/>
    <n v="13130001585"/>
  </r>
  <r>
    <x v="24"/>
    <d v="1899-12-30T14:22:20"/>
    <n v="2586"/>
    <n v="13002561"/>
    <n v="13"/>
    <n v="22589"/>
    <s v="Retail Sale"/>
    <n v="18"/>
    <n v="42063"/>
    <x v="39"/>
    <s v="Pharmcomplect"/>
    <s v="Novartis"/>
    <n v="2"/>
    <n v="555.09"/>
    <n v="865.81"/>
    <n v="86.58"/>
    <n v="86.58"/>
    <s v="BONUS_CARD"/>
    <n v="29"/>
    <n v="1"/>
    <n v="1"/>
    <n v="779.23"/>
    <n v="13130001586"/>
  </r>
  <r>
    <x v="15"/>
    <d v="1899-12-30T20:13:38"/>
    <n v="2587"/>
    <n v="13002561"/>
    <n v="13"/>
    <n v="22589"/>
    <s v="Retail Sale"/>
    <n v="15"/>
    <n v="84464"/>
    <x v="9"/>
    <s v="Katren"/>
    <s v="Dr. Reddy's"/>
    <n v="1"/>
    <n v="555.1"/>
    <n v="900.9"/>
    <n v="90.09"/>
    <n v="90.09"/>
    <s v="BONUS_CARD"/>
    <n v="29"/>
    <n v="1"/>
    <n v="4"/>
    <n v="810.81"/>
    <n v="13130001587"/>
  </r>
  <r>
    <x v="1"/>
    <d v="1899-12-30T17:05:44"/>
    <n v="2588"/>
    <n v="13002561"/>
    <n v="13"/>
    <n v="22589"/>
    <s v="Retail Sale"/>
    <n v="18"/>
    <n v="64614"/>
    <x v="82"/>
    <s v="Pulse"/>
    <s v="Dr. Reddy's"/>
    <n v="2"/>
    <n v="253.26"/>
    <n v="398.45"/>
    <n v="0"/>
    <n v="0"/>
    <m/>
    <n v="29"/>
    <n v="1"/>
    <n v="4"/>
    <n v="398.45"/>
    <n v="13130001588"/>
  </r>
  <r>
    <x v="14"/>
    <d v="1899-12-30T09:35:21"/>
    <n v="2589"/>
    <n v="13002561"/>
    <n v="13"/>
    <n v="22589"/>
    <s v="Retail Sale"/>
    <n v="18"/>
    <n v="18395"/>
    <x v="82"/>
    <s v="Pharmcomplect"/>
    <s v="Dr. Reddy's"/>
    <n v="1"/>
    <n v="340.22"/>
    <n v="558.79999999999995"/>
    <n v="27.94"/>
    <n v="27.94"/>
    <s v="BONUS_CARD"/>
    <n v="29"/>
    <n v="1"/>
    <n v="3"/>
    <n v="530.86"/>
    <n v="13130001589"/>
  </r>
  <r>
    <x v="10"/>
    <d v="1899-12-30T11:46:34"/>
    <n v="2590"/>
    <n v="13002561"/>
    <n v="13"/>
    <n v="22589"/>
    <s v="Retail Sale"/>
    <n v="18"/>
    <n v="32976"/>
    <x v="8"/>
    <s v="Protek"/>
    <s v="Takeda"/>
    <n v="3"/>
    <n v="410.16"/>
    <n v="689.23"/>
    <n v="34.46"/>
    <n v="34.46"/>
    <s v="BONUS_CARD"/>
    <n v="29"/>
    <n v="1"/>
    <n v="1"/>
    <n v="654.77"/>
    <n v="13130001590"/>
  </r>
  <r>
    <x v="19"/>
    <d v="1899-12-30T16:31:08"/>
    <n v="2591"/>
    <n v="13002561"/>
    <n v="13"/>
    <n v="22589"/>
    <s v="Retail Sale"/>
    <n v="15"/>
    <n v="14147"/>
    <x v="63"/>
    <s v="Katren"/>
    <s v="Sanofi"/>
    <n v="1"/>
    <n v="318.25"/>
    <n v="452.87"/>
    <n v="45.29"/>
    <n v="45.29"/>
    <s v="BONUS_CARD"/>
    <n v="29"/>
    <n v="1"/>
    <n v="2"/>
    <n v="407.58"/>
    <n v="13130001591"/>
  </r>
  <r>
    <x v="27"/>
    <d v="1899-12-30T22:00:37"/>
    <n v="2592"/>
    <n v="13002561"/>
    <n v="13"/>
    <n v="22589"/>
    <s v="Retail Sale"/>
    <n v="18"/>
    <n v="77457"/>
    <x v="19"/>
    <s v="Katren"/>
    <s v="Takeda"/>
    <n v="2"/>
    <n v="538.52"/>
    <n v="744.74"/>
    <n v="37.24"/>
    <n v="37.24"/>
    <s v="BONUS_CARD"/>
    <n v="29"/>
    <n v="1"/>
    <n v="4"/>
    <n v="707.5"/>
    <n v="13130001592"/>
  </r>
  <r>
    <x v="19"/>
    <d v="1899-12-30T12:19:53"/>
    <n v="2593"/>
    <n v="13002561"/>
    <n v="13"/>
    <n v="22589"/>
    <s v="Retail Sale"/>
    <n v="18"/>
    <n v="58717"/>
    <x v="55"/>
    <s v="Grand Capital"/>
    <s v="Takeda"/>
    <n v="2"/>
    <n v="108.47"/>
    <n v="181.12"/>
    <n v="18.11"/>
    <n v="18.11"/>
    <s v="BONUS_CARD"/>
    <n v="29"/>
    <n v="1"/>
    <n v="1"/>
    <n v="163.01"/>
    <n v="13130001593"/>
  </r>
  <r>
    <x v="5"/>
    <d v="1899-12-30T08:09:03"/>
    <n v="2594"/>
    <n v="13002561"/>
    <n v="13"/>
    <n v="22589"/>
    <s v="Retail Sale"/>
    <n v="18"/>
    <n v="30980"/>
    <x v="49"/>
    <s v="Pharmcomplect"/>
    <s v="KRKA"/>
    <n v="1"/>
    <n v="52.93"/>
    <n v="70.400000000000006"/>
    <n v="0"/>
    <n v="0"/>
    <m/>
    <n v="29"/>
    <n v="1"/>
    <n v="1"/>
    <n v="70.400000000000006"/>
    <n v="13130001594"/>
  </r>
  <r>
    <x v="3"/>
    <d v="1899-12-30T18:03:46"/>
    <n v="2595"/>
    <n v="13002561"/>
    <n v="13"/>
    <n v="22589"/>
    <s v="Retail Sale"/>
    <n v="15"/>
    <n v="16996"/>
    <x v="13"/>
    <s v="Protek"/>
    <s v="Sanofi"/>
    <n v="3"/>
    <n v="22.93"/>
    <n v="29.15"/>
    <n v="2.92"/>
    <n v="2.92"/>
    <s v="BONUS_CARD"/>
    <n v="29"/>
    <n v="1"/>
    <n v="2"/>
    <n v="26.23"/>
    <n v="13130001595"/>
  </r>
  <r>
    <x v="29"/>
    <d v="1899-12-30T13:45:12"/>
    <n v="2596"/>
    <n v="13002561"/>
    <n v="13"/>
    <n v="22589"/>
    <s v="Retail Sale"/>
    <n v="18"/>
    <n v="95809"/>
    <x v="52"/>
    <s v="Katren"/>
    <s v="Novartis"/>
    <n v="2"/>
    <n v="341.86"/>
    <n v="500.62"/>
    <n v="50.06"/>
    <n v="50.06"/>
    <s v="BONUS_CARD"/>
    <n v="29"/>
    <n v="1"/>
    <n v="5"/>
    <n v="450.56"/>
    <n v="13130001596"/>
  </r>
  <r>
    <x v="14"/>
    <d v="1899-12-30T16:03:41"/>
    <n v="2597"/>
    <n v="13002561"/>
    <n v="13"/>
    <n v="22589"/>
    <s v="Retail Sale"/>
    <n v="18"/>
    <n v="53579"/>
    <x v="11"/>
    <s v="Avesta"/>
    <s v="Dr. Reddy's"/>
    <n v="3"/>
    <n v="297.31"/>
    <n v="436.11"/>
    <n v="0"/>
    <n v="0"/>
    <m/>
    <n v="29"/>
    <n v="1"/>
    <n v="6"/>
    <n v="436.11"/>
    <n v="13130001597"/>
  </r>
  <r>
    <x v="28"/>
    <d v="1899-12-30T09:27:34"/>
    <n v="2598"/>
    <n v="13002561"/>
    <n v="13"/>
    <n v="22589"/>
    <s v="Retail Sale"/>
    <n v="18"/>
    <n v="96348"/>
    <x v="12"/>
    <s v="Grand Capital"/>
    <s v="KRKA"/>
    <n v="1"/>
    <n v="395.25"/>
    <n v="577.64"/>
    <n v="28.88"/>
    <n v="28.88"/>
    <s v="BONUS_CARD"/>
    <n v="29"/>
    <n v="1"/>
    <n v="1"/>
    <n v="548.76"/>
    <n v="13130001598"/>
  </r>
  <r>
    <x v="1"/>
    <d v="1899-12-30T16:15:06"/>
    <n v="2599"/>
    <n v="13002561"/>
    <n v="13"/>
    <n v="22589"/>
    <s v="Retail Sale"/>
    <n v="18"/>
    <n v="79389"/>
    <x v="79"/>
    <s v="Pharmcomplect"/>
    <s v="Dr. Reddy's"/>
    <n v="2"/>
    <n v="63.24"/>
    <n v="84.49"/>
    <n v="8.4499999999999993"/>
    <n v="8.4499999999999993"/>
    <s v="BONUS_CARD"/>
    <n v="29"/>
    <n v="1"/>
    <n v="4"/>
    <n v="76.040000000000006"/>
    <n v="13130001599"/>
  </r>
  <r>
    <x v="20"/>
    <d v="1899-12-30T19:14:13"/>
    <n v="2600"/>
    <n v="13002561"/>
    <n v="13"/>
    <n v="22589"/>
    <s v="Retail Sale"/>
    <n v="15"/>
    <n v="66508"/>
    <x v="3"/>
    <s v="Protek"/>
    <s v="Sanofi"/>
    <n v="3"/>
    <n v="113.33"/>
    <n v="144.30000000000001"/>
    <n v="0"/>
    <n v="0"/>
    <m/>
    <n v="29"/>
    <n v="1"/>
    <n v="4"/>
    <n v="144.30000000000001"/>
    <n v="13130001600"/>
  </r>
  <r>
    <x v="21"/>
    <d v="1899-12-30T20:40:21"/>
    <n v="2601"/>
    <n v="13002561"/>
    <n v="13"/>
    <n v="22589"/>
    <s v="Retail Sale"/>
    <n v="18"/>
    <n v="17964"/>
    <x v="13"/>
    <s v="Protek"/>
    <s v="Novartis"/>
    <n v="2"/>
    <n v="467.2"/>
    <n v="584.39"/>
    <n v="58.44"/>
    <n v="58.44"/>
    <s v="BONUS_CARD"/>
    <n v="29"/>
    <n v="1"/>
    <n v="3"/>
    <n v="525.95000000000005"/>
    <n v="13130001601"/>
  </r>
  <r>
    <x v="8"/>
    <d v="1899-12-30T14:51:24"/>
    <n v="2602"/>
    <n v="13002561"/>
    <n v="13"/>
    <n v="22589"/>
    <s v="Retail Sale"/>
    <n v="15"/>
    <n v="52295"/>
    <x v="7"/>
    <s v="Protek"/>
    <s v="Sanofi"/>
    <n v="1"/>
    <n v="305.02999999999997"/>
    <n v="481.11"/>
    <n v="48.11"/>
    <n v="48.11"/>
    <s v="BONUS_CARD"/>
    <n v="29"/>
    <n v="1"/>
    <n v="4"/>
    <n v="433"/>
    <n v="13130001602"/>
  </r>
  <r>
    <x v="1"/>
    <d v="1899-12-30T09:46:17"/>
    <n v="2603"/>
    <n v="13002561"/>
    <n v="13"/>
    <n v="22589"/>
    <s v="Retail Sale"/>
    <n v="15"/>
    <n v="82155"/>
    <x v="63"/>
    <s v="Avesta"/>
    <s v="Bayer"/>
    <n v="1"/>
    <n v="222.82"/>
    <n v="341.95"/>
    <n v="0"/>
    <n v="0"/>
    <m/>
    <n v="29"/>
    <n v="1"/>
    <n v="1"/>
    <n v="341.95"/>
    <n v="13130001603"/>
  </r>
  <r>
    <x v="9"/>
    <d v="1899-12-30T11:45:17"/>
    <n v="2604"/>
    <n v="13002561"/>
    <n v="13"/>
    <n v="22589"/>
    <s v="Retail Sale"/>
    <n v="18"/>
    <n v="17367"/>
    <x v="50"/>
    <s v="Avesta"/>
    <s v="KRKA"/>
    <n v="1"/>
    <n v="156.58000000000001"/>
    <n v="263.85000000000002"/>
    <n v="13.19"/>
    <n v="13.19"/>
    <s v="BONUS_CARD"/>
    <n v="29"/>
    <n v="1"/>
    <n v="2"/>
    <n v="250.66"/>
    <n v="13130001604"/>
  </r>
  <r>
    <x v="30"/>
    <d v="1899-12-30T16:36:58"/>
    <n v="2605"/>
    <n v="13002561"/>
    <n v="13"/>
    <n v="22589"/>
    <s v="Retail Sale"/>
    <n v="18"/>
    <n v="47152"/>
    <x v="18"/>
    <s v="Protek"/>
    <s v="Pfizer"/>
    <n v="2"/>
    <n v="38.44"/>
    <n v="48.54"/>
    <n v="4.8499999999999996"/>
    <n v="4.8499999999999996"/>
    <s v="BONUS_CARD"/>
    <n v="29"/>
    <n v="1"/>
    <n v="2"/>
    <n v="43.69"/>
    <n v="13130001605"/>
  </r>
  <r>
    <x v="20"/>
    <d v="1899-12-30T13:33:44"/>
    <n v="2606"/>
    <n v="13002561"/>
    <n v="13"/>
    <n v="22589"/>
    <s v="Retail Sale"/>
    <n v="18"/>
    <n v="20041"/>
    <x v="72"/>
    <s v="Protek"/>
    <s v="Novartis"/>
    <n v="1"/>
    <n v="221.56"/>
    <n v="305.99"/>
    <n v="15.3"/>
    <n v="15.3"/>
    <s v="BONUS_CARD"/>
    <n v="29"/>
    <n v="1"/>
    <n v="2"/>
    <n v="290.69"/>
    <n v="13130001606"/>
  </r>
  <r>
    <x v="2"/>
    <d v="1899-12-30T10:02:47"/>
    <n v="2607"/>
    <n v="13002561"/>
    <n v="13"/>
    <n v="22589"/>
    <s v="Retail Sale"/>
    <n v="18"/>
    <n v="77311"/>
    <x v="21"/>
    <s v="Pharmcomplect"/>
    <s v="Pfizer"/>
    <n v="3"/>
    <n v="582.95000000000005"/>
    <n v="958.94"/>
    <n v="47.95"/>
    <n v="47.95"/>
    <s v="BONUS_CARD"/>
    <n v="29"/>
    <n v="1"/>
    <n v="1"/>
    <n v="910.99"/>
    <n v="13130001607"/>
  </r>
  <r>
    <x v="3"/>
    <d v="1899-12-30T17:16:43"/>
    <n v="2608"/>
    <n v="13002561"/>
    <n v="13"/>
    <n v="22589"/>
    <s v="Retail Sale"/>
    <n v="15"/>
    <n v="39616"/>
    <x v="70"/>
    <s v="Pulse"/>
    <s v="Novartis"/>
    <n v="1"/>
    <n v="317.82"/>
    <n v="530.73"/>
    <n v="26.54"/>
    <n v="26.54"/>
    <s v="BONUS_CARD"/>
    <n v="29"/>
    <n v="1"/>
    <n v="5"/>
    <n v="504.19"/>
    <n v="13130001608"/>
  </r>
  <r>
    <x v="4"/>
    <d v="1899-12-30T09:43:54"/>
    <n v="2609"/>
    <n v="13002561"/>
    <n v="13"/>
    <n v="22589"/>
    <s v="Retail Sale"/>
    <n v="18"/>
    <n v="79094"/>
    <x v="20"/>
    <s v="Protek"/>
    <s v="Dr. Reddy's"/>
    <n v="1"/>
    <n v="460.24"/>
    <n v="645.33000000000004"/>
    <n v="0"/>
    <n v="0"/>
    <m/>
    <n v="29"/>
    <n v="1"/>
    <n v="2"/>
    <n v="645.33000000000004"/>
    <n v="13130001609"/>
  </r>
  <r>
    <x v="7"/>
    <d v="1899-12-30T09:36:59"/>
    <n v="2610"/>
    <n v="13002561"/>
    <n v="13"/>
    <n v="22589"/>
    <s v="Retail Sale"/>
    <n v="15"/>
    <n v="66551"/>
    <x v="35"/>
    <s v="Protek"/>
    <s v="Novartis"/>
    <n v="1"/>
    <n v="594.96"/>
    <n v="916.65"/>
    <n v="0"/>
    <n v="0"/>
    <m/>
    <n v="29"/>
    <n v="1"/>
    <n v="2"/>
    <n v="916.65"/>
    <n v="13130001610"/>
  </r>
  <r>
    <x v="4"/>
    <d v="1899-12-30T10:51:50"/>
    <n v="2611"/>
    <n v="13002561"/>
    <n v="13"/>
    <n v="22589"/>
    <s v="Retail Sale"/>
    <n v="15"/>
    <n v="47855"/>
    <x v="51"/>
    <s v="Protek"/>
    <s v="Dr. Reddy's"/>
    <n v="3"/>
    <n v="493.06"/>
    <n v="681.72"/>
    <n v="34.090000000000003"/>
    <n v="34.090000000000003"/>
    <s v="BONUS_CARD"/>
    <n v="29"/>
    <n v="1"/>
    <n v="4"/>
    <n v="647.63"/>
    <n v="13130001611"/>
  </r>
  <r>
    <x v="16"/>
    <d v="1899-12-30T14:15:23"/>
    <n v="2612"/>
    <n v="13002561"/>
    <n v="13"/>
    <n v="22589"/>
    <s v="Retail Sale"/>
    <n v="15"/>
    <n v="27596"/>
    <x v="67"/>
    <s v="Pulse"/>
    <s v="Takeda"/>
    <n v="3"/>
    <n v="493.45"/>
    <n v="625.51"/>
    <n v="31.28"/>
    <n v="31.28"/>
    <s v="BONUS_CARD"/>
    <n v="29"/>
    <n v="1"/>
    <n v="1"/>
    <n v="594.23"/>
    <n v="13130001612"/>
  </r>
  <r>
    <x v="15"/>
    <d v="1899-12-30T22:05:55"/>
    <n v="2613"/>
    <n v="13002561"/>
    <n v="13"/>
    <n v="22589"/>
    <s v="Retail Sale"/>
    <n v="15"/>
    <n v="60979"/>
    <x v="13"/>
    <s v="Avesta"/>
    <s v="KRKA"/>
    <n v="2"/>
    <n v="490.53"/>
    <n v="766.66"/>
    <n v="0"/>
    <n v="0"/>
    <m/>
    <n v="29"/>
    <n v="1"/>
    <n v="4"/>
    <n v="766.66"/>
    <n v="13130001613"/>
  </r>
  <r>
    <x v="23"/>
    <d v="1899-12-30T09:55:14"/>
    <n v="2614"/>
    <n v="13002561"/>
    <n v="13"/>
    <n v="22589"/>
    <s v="Retail Sale"/>
    <n v="15"/>
    <n v="85064"/>
    <x v="18"/>
    <s v="Avesta"/>
    <s v="Pfizer"/>
    <n v="2"/>
    <n v="154.44"/>
    <n v="199.53"/>
    <n v="19.95"/>
    <n v="19.95"/>
    <s v="BONUS_CARD"/>
    <n v="29"/>
    <n v="1"/>
    <n v="2"/>
    <n v="179.58"/>
    <n v="13130001614"/>
  </r>
  <r>
    <x v="2"/>
    <d v="1899-12-30T20:55:41"/>
    <n v="2615"/>
    <n v="13002561"/>
    <n v="13"/>
    <n v="22589"/>
    <s v="Retail Sale"/>
    <n v="18"/>
    <n v="83804"/>
    <x v="4"/>
    <s v="Pulse"/>
    <s v="Bayer"/>
    <n v="3"/>
    <n v="517.49"/>
    <n v="837"/>
    <n v="0"/>
    <n v="0"/>
    <m/>
    <n v="29"/>
    <n v="1"/>
    <n v="6"/>
    <n v="837"/>
    <n v="13130001615"/>
  </r>
  <r>
    <x v="30"/>
    <d v="1899-12-30T20:52:12"/>
    <n v="2616"/>
    <n v="13002561"/>
    <n v="13"/>
    <n v="22589"/>
    <s v="Retail Sale"/>
    <n v="18"/>
    <n v="74282"/>
    <x v="3"/>
    <s v="Pulse"/>
    <s v="KRKA"/>
    <n v="3"/>
    <n v="409.94"/>
    <n v="568.59"/>
    <n v="28.43"/>
    <n v="28.43"/>
    <s v="BONUS_CARD"/>
    <n v="29"/>
    <n v="1"/>
    <n v="4"/>
    <n v="540.16"/>
    <n v="13130001616"/>
  </r>
  <r>
    <x v="10"/>
    <d v="1899-12-30T09:56:04"/>
    <n v="2617"/>
    <n v="13002561"/>
    <n v="13"/>
    <n v="22589"/>
    <s v="Retail Sale"/>
    <n v="15"/>
    <n v="39865"/>
    <x v="35"/>
    <s v="Pulse"/>
    <s v="KRKA"/>
    <n v="3"/>
    <n v="7.18"/>
    <n v="11.07"/>
    <n v="0.55000000000000004"/>
    <n v="0.55000000000000004"/>
    <s v="BONUS_CARD"/>
    <n v="29"/>
    <n v="1"/>
    <n v="1"/>
    <n v="10.52"/>
    <n v="13130001617"/>
  </r>
  <r>
    <x v="29"/>
    <d v="1899-12-30T21:07:01"/>
    <n v="2618"/>
    <n v="13002561"/>
    <n v="13"/>
    <n v="22589"/>
    <s v="Retail Sale"/>
    <n v="15"/>
    <n v="72251"/>
    <x v="61"/>
    <s v="Pulse"/>
    <s v="Pfizer"/>
    <n v="3"/>
    <n v="92.1"/>
    <n v="131.47"/>
    <n v="13.15"/>
    <n v="13.15"/>
    <s v="BONUS_CARD"/>
    <n v="29"/>
    <n v="1"/>
    <n v="5"/>
    <n v="118.32"/>
    <n v="13130001618"/>
  </r>
  <r>
    <x v="9"/>
    <d v="1899-12-30T20:40:23"/>
    <n v="2619"/>
    <n v="13002561"/>
    <n v="13"/>
    <n v="22589"/>
    <s v="Retail Sale"/>
    <n v="18"/>
    <n v="80612"/>
    <x v="58"/>
    <s v="Grand Capital"/>
    <s v="KRKA"/>
    <n v="2"/>
    <n v="482.88"/>
    <n v="737.4"/>
    <n v="73.739999999999995"/>
    <n v="73.739999999999995"/>
    <s v="BONUS_CARD"/>
    <n v="29"/>
    <n v="1"/>
    <n v="1"/>
    <n v="663.66"/>
    <n v="13130001619"/>
  </r>
  <r>
    <x v="19"/>
    <d v="1899-12-30T16:34:03"/>
    <n v="2620"/>
    <n v="13002561"/>
    <n v="13"/>
    <n v="22589"/>
    <s v="Retail Sale"/>
    <n v="18"/>
    <n v="74246"/>
    <x v="74"/>
    <s v="Katren"/>
    <s v="TEVA"/>
    <n v="3"/>
    <n v="259.33999999999997"/>
    <n v="364.42"/>
    <n v="36.44"/>
    <n v="36.44"/>
    <s v="BONUS_CARD"/>
    <n v="29"/>
    <n v="1"/>
    <n v="5"/>
    <n v="327.98"/>
    <n v="13130001620"/>
  </r>
  <r>
    <x v="12"/>
    <d v="1899-12-30T17:59:20"/>
    <n v="2621"/>
    <n v="13002561"/>
    <n v="13"/>
    <n v="22589"/>
    <s v="Retail Sale"/>
    <n v="18"/>
    <n v="15193"/>
    <x v="39"/>
    <s v="Avesta"/>
    <s v="Novartis"/>
    <n v="3"/>
    <n v="115.52"/>
    <n v="179.09"/>
    <n v="0"/>
    <n v="0"/>
    <m/>
    <n v="29"/>
    <n v="1"/>
    <n v="5"/>
    <n v="179.09"/>
    <n v="13130001621"/>
  </r>
  <r>
    <x v="15"/>
    <d v="1899-12-30T08:19:27"/>
    <n v="2622"/>
    <n v="13002561"/>
    <n v="13"/>
    <n v="22589"/>
    <s v="Retail Sale"/>
    <n v="18"/>
    <n v="80872"/>
    <x v="41"/>
    <s v="Grand Capital"/>
    <s v="TEVA"/>
    <n v="2"/>
    <n v="248.45"/>
    <n v="351.61"/>
    <n v="35.159999999999997"/>
    <n v="35.159999999999997"/>
    <s v="BONUS_CARD"/>
    <n v="29"/>
    <n v="1"/>
    <n v="1"/>
    <n v="316.45"/>
    <n v="13130001622"/>
  </r>
  <r>
    <x v="14"/>
    <d v="1899-12-30T18:32:28"/>
    <n v="2623"/>
    <n v="13002561"/>
    <n v="13"/>
    <n v="22589"/>
    <s v="Retail Sale"/>
    <n v="15"/>
    <n v="73270"/>
    <x v="39"/>
    <s v="Pulse"/>
    <s v="Sanofi"/>
    <n v="1"/>
    <n v="150.83000000000001"/>
    <n v="194.49"/>
    <n v="0"/>
    <n v="0"/>
    <m/>
    <n v="29"/>
    <n v="1"/>
    <n v="6"/>
    <n v="194.49"/>
    <n v="13130001623"/>
  </r>
  <r>
    <x v="24"/>
    <d v="1899-12-30T14:08:47"/>
    <n v="2624"/>
    <n v="13002561"/>
    <n v="13"/>
    <n v="22589"/>
    <s v="Retail Sale"/>
    <n v="18"/>
    <n v="69016"/>
    <x v="88"/>
    <s v="Pharmcomplect"/>
    <s v="Takeda"/>
    <n v="2"/>
    <n v="590.92999999999995"/>
    <n v="928.95"/>
    <n v="46.45"/>
    <n v="46.45"/>
    <s v="BONUS_CARD"/>
    <n v="29"/>
    <n v="1"/>
    <n v="6"/>
    <n v="882.5"/>
    <n v="13130001624"/>
  </r>
  <r>
    <x v="16"/>
    <d v="1899-12-30T13:48:35"/>
    <n v="2625"/>
    <n v="13002561"/>
    <n v="13"/>
    <n v="22589"/>
    <s v="Retail Sale"/>
    <n v="15"/>
    <n v="17914"/>
    <x v="3"/>
    <s v="Katren"/>
    <s v="Pfizer"/>
    <n v="3"/>
    <n v="59.44"/>
    <n v="84.65"/>
    <n v="4.2300000000000004"/>
    <n v="4.2300000000000004"/>
    <s v="BONUS_CARD"/>
    <n v="29"/>
    <n v="1"/>
    <n v="4"/>
    <n v="80.42"/>
    <n v="13130001625"/>
  </r>
  <r>
    <x v="19"/>
    <d v="1899-12-30T13:38:29"/>
    <n v="2626"/>
    <n v="13002561"/>
    <n v="13"/>
    <n v="22589"/>
    <s v="Retail Sale"/>
    <n v="15"/>
    <n v="85531"/>
    <x v="72"/>
    <s v="Pulse"/>
    <s v="Novartis"/>
    <n v="1"/>
    <n v="354.92"/>
    <n v="519.32000000000005"/>
    <n v="51.93"/>
    <n v="51.93"/>
    <s v="BONUS_CARD"/>
    <n v="29"/>
    <n v="1"/>
    <n v="6"/>
    <n v="467.39"/>
    <n v="13130001626"/>
  </r>
  <r>
    <x v="6"/>
    <d v="1899-12-30T20:34:55"/>
    <n v="2627"/>
    <n v="13002561"/>
    <n v="13"/>
    <n v="22589"/>
    <s v="Retail Sale"/>
    <n v="15"/>
    <n v="25768"/>
    <x v="41"/>
    <s v="Pulse"/>
    <s v="KRKA"/>
    <n v="2"/>
    <n v="588.46"/>
    <n v="827.47"/>
    <n v="82.75"/>
    <n v="82.75"/>
    <s v="BONUS_CARD"/>
    <n v="29"/>
    <n v="1"/>
    <n v="2"/>
    <n v="744.72"/>
    <n v="13130001627"/>
  </r>
  <r>
    <x v="27"/>
    <d v="1899-12-30T17:55:59"/>
    <n v="2628"/>
    <n v="13002561"/>
    <n v="13"/>
    <n v="22589"/>
    <s v="Retail Sale"/>
    <n v="15"/>
    <n v="54389"/>
    <x v="12"/>
    <s v="Pulse"/>
    <s v="Pfizer"/>
    <n v="1"/>
    <n v="315.45999999999998"/>
    <n v="520.58000000000004"/>
    <n v="26.03"/>
    <n v="26.03"/>
    <s v="BONUS_CARD"/>
    <n v="29"/>
    <n v="1"/>
    <n v="3"/>
    <n v="494.55"/>
    <n v="13130001628"/>
  </r>
  <r>
    <x v="21"/>
    <d v="1899-12-30T15:26:42"/>
    <n v="2629"/>
    <n v="13002561"/>
    <n v="13"/>
    <n v="22589"/>
    <s v="Retail Sale"/>
    <n v="15"/>
    <n v="94613"/>
    <x v="57"/>
    <s v="Protek"/>
    <s v="KRKA"/>
    <n v="3"/>
    <n v="572.88"/>
    <n v="794.17"/>
    <n v="39.71"/>
    <n v="39.71"/>
    <s v="BONUS_CARD"/>
    <n v="29"/>
    <n v="1"/>
    <n v="4"/>
    <n v="754.46"/>
    <n v="13130001629"/>
  </r>
  <r>
    <x v="17"/>
    <d v="1899-12-30T09:37:15"/>
    <n v="2630"/>
    <n v="13002561"/>
    <n v="13"/>
    <n v="22589"/>
    <s v="Retail Sale"/>
    <n v="18"/>
    <n v="13547"/>
    <x v="13"/>
    <s v="Pulse"/>
    <s v="Takeda"/>
    <n v="1"/>
    <n v="311.93"/>
    <n v="518.98"/>
    <n v="0"/>
    <n v="0"/>
    <m/>
    <n v="29"/>
    <n v="1"/>
    <n v="1"/>
    <n v="518.98"/>
    <n v="13130001630"/>
  </r>
  <r>
    <x v="2"/>
    <d v="1899-12-30T18:19:17"/>
    <n v="2631"/>
    <n v="13002561"/>
    <n v="13"/>
    <n v="22589"/>
    <s v="Retail Sale"/>
    <n v="18"/>
    <n v="22830"/>
    <x v="50"/>
    <s v="Katren"/>
    <s v="Bayer"/>
    <n v="2"/>
    <n v="443.96"/>
    <n v="593.88"/>
    <n v="0"/>
    <n v="0"/>
    <m/>
    <n v="29"/>
    <n v="1"/>
    <n v="5"/>
    <n v="593.88"/>
    <n v="13130001631"/>
  </r>
  <r>
    <x v="18"/>
    <d v="1899-12-30T09:17:54"/>
    <n v="2632"/>
    <n v="13002561"/>
    <n v="13"/>
    <n v="22589"/>
    <s v="Retail Sale"/>
    <n v="18"/>
    <n v="69153"/>
    <x v="61"/>
    <s v="Protek"/>
    <s v="Sanofi"/>
    <n v="3"/>
    <n v="285.94"/>
    <n v="471.91"/>
    <n v="0"/>
    <n v="0"/>
    <m/>
    <n v="29"/>
    <n v="1"/>
    <n v="3"/>
    <n v="471.91"/>
    <n v="13130001632"/>
  </r>
  <r>
    <x v="14"/>
    <d v="1899-12-30T16:33:04"/>
    <n v="2633"/>
    <n v="13002561"/>
    <n v="13"/>
    <n v="22589"/>
    <s v="Retail Sale"/>
    <n v="15"/>
    <n v="87435"/>
    <x v="60"/>
    <s v="Pharmcomplect"/>
    <s v="Sanofi"/>
    <n v="3"/>
    <n v="232.08"/>
    <n v="309.68"/>
    <n v="30.97"/>
    <n v="30.97"/>
    <s v="BONUS_CARD"/>
    <n v="29"/>
    <n v="1"/>
    <n v="4"/>
    <n v="278.70999999999998"/>
    <n v="13130001633"/>
  </r>
  <r>
    <x v="25"/>
    <d v="1899-12-30T21:45:58"/>
    <n v="2634"/>
    <n v="13002561"/>
    <n v="13"/>
    <n v="22589"/>
    <s v="Retail Sale"/>
    <n v="15"/>
    <n v="71796"/>
    <x v="15"/>
    <s v="Katren"/>
    <s v="Takeda"/>
    <n v="2"/>
    <n v="111.05"/>
    <n v="160.53"/>
    <n v="0"/>
    <n v="0"/>
    <m/>
    <n v="29"/>
    <n v="1"/>
    <n v="4"/>
    <n v="160.53"/>
    <n v="13130001634"/>
  </r>
  <r>
    <x v="30"/>
    <d v="1899-12-30T15:53:20"/>
    <n v="2635"/>
    <n v="13002561"/>
    <n v="13"/>
    <n v="22589"/>
    <s v="Retail Sale"/>
    <n v="18"/>
    <n v="65571"/>
    <x v="57"/>
    <s v="Katren"/>
    <s v="Takeda"/>
    <n v="1"/>
    <n v="308.31"/>
    <n v="499.75"/>
    <n v="0"/>
    <n v="0"/>
    <m/>
    <n v="29"/>
    <n v="1"/>
    <n v="1"/>
    <n v="499.75"/>
    <n v="13130001635"/>
  </r>
  <r>
    <x v="25"/>
    <d v="1899-12-30T08:56:58"/>
    <n v="2636"/>
    <n v="13002561"/>
    <n v="13"/>
    <n v="22589"/>
    <s v="Retail Sale"/>
    <n v="15"/>
    <n v="81455"/>
    <x v="85"/>
    <s v="Pharmcomplect"/>
    <s v="KRKA"/>
    <n v="1"/>
    <n v="522.76"/>
    <n v="887.22"/>
    <n v="88.72"/>
    <n v="88.72"/>
    <s v="BONUS_CARD"/>
    <n v="29"/>
    <n v="1"/>
    <n v="4"/>
    <n v="798.5"/>
    <n v="13130001636"/>
  </r>
  <r>
    <x v="2"/>
    <d v="1899-12-30T19:51:09"/>
    <n v="2637"/>
    <n v="13002561"/>
    <n v="13"/>
    <n v="22589"/>
    <s v="Retail Sale"/>
    <n v="15"/>
    <n v="35405"/>
    <x v="58"/>
    <s v="Avesta"/>
    <s v="Sanofi"/>
    <n v="1"/>
    <n v="31"/>
    <n v="40.369999999999997"/>
    <n v="4.04"/>
    <n v="4.04"/>
    <s v="BONUS_CARD"/>
    <n v="29"/>
    <n v="1"/>
    <n v="1"/>
    <n v="36.33"/>
    <n v="13130001637"/>
  </r>
  <r>
    <x v="11"/>
    <d v="1899-12-30T18:42:35"/>
    <n v="2638"/>
    <n v="13002561"/>
    <n v="13"/>
    <n v="22589"/>
    <s v="Retail Sale"/>
    <n v="15"/>
    <n v="97275"/>
    <x v="47"/>
    <s v="Katren"/>
    <s v="Sanofi"/>
    <n v="1"/>
    <n v="532.41"/>
    <n v="886.69"/>
    <n v="44.33"/>
    <n v="44.33"/>
    <s v="BONUS_CARD"/>
    <n v="29"/>
    <n v="1"/>
    <n v="5"/>
    <n v="842.36"/>
    <n v="13130001638"/>
  </r>
  <r>
    <x v="21"/>
    <d v="1899-12-30T16:38:30"/>
    <n v="2639"/>
    <n v="13002561"/>
    <n v="13"/>
    <n v="22589"/>
    <s v="Retail Sale"/>
    <n v="18"/>
    <n v="89684"/>
    <x v="64"/>
    <s v="Grand Capital"/>
    <s v="Pfizer"/>
    <n v="3"/>
    <n v="350.38"/>
    <n v="462.94"/>
    <n v="0"/>
    <n v="0"/>
    <m/>
    <n v="29"/>
    <n v="1"/>
    <n v="2"/>
    <n v="462.94"/>
    <n v="13130001639"/>
  </r>
  <r>
    <x v="8"/>
    <d v="1899-12-30T19:09:05"/>
    <n v="2640"/>
    <n v="13002561"/>
    <n v="13"/>
    <n v="22589"/>
    <s v="Retail Sale"/>
    <n v="18"/>
    <n v="26997"/>
    <x v="68"/>
    <s v="Grand Capital"/>
    <s v="Dr. Reddy's"/>
    <n v="1"/>
    <n v="261.37"/>
    <n v="346.81"/>
    <n v="17.34"/>
    <n v="17.34"/>
    <s v="BONUS_CARD"/>
    <n v="29"/>
    <n v="1"/>
    <n v="5"/>
    <n v="329.47"/>
    <n v="13130001640"/>
  </r>
  <r>
    <x v="14"/>
    <d v="1899-12-30T10:58:28"/>
    <n v="2641"/>
    <n v="13002561"/>
    <n v="13"/>
    <n v="22589"/>
    <s v="Retail Sale"/>
    <n v="18"/>
    <n v="49043"/>
    <x v="43"/>
    <s v="Pulse"/>
    <s v="Pfizer"/>
    <n v="1"/>
    <n v="161.31"/>
    <n v="204.63"/>
    <n v="20.46"/>
    <n v="20.46"/>
    <s v="BONUS_CARD"/>
    <n v="29"/>
    <n v="1"/>
    <n v="3"/>
    <n v="184.17"/>
    <n v="13130001641"/>
  </r>
  <r>
    <x v="7"/>
    <d v="1899-12-30T17:59:58"/>
    <n v="2642"/>
    <n v="13002561"/>
    <n v="13"/>
    <n v="22589"/>
    <s v="Retail Sale"/>
    <n v="15"/>
    <n v="49691"/>
    <x v="43"/>
    <s v="Pharmcomplect"/>
    <s v="Novartis"/>
    <n v="1"/>
    <n v="82.97"/>
    <n v="109.45"/>
    <n v="5.47"/>
    <n v="5.47"/>
    <s v="BONUS_CARD"/>
    <n v="29"/>
    <n v="1"/>
    <n v="4"/>
    <n v="103.98"/>
    <n v="13130001642"/>
  </r>
  <r>
    <x v="0"/>
    <d v="1899-12-30T12:18:09"/>
    <n v="2643"/>
    <n v="13002561"/>
    <n v="13"/>
    <n v="22589"/>
    <s v="Retail Sale"/>
    <n v="18"/>
    <n v="30546"/>
    <x v="75"/>
    <s v="Pulse"/>
    <s v="Bayer"/>
    <n v="1"/>
    <n v="575.49"/>
    <n v="971.54"/>
    <n v="48.58"/>
    <n v="48.58"/>
    <s v="BONUS_CARD"/>
    <n v="29"/>
    <n v="1"/>
    <n v="4"/>
    <n v="922.96"/>
    <n v="13130001643"/>
  </r>
  <r>
    <x v="0"/>
    <d v="1899-12-30T09:09:16"/>
    <n v="2644"/>
    <n v="13002561"/>
    <n v="13"/>
    <n v="22589"/>
    <s v="Retail Sale"/>
    <n v="15"/>
    <n v="94179"/>
    <x v="53"/>
    <s v="Pulse"/>
    <s v="TEVA"/>
    <n v="3"/>
    <n v="354.55"/>
    <n v="535.77"/>
    <n v="53.58"/>
    <n v="53.58"/>
    <s v="BONUS_CARD"/>
    <n v="29"/>
    <n v="1"/>
    <n v="1"/>
    <n v="482.19"/>
    <n v="13130001644"/>
  </r>
  <r>
    <x v="20"/>
    <d v="1899-12-30T19:48:38"/>
    <n v="2645"/>
    <n v="13002561"/>
    <n v="13"/>
    <n v="22589"/>
    <s v="Retail Sale"/>
    <n v="18"/>
    <n v="29291"/>
    <x v="43"/>
    <s v="Katren"/>
    <s v="Novartis"/>
    <n v="3"/>
    <n v="472.56"/>
    <n v="764.56"/>
    <n v="76.459999999999994"/>
    <n v="76.459999999999994"/>
    <s v="BONUS_CARD"/>
    <n v="29"/>
    <n v="1"/>
    <n v="3"/>
    <n v="688.1"/>
    <n v="13130001645"/>
  </r>
  <r>
    <x v="4"/>
    <d v="1899-12-30T15:54:07"/>
    <n v="2646"/>
    <n v="13002561"/>
    <n v="13"/>
    <n v="22589"/>
    <s v="Retail Sale"/>
    <n v="18"/>
    <n v="70377"/>
    <x v="7"/>
    <s v="Pharmcomplect"/>
    <s v="KRKA"/>
    <n v="3"/>
    <n v="9.84"/>
    <n v="16.13"/>
    <n v="0.81"/>
    <n v="0.81"/>
    <s v="BONUS_CARD"/>
    <n v="29"/>
    <n v="1"/>
    <n v="6"/>
    <n v="15.32"/>
    <n v="13130001646"/>
  </r>
  <r>
    <x v="21"/>
    <d v="1899-12-30T10:58:49"/>
    <n v="2647"/>
    <n v="13002561"/>
    <n v="13"/>
    <n v="22589"/>
    <s v="Retail Sale"/>
    <n v="15"/>
    <n v="96199"/>
    <x v="57"/>
    <s v="Grand Capital"/>
    <s v="Pfizer"/>
    <n v="3"/>
    <n v="517.34"/>
    <n v="685.24"/>
    <n v="68.52"/>
    <n v="68.52"/>
    <s v="BONUS_CARD"/>
    <n v="29"/>
    <n v="1"/>
    <n v="3"/>
    <n v="616.72"/>
    <n v="13130001647"/>
  </r>
  <r>
    <x v="20"/>
    <d v="1899-12-30T13:15:23"/>
    <n v="2648"/>
    <n v="13002561"/>
    <n v="13"/>
    <n v="22589"/>
    <s v="Retail Sale"/>
    <n v="15"/>
    <n v="77678"/>
    <x v="87"/>
    <s v="Pulse"/>
    <s v="TEVA"/>
    <n v="1"/>
    <n v="322.33999999999997"/>
    <n v="515.99"/>
    <n v="51.6"/>
    <n v="51.6"/>
    <s v="BONUS_CARD"/>
    <n v="29"/>
    <n v="1"/>
    <n v="3"/>
    <n v="464.39"/>
    <n v="13130001648"/>
  </r>
  <r>
    <x v="18"/>
    <d v="1899-12-30T21:06:04"/>
    <n v="2649"/>
    <n v="13002561"/>
    <n v="13"/>
    <n v="22589"/>
    <s v="Retail Sale"/>
    <n v="18"/>
    <n v="12999"/>
    <x v="2"/>
    <s v="Grand Capital"/>
    <s v="Dr. Reddy's"/>
    <n v="3"/>
    <n v="43.24"/>
    <n v="70.39"/>
    <n v="3.52"/>
    <n v="3.52"/>
    <s v="BONUS_CARD"/>
    <n v="29"/>
    <n v="1"/>
    <n v="6"/>
    <n v="66.87"/>
    <n v="13130001649"/>
  </r>
  <r>
    <x v="23"/>
    <d v="1899-12-30T16:54:22"/>
    <n v="2650"/>
    <n v="13002561"/>
    <n v="13"/>
    <n v="22589"/>
    <s v="Retail Sale"/>
    <n v="15"/>
    <n v="33644"/>
    <x v="28"/>
    <s v="Pharmcomplect"/>
    <s v="Novartis"/>
    <n v="1"/>
    <n v="5.52"/>
    <n v="9.3800000000000008"/>
    <n v="0.94"/>
    <n v="0.94"/>
    <s v="BONUS_CARD"/>
    <n v="29"/>
    <n v="1"/>
    <n v="1"/>
    <n v="8.44"/>
    <n v="13130001650"/>
  </r>
  <r>
    <x v="7"/>
    <d v="1899-12-30T18:23:21"/>
    <n v="2651"/>
    <n v="13002561"/>
    <n v="13"/>
    <n v="22589"/>
    <s v="Retail Sale"/>
    <n v="18"/>
    <n v="40740"/>
    <x v="3"/>
    <s v="Avesta"/>
    <s v="Sanofi"/>
    <n v="1"/>
    <n v="424.58"/>
    <n v="568.24"/>
    <n v="28.41"/>
    <n v="28.41"/>
    <s v="BONUS_CARD"/>
    <n v="29"/>
    <n v="1"/>
    <n v="5"/>
    <n v="539.83000000000004"/>
    <n v="13130001651"/>
  </r>
  <r>
    <x v="22"/>
    <d v="1899-12-30T21:54:18"/>
    <n v="2652"/>
    <n v="13002561"/>
    <n v="13"/>
    <n v="22589"/>
    <s v="Retail Sale"/>
    <n v="18"/>
    <n v="10582"/>
    <x v="15"/>
    <s v="Grand Capital"/>
    <s v="Bayer"/>
    <n v="2"/>
    <n v="209.62"/>
    <n v="355.18"/>
    <n v="0"/>
    <n v="0"/>
    <m/>
    <n v="29"/>
    <n v="1"/>
    <n v="6"/>
    <n v="355.18"/>
    <n v="13130001652"/>
  </r>
  <r>
    <x v="0"/>
    <d v="1899-12-30T19:41:20"/>
    <n v="2653"/>
    <n v="13002561"/>
    <n v="13"/>
    <n v="22589"/>
    <s v="Retail Sale"/>
    <n v="15"/>
    <n v="63342"/>
    <x v="63"/>
    <s v="Grand Capital"/>
    <s v="Bayer"/>
    <n v="3"/>
    <n v="428.63"/>
    <n v="635.54"/>
    <n v="0"/>
    <n v="0"/>
    <m/>
    <n v="29"/>
    <n v="1"/>
    <n v="6"/>
    <n v="635.54"/>
    <n v="13130001653"/>
  </r>
  <r>
    <x v="26"/>
    <d v="1899-12-30T17:15:29"/>
    <n v="2654"/>
    <n v="13002561"/>
    <n v="13"/>
    <n v="22589"/>
    <s v="Retail Sale"/>
    <n v="15"/>
    <n v="72572"/>
    <x v="8"/>
    <s v="Grand Capital"/>
    <s v="Sanofi"/>
    <n v="1"/>
    <n v="540.20000000000005"/>
    <n v="702.89"/>
    <n v="35.14"/>
    <n v="35.14"/>
    <s v="BONUS_CARD"/>
    <n v="29"/>
    <n v="1"/>
    <n v="4"/>
    <n v="667.75"/>
    <n v="13130001654"/>
  </r>
  <r>
    <x v="19"/>
    <d v="1899-12-30T22:04:19"/>
    <n v="2655"/>
    <n v="13002561"/>
    <n v="13"/>
    <n v="22589"/>
    <s v="Retail Sale"/>
    <n v="18"/>
    <n v="83588"/>
    <x v="82"/>
    <s v="Katren"/>
    <s v="Pfizer"/>
    <n v="2"/>
    <n v="374.06"/>
    <n v="528.97"/>
    <n v="0"/>
    <n v="0"/>
    <m/>
    <n v="29"/>
    <n v="1"/>
    <n v="6"/>
    <n v="528.97"/>
    <n v="13130001655"/>
  </r>
  <r>
    <x v="8"/>
    <d v="1899-12-30T08:00:23"/>
    <n v="2656"/>
    <n v="13002561"/>
    <n v="13"/>
    <n v="22589"/>
    <s v="Retail Sale"/>
    <n v="18"/>
    <n v="89491"/>
    <x v="51"/>
    <s v="Katren"/>
    <s v="Takeda"/>
    <n v="3"/>
    <n v="489.81"/>
    <n v="670.61"/>
    <n v="0"/>
    <n v="0"/>
    <m/>
    <n v="29"/>
    <n v="1"/>
    <n v="4"/>
    <n v="670.61"/>
    <n v="13130001656"/>
  </r>
  <r>
    <x v="1"/>
    <d v="1899-12-30T08:28:50"/>
    <n v="2657"/>
    <n v="13002561"/>
    <n v="13"/>
    <n v="22589"/>
    <s v="Retail Sale"/>
    <n v="18"/>
    <n v="82511"/>
    <x v="61"/>
    <s v="Katren"/>
    <s v="Bayer"/>
    <n v="2"/>
    <n v="122.06"/>
    <n v="187.79"/>
    <n v="0"/>
    <n v="0"/>
    <m/>
    <n v="29"/>
    <n v="1"/>
    <n v="5"/>
    <n v="187.79"/>
    <n v="13130001657"/>
  </r>
  <r>
    <x v="4"/>
    <d v="1899-12-30T10:33:50"/>
    <n v="2658"/>
    <n v="13002561"/>
    <n v="13"/>
    <n v="22589"/>
    <s v="Retail Sale"/>
    <n v="15"/>
    <n v="82998"/>
    <x v="24"/>
    <s v="Pulse"/>
    <s v="Novartis"/>
    <n v="2"/>
    <n v="424.63"/>
    <n v="610.5"/>
    <n v="0"/>
    <n v="0"/>
    <m/>
    <n v="29"/>
    <n v="1"/>
    <n v="3"/>
    <n v="610.5"/>
    <n v="13130001658"/>
  </r>
  <r>
    <x v="17"/>
    <d v="1899-12-30T21:53:28"/>
    <n v="2659"/>
    <n v="13002561"/>
    <n v="13"/>
    <n v="22589"/>
    <s v="Retail Sale"/>
    <n v="18"/>
    <n v="13639"/>
    <x v="71"/>
    <s v="Grand Capital"/>
    <s v="KRKA"/>
    <n v="1"/>
    <n v="273.97000000000003"/>
    <n v="383.68"/>
    <n v="19.18"/>
    <n v="19.18"/>
    <s v="BONUS_CARD"/>
    <n v="29"/>
    <n v="1"/>
    <n v="3"/>
    <n v="364.5"/>
    <n v="13130001659"/>
  </r>
  <r>
    <x v="18"/>
    <d v="1899-12-30T17:37:44"/>
    <n v="2660"/>
    <n v="13002561"/>
    <n v="13"/>
    <n v="22589"/>
    <s v="Retail Sale"/>
    <n v="18"/>
    <n v="38865"/>
    <x v="59"/>
    <s v="Grand Capital"/>
    <s v="TEVA"/>
    <n v="3"/>
    <n v="87.36"/>
    <n v="118.89"/>
    <n v="5.94"/>
    <n v="5.94"/>
    <s v="BONUS_CARD"/>
    <n v="29"/>
    <n v="1"/>
    <n v="4"/>
    <n v="112.95"/>
    <n v="13130001660"/>
  </r>
  <r>
    <x v="25"/>
    <d v="1899-12-30T10:16:47"/>
    <n v="2661"/>
    <n v="13002561"/>
    <n v="13"/>
    <n v="22589"/>
    <s v="Retail Sale"/>
    <n v="15"/>
    <n v="96811"/>
    <x v="13"/>
    <s v="Avesta"/>
    <s v="Dr. Reddy's"/>
    <n v="1"/>
    <n v="347.26"/>
    <n v="564.14"/>
    <n v="28.21"/>
    <n v="28.21"/>
    <s v="BONUS_CARD"/>
    <n v="29"/>
    <n v="1"/>
    <n v="6"/>
    <n v="535.92999999999995"/>
    <n v="13130001661"/>
  </r>
  <r>
    <x v="13"/>
    <d v="1899-12-30T19:37:03"/>
    <n v="2662"/>
    <n v="13002561"/>
    <n v="13"/>
    <n v="22589"/>
    <s v="Retail Sale"/>
    <n v="15"/>
    <n v="45516"/>
    <x v="64"/>
    <s v="Grand Capital"/>
    <s v="Sanofi"/>
    <n v="2"/>
    <n v="361.06"/>
    <n v="524.25"/>
    <n v="52.43"/>
    <n v="52.43"/>
    <s v="BONUS_CARD"/>
    <n v="29"/>
    <n v="1"/>
    <n v="4"/>
    <n v="471.82"/>
    <n v="13130001662"/>
  </r>
  <r>
    <x v="4"/>
    <d v="1899-12-30T08:09:48"/>
    <n v="2663"/>
    <n v="13002561"/>
    <n v="13"/>
    <n v="22589"/>
    <s v="Retail Sale"/>
    <n v="18"/>
    <n v="51989"/>
    <x v="42"/>
    <s v="Pharmcomplect"/>
    <s v="Novartis"/>
    <n v="2"/>
    <n v="318.58999999999997"/>
    <n v="494.65"/>
    <n v="49.47"/>
    <n v="49.47"/>
    <s v="BONUS_CARD"/>
    <n v="29"/>
    <n v="1"/>
    <n v="2"/>
    <n v="445.18"/>
    <n v="13130001663"/>
  </r>
  <r>
    <x v="20"/>
    <d v="1899-12-30T17:00:18"/>
    <n v="2664"/>
    <n v="13002561"/>
    <n v="13"/>
    <n v="22589"/>
    <s v="Retail Sale"/>
    <n v="18"/>
    <n v="10021"/>
    <x v="57"/>
    <s v="Katren"/>
    <s v="Bayer"/>
    <n v="3"/>
    <n v="551.01"/>
    <n v="923.22"/>
    <n v="46.16"/>
    <n v="46.16"/>
    <s v="BONUS_CARD"/>
    <n v="29"/>
    <n v="1"/>
    <n v="4"/>
    <n v="877.06"/>
    <n v="13130001664"/>
  </r>
  <r>
    <x v="8"/>
    <d v="1899-12-30T18:01:41"/>
    <n v="2665"/>
    <n v="13002561"/>
    <n v="13"/>
    <n v="22589"/>
    <s v="Retail Sale"/>
    <n v="18"/>
    <n v="50598"/>
    <x v="13"/>
    <s v="Protek"/>
    <s v="Takeda"/>
    <n v="3"/>
    <n v="382.59"/>
    <n v="533.45000000000005"/>
    <n v="0"/>
    <n v="0"/>
    <m/>
    <n v="29"/>
    <n v="1"/>
    <n v="5"/>
    <n v="533.45000000000005"/>
    <n v="13130001665"/>
  </r>
  <r>
    <x v="24"/>
    <d v="1899-12-30T09:18:38"/>
    <n v="2666"/>
    <n v="13002561"/>
    <n v="13"/>
    <n v="22589"/>
    <s v="Retail Sale"/>
    <n v="15"/>
    <n v="58377"/>
    <x v="21"/>
    <s v="Grand Capital"/>
    <s v="Bayer"/>
    <n v="1"/>
    <n v="361.57"/>
    <n v="594.77"/>
    <n v="59.48"/>
    <n v="59.48"/>
    <s v="BONUS_CARD"/>
    <n v="29"/>
    <n v="1"/>
    <n v="6"/>
    <n v="535.29"/>
    <n v="13130001666"/>
  </r>
  <r>
    <x v="25"/>
    <d v="1899-12-30T12:54:47"/>
    <n v="2667"/>
    <n v="13002561"/>
    <n v="13"/>
    <n v="22589"/>
    <s v="Retail Sale"/>
    <n v="18"/>
    <n v="73019"/>
    <x v="67"/>
    <s v="Grand Capital"/>
    <s v="TEVA"/>
    <n v="3"/>
    <n v="438.31"/>
    <n v="605.89"/>
    <n v="60.59"/>
    <n v="60.59"/>
    <s v="BONUS_CARD"/>
    <n v="29"/>
    <n v="1"/>
    <n v="2"/>
    <n v="545.29999999999995"/>
    <n v="13130001667"/>
  </r>
  <r>
    <x v="11"/>
    <d v="1899-12-30T11:38:02"/>
    <n v="2668"/>
    <n v="13002561"/>
    <n v="13"/>
    <n v="22589"/>
    <s v="Retail Sale"/>
    <n v="15"/>
    <n v="20974"/>
    <x v="46"/>
    <s v="Pulse"/>
    <s v="TEVA"/>
    <n v="3"/>
    <n v="212.87"/>
    <n v="271.33999999999997"/>
    <n v="27.13"/>
    <n v="27.13"/>
    <s v="BONUS_CARD"/>
    <n v="29"/>
    <n v="1"/>
    <n v="4"/>
    <n v="244.21"/>
    <n v="13130001668"/>
  </r>
  <r>
    <x v="10"/>
    <d v="1899-12-30T09:24:39"/>
    <n v="2669"/>
    <n v="13002561"/>
    <n v="13"/>
    <n v="22589"/>
    <s v="Retail Sale"/>
    <n v="18"/>
    <n v="14443"/>
    <x v="35"/>
    <s v="Grand Capital"/>
    <s v="Novartis"/>
    <n v="1"/>
    <n v="110.43"/>
    <n v="179.18"/>
    <n v="8.9600000000000009"/>
    <n v="8.9600000000000009"/>
    <s v="BONUS_CARD"/>
    <n v="29"/>
    <n v="1"/>
    <n v="2"/>
    <n v="170.22"/>
    <n v="13130001669"/>
  </r>
  <r>
    <x v="10"/>
    <d v="1899-12-30T21:26:16"/>
    <n v="2670"/>
    <n v="13002561"/>
    <n v="13"/>
    <n v="22589"/>
    <s v="Retail Sale"/>
    <n v="15"/>
    <n v="99700"/>
    <x v="81"/>
    <s v="Katren"/>
    <s v="Pfizer"/>
    <n v="2"/>
    <n v="57.79"/>
    <n v="92.5"/>
    <n v="0"/>
    <n v="0"/>
    <m/>
    <n v="29"/>
    <n v="1"/>
    <n v="1"/>
    <n v="92.5"/>
    <n v="13130001670"/>
  </r>
  <r>
    <x v="25"/>
    <d v="1899-12-30T12:11:19"/>
    <n v="2671"/>
    <n v="13002561"/>
    <n v="13"/>
    <n v="22589"/>
    <s v="Retail Sale"/>
    <n v="15"/>
    <n v="48082"/>
    <x v="18"/>
    <s v="Katren"/>
    <s v="Dr. Reddy's"/>
    <n v="2"/>
    <n v="334.08"/>
    <n v="465.69"/>
    <n v="46.57"/>
    <n v="46.57"/>
    <s v="BONUS_CARD"/>
    <n v="29"/>
    <n v="1"/>
    <n v="2"/>
    <n v="419.12"/>
    <n v="13130001671"/>
  </r>
  <r>
    <x v="27"/>
    <d v="1899-12-30T09:31:33"/>
    <n v="2672"/>
    <n v="13002561"/>
    <n v="13"/>
    <n v="22589"/>
    <s v="Retail Sale"/>
    <n v="15"/>
    <n v="57346"/>
    <x v="35"/>
    <s v="Katren"/>
    <s v="Dr. Reddy's"/>
    <n v="1"/>
    <n v="413.43"/>
    <n v="566.83000000000004"/>
    <n v="0"/>
    <n v="0"/>
    <m/>
    <n v="29"/>
    <n v="1"/>
    <n v="6"/>
    <n v="566.83000000000004"/>
    <n v="13130001672"/>
  </r>
  <r>
    <x v="3"/>
    <d v="1899-12-30T11:33:16"/>
    <n v="2673"/>
    <n v="13002561"/>
    <n v="13"/>
    <n v="22589"/>
    <s v="Retail Sale"/>
    <n v="15"/>
    <n v="67352"/>
    <x v="83"/>
    <s v="Protek"/>
    <s v="Bayer"/>
    <n v="3"/>
    <n v="434.83"/>
    <n v="623.16"/>
    <n v="0"/>
    <n v="0"/>
    <m/>
    <n v="29"/>
    <n v="1"/>
    <n v="6"/>
    <n v="623.16"/>
    <n v="13130001673"/>
  </r>
  <r>
    <x v="17"/>
    <d v="1899-12-30T10:08:36"/>
    <n v="2674"/>
    <n v="13002561"/>
    <n v="13"/>
    <n v="22589"/>
    <s v="Retail Sale"/>
    <n v="15"/>
    <n v="42699"/>
    <x v="33"/>
    <s v="Pulse"/>
    <s v="Novartis"/>
    <n v="3"/>
    <n v="556.65"/>
    <n v="721.13"/>
    <n v="72.11"/>
    <n v="72.11"/>
    <s v="BONUS_CARD"/>
    <n v="29"/>
    <n v="1"/>
    <n v="6"/>
    <n v="649.02"/>
    <n v="13130001674"/>
  </r>
  <r>
    <x v="9"/>
    <d v="1899-12-30T13:29:47"/>
    <n v="2675"/>
    <n v="13002561"/>
    <n v="13"/>
    <n v="22589"/>
    <s v="Retail Sale"/>
    <n v="15"/>
    <n v="90189"/>
    <x v="38"/>
    <s v="Katren"/>
    <s v="Novartis"/>
    <n v="2"/>
    <n v="324.10000000000002"/>
    <n v="425.23"/>
    <n v="0"/>
    <n v="0"/>
    <m/>
    <n v="29"/>
    <n v="1"/>
    <n v="2"/>
    <n v="425.23"/>
    <n v="13130001675"/>
  </r>
  <r>
    <x v="21"/>
    <d v="1899-12-30T10:23:07"/>
    <n v="2676"/>
    <n v="13002561"/>
    <n v="13"/>
    <n v="22589"/>
    <s v="Retail Sale"/>
    <n v="18"/>
    <n v="94674"/>
    <x v="12"/>
    <s v="Pharmcomplect"/>
    <s v="Pfizer"/>
    <n v="1"/>
    <n v="191.8"/>
    <n v="325.17"/>
    <n v="0"/>
    <n v="0"/>
    <m/>
    <n v="29"/>
    <n v="1"/>
    <n v="6"/>
    <n v="325.17"/>
    <n v="13130001676"/>
  </r>
  <r>
    <x v="20"/>
    <d v="1899-12-30T15:16:39"/>
    <n v="2677"/>
    <n v="13002561"/>
    <n v="13"/>
    <n v="22589"/>
    <s v="Retail Sale"/>
    <n v="18"/>
    <n v="92086"/>
    <x v="62"/>
    <s v="Katren"/>
    <s v="TEVA"/>
    <n v="3"/>
    <n v="288.42"/>
    <n v="384.04"/>
    <n v="38.4"/>
    <n v="38.4"/>
    <s v="BONUS_CARD"/>
    <n v="29"/>
    <n v="1"/>
    <n v="1"/>
    <n v="345.64"/>
    <n v="13130001677"/>
  </r>
  <r>
    <x v="26"/>
    <d v="1899-12-30T19:09:40"/>
    <n v="2678"/>
    <n v="13002561"/>
    <n v="13"/>
    <n v="22589"/>
    <s v="Retail Sale"/>
    <n v="18"/>
    <n v="25752"/>
    <x v="35"/>
    <s v="Avesta"/>
    <s v="Novartis"/>
    <n v="3"/>
    <n v="150.9"/>
    <n v="201.62"/>
    <n v="20.16"/>
    <n v="20.16"/>
    <s v="BONUS_CARD"/>
    <n v="29"/>
    <n v="1"/>
    <n v="6"/>
    <n v="181.46"/>
    <n v="13130001678"/>
  </r>
  <r>
    <x v="3"/>
    <d v="1899-12-30T19:18:42"/>
    <n v="2679"/>
    <n v="13002561"/>
    <n v="13"/>
    <n v="22589"/>
    <s v="Retail Sale"/>
    <n v="15"/>
    <n v="71361"/>
    <x v="87"/>
    <s v="Pharmcomplect"/>
    <s v="Pfizer"/>
    <n v="2"/>
    <n v="572.67999999999995"/>
    <n v="829.27"/>
    <n v="0"/>
    <n v="0"/>
    <m/>
    <n v="29"/>
    <n v="1"/>
    <n v="2"/>
    <n v="829.27"/>
    <n v="13130001679"/>
  </r>
  <r>
    <x v="10"/>
    <d v="1899-12-30T16:34:54"/>
    <n v="2680"/>
    <n v="13002561"/>
    <n v="13"/>
    <n v="22589"/>
    <s v="Retail Sale"/>
    <n v="18"/>
    <n v="40996"/>
    <x v="74"/>
    <s v="Avesta"/>
    <s v="Takeda"/>
    <n v="2"/>
    <n v="5.67"/>
    <n v="7.27"/>
    <n v="0.36"/>
    <n v="0.36"/>
    <s v="BONUS_CARD"/>
    <n v="29"/>
    <n v="1"/>
    <n v="2"/>
    <n v="6.91"/>
    <n v="13130001680"/>
  </r>
  <r>
    <x v="27"/>
    <d v="1899-12-30T08:22:35"/>
    <n v="2681"/>
    <n v="13002561"/>
    <n v="13"/>
    <n v="22589"/>
    <s v="Retail Sale"/>
    <n v="15"/>
    <n v="22413"/>
    <x v="17"/>
    <s v="Katren"/>
    <s v="Bayer"/>
    <n v="3"/>
    <n v="291.02999999999997"/>
    <n v="465.59"/>
    <n v="23.28"/>
    <n v="23.28"/>
    <s v="BONUS_CARD"/>
    <n v="29"/>
    <n v="1"/>
    <n v="6"/>
    <n v="442.31"/>
    <n v="13130001681"/>
  </r>
  <r>
    <x v="29"/>
    <d v="1899-12-30T21:56:12"/>
    <n v="2682"/>
    <n v="13002561"/>
    <n v="13"/>
    <n v="22589"/>
    <s v="Retail Sale"/>
    <n v="15"/>
    <n v="52101"/>
    <x v="9"/>
    <s v="Avesta"/>
    <s v="Pfizer"/>
    <n v="3"/>
    <n v="416.75"/>
    <n v="618.25"/>
    <n v="0"/>
    <n v="0"/>
    <m/>
    <n v="29"/>
    <n v="1"/>
    <n v="1"/>
    <n v="618.25"/>
    <n v="13130001682"/>
  </r>
  <r>
    <x v="15"/>
    <d v="1899-12-30T13:53:38"/>
    <n v="2683"/>
    <n v="13002561"/>
    <n v="13"/>
    <n v="22589"/>
    <s v="Retail Sale"/>
    <n v="15"/>
    <n v="41825"/>
    <x v="12"/>
    <s v="Pharmcomplect"/>
    <s v="TEVA"/>
    <n v="2"/>
    <n v="92.12"/>
    <n v="139.83000000000001"/>
    <n v="0"/>
    <n v="0"/>
    <m/>
    <n v="29"/>
    <n v="1"/>
    <n v="2"/>
    <n v="139.83000000000001"/>
    <n v="13130001683"/>
  </r>
  <r>
    <x v="16"/>
    <d v="1899-12-30T08:44:52"/>
    <n v="2684"/>
    <n v="13002561"/>
    <n v="13"/>
    <n v="22589"/>
    <s v="Retail Sale"/>
    <n v="18"/>
    <n v="87572"/>
    <x v="66"/>
    <s v="Protek"/>
    <s v="Pfizer"/>
    <n v="1"/>
    <n v="184.84"/>
    <n v="235.9"/>
    <n v="0"/>
    <n v="0"/>
    <m/>
    <n v="29"/>
    <n v="1"/>
    <n v="4"/>
    <n v="235.9"/>
    <n v="13130001684"/>
  </r>
  <r>
    <x v="28"/>
    <d v="1899-12-30T08:55:46"/>
    <n v="2685"/>
    <n v="13002561"/>
    <n v="13"/>
    <n v="22589"/>
    <s v="Retail Sale"/>
    <n v="15"/>
    <n v="80240"/>
    <x v="2"/>
    <s v="Pharmcomplect"/>
    <s v="Bayer"/>
    <n v="1"/>
    <n v="518.87"/>
    <n v="692.18"/>
    <n v="0"/>
    <n v="0"/>
    <m/>
    <n v="29"/>
    <n v="1"/>
    <n v="6"/>
    <n v="692.18"/>
    <n v="13130001685"/>
  </r>
  <r>
    <x v="30"/>
    <d v="1899-12-30T12:26:34"/>
    <n v="2686"/>
    <n v="13002561"/>
    <n v="13"/>
    <n v="22589"/>
    <s v="Retail Sale"/>
    <n v="15"/>
    <n v="33567"/>
    <x v="41"/>
    <s v="Grand Capital"/>
    <s v="KRKA"/>
    <n v="1"/>
    <n v="104.13"/>
    <n v="167.04"/>
    <n v="16.7"/>
    <n v="16.7"/>
    <s v="BONUS_CARD"/>
    <n v="29"/>
    <n v="1"/>
    <n v="2"/>
    <n v="150.34"/>
    <n v="13130001686"/>
  </r>
  <r>
    <x v="8"/>
    <d v="1899-12-30T18:05:28"/>
    <n v="2687"/>
    <n v="13002561"/>
    <n v="13"/>
    <n v="22589"/>
    <s v="Retail Sale"/>
    <n v="18"/>
    <n v="56152"/>
    <x v="0"/>
    <s v="Protek"/>
    <s v="Dr. Reddy's"/>
    <n v="1"/>
    <n v="380.77"/>
    <n v="563.16999999999996"/>
    <n v="56.32"/>
    <n v="56.32"/>
    <s v="BONUS_CARD"/>
    <n v="29"/>
    <n v="1"/>
    <n v="5"/>
    <n v="506.85"/>
    <n v="13130001687"/>
  </r>
  <r>
    <x v="30"/>
    <d v="1899-12-30T09:02:37"/>
    <n v="2688"/>
    <n v="13002561"/>
    <n v="13"/>
    <n v="22589"/>
    <s v="Retail Sale"/>
    <n v="15"/>
    <n v="46196"/>
    <x v="18"/>
    <s v="Protek"/>
    <s v="Sanofi"/>
    <n v="2"/>
    <n v="586.83000000000004"/>
    <n v="852.55"/>
    <n v="0"/>
    <n v="0"/>
    <m/>
    <n v="29"/>
    <n v="1"/>
    <n v="6"/>
    <n v="852.55"/>
    <n v="13130001688"/>
  </r>
  <r>
    <x v="17"/>
    <d v="1899-12-30T22:07:24"/>
    <n v="2689"/>
    <n v="13002561"/>
    <n v="13"/>
    <n v="22589"/>
    <s v="Retail Sale"/>
    <n v="15"/>
    <n v="35571"/>
    <x v="70"/>
    <s v="Avesta"/>
    <s v="Novartis"/>
    <n v="2"/>
    <n v="599.08000000000004"/>
    <n v="918.92"/>
    <n v="91.89"/>
    <n v="91.89"/>
    <s v="BONUS_CARD"/>
    <n v="29"/>
    <n v="1"/>
    <n v="5"/>
    <n v="827.03"/>
    <n v="13130001689"/>
  </r>
  <r>
    <x v="29"/>
    <d v="1899-12-30T17:07:33"/>
    <n v="2690"/>
    <n v="13002561"/>
    <n v="13"/>
    <n v="22589"/>
    <s v="Retail Sale"/>
    <n v="18"/>
    <n v="38766"/>
    <x v="30"/>
    <s v="Grand Capital"/>
    <s v="Bayer"/>
    <n v="3"/>
    <n v="441.05"/>
    <n v="722.87"/>
    <n v="36.14"/>
    <n v="36.14"/>
    <s v="BONUS_CARD"/>
    <n v="29"/>
    <n v="1"/>
    <n v="4"/>
    <n v="686.73"/>
    <n v="13130001690"/>
  </r>
  <r>
    <x v="20"/>
    <d v="1899-12-30T17:24:49"/>
    <n v="2691"/>
    <n v="13002561"/>
    <n v="13"/>
    <n v="22589"/>
    <s v="Retail Sale"/>
    <n v="15"/>
    <n v="93412"/>
    <x v="21"/>
    <s v="Avesta"/>
    <s v="Novartis"/>
    <n v="2"/>
    <n v="411.51"/>
    <n v="565.53"/>
    <n v="56.55"/>
    <n v="56.55"/>
    <s v="BONUS_CARD"/>
    <n v="29"/>
    <n v="1"/>
    <n v="1"/>
    <n v="508.98"/>
    <n v="13130001691"/>
  </r>
  <r>
    <x v="0"/>
    <d v="1899-12-30T16:25:26"/>
    <n v="2692"/>
    <n v="13002561"/>
    <n v="13"/>
    <n v="22589"/>
    <s v="Retail Sale"/>
    <n v="18"/>
    <n v="70552"/>
    <x v="38"/>
    <s v="Katren"/>
    <s v="Dr. Reddy's"/>
    <n v="1"/>
    <n v="232.2"/>
    <n v="392.88"/>
    <n v="19.64"/>
    <n v="19.64"/>
    <s v="BONUS_CARD"/>
    <n v="29"/>
    <n v="1"/>
    <n v="6"/>
    <n v="373.24"/>
    <n v="13130001692"/>
  </r>
  <r>
    <x v="7"/>
    <d v="1899-12-30T09:44:42"/>
    <n v="2693"/>
    <n v="13002561"/>
    <n v="13"/>
    <n v="22589"/>
    <s v="Retail Sale"/>
    <n v="18"/>
    <n v="73687"/>
    <x v="22"/>
    <s v="Avesta"/>
    <s v="TEVA"/>
    <n v="3"/>
    <n v="532.41"/>
    <n v="748.83"/>
    <n v="74.88"/>
    <n v="74.88"/>
    <s v="BONUS_CARD"/>
    <n v="29"/>
    <n v="1"/>
    <n v="5"/>
    <n v="673.95"/>
    <n v="13130001693"/>
  </r>
  <r>
    <x v="20"/>
    <d v="1899-12-30T22:42:07"/>
    <n v="2694"/>
    <n v="13002561"/>
    <n v="13"/>
    <n v="22589"/>
    <s v="Retail Sale"/>
    <n v="15"/>
    <n v="16450"/>
    <x v="34"/>
    <s v="Grand Capital"/>
    <s v="KRKA"/>
    <n v="2"/>
    <n v="587.99"/>
    <n v="970.85"/>
    <n v="97.09"/>
    <n v="97.09"/>
    <s v="BONUS_CARD"/>
    <n v="29"/>
    <n v="1"/>
    <n v="2"/>
    <n v="873.76"/>
    <n v="13130001694"/>
  </r>
  <r>
    <x v="14"/>
    <d v="1899-12-30T13:10:52"/>
    <n v="2695"/>
    <n v="13002561"/>
    <n v="13"/>
    <n v="22589"/>
    <s v="Retail Sale"/>
    <n v="18"/>
    <n v="21344"/>
    <x v="34"/>
    <s v="Grand Capital"/>
    <s v="TEVA"/>
    <n v="2"/>
    <n v="464.87"/>
    <n v="603.25"/>
    <n v="60.33"/>
    <n v="60.33"/>
    <s v="BONUS_CARD"/>
    <n v="29"/>
    <n v="1"/>
    <n v="5"/>
    <n v="542.91999999999996"/>
    <n v="13130001695"/>
  </r>
  <r>
    <x v="3"/>
    <d v="1899-12-30T21:17:09"/>
    <n v="2696"/>
    <n v="13002561"/>
    <n v="13"/>
    <n v="22589"/>
    <s v="Retail Sale"/>
    <n v="15"/>
    <n v="28132"/>
    <x v="1"/>
    <s v="Protek"/>
    <s v="Novartis"/>
    <n v="2"/>
    <n v="577.48"/>
    <n v="937.76"/>
    <n v="46.89"/>
    <n v="46.89"/>
    <s v="BONUS_CARD"/>
    <n v="29"/>
    <n v="1"/>
    <n v="3"/>
    <n v="890.87"/>
    <n v="13130001696"/>
  </r>
  <r>
    <x v="10"/>
    <d v="1899-12-30T17:37:33"/>
    <n v="2697"/>
    <n v="13002561"/>
    <n v="13"/>
    <n v="22589"/>
    <s v="Retail Sale"/>
    <n v="18"/>
    <n v="50245"/>
    <x v="76"/>
    <s v="Pharmcomplect"/>
    <s v="KRKA"/>
    <n v="1"/>
    <n v="300.14999999999998"/>
    <n v="393.29"/>
    <n v="0"/>
    <n v="0"/>
    <m/>
    <n v="29"/>
    <n v="1"/>
    <n v="2"/>
    <n v="393.29"/>
    <n v="13130001697"/>
  </r>
  <r>
    <x v="16"/>
    <d v="1899-12-30T19:48:04"/>
    <n v="2698"/>
    <n v="13002561"/>
    <n v="13"/>
    <n v="22589"/>
    <s v="Retail Sale"/>
    <n v="18"/>
    <n v="66140"/>
    <x v="67"/>
    <s v="Grand Capital"/>
    <s v="Bayer"/>
    <n v="3"/>
    <n v="323.14999999999998"/>
    <n v="526.76"/>
    <n v="0"/>
    <n v="0"/>
    <m/>
    <n v="29"/>
    <n v="1"/>
    <n v="3"/>
    <n v="526.76"/>
    <n v="13130001698"/>
  </r>
  <r>
    <x v="22"/>
    <d v="1899-12-30T16:37:55"/>
    <n v="2699"/>
    <n v="13002561"/>
    <n v="13"/>
    <n v="22589"/>
    <s v="Retail Sale"/>
    <n v="15"/>
    <n v="16676"/>
    <x v="25"/>
    <s v="Pulse"/>
    <s v="Sanofi"/>
    <n v="1"/>
    <n v="266.43"/>
    <n v="446.36"/>
    <n v="0"/>
    <n v="0"/>
    <m/>
    <n v="29"/>
    <n v="1"/>
    <n v="1"/>
    <n v="446.36"/>
    <n v="13130001699"/>
  </r>
  <r>
    <x v="18"/>
    <d v="1899-12-30T12:01:56"/>
    <n v="2700"/>
    <n v="13002561"/>
    <n v="13"/>
    <n v="22589"/>
    <s v="Retail Sale"/>
    <n v="18"/>
    <n v="85913"/>
    <x v="59"/>
    <s v="Avesta"/>
    <s v="Sanofi"/>
    <n v="3"/>
    <n v="277.24"/>
    <n v="350.31"/>
    <n v="35.03"/>
    <n v="35.03"/>
    <s v="BONUS_CARD"/>
    <n v="29"/>
    <n v="1"/>
    <n v="3"/>
    <n v="315.27999999999997"/>
    <n v="13130001700"/>
  </r>
  <r>
    <x v="29"/>
    <d v="1899-12-30T10:59:49"/>
    <n v="2701"/>
    <n v="13002561"/>
    <n v="13"/>
    <n v="22589"/>
    <s v="Retail Sale"/>
    <n v="18"/>
    <n v="80723"/>
    <x v="71"/>
    <s v="Protek"/>
    <s v="Takeda"/>
    <n v="3"/>
    <n v="195.45"/>
    <n v="274.66000000000003"/>
    <n v="13.73"/>
    <n v="13.73"/>
    <s v="BONUS_CARD"/>
    <n v="29"/>
    <n v="1"/>
    <n v="5"/>
    <n v="260.93"/>
    <n v="13130001701"/>
  </r>
  <r>
    <x v="23"/>
    <d v="1899-12-30T19:23:43"/>
    <n v="2702"/>
    <n v="13002561"/>
    <n v="13"/>
    <n v="22589"/>
    <s v="Retail Sale"/>
    <n v="15"/>
    <n v="73717"/>
    <x v="74"/>
    <s v="Pulse"/>
    <s v="Bayer"/>
    <n v="2"/>
    <n v="521.73"/>
    <n v="707.17"/>
    <n v="70.72"/>
    <n v="70.72"/>
    <s v="BONUS_CARD"/>
    <n v="29"/>
    <n v="1"/>
    <n v="4"/>
    <n v="636.45000000000005"/>
    <n v="13130001702"/>
  </r>
  <r>
    <x v="15"/>
    <d v="1899-12-30T20:33:53"/>
    <n v="2703"/>
    <n v="13002561"/>
    <n v="13"/>
    <n v="22589"/>
    <s v="Retail Sale"/>
    <n v="15"/>
    <n v="29466"/>
    <x v="86"/>
    <s v="Pharmcomplect"/>
    <s v="Takeda"/>
    <n v="3"/>
    <n v="447"/>
    <n v="648.07000000000005"/>
    <n v="0"/>
    <n v="0"/>
    <m/>
    <n v="29"/>
    <n v="1"/>
    <n v="1"/>
    <n v="648.07000000000005"/>
    <n v="13130001703"/>
  </r>
  <r>
    <x v="18"/>
    <d v="1899-12-30T10:45:02"/>
    <n v="2704"/>
    <n v="13002561"/>
    <n v="13"/>
    <n v="22589"/>
    <s v="Retail Sale"/>
    <n v="18"/>
    <n v="81032"/>
    <x v="16"/>
    <s v="Grand Capital"/>
    <s v="TEVA"/>
    <n v="3"/>
    <n v="480.36"/>
    <n v="630.5"/>
    <n v="0"/>
    <n v="0"/>
    <m/>
    <n v="29"/>
    <n v="1"/>
    <n v="6"/>
    <n v="630.5"/>
    <n v="13130001704"/>
  </r>
  <r>
    <x v="13"/>
    <d v="1899-12-30T13:05:52"/>
    <n v="2705"/>
    <n v="13002561"/>
    <n v="13"/>
    <n v="22589"/>
    <s v="Retail Sale"/>
    <n v="15"/>
    <n v="44311"/>
    <x v="12"/>
    <s v="Protek"/>
    <s v="Bayer"/>
    <n v="1"/>
    <n v="249.33"/>
    <n v="339.46"/>
    <n v="33.950000000000003"/>
    <n v="33.950000000000003"/>
    <s v="BONUS_CARD"/>
    <n v="29"/>
    <n v="1"/>
    <n v="6"/>
    <n v="305.51"/>
    <n v="13130001705"/>
  </r>
  <r>
    <x v="12"/>
    <d v="1899-12-30T22:15:23"/>
    <n v="2706"/>
    <n v="13002561"/>
    <n v="13"/>
    <n v="22589"/>
    <s v="Retail Sale"/>
    <n v="18"/>
    <n v="99748"/>
    <x v="3"/>
    <s v="Avesta"/>
    <s v="Takeda"/>
    <n v="3"/>
    <n v="26.51"/>
    <n v="40.520000000000003"/>
    <n v="0"/>
    <n v="0"/>
    <m/>
    <n v="29"/>
    <n v="1"/>
    <n v="5"/>
    <n v="40.520000000000003"/>
    <n v="13130001706"/>
  </r>
  <r>
    <x v="6"/>
    <d v="1899-12-30T16:11:57"/>
    <n v="2707"/>
    <n v="13002561"/>
    <n v="13"/>
    <n v="22589"/>
    <s v="Retail Sale"/>
    <n v="15"/>
    <n v="34383"/>
    <x v="42"/>
    <s v="Protek"/>
    <s v="Bayer"/>
    <n v="3"/>
    <n v="162.44"/>
    <n v="244.98"/>
    <n v="24.5"/>
    <n v="24.5"/>
    <s v="BONUS_CARD"/>
    <n v="29"/>
    <n v="1"/>
    <n v="1"/>
    <n v="220.48"/>
    <n v="13130001707"/>
  </r>
  <r>
    <x v="15"/>
    <d v="1899-12-30T13:08:08"/>
    <n v="2708"/>
    <n v="13002561"/>
    <n v="13"/>
    <n v="22589"/>
    <s v="Retail Sale"/>
    <n v="18"/>
    <n v="99458"/>
    <x v="77"/>
    <s v="Avesta"/>
    <s v="Sanofi"/>
    <n v="3"/>
    <n v="440.88"/>
    <n v="717.87"/>
    <n v="35.89"/>
    <n v="35.89"/>
    <s v="BONUS_CARD"/>
    <n v="29"/>
    <n v="1"/>
    <n v="4"/>
    <n v="681.98"/>
    <n v="13130001708"/>
  </r>
  <r>
    <x v="12"/>
    <d v="1899-12-30T14:13:00"/>
    <n v="2709"/>
    <n v="13002561"/>
    <n v="13"/>
    <n v="22589"/>
    <s v="Retail Sale"/>
    <n v="15"/>
    <n v="46291"/>
    <x v="87"/>
    <s v="Grand Capital"/>
    <s v="TEVA"/>
    <n v="2"/>
    <n v="393.37"/>
    <n v="618.66"/>
    <n v="0"/>
    <n v="0"/>
    <m/>
    <n v="29"/>
    <n v="1"/>
    <n v="1"/>
    <n v="618.66"/>
    <n v="13130001709"/>
  </r>
  <r>
    <x v="27"/>
    <d v="1899-12-30T09:43:36"/>
    <n v="2710"/>
    <n v="13002561"/>
    <n v="13"/>
    <n v="22589"/>
    <s v="Retail Sale"/>
    <n v="15"/>
    <n v="79011"/>
    <x v="21"/>
    <s v="Avesta"/>
    <s v="Pfizer"/>
    <n v="2"/>
    <n v="585.6"/>
    <n v="757.03"/>
    <n v="37.85"/>
    <n v="37.85"/>
    <s v="BONUS_CARD"/>
    <n v="29"/>
    <n v="1"/>
    <n v="6"/>
    <n v="719.18"/>
    <n v="13130001710"/>
  </r>
  <r>
    <x v="1"/>
    <d v="1899-12-30T14:55:30"/>
    <n v="2711"/>
    <n v="13002561"/>
    <n v="13"/>
    <n v="22589"/>
    <s v="Retail Sale"/>
    <n v="15"/>
    <n v="55649"/>
    <x v="29"/>
    <s v="Avesta"/>
    <s v="Sanofi"/>
    <n v="3"/>
    <n v="129.78"/>
    <n v="178.53"/>
    <n v="8.93"/>
    <n v="8.93"/>
    <s v="BONUS_CARD"/>
    <n v="29"/>
    <n v="1"/>
    <n v="4"/>
    <n v="169.6"/>
    <n v="13130001711"/>
  </r>
  <r>
    <x v="19"/>
    <d v="1899-12-30T10:09:38"/>
    <n v="2712"/>
    <n v="13002561"/>
    <n v="13"/>
    <n v="22589"/>
    <s v="Retail Sale"/>
    <n v="18"/>
    <n v="36838"/>
    <x v="31"/>
    <s v="Grand Capital"/>
    <s v="TEVA"/>
    <n v="2"/>
    <n v="470.63"/>
    <n v="593.29"/>
    <n v="59.33"/>
    <n v="59.33"/>
    <s v="BONUS_CARD"/>
    <n v="29"/>
    <n v="1"/>
    <n v="5"/>
    <n v="533.96"/>
    <n v="13130001712"/>
  </r>
  <r>
    <x v="22"/>
    <d v="1899-12-30T13:53:17"/>
    <n v="2713"/>
    <n v="13002561"/>
    <n v="13"/>
    <n v="22589"/>
    <s v="Retail Sale"/>
    <n v="15"/>
    <n v="94503"/>
    <x v="89"/>
    <s v="Grand Capital"/>
    <s v="KRKA"/>
    <n v="2"/>
    <n v="167.21"/>
    <n v="250.9"/>
    <n v="0"/>
    <n v="0"/>
    <m/>
    <n v="29"/>
    <n v="1"/>
    <n v="4"/>
    <n v="250.9"/>
    <n v="13130001713"/>
  </r>
  <r>
    <x v="22"/>
    <d v="1899-12-30T15:40:22"/>
    <n v="2714"/>
    <n v="13002561"/>
    <n v="13"/>
    <n v="22589"/>
    <s v="Retail Sale"/>
    <n v="18"/>
    <n v="69300"/>
    <x v="7"/>
    <s v="Katren"/>
    <s v="Pfizer"/>
    <n v="2"/>
    <n v="583.84"/>
    <n v="983.43"/>
    <n v="98.34"/>
    <n v="98.34"/>
    <s v="BONUS_CARD"/>
    <n v="29"/>
    <n v="1"/>
    <n v="2"/>
    <n v="885.09"/>
    <n v="13130001714"/>
  </r>
  <r>
    <x v="22"/>
    <d v="1899-12-30T08:18:20"/>
    <n v="2715"/>
    <n v="13002561"/>
    <n v="13"/>
    <n v="22589"/>
    <s v="Retail Sale"/>
    <n v="18"/>
    <n v="68625"/>
    <x v="34"/>
    <s v="Pharmcomplect"/>
    <s v="Novartis"/>
    <n v="3"/>
    <n v="291.01"/>
    <n v="382.7"/>
    <n v="19.14"/>
    <n v="19.14"/>
    <s v="BONUS_CARD"/>
    <n v="29"/>
    <n v="1"/>
    <n v="5"/>
    <n v="363.56"/>
    <n v="13130001715"/>
  </r>
  <r>
    <x v="20"/>
    <d v="1899-12-30T20:29:55"/>
    <n v="2716"/>
    <n v="13002561"/>
    <n v="13"/>
    <n v="22589"/>
    <s v="Retail Sale"/>
    <n v="18"/>
    <n v="92871"/>
    <x v="58"/>
    <s v="Grand Capital"/>
    <s v="KRKA"/>
    <n v="2"/>
    <n v="179.96"/>
    <n v="266.7"/>
    <n v="26.67"/>
    <n v="26.67"/>
    <s v="BONUS_CARD"/>
    <n v="29"/>
    <n v="1"/>
    <n v="3"/>
    <n v="240.03"/>
    <n v="13130001716"/>
  </r>
  <r>
    <x v="0"/>
    <d v="1899-12-30T21:28:23"/>
    <n v="2717"/>
    <n v="13002561"/>
    <n v="13"/>
    <n v="22589"/>
    <s v="Retail Sale"/>
    <n v="15"/>
    <n v="63619"/>
    <x v="12"/>
    <s v="Katren"/>
    <s v="Sanofi"/>
    <n v="3"/>
    <n v="351.64"/>
    <n v="471.17"/>
    <n v="47.12"/>
    <n v="47.12"/>
    <s v="BONUS_CARD"/>
    <n v="29"/>
    <n v="1"/>
    <n v="1"/>
    <n v="424.05"/>
    <n v="13130001717"/>
  </r>
  <r>
    <x v="17"/>
    <d v="1899-12-30T21:08:51"/>
    <n v="2718"/>
    <n v="13002561"/>
    <n v="13"/>
    <n v="22589"/>
    <s v="Retail Sale"/>
    <n v="15"/>
    <n v="62161"/>
    <x v="20"/>
    <s v="Avesta"/>
    <s v="Pfizer"/>
    <n v="3"/>
    <n v="51.88"/>
    <n v="70.900000000000006"/>
    <n v="3.55"/>
    <n v="3.55"/>
    <s v="BONUS_CARD"/>
    <n v="29"/>
    <n v="1"/>
    <n v="1"/>
    <n v="67.349999999999994"/>
    <n v="13130001718"/>
  </r>
  <r>
    <x v="21"/>
    <d v="1899-12-30T13:05:21"/>
    <n v="2719"/>
    <n v="13002561"/>
    <n v="13"/>
    <n v="22589"/>
    <s v="Retail Sale"/>
    <n v="15"/>
    <n v="26748"/>
    <x v="79"/>
    <s v="Pharmcomplect"/>
    <s v="TEVA"/>
    <n v="1"/>
    <n v="582.25"/>
    <n v="752.87"/>
    <n v="75.290000000000006"/>
    <n v="75.290000000000006"/>
    <s v="BONUS_CARD"/>
    <n v="29"/>
    <n v="1"/>
    <n v="5"/>
    <n v="677.58"/>
    <n v="13130001719"/>
  </r>
  <r>
    <x v="10"/>
    <d v="1899-12-30T09:16:36"/>
    <n v="2720"/>
    <n v="13002561"/>
    <n v="13"/>
    <n v="22589"/>
    <s v="Retail Sale"/>
    <n v="18"/>
    <n v="20901"/>
    <x v="37"/>
    <s v="Katren"/>
    <s v="KRKA"/>
    <n v="1"/>
    <n v="48.49"/>
    <n v="75.17"/>
    <n v="0"/>
    <n v="0"/>
    <m/>
    <n v="29"/>
    <n v="1"/>
    <n v="3"/>
    <n v="75.17"/>
    <n v="13130001720"/>
  </r>
  <r>
    <x v="28"/>
    <d v="1899-12-30T15:59:24"/>
    <n v="2721"/>
    <n v="13002561"/>
    <n v="13"/>
    <n v="22589"/>
    <s v="Retail Sale"/>
    <n v="18"/>
    <n v="38875"/>
    <x v="8"/>
    <s v="Pulse"/>
    <s v="Bayer"/>
    <n v="2"/>
    <n v="209.53"/>
    <n v="289.89999999999998"/>
    <n v="28.99"/>
    <n v="28.99"/>
    <s v="BONUS_CARD"/>
    <n v="29"/>
    <n v="1"/>
    <n v="4"/>
    <n v="260.91000000000003"/>
    <n v="13130001721"/>
  </r>
  <r>
    <x v="26"/>
    <d v="1899-12-30T17:58:25"/>
    <n v="2722"/>
    <n v="13002561"/>
    <n v="13"/>
    <n v="22589"/>
    <s v="Retail Sale"/>
    <n v="18"/>
    <n v="23127"/>
    <x v="22"/>
    <s v="Pharmcomplect"/>
    <s v="Dr. Reddy's"/>
    <n v="1"/>
    <n v="587.63"/>
    <n v="853.93"/>
    <n v="42.7"/>
    <n v="42.7"/>
    <s v="BONUS_CARD"/>
    <n v="29"/>
    <n v="1"/>
    <n v="4"/>
    <n v="811.23"/>
    <n v="13130001722"/>
  </r>
  <r>
    <x v="22"/>
    <d v="1899-12-30T14:02:43"/>
    <n v="2723"/>
    <n v="13002561"/>
    <n v="13"/>
    <n v="22589"/>
    <s v="Retail Sale"/>
    <n v="15"/>
    <n v="75793"/>
    <x v="62"/>
    <s v="Pulse"/>
    <s v="Sanofi"/>
    <n v="2"/>
    <n v="122.23"/>
    <n v="202.63"/>
    <n v="20.260000000000002"/>
    <n v="20.260000000000002"/>
    <s v="BONUS_CARD"/>
    <n v="29"/>
    <n v="1"/>
    <n v="1"/>
    <n v="182.37"/>
    <n v="13130001723"/>
  </r>
  <r>
    <x v="8"/>
    <d v="1899-12-30T10:45:31"/>
    <n v="2724"/>
    <n v="13002561"/>
    <n v="13"/>
    <n v="22589"/>
    <s v="Retail Sale"/>
    <n v="15"/>
    <n v="68383"/>
    <x v="54"/>
    <s v="Grand Capital"/>
    <s v="Dr. Reddy's"/>
    <n v="2"/>
    <n v="423.43"/>
    <n v="582.63"/>
    <n v="0"/>
    <n v="0"/>
    <m/>
    <n v="29"/>
    <n v="1"/>
    <n v="1"/>
    <n v="582.63"/>
    <n v="13130001724"/>
  </r>
  <r>
    <x v="2"/>
    <d v="1899-12-30T14:10:09"/>
    <n v="2725"/>
    <n v="13002561"/>
    <n v="13"/>
    <n v="22589"/>
    <s v="Retail Sale"/>
    <n v="18"/>
    <n v="72275"/>
    <x v="80"/>
    <s v="Grand Capital"/>
    <s v="Bayer"/>
    <n v="1"/>
    <n v="274.14999999999998"/>
    <n v="464.36"/>
    <n v="0"/>
    <n v="0"/>
    <m/>
    <n v="29"/>
    <n v="1"/>
    <n v="4"/>
    <n v="464.36"/>
    <n v="13130001725"/>
  </r>
  <r>
    <x v="0"/>
    <d v="1899-12-30T08:26:47"/>
    <n v="2726"/>
    <n v="13002561"/>
    <n v="13"/>
    <n v="22589"/>
    <s v="Retail Sale"/>
    <n v="18"/>
    <n v="60007"/>
    <x v="54"/>
    <s v="Avesta"/>
    <s v="KRKA"/>
    <n v="2"/>
    <n v="231.68"/>
    <n v="368.74"/>
    <n v="18.440000000000001"/>
    <n v="18.440000000000001"/>
    <s v="BONUS_CARD"/>
    <n v="29"/>
    <n v="1"/>
    <n v="3"/>
    <n v="350.3"/>
    <n v="13130001726"/>
  </r>
  <r>
    <x v="11"/>
    <d v="1899-12-30T21:24:56"/>
    <n v="2727"/>
    <n v="13002561"/>
    <n v="13"/>
    <n v="22589"/>
    <s v="Retail Sale"/>
    <n v="18"/>
    <n v="20220"/>
    <x v="19"/>
    <s v="Avesta"/>
    <s v="Sanofi"/>
    <n v="2"/>
    <n v="328.25"/>
    <n v="453.63"/>
    <n v="0"/>
    <n v="0"/>
    <m/>
    <n v="29"/>
    <n v="1"/>
    <n v="4"/>
    <n v="453.63"/>
    <n v="13130001727"/>
  </r>
  <r>
    <x v="29"/>
    <d v="1899-12-30T22:57:18"/>
    <n v="2728"/>
    <n v="13002561"/>
    <n v="13"/>
    <n v="22589"/>
    <s v="Retail Sale"/>
    <n v="15"/>
    <n v="27844"/>
    <x v="86"/>
    <s v="Pharmcomplect"/>
    <s v="Pfizer"/>
    <n v="3"/>
    <n v="176.86"/>
    <n v="245.88"/>
    <n v="12.29"/>
    <n v="12.29"/>
    <s v="BONUS_CARD"/>
    <n v="29"/>
    <n v="1"/>
    <n v="5"/>
    <n v="233.59"/>
    <n v="13130001728"/>
  </r>
  <r>
    <x v="18"/>
    <d v="1899-12-30T19:52:17"/>
    <n v="2729"/>
    <n v="13002561"/>
    <n v="13"/>
    <n v="22589"/>
    <s v="Retail Sale"/>
    <n v="18"/>
    <n v="30689"/>
    <x v="69"/>
    <s v="Avesta"/>
    <s v="Bayer"/>
    <n v="3"/>
    <n v="17.77"/>
    <n v="22.65"/>
    <n v="0"/>
    <n v="0"/>
    <m/>
    <n v="29"/>
    <n v="1"/>
    <n v="4"/>
    <n v="22.65"/>
    <n v="13130001729"/>
  </r>
  <r>
    <x v="6"/>
    <d v="1899-12-30T18:32:25"/>
    <n v="2730"/>
    <n v="13002561"/>
    <n v="13"/>
    <n v="22589"/>
    <s v="Retail Sale"/>
    <n v="15"/>
    <n v="35527"/>
    <x v="72"/>
    <s v="Avesta"/>
    <s v="TEVA"/>
    <n v="2"/>
    <n v="342.52"/>
    <n v="546.42999999999995"/>
    <n v="0"/>
    <n v="0"/>
    <m/>
    <n v="29"/>
    <n v="1"/>
    <n v="3"/>
    <n v="546.42999999999995"/>
    <n v="13130001730"/>
  </r>
  <r>
    <x v="2"/>
    <d v="1899-12-30T08:10:28"/>
    <n v="2731"/>
    <n v="13002561"/>
    <n v="13"/>
    <n v="22589"/>
    <s v="Retail Sale"/>
    <n v="18"/>
    <n v="93455"/>
    <x v="3"/>
    <s v="Katren"/>
    <s v="Dr. Reddy's"/>
    <n v="1"/>
    <n v="449.01"/>
    <n v="644.29"/>
    <n v="0"/>
    <n v="0"/>
    <m/>
    <n v="29"/>
    <n v="1"/>
    <n v="5"/>
    <n v="644.29"/>
    <n v="13130001731"/>
  </r>
  <r>
    <x v="3"/>
    <d v="1899-12-30T14:30:09"/>
    <n v="2732"/>
    <n v="13002561"/>
    <n v="13"/>
    <n v="22589"/>
    <s v="Retail Sale"/>
    <n v="15"/>
    <n v="80461"/>
    <x v="69"/>
    <s v="Avesta"/>
    <s v="Dr. Reddy's"/>
    <n v="2"/>
    <n v="35.94"/>
    <n v="58.36"/>
    <n v="5.84"/>
    <n v="5.84"/>
    <s v="BONUS_CARD"/>
    <n v="29"/>
    <n v="1"/>
    <n v="2"/>
    <n v="52.52"/>
    <n v="13130001732"/>
  </r>
  <r>
    <x v="20"/>
    <d v="1899-12-30T20:48:20"/>
    <n v="2733"/>
    <n v="13002561"/>
    <n v="13"/>
    <n v="22589"/>
    <s v="Retail Sale"/>
    <n v="18"/>
    <n v="14632"/>
    <x v="45"/>
    <s v="Pulse"/>
    <s v="TEVA"/>
    <n v="3"/>
    <n v="437.16"/>
    <n v="619.19000000000005"/>
    <n v="0"/>
    <n v="0"/>
    <m/>
    <n v="29"/>
    <n v="1"/>
    <n v="5"/>
    <n v="619.19000000000005"/>
    <n v="13130001733"/>
  </r>
  <r>
    <x v="4"/>
    <d v="1899-12-30T11:33:30"/>
    <n v="2734"/>
    <n v="13002561"/>
    <n v="13"/>
    <n v="22589"/>
    <s v="Retail Sale"/>
    <n v="15"/>
    <n v="18202"/>
    <x v="30"/>
    <s v="Pharmcomplect"/>
    <s v="Bayer"/>
    <n v="1"/>
    <n v="158.91999999999999"/>
    <n v="246.37"/>
    <n v="12.32"/>
    <n v="12.32"/>
    <s v="BONUS_CARD"/>
    <n v="29"/>
    <n v="1"/>
    <n v="2"/>
    <n v="234.05"/>
    <n v="13130001734"/>
  </r>
  <r>
    <x v="4"/>
    <d v="1899-12-30T19:04:35"/>
    <n v="2735"/>
    <n v="13002561"/>
    <n v="13"/>
    <n v="22589"/>
    <s v="Retail Sale"/>
    <n v="18"/>
    <n v="67506"/>
    <x v="29"/>
    <s v="Grand Capital"/>
    <s v="Novartis"/>
    <n v="1"/>
    <n v="511.57"/>
    <n v="671.9"/>
    <n v="67.19"/>
    <n v="67.19"/>
    <s v="BONUS_CARD"/>
    <n v="29"/>
    <n v="1"/>
    <n v="3"/>
    <n v="604.71"/>
    <n v="13130001735"/>
  </r>
  <r>
    <x v="26"/>
    <d v="1899-12-30T17:12:56"/>
    <n v="2736"/>
    <n v="13002561"/>
    <n v="13"/>
    <n v="22589"/>
    <s v="Retail Sale"/>
    <n v="15"/>
    <n v="98163"/>
    <x v="3"/>
    <s v="Pharmcomplect"/>
    <s v="Bayer"/>
    <n v="2"/>
    <n v="237.3"/>
    <n v="357.1"/>
    <n v="0"/>
    <n v="0"/>
    <m/>
    <n v="29"/>
    <n v="1"/>
    <n v="4"/>
    <n v="357.1"/>
    <n v="13130001736"/>
  </r>
  <r>
    <x v="21"/>
    <d v="1899-12-30T16:43:35"/>
    <n v="2737"/>
    <n v="13002561"/>
    <n v="13"/>
    <n v="22589"/>
    <s v="Retail Sale"/>
    <n v="15"/>
    <n v="29206"/>
    <x v="1"/>
    <s v="Katren"/>
    <s v="KRKA"/>
    <n v="1"/>
    <n v="179.19"/>
    <n v="229.04"/>
    <n v="22.9"/>
    <n v="22.9"/>
    <s v="BONUS_CARD"/>
    <n v="29"/>
    <n v="1"/>
    <n v="1"/>
    <n v="206.14"/>
    <n v="13130001737"/>
  </r>
  <r>
    <x v="1"/>
    <d v="1899-12-30T20:13:21"/>
    <n v="2738"/>
    <n v="13002561"/>
    <n v="13"/>
    <n v="22589"/>
    <s v="Retail Sale"/>
    <n v="15"/>
    <n v="35716"/>
    <x v="2"/>
    <s v="Katren"/>
    <s v="Novartis"/>
    <n v="1"/>
    <n v="235.45"/>
    <n v="379.6"/>
    <n v="18.98"/>
    <n v="18.98"/>
    <s v="BONUS_CARD"/>
    <n v="29"/>
    <n v="1"/>
    <n v="1"/>
    <n v="360.62"/>
    <n v="13130001738"/>
  </r>
  <r>
    <x v="1"/>
    <d v="1899-12-30T15:53:22"/>
    <n v="2739"/>
    <n v="13002561"/>
    <n v="13"/>
    <n v="22589"/>
    <s v="Retail Sale"/>
    <n v="18"/>
    <n v="46336"/>
    <x v="56"/>
    <s v="Grand Capital"/>
    <s v="Takeda"/>
    <n v="1"/>
    <n v="131.87"/>
    <n v="168.23"/>
    <n v="0"/>
    <n v="0"/>
    <m/>
    <n v="29"/>
    <n v="1"/>
    <n v="3"/>
    <n v="168.23"/>
    <n v="13130001739"/>
  </r>
  <r>
    <x v="18"/>
    <d v="1899-12-30T21:18:24"/>
    <n v="2740"/>
    <n v="13002561"/>
    <n v="13"/>
    <n v="22589"/>
    <s v="Retail Sale"/>
    <n v="15"/>
    <n v="76309"/>
    <x v="3"/>
    <s v="Pulse"/>
    <s v="KRKA"/>
    <n v="2"/>
    <n v="344.88"/>
    <n v="573.71"/>
    <n v="0"/>
    <n v="0"/>
    <m/>
    <n v="29"/>
    <n v="1"/>
    <n v="6"/>
    <n v="573.71"/>
    <n v="13130001740"/>
  </r>
  <r>
    <x v="9"/>
    <d v="1899-12-30T17:42:36"/>
    <n v="2741"/>
    <n v="13002561"/>
    <n v="13"/>
    <n v="22589"/>
    <s v="Retail Sale"/>
    <n v="18"/>
    <n v="57636"/>
    <x v="88"/>
    <s v="Grand Capital"/>
    <s v="Pfizer"/>
    <n v="1"/>
    <n v="96.48"/>
    <n v="125.03"/>
    <n v="0"/>
    <n v="0"/>
    <m/>
    <n v="29"/>
    <n v="1"/>
    <n v="4"/>
    <n v="125.03"/>
    <n v="13130001741"/>
  </r>
  <r>
    <x v="25"/>
    <d v="1899-12-30T16:12:34"/>
    <n v="2742"/>
    <n v="13002561"/>
    <n v="13"/>
    <n v="22589"/>
    <s v="Retail Sale"/>
    <n v="15"/>
    <n v="33704"/>
    <x v="39"/>
    <s v="Pharmcomplect"/>
    <s v="TEVA"/>
    <n v="1"/>
    <n v="85.73"/>
    <n v="138.25"/>
    <n v="6.91"/>
    <n v="6.91"/>
    <s v="BONUS_CARD"/>
    <n v="29"/>
    <n v="1"/>
    <n v="2"/>
    <n v="131.34"/>
    <n v="13130001742"/>
  </r>
  <r>
    <x v="27"/>
    <d v="1899-12-30T14:36:46"/>
    <n v="2743"/>
    <n v="13002561"/>
    <n v="13"/>
    <n v="22589"/>
    <s v="Retail Sale"/>
    <n v="15"/>
    <n v="95588"/>
    <x v="30"/>
    <s v="Katren"/>
    <s v="KRKA"/>
    <n v="1"/>
    <n v="240.25"/>
    <n v="374.18"/>
    <n v="18.71"/>
    <n v="18.71"/>
    <s v="BONUS_CARD"/>
    <n v="29"/>
    <n v="1"/>
    <n v="4"/>
    <n v="355.47"/>
    <n v="13130001743"/>
  </r>
  <r>
    <x v="25"/>
    <d v="1899-12-30T10:13:23"/>
    <n v="2744"/>
    <n v="13002561"/>
    <n v="13"/>
    <n v="22589"/>
    <s v="Retail Sale"/>
    <n v="18"/>
    <n v="17202"/>
    <x v="18"/>
    <s v="Grand Capital"/>
    <s v="Novartis"/>
    <n v="2"/>
    <n v="78.5"/>
    <n v="99.23"/>
    <n v="4.96"/>
    <n v="4.96"/>
    <s v="BONUS_CARD"/>
    <n v="29"/>
    <n v="1"/>
    <n v="1"/>
    <n v="94.27"/>
    <n v="13130001744"/>
  </r>
  <r>
    <x v="24"/>
    <d v="1899-12-30T17:19:01"/>
    <n v="2745"/>
    <n v="13002561"/>
    <n v="13"/>
    <n v="22589"/>
    <s v="Retail Sale"/>
    <n v="18"/>
    <n v="37129"/>
    <x v="71"/>
    <s v="Katren"/>
    <s v="Sanofi"/>
    <n v="2"/>
    <n v="65.83"/>
    <n v="107.62"/>
    <n v="10.76"/>
    <n v="10.76"/>
    <s v="BONUS_CARD"/>
    <n v="29"/>
    <n v="1"/>
    <n v="1"/>
    <n v="96.86"/>
    <n v="13130001745"/>
  </r>
  <r>
    <x v="10"/>
    <d v="1899-12-30T09:28:52"/>
    <n v="2746"/>
    <n v="13002561"/>
    <n v="13"/>
    <n v="22589"/>
    <s v="Retail Sale"/>
    <n v="18"/>
    <n v="98733"/>
    <x v="62"/>
    <s v="Pharmcomplect"/>
    <s v="Novartis"/>
    <n v="3"/>
    <n v="5.96"/>
    <n v="9.6"/>
    <n v="0.48"/>
    <n v="0.48"/>
    <s v="BONUS_CARD"/>
    <n v="29"/>
    <n v="1"/>
    <n v="2"/>
    <n v="9.1199999999999992"/>
    <n v="13130001746"/>
  </r>
  <r>
    <x v="26"/>
    <d v="1899-12-30T08:54:33"/>
    <n v="2747"/>
    <n v="13002561"/>
    <n v="13"/>
    <n v="22589"/>
    <s v="Retail Sale"/>
    <n v="15"/>
    <n v="36814"/>
    <x v="11"/>
    <s v="Avesta"/>
    <s v="Sanofi"/>
    <n v="1"/>
    <n v="528.88"/>
    <n v="876.27"/>
    <n v="43.81"/>
    <n v="43.81"/>
    <s v="BONUS_CARD"/>
    <n v="29"/>
    <n v="1"/>
    <n v="6"/>
    <n v="832.46"/>
    <n v="13130001747"/>
  </r>
  <r>
    <x v="29"/>
    <d v="1899-12-30T17:44:07"/>
    <n v="2748"/>
    <n v="13002561"/>
    <n v="13"/>
    <n v="22589"/>
    <s v="Retail Sale"/>
    <n v="15"/>
    <n v="44134"/>
    <x v="39"/>
    <s v="Pharmcomplect"/>
    <s v="Novartis"/>
    <n v="2"/>
    <n v="163.63999999999999"/>
    <n v="220.34"/>
    <n v="11.02"/>
    <n v="11.02"/>
    <s v="BONUS_CARD"/>
    <n v="29"/>
    <n v="1"/>
    <n v="4"/>
    <n v="209.32"/>
    <n v="13130001748"/>
  </r>
  <r>
    <x v="12"/>
    <d v="1899-12-30T15:31:11"/>
    <n v="2749"/>
    <n v="13002561"/>
    <n v="13"/>
    <n v="22589"/>
    <s v="Retail Sale"/>
    <n v="15"/>
    <n v="88548"/>
    <x v="11"/>
    <s v="Katren"/>
    <s v="Sanofi"/>
    <n v="3"/>
    <n v="449.22"/>
    <n v="651.32000000000005"/>
    <n v="65.13"/>
    <n v="65.13"/>
    <s v="BONUS_CARD"/>
    <n v="29"/>
    <n v="1"/>
    <n v="2"/>
    <n v="586.19000000000005"/>
    <n v="13130001749"/>
  </r>
  <r>
    <x v="1"/>
    <d v="1899-12-30T17:27:53"/>
    <n v="2750"/>
    <n v="13002561"/>
    <n v="13"/>
    <n v="22589"/>
    <s v="Retail Sale"/>
    <n v="15"/>
    <n v="52332"/>
    <x v="58"/>
    <s v="Katren"/>
    <s v="Sanofi"/>
    <n v="3"/>
    <n v="477.27"/>
    <n v="658.97"/>
    <n v="32.950000000000003"/>
    <n v="32.950000000000003"/>
    <s v="BONUS_CARD"/>
    <n v="29"/>
    <n v="1"/>
    <n v="5"/>
    <n v="626.02"/>
    <n v="13130001750"/>
  </r>
  <r>
    <x v="18"/>
    <d v="1899-12-30T19:07:04"/>
    <n v="2751"/>
    <n v="13002561"/>
    <n v="13"/>
    <n v="22589"/>
    <s v="Retail Sale"/>
    <n v="18"/>
    <n v="64549"/>
    <x v="23"/>
    <s v="Avesta"/>
    <s v="KRKA"/>
    <n v="1"/>
    <n v="458.54"/>
    <n v="614.4"/>
    <n v="61.44"/>
    <n v="61.44"/>
    <s v="BONUS_CARD"/>
    <n v="29"/>
    <n v="1"/>
    <n v="4"/>
    <n v="552.96"/>
    <n v="13130001751"/>
  </r>
  <r>
    <x v="7"/>
    <d v="1899-12-30T19:13:38"/>
    <n v="2752"/>
    <n v="13002561"/>
    <n v="13"/>
    <n v="22589"/>
    <s v="Retail Sale"/>
    <n v="15"/>
    <n v="94980"/>
    <x v="21"/>
    <s v="Katren"/>
    <s v="Takeda"/>
    <n v="3"/>
    <n v="563.92999999999995"/>
    <n v="925.74"/>
    <n v="92.57"/>
    <n v="92.57"/>
    <s v="BONUS_CARD"/>
    <n v="29"/>
    <n v="1"/>
    <n v="3"/>
    <n v="833.17"/>
    <n v="13130001752"/>
  </r>
  <r>
    <x v="11"/>
    <d v="1899-12-30T15:52:56"/>
    <n v="2753"/>
    <n v="13002561"/>
    <n v="13"/>
    <n v="22589"/>
    <s v="Retail Sale"/>
    <n v="15"/>
    <n v="43418"/>
    <x v="2"/>
    <s v="Grand Capital"/>
    <s v="KRKA"/>
    <n v="3"/>
    <n v="411.9"/>
    <n v="535.79"/>
    <n v="26.79"/>
    <n v="26.79"/>
    <s v="BONUS_CARD"/>
    <n v="29"/>
    <n v="1"/>
    <n v="6"/>
    <n v="509"/>
    <n v="13130001753"/>
  </r>
  <r>
    <x v="29"/>
    <d v="1899-12-30T09:44:51"/>
    <n v="2754"/>
    <n v="13002561"/>
    <n v="13"/>
    <n v="22589"/>
    <s v="Retail Sale"/>
    <n v="15"/>
    <n v="19409"/>
    <x v="4"/>
    <s v="Pulse"/>
    <s v="Bayer"/>
    <n v="3"/>
    <n v="206.11"/>
    <n v="344.5"/>
    <n v="0"/>
    <n v="0"/>
    <m/>
    <n v="29"/>
    <n v="1"/>
    <n v="1"/>
    <n v="344.5"/>
    <n v="13130001754"/>
  </r>
  <r>
    <x v="16"/>
    <d v="1899-12-30T12:42:43"/>
    <n v="2755"/>
    <n v="13002561"/>
    <n v="13"/>
    <n v="22589"/>
    <s v="Retail Sale"/>
    <n v="15"/>
    <n v="70581"/>
    <x v="88"/>
    <s v="Protek"/>
    <s v="Bayer"/>
    <n v="1"/>
    <n v="418.4"/>
    <n v="675.79"/>
    <n v="33.79"/>
    <n v="33.79"/>
    <s v="BONUS_CARD"/>
    <n v="29"/>
    <n v="1"/>
    <n v="3"/>
    <n v="642"/>
    <n v="13130001755"/>
  </r>
  <r>
    <x v="13"/>
    <d v="1899-12-30T20:53:55"/>
    <n v="2756"/>
    <n v="13002561"/>
    <n v="13"/>
    <n v="22589"/>
    <s v="Retail Sale"/>
    <n v="18"/>
    <n v="48752"/>
    <x v="78"/>
    <s v="Pharmcomplect"/>
    <s v="Sanofi"/>
    <n v="3"/>
    <n v="263.70999999999998"/>
    <n v="367.89"/>
    <n v="18.39"/>
    <n v="18.39"/>
    <s v="BONUS_CARD"/>
    <n v="29"/>
    <n v="1"/>
    <n v="3"/>
    <n v="349.5"/>
    <n v="13130001756"/>
  </r>
  <r>
    <x v="6"/>
    <d v="1899-12-30T16:57:16"/>
    <n v="2757"/>
    <n v="13002561"/>
    <n v="13"/>
    <n v="22589"/>
    <s v="Retail Sale"/>
    <n v="15"/>
    <n v="76287"/>
    <x v="28"/>
    <s v="Pulse"/>
    <s v="KRKA"/>
    <n v="1"/>
    <n v="153.18"/>
    <n v="203.17"/>
    <n v="10.16"/>
    <n v="10.16"/>
    <s v="BONUS_CARD"/>
    <n v="29"/>
    <n v="1"/>
    <n v="3"/>
    <n v="193.01"/>
    <n v="13130001757"/>
  </r>
  <r>
    <x v="8"/>
    <d v="1899-12-30T10:56:40"/>
    <n v="2758"/>
    <n v="13002561"/>
    <n v="13"/>
    <n v="22589"/>
    <s v="Retail Sale"/>
    <n v="15"/>
    <n v="49573"/>
    <x v="78"/>
    <s v="Protek"/>
    <s v="TEVA"/>
    <n v="1"/>
    <n v="510.33"/>
    <n v="830.99"/>
    <n v="41.55"/>
    <n v="41.55"/>
    <s v="BONUS_CARD"/>
    <n v="29"/>
    <n v="1"/>
    <n v="2"/>
    <n v="789.44"/>
    <n v="13130001758"/>
  </r>
  <r>
    <x v="27"/>
    <d v="1899-12-30T13:23:58"/>
    <n v="2759"/>
    <n v="13002561"/>
    <n v="13"/>
    <n v="22589"/>
    <s v="Retail Sale"/>
    <n v="15"/>
    <n v="15423"/>
    <x v="43"/>
    <s v="Pharmcomplect"/>
    <s v="Pfizer"/>
    <n v="3"/>
    <n v="530.23"/>
    <n v="764.06"/>
    <n v="0"/>
    <n v="0"/>
    <m/>
    <n v="29"/>
    <n v="1"/>
    <n v="3"/>
    <n v="764.06"/>
    <n v="13130001759"/>
  </r>
  <r>
    <x v="22"/>
    <d v="1899-12-30T12:22:26"/>
    <n v="2760"/>
    <n v="13002561"/>
    <n v="13"/>
    <n v="22589"/>
    <s v="Retail Sale"/>
    <n v="18"/>
    <n v="38070"/>
    <x v="19"/>
    <s v="Grand Capital"/>
    <s v="Takeda"/>
    <n v="3"/>
    <n v="247.98"/>
    <n v="330.64"/>
    <n v="16.53"/>
    <n v="16.53"/>
    <s v="BONUS_CARD"/>
    <n v="29"/>
    <n v="1"/>
    <n v="5"/>
    <n v="314.11"/>
    <n v="13130001760"/>
  </r>
  <r>
    <x v="8"/>
    <d v="1899-12-30T22:49:14"/>
    <n v="2761"/>
    <n v="13002561"/>
    <n v="13"/>
    <n v="22589"/>
    <s v="Retail Sale"/>
    <n v="15"/>
    <n v="84825"/>
    <x v="52"/>
    <s v="Katren"/>
    <s v="Dr. Reddy's"/>
    <n v="3"/>
    <n v="290.60000000000002"/>
    <n v="393.52"/>
    <n v="19.68"/>
    <n v="19.68"/>
    <s v="BONUS_CARD"/>
    <n v="29"/>
    <n v="1"/>
    <n v="5"/>
    <n v="373.84"/>
    <n v="13130001761"/>
  </r>
  <r>
    <x v="9"/>
    <d v="1899-12-30T19:12:06"/>
    <n v="2762"/>
    <n v="13002561"/>
    <n v="13"/>
    <n v="22589"/>
    <s v="Retail Sale"/>
    <n v="15"/>
    <n v="96196"/>
    <x v="66"/>
    <s v="Avesta"/>
    <s v="Dr. Reddy's"/>
    <n v="2"/>
    <n v="230.93"/>
    <n v="341.01"/>
    <n v="34.1"/>
    <n v="34.1"/>
    <s v="BONUS_CARD"/>
    <n v="29"/>
    <n v="1"/>
    <n v="3"/>
    <n v="306.91000000000003"/>
    <n v="13130001762"/>
  </r>
  <r>
    <x v="15"/>
    <d v="1899-12-30T13:09:40"/>
    <n v="2763"/>
    <n v="13002561"/>
    <n v="13"/>
    <n v="22589"/>
    <s v="Retail Sale"/>
    <n v="18"/>
    <n v="87526"/>
    <x v="12"/>
    <s v="Katren"/>
    <s v="Bayer"/>
    <n v="2"/>
    <n v="94.14"/>
    <n v="154.15"/>
    <n v="7.71"/>
    <n v="7.71"/>
    <s v="BONUS_CARD"/>
    <n v="29"/>
    <n v="1"/>
    <n v="5"/>
    <n v="146.44"/>
    <n v="13130001763"/>
  </r>
  <r>
    <x v="9"/>
    <d v="1899-12-30T15:31:15"/>
    <n v="2764"/>
    <n v="13002561"/>
    <n v="13"/>
    <n v="22589"/>
    <s v="Retail Sale"/>
    <n v="15"/>
    <n v="19548"/>
    <x v="75"/>
    <s v="Katren"/>
    <s v="Dr. Reddy's"/>
    <n v="1"/>
    <n v="294.24"/>
    <n v="487.31"/>
    <n v="48.73"/>
    <n v="48.73"/>
    <s v="BONUS_CARD"/>
    <n v="29"/>
    <n v="1"/>
    <n v="6"/>
    <n v="438.58"/>
    <n v="13130001764"/>
  </r>
  <r>
    <x v="27"/>
    <d v="1899-12-30T15:26:39"/>
    <n v="2765"/>
    <n v="13002561"/>
    <n v="13"/>
    <n v="22589"/>
    <s v="Retail Sale"/>
    <n v="18"/>
    <n v="68829"/>
    <x v="83"/>
    <s v="Katren"/>
    <s v="Pfizer"/>
    <n v="2"/>
    <n v="239.64"/>
    <n v="344.06"/>
    <n v="0"/>
    <n v="0"/>
    <m/>
    <n v="29"/>
    <n v="1"/>
    <n v="3"/>
    <n v="344.06"/>
    <n v="13130001765"/>
  </r>
  <r>
    <x v="23"/>
    <d v="1899-12-30T15:41:59"/>
    <n v="2766"/>
    <n v="13002561"/>
    <n v="13"/>
    <n v="22589"/>
    <s v="Retail Sale"/>
    <n v="15"/>
    <n v="57647"/>
    <x v="0"/>
    <s v="Protek"/>
    <s v="Pfizer"/>
    <n v="1"/>
    <n v="42.01"/>
    <n v="56.59"/>
    <n v="2.83"/>
    <n v="2.83"/>
    <s v="BONUS_CARD"/>
    <n v="29"/>
    <n v="1"/>
    <n v="4"/>
    <n v="53.76"/>
    <n v="13130001766"/>
  </r>
  <r>
    <x v="1"/>
    <d v="1899-12-30T21:09:10"/>
    <n v="2767"/>
    <n v="13002561"/>
    <n v="13"/>
    <n v="22589"/>
    <s v="Retail Sale"/>
    <n v="18"/>
    <n v="23261"/>
    <x v="23"/>
    <s v="Grand Capital"/>
    <s v="Novartis"/>
    <n v="3"/>
    <n v="276.08"/>
    <n v="363.88"/>
    <n v="0"/>
    <n v="0"/>
    <m/>
    <n v="29"/>
    <n v="1"/>
    <n v="1"/>
    <n v="363.88"/>
    <n v="13130001767"/>
  </r>
  <r>
    <x v="18"/>
    <d v="1899-12-30T16:41:57"/>
    <n v="2768"/>
    <n v="13002561"/>
    <n v="13"/>
    <n v="22589"/>
    <s v="Retail Sale"/>
    <n v="15"/>
    <n v="33789"/>
    <x v="56"/>
    <s v="Protek"/>
    <s v="KRKA"/>
    <n v="1"/>
    <n v="191.92"/>
    <n v="323.36"/>
    <n v="0"/>
    <n v="0"/>
    <m/>
    <n v="29"/>
    <n v="1"/>
    <n v="4"/>
    <n v="323.36"/>
    <n v="13130001768"/>
  </r>
  <r>
    <x v="18"/>
    <d v="1899-12-30T09:19:07"/>
    <n v="2769"/>
    <n v="13002561"/>
    <n v="13"/>
    <n v="22589"/>
    <s v="Retail Sale"/>
    <n v="18"/>
    <n v="22709"/>
    <x v="88"/>
    <s v="Avesta"/>
    <s v="Dr. Reddy's"/>
    <n v="2"/>
    <n v="594.69000000000005"/>
    <n v="755.8"/>
    <n v="0"/>
    <n v="0"/>
    <m/>
    <n v="29"/>
    <n v="1"/>
    <n v="3"/>
    <n v="755.8"/>
    <n v="13130001769"/>
  </r>
  <r>
    <x v="23"/>
    <d v="1899-12-30T20:33:07"/>
    <n v="2770"/>
    <n v="13002561"/>
    <n v="13"/>
    <n v="22589"/>
    <s v="Retail Sale"/>
    <n v="18"/>
    <n v="74930"/>
    <x v="51"/>
    <s v="Pharmcomplect"/>
    <s v="Novartis"/>
    <n v="2"/>
    <n v="230.19"/>
    <n v="326.29000000000002"/>
    <n v="16.309999999999999"/>
    <n v="16.309999999999999"/>
    <s v="BONUS_CARD"/>
    <n v="29"/>
    <n v="1"/>
    <n v="1"/>
    <n v="309.98"/>
    <n v="13130001770"/>
  </r>
  <r>
    <x v="8"/>
    <d v="1899-12-30T21:08:07"/>
    <n v="2771"/>
    <n v="13002561"/>
    <n v="13"/>
    <n v="22589"/>
    <s v="Retail Sale"/>
    <n v="15"/>
    <n v="71796"/>
    <x v="17"/>
    <s v="Katren"/>
    <s v="Dr. Reddy's"/>
    <n v="2"/>
    <n v="317.89"/>
    <n v="507.86"/>
    <n v="0"/>
    <n v="0"/>
    <m/>
    <n v="29"/>
    <n v="1"/>
    <n v="3"/>
    <n v="507.86"/>
    <n v="13130001771"/>
  </r>
  <r>
    <x v="27"/>
    <d v="1899-12-30T19:13:37"/>
    <n v="2772"/>
    <n v="13002561"/>
    <n v="13"/>
    <n v="22589"/>
    <s v="Retail Sale"/>
    <n v="15"/>
    <n v="25163"/>
    <x v="22"/>
    <s v="Katren"/>
    <s v="Dr. Reddy's"/>
    <n v="2"/>
    <n v="67.959999999999994"/>
    <n v="112.02"/>
    <n v="5.6"/>
    <n v="5.6"/>
    <s v="BONUS_CARD"/>
    <n v="29"/>
    <n v="1"/>
    <n v="2"/>
    <n v="106.42"/>
    <n v="13130001772"/>
  </r>
  <r>
    <x v="9"/>
    <d v="1899-12-30T11:38:07"/>
    <n v="2773"/>
    <n v="13002561"/>
    <n v="13"/>
    <n v="22589"/>
    <s v="Retail Sale"/>
    <n v="18"/>
    <n v="68164"/>
    <x v="22"/>
    <s v="Pharmcomplect"/>
    <s v="Sanofi"/>
    <n v="3"/>
    <n v="353.76"/>
    <n v="559.17999999999995"/>
    <n v="27.96"/>
    <n v="27.96"/>
    <s v="BONUS_CARD"/>
    <n v="29"/>
    <n v="1"/>
    <n v="3"/>
    <n v="531.22"/>
    <n v="13130001773"/>
  </r>
  <r>
    <x v="16"/>
    <d v="1899-12-30T17:26:40"/>
    <n v="2774"/>
    <n v="13002561"/>
    <n v="13"/>
    <n v="22589"/>
    <s v="Retail Sale"/>
    <n v="18"/>
    <n v="69549"/>
    <x v="89"/>
    <s v="Protek"/>
    <s v="TEVA"/>
    <n v="2"/>
    <n v="300.02999999999997"/>
    <n v="435.74"/>
    <n v="43.57"/>
    <n v="43.57"/>
    <s v="BONUS_CARD"/>
    <n v="29"/>
    <n v="1"/>
    <n v="5"/>
    <n v="392.17"/>
    <n v="13130001774"/>
  </r>
  <r>
    <x v="13"/>
    <d v="1899-12-30T20:41:47"/>
    <n v="2775"/>
    <n v="13002561"/>
    <n v="13"/>
    <n v="22589"/>
    <s v="Retail Sale"/>
    <n v="15"/>
    <n v="92402"/>
    <x v="14"/>
    <s v="Avesta"/>
    <s v="Dr. Reddy's"/>
    <n v="1"/>
    <n v="493.25"/>
    <n v="743.22"/>
    <n v="0"/>
    <n v="0"/>
    <m/>
    <n v="29"/>
    <n v="1"/>
    <n v="3"/>
    <n v="743.22"/>
    <n v="13130001775"/>
  </r>
  <r>
    <x v="26"/>
    <d v="1899-12-30T14:43:40"/>
    <n v="2776"/>
    <n v="13002561"/>
    <n v="13"/>
    <n v="22589"/>
    <s v="Retail Sale"/>
    <n v="18"/>
    <n v="45554"/>
    <x v="47"/>
    <s v="Pulse"/>
    <s v="Pfizer"/>
    <n v="2"/>
    <n v="518"/>
    <n v="722.34"/>
    <n v="0"/>
    <n v="0"/>
    <m/>
    <n v="29"/>
    <n v="1"/>
    <n v="6"/>
    <n v="722.34"/>
    <n v="13130001776"/>
  </r>
  <r>
    <x v="5"/>
    <d v="1899-12-30T19:11:04"/>
    <n v="2777"/>
    <n v="13002561"/>
    <n v="13"/>
    <n v="22589"/>
    <s v="Retail Sale"/>
    <n v="15"/>
    <n v="26661"/>
    <x v="61"/>
    <s v="Pulse"/>
    <s v="KRKA"/>
    <n v="3"/>
    <n v="362.91"/>
    <n v="576.29"/>
    <n v="0"/>
    <n v="0"/>
    <m/>
    <n v="29"/>
    <n v="1"/>
    <n v="6"/>
    <n v="576.29"/>
    <n v="13130001777"/>
  </r>
  <r>
    <x v="27"/>
    <d v="1899-12-30T09:46:36"/>
    <n v="2778"/>
    <n v="13002561"/>
    <n v="13"/>
    <n v="22589"/>
    <s v="Retail Sale"/>
    <n v="15"/>
    <n v="42239"/>
    <x v="0"/>
    <s v="Grand Capital"/>
    <s v="Dr. Reddy's"/>
    <n v="2"/>
    <n v="340.65"/>
    <n v="574.04"/>
    <n v="57.4"/>
    <n v="57.4"/>
    <s v="BONUS_CARD"/>
    <n v="29"/>
    <n v="1"/>
    <n v="5"/>
    <n v="516.64"/>
    <n v="13130001778"/>
  </r>
  <r>
    <x v="28"/>
    <d v="1899-12-30T18:48:56"/>
    <n v="2779"/>
    <n v="13002561"/>
    <n v="13"/>
    <n v="22589"/>
    <s v="Retail Sale"/>
    <n v="15"/>
    <n v="32891"/>
    <x v="89"/>
    <s v="Pulse"/>
    <s v="Sanofi"/>
    <n v="1"/>
    <n v="13.53"/>
    <n v="19.21"/>
    <n v="0"/>
    <n v="0"/>
    <m/>
    <n v="29"/>
    <n v="1"/>
    <n v="3"/>
    <n v="19.21"/>
    <n v="13130001779"/>
  </r>
  <r>
    <x v="26"/>
    <d v="1899-12-30T19:29:40"/>
    <n v="2780"/>
    <n v="13002561"/>
    <n v="13"/>
    <n v="22589"/>
    <s v="Retail Sale"/>
    <n v="15"/>
    <n v="30629"/>
    <x v="53"/>
    <s v="Grand Capital"/>
    <s v="Bayer"/>
    <n v="2"/>
    <n v="53.11"/>
    <n v="69.650000000000006"/>
    <n v="6.97"/>
    <n v="6.97"/>
    <s v="BONUS_CARD"/>
    <n v="29"/>
    <n v="1"/>
    <n v="2"/>
    <n v="62.68"/>
    <n v="13130001780"/>
  </r>
  <r>
    <x v="26"/>
    <d v="1899-12-30T09:16:15"/>
    <n v="2781"/>
    <n v="13002561"/>
    <n v="13"/>
    <n v="22589"/>
    <s v="Retail Sale"/>
    <n v="18"/>
    <n v="70973"/>
    <x v="42"/>
    <s v="Protek"/>
    <s v="Pfizer"/>
    <n v="2"/>
    <n v="562.91"/>
    <n v="737.16"/>
    <n v="73.72"/>
    <n v="73.72"/>
    <s v="BONUS_CARD"/>
    <n v="29"/>
    <n v="1"/>
    <n v="2"/>
    <n v="663.44"/>
    <n v="13130001781"/>
  </r>
  <r>
    <x v="28"/>
    <d v="1899-12-30T14:37:27"/>
    <n v="2782"/>
    <n v="13002561"/>
    <n v="13"/>
    <n v="22589"/>
    <s v="Retail Sale"/>
    <n v="15"/>
    <n v="43550"/>
    <x v="9"/>
    <s v="Pharmcomplect"/>
    <s v="Bayer"/>
    <n v="3"/>
    <n v="62.66"/>
    <n v="83.64"/>
    <n v="0"/>
    <n v="0"/>
    <m/>
    <n v="29"/>
    <n v="1"/>
    <n v="1"/>
    <n v="83.64"/>
    <n v="13130001782"/>
  </r>
  <r>
    <x v="0"/>
    <d v="1899-12-30T15:28:55"/>
    <n v="2783"/>
    <n v="13002561"/>
    <n v="13"/>
    <n v="22589"/>
    <s v="Retail Sale"/>
    <n v="18"/>
    <n v="66891"/>
    <x v="13"/>
    <s v="Avesta"/>
    <s v="Dr. Reddy's"/>
    <n v="3"/>
    <n v="50.21"/>
    <n v="67.97"/>
    <n v="6.8"/>
    <n v="6.8"/>
    <s v="BONUS_CARD"/>
    <n v="29"/>
    <n v="1"/>
    <n v="6"/>
    <n v="61.17"/>
    <n v="13130001783"/>
  </r>
  <r>
    <x v="13"/>
    <d v="1899-12-30T17:07:50"/>
    <n v="2784"/>
    <n v="13002561"/>
    <n v="13"/>
    <n v="22589"/>
    <s v="Retail Sale"/>
    <n v="18"/>
    <n v="19255"/>
    <x v="27"/>
    <s v="Katren"/>
    <s v="Bayer"/>
    <n v="3"/>
    <n v="508.29"/>
    <n v="742.95"/>
    <n v="74.3"/>
    <n v="74.3"/>
    <s v="BONUS_CARD"/>
    <n v="29"/>
    <n v="1"/>
    <n v="2"/>
    <n v="668.65"/>
    <n v="13130001784"/>
  </r>
  <r>
    <x v="14"/>
    <d v="1899-12-30T09:55:03"/>
    <n v="2785"/>
    <n v="13002561"/>
    <n v="13"/>
    <n v="22589"/>
    <s v="Retail Sale"/>
    <n v="18"/>
    <n v="99665"/>
    <x v="78"/>
    <s v="Pharmcomplect"/>
    <s v="Novartis"/>
    <n v="3"/>
    <n v="332.49"/>
    <n v="542.53"/>
    <n v="0"/>
    <n v="0"/>
    <m/>
    <n v="29"/>
    <n v="1"/>
    <n v="5"/>
    <n v="542.53"/>
    <n v="13130001785"/>
  </r>
  <r>
    <x v="4"/>
    <d v="1899-12-30T12:56:31"/>
    <n v="2786"/>
    <n v="13002561"/>
    <n v="13"/>
    <n v="22589"/>
    <s v="Retail Sale"/>
    <n v="15"/>
    <n v="10759"/>
    <x v="46"/>
    <s v="Avesta"/>
    <s v="Pfizer"/>
    <n v="3"/>
    <n v="594.72"/>
    <n v="818.67"/>
    <n v="81.87"/>
    <n v="81.87"/>
    <s v="BONUS_CARD"/>
    <n v="29"/>
    <n v="1"/>
    <n v="3"/>
    <n v="736.8"/>
    <n v="13130001786"/>
  </r>
  <r>
    <x v="9"/>
    <d v="1899-12-30T21:31:54"/>
    <n v="2787"/>
    <n v="13002561"/>
    <n v="13"/>
    <n v="22589"/>
    <s v="Retail Sale"/>
    <n v="15"/>
    <n v="40175"/>
    <x v="23"/>
    <s v="Katren"/>
    <s v="Dr. Reddy's"/>
    <n v="1"/>
    <n v="243.63"/>
    <n v="349.88"/>
    <n v="17.489999999999998"/>
    <n v="17.489999999999998"/>
    <s v="BONUS_CARD"/>
    <n v="29"/>
    <n v="1"/>
    <n v="6"/>
    <n v="332.39"/>
    <n v="13130001787"/>
  </r>
  <r>
    <x v="18"/>
    <d v="1899-12-30T13:57:18"/>
    <n v="2788"/>
    <n v="13002561"/>
    <n v="13"/>
    <n v="22589"/>
    <s v="Retail Sale"/>
    <n v="18"/>
    <n v="30275"/>
    <x v="65"/>
    <s v="Protek"/>
    <s v="Takeda"/>
    <n v="3"/>
    <n v="265.5"/>
    <n v="383.38"/>
    <n v="0"/>
    <n v="0"/>
    <m/>
    <n v="29"/>
    <n v="1"/>
    <n v="5"/>
    <n v="383.38"/>
    <n v="13130001788"/>
  </r>
  <r>
    <x v="12"/>
    <d v="1899-12-30T09:10:27"/>
    <n v="2789"/>
    <n v="13002561"/>
    <n v="13"/>
    <n v="22589"/>
    <s v="Retail Sale"/>
    <n v="15"/>
    <n v="29190"/>
    <x v="21"/>
    <s v="Grand Capital"/>
    <s v="Pfizer"/>
    <n v="3"/>
    <n v="26.72"/>
    <n v="43.72"/>
    <n v="4.37"/>
    <n v="4.37"/>
    <s v="BONUS_CARD"/>
    <n v="29"/>
    <n v="1"/>
    <n v="4"/>
    <n v="39.35"/>
    <n v="13130001789"/>
  </r>
  <r>
    <x v="28"/>
    <d v="1899-12-30T21:29:17"/>
    <n v="2790"/>
    <n v="13002561"/>
    <n v="13"/>
    <n v="22589"/>
    <s v="Retail Sale"/>
    <n v="18"/>
    <n v="87158"/>
    <x v="80"/>
    <s v="Pharmcomplect"/>
    <s v="Dr. Reddy's"/>
    <n v="1"/>
    <n v="499.27"/>
    <n v="644.11"/>
    <n v="32.21"/>
    <n v="32.21"/>
    <s v="BONUS_CARD"/>
    <n v="29"/>
    <n v="1"/>
    <n v="3"/>
    <n v="611.9"/>
    <n v="13130001790"/>
  </r>
  <r>
    <x v="25"/>
    <d v="1899-12-30T14:17:33"/>
    <n v="2791"/>
    <n v="13002561"/>
    <n v="13"/>
    <n v="22589"/>
    <s v="Retail Sale"/>
    <n v="15"/>
    <n v="14793"/>
    <x v="58"/>
    <s v="Avesta"/>
    <s v="Bayer"/>
    <n v="1"/>
    <n v="70.28"/>
    <n v="100.02"/>
    <n v="10"/>
    <n v="10"/>
    <s v="BONUS_CARD"/>
    <n v="29"/>
    <n v="1"/>
    <n v="6"/>
    <n v="90.02"/>
    <n v="13130001791"/>
  </r>
  <r>
    <x v="19"/>
    <d v="1899-12-30T12:22:40"/>
    <n v="2792"/>
    <n v="13002561"/>
    <n v="13"/>
    <n v="22589"/>
    <s v="Retail Sale"/>
    <n v="18"/>
    <n v="99516"/>
    <x v="78"/>
    <s v="Avesta"/>
    <s v="TEVA"/>
    <n v="2"/>
    <n v="508.06"/>
    <n v="707.24"/>
    <n v="70.72"/>
    <n v="70.72"/>
    <s v="BONUS_CARD"/>
    <n v="29"/>
    <n v="1"/>
    <n v="5"/>
    <n v="636.52"/>
    <n v="13130001792"/>
  </r>
  <r>
    <x v="24"/>
    <d v="1899-12-30T19:02:59"/>
    <n v="2793"/>
    <n v="13002561"/>
    <n v="13"/>
    <n v="22589"/>
    <s v="Retail Sale"/>
    <n v="15"/>
    <n v="74144"/>
    <x v="27"/>
    <s v="Pharmcomplect"/>
    <s v="Novartis"/>
    <n v="1"/>
    <n v="366"/>
    <n v="613.45000000000005"/>
    <n v="61.35"/>
    <n v="61.35"/>
    <s v="BONUS_CARD"/>
    <n v="29"/>
    <n v="1"/>
    <n v="3"/>
    <n v="552.1"/>
    <n v="13130001793"/>
  </r>
  <r>
    <x v="2"/>
    <d v="1899-12-30T08:25:06"/>
    <n v="2794"/>
    <n v="13002561"/>
    <n v="13"/>
    <n v="22589"/>
    <s v="Retail Sale"/>
    <n v="18"/>
    <n v="88074"/>
    <x v="59"/>
    <s v="Katren"/>
    <s v="Sanofi"/>
    <n v="2"/>
    <n v="575.16999999999996"/>
    <n v="965.35"/>
    <n v="48.27"/>
    <n v="48.27"/>
    <s v="BONUS_CARD"/>
    <n v="29"/>
    <n v="1"/>
    <n v="1"/>
    <n v="917.08"/>
    <n v="13130001794"/>
  </r>
  <r>
    <x v="24"/>
    <d v="1899-12-30T13:12:13"/>
    <n v="2795"/>
    <n v="13002561"/>
    <n v="13"/>
    <n v="22589"/>
    <s v="Retail Sale"/>
    <n v="18"/>
    <n v="61244"/>
    <x v="84"/>
    <s v="Pulse"/>
    <s v="Sanofi"/>
    <n v="3"/>
    <n v="84.81"/>
    <n v="121.62"/>
    <n v="0"/>
    <n v="0"/>
    <m/>
    <n v="29"/>
    <n v="1"/>
    <n v="3"/>
    <n v="121.62"/>
    <n v="13130001795"/>
  </r>
  <r>
    <x v="15"/>
    <d v="1899-12-30T22:28:58"/>
    <n v="2796"/>
    <n v="13002561"/>
    <n v="13"/>
    <n v="22589"/>
    <s v="Retail Sale"/>
    <n v="18"/>
    <n v="82534"/>
    <x v="30"/>
    <s v="Pulse"/>
    <s v="TEVA"/>
    <n v="1"/>
    <n v="507.17"/>
    <n v="786.34"/>
    <n v="0"/>
    <n v="0"/>
    <m/>
    <n v="29"/>
    <n v="1"/>
    <n v="2"/>
    <n v="786.34"/>
    <n v="13130001796"/>
  </r>
  <r>
    <x v="30"/>
    <d v="1899-12-30T17:10:16"/>
    <n v="2797"/>
    <n v="13002561"/>
    <n v="13"/>
    <n v="22589"/>
    <s v="Retail Sale"/>
    <n v="15"/>
    <n v="67528"/>
    <x v="39"/>
    <s v="Pharmcomplect"/>
    <s v="Novartis"/>
    <n v="3"/>
    <n v="241.45"/>
    <n v="350.71"/>
    <n v="0"/>
    <n v="0"/>
    <m/>
    <n v="29"/>
    <n v="1"/>
    <n v="6"/>
    <n v="350.71"/>
    <n v="13130001797"/>
  </r>
  <r>
    <x v="20"/>
    <d v="1899-12-30T19:13:59"/>
    <n v="2798"/>
    <n v="13002561"/>
    <n v="13"/>
    <n v="22589"/>
    <s v="Retail Sale"/>
    <n v="18"/>
    <n v="21274"/>
    <x v="70"/>
    <s v="Grand Capital"/>
    <s v="Dr. Reddy's"/>
    <n v="3"/>
    <n v="206.6"/>
    <n v="330.42"/>
    <n v="16.52"/>
    <n v="16.52"/>
    <s v="BONUS_CARD"/>
    <n v="29"/>
    <n v="1"/>
    <n v="5"/>
    <n v="313.89999999999998"/>
    <n v="13130001798"/>
  </r>
  <r>
    <x v="11"/>
    <d v="1899-12-30T15:08:49"/>
    <n v="2799"/>
    <n v="13002561"/>
    <n v="13"/>
    <n v="22589"/>
    <s v="Retail Sale"/>
    <n v="15"/>
    <n v="52191"/>
    <x v="19"/>
    <s v="Pharmcomplect"/>
    <s v="Takeda"/>
    <n v="2"/>
    <n v="489.27"/>
    <n v="663.86"/>
    <n v="66.39"/>
    <n v="66.39"/>
    <s v="BONUS_CARD"/>
    <n v="29"/>
    <n v="1"/>
    <n v="5"/>
    <n v="597.47"/>
    <n v="13130001799"/>
  </r>
  <r>
    <x v="1"/>
    <d v="1899-12-30T12:16:39"/>
    <n v="2800"/>
    <n v="13002561"/>
    <n v="13"/>
    <n v="22589"/>
    <s v="Retail Sale"/>
    <n v="15"/>
    <n v="73688"/>
    <x v="86"/>
    <s v="Pulse"/>
    <s v="Sanofi"/>
    <n v="3"/>
    <n v="334.55"/>
    <n v="480.94"/>
    <n v="24.05"/>
    <n v="24.05"/>
    <s v="BONUS_CARD"/>
    <n v="29"/>
    <n v="1"/>
    <n v="2"/>
    <n v="456.89"/>
    <n v="13130001800"/>
  </r>
  <r>
    <x v="19"/>
    <d v="1899-12-30T19:10:01"/>
    <n v="2801"/>
    <n v="13002561"/>
    <n v="13"/>
    <n v="22589"/>
    <s v="Retail Sale"/>
    <n v="15"/>
    <n v="15969"/>
    <x v="51"/>
    <s v="Pharmcomplect"/>
    <s v="Dr. Reddy's"/>
    <n v="3"/>
    <n v="412.95"/>
    <n v="539.72"/>
    <n v="53.97"/>
    <n v="53.97"/>
    <s v="BONUS_CARD"/>
    <n v="29"/>
    <n v="1"/>
    <n v="2"/>
    <n v="485.75"/>
    <n v="13130001801"/>
  </r>
  <r>
    <x v="2"/>
    <d v="1899-12-30T16:33:20"/>
    <n v="2802"/>
    <n v="13002561"/>
    <n v="13"/>
    <n v="22589"/>
    <s v="Retail Sale"/>
    <n v="15"/>
    <n v="22674"/>
    <x v="73"/>
    <s v="Pulse"/>
    <s v="TEVA"/>
    <n v="2"/>
    <n v="452.72"/>
    <n v="599.02"/>
    <n v="0"/>
    <n v="0"/>
    <m/>
    <n v="29"/>
    <n v="1"/>
    <n v="1"/>
    <n v="599.02"/>
    <n v="13130001802"/>
  </r>
  <r>
    <x v="6"/>
    <d v="1899-12-30T19:13:01"/>
    <n v="2803"/>
    <n v="13002561"/>
    <n v="13"/>
    <n v="22589"/>
    <s v="Retail Sale"/>
    <n v="15"/>
    <n v="64824"/>
    <x v="15"/>
    <s v="Avesta"/>
    <s v="Bayer"/>
    <n v="3"/>
    <n v="192.66"/>
    <n v="262.08"/>
    <n v="13.1"/>
    <n v="13.1"/>
    <s v="BONUS_CARD"/>
    <n v="29"/>
    <n v="1"/>
    <n v="4"/>
    <n v="248.98"/>
    <n v="13130001803"/>
  </r>
  <r>
    <x v="1"/>
    <d v="1899-12-30T21:15:26"/>
    <n v="2804"/>
    <n v="13002561"/>
    <n v="13"/>
    <n v="22589"/>
    <s v="Retail Sale"/>
    <n v="15"/>
    <n v="39379"/>
    <x v="72"/>
    <s v="Grand Capital"/>
    <s v="Dr. Reddy's"/>
    <n v="1"/>
    <n v="45.03"/>
    <n v="70.58"/>
    <n v="0"/>
    <n v="0"/>
    <m/>
    <n v="29"/>
    <n v="1"/>
    <n v="6"/>
    <n v="70.58"/>
    <n v="13130001804"/>
  </r>
  <r>
    <x v="18"/>
    <d v="1899-12-30T21:54:58"/>
    <n v="2805"/>
    <n v="13002561"/>
    <n v="13"/>
    <n v="22589"/>
    <s v="Retail Sale"/>
    <n v="15"/>
    <n v="75228"/>
    <x v="24"/>
    <s v="Katren"/>
    <s v="Bayer"/>
    <n v="1"/>
    <n v="300.95"/>
    <n v="510.3"/>
    <n v="0"/>
    <n v="0"/>
    <m/>
    <n v="29"/>
    <n v="1"/>
    <n v="4"/>
    <n v="510.3"/>
    <n v="13130001805"/>
  </r>
  <r>
    <x v="9"/>
    <d v="1899-12-30T19:19:14"/>
    <n v="2806"/>
    <n v="13002561"/>
    <n v="13"/>
    <n v="22589"/>
    <s v="Retail Sale"/>
    <n v="18"/>
    <n v="48772"/>
    <x v="16"/>
    <s v="Avesta"/>
    <s v="Sanofi"/>
    <n v="2"/>
    <n v="475.3"/>
    <n v="745.09"/>
    <n v="37.25"/>
    <n v="37.25"/>
    <s v="BONUS_CARD"/>
    <n v="29"/>
    <n v="1"/>
    <n v="6"/>
    <n v="707.84"/>
    <n v="13130001806"/>
  </r>
  <r>
    <x v="2"/>
    <d v="1899-12-30T21:24:12"/>
    <n v="2807"/>
    <n v="13002561"/>
    <n v="13"/>
    <n v="22589"/>
    <s v="Retail Sale"/>
    <n v="18"/>
    <n v="56854"/>
    <x v="20"/>
    <s v="Protek"/>
    <s v="Novartis"/>
    <n v="3"/>
    <n v="152.78"/>
    <n v="199.31"/>
    <n v="19.93"/>
    <n v="19.93"/>
    <s v="BONUS_CARD"/>
    <n v="29"/>
    <n v="1"/>
    <n v="5"/>
    <n v="179.38"/>
    <n v="13130001807"/>
  </r>
  <r>
    <x v="25"/>
    <d v="1899-12-30T12:30:06"/>
    <n v="2808"/>
    <n v="13002561"/>
    <n v="13"/>
    <n v="22589"/>
    <s v="Retail Sale"/>
    <n v="15"/>
    <n v="42223"/>
    <x v="22"/>
    <s v="Katren"/>
    <s v="TEVA"/>
    <n v="2"/>
    <n v="319.61"/>
    <n v="523.20000000000005"/>
    <n v="52.32"/>
    <n v="52.32"/>
    <s v="BONUS_CARD"/>
    <n v="29"/>
    <n v="1"/>
    <n v="2"/>
    <n v="470.88"/>
    <n v="13130001808"/>
  </r>
  <r>
    <x v="12"/>
    <d v="1899-12-30T17:21:59"/>
    <n v="2809"/>
    <n v="13002561"/>
    <n v="13"/>
    <n v="22589"/>
    <s v="Retail Sale"/>
    <n v="18"/>
    <n v="36972"/>
    <x v="88"/>
    <s v="Pharmcomplect"/>
    <s v="Sanofi"/>
    <n v="1"/>
    <n v="66.23"/>
    <n v="105.44"/>
    <n v="10.54"/>
    <n v="10.54"/>
    <s v="BONUS_CARD"/>
    <n v="29"/>
    <n v="1"/>
    <n v="3"/>
    <n v="94.9"/>
    <n v="13130001809"/>
  </r>
  <r>
    <x v="26"/>
    <d v="1899-12-30T09:10:20"/>
    <n v="2810"/>
    <n v="13002561"/>
    <n v="13"/>
    <n v="22589"/>
    <s v="Retail Sale"/>
    <n v="15"/>
    <n v="96798"/>
    <x v="61"/>
    <s v="Grand Capital"/>
    <s v="Dr. Reddy's"/>
    <n v="2"/>
    <n v="305.91000000000003"/>
    <n v="443.41"/>
    <n v="22.17"/>
    <n v="22.17"/>
    <s v="BONUS_CARD"/>
    <n v="29"/>
    <n v="1"/>
    <n v="2"/>
    <n v="421.24"/>
    <n v="13130001810"/>
  </r>
  <r>
    <x v="4"/>
    <d v="1899-12-30T08:44:08"/>
    <n v="2811"/>
    <n v="13002561"/>
    <n v="13"/>
    <n v="22589"/>
    <s v="Retail Sale"/>
    <n v="18"/>
    <n v="87780"/>
    <x v="48"/>
    <s v="Avesta"/>
    <s v="Dr. Reddy's"/>
    <n v="1"/>
    <n v="147.38999999999999"/>
    <n v="218.67"/>
    <n v="10.93"/>
    <n v="10.93"/>
    <s v="BONUS_CARD"/>
    <n v="29"/>
    <n v="1"/>
    <n v="6"/>
    <n v="207.74"/>
    <n v="13130001811"/>
  </r>
  <r>
    <x v="18"/>
    <d v="1899-12-30T17:16:25"/>
    <n v="2812"/>
    <n v="13002561"/>
    <n v="13"/>
    <n v="22589"/>
    <s v="Retail Sale"/>
    <n v="18"/>
    <n v="11020"/>
    <x v="59"/>
    <s v="Grand Capital"/>
    <s v="Pfizer"/>
    <n v="3"/>
    <n v="401.34"/>
    <n v="628.08000000000004"/>
    <n v="62.81"/>
    <n v="62.81"/>
    <s v="BONUS_CARD"/>
    <n v="29"/>
    <n v="1"/>
    <n v="2"/>
    <n v="565.27"/>
    <n v="13130001812"/>
  </r>
  <r>
    <x v="12"/>
    <d v="1899-12-30T08:42:38"/>
    <n v="2813"/>
    <n v="13002561"/>
    <n v="13"/>
    <n v="22589"/>
    <s v="Retail Sale"/>
    <n v="15"/>
    <n v="16415"/>
    <x v="84"/>
    <s v="Pulse"/>
    <s v="Novartis"/>
    <n v="3"/>
    <n v="527.01"/>
    <n v="697.81"/>
    <n v="69.78"/>
    <n v="69.78"/>
    <s v="BONUS_CARD"/>
    <n v="29"/>
    <n v="1"/>
    <n v="2"/>
    <n v="628.03"/>
    <n v="13130001813"/>
  </r>
  <r>
    <x v="18"/>
    <d v="1899-12-30T11:05:33"/>
    <n v="2814"/>
    <n v="13002561"/>
    <n v="13"/>
    <n v="22589"/>
    <s v="Retail Sale"/>
    <n v="18"/>
    <n v="83042"/>
    <x v="55"/>
    <s v="Protek"/>
    <s v="Takeda"/>
    <n v="3"/>
    <n v="430.07"/>
    <n v="707.26"/>
    <n v="35.36"/>
    <n v="35.36"/>
    <s v="BONUS_CARD"/>
    <n v="29"/>
    <n v="1"/>
    <n v="3"/>
    <n v="671.9"/>
    <n v="13130001814"/>
  </r>
  <r>
    <x v="6"/>
    <d v="1899-12-30T16:21:18"/>
    <n v="2815"/>
    <n v="13002561"/>
    <n v="13"/>
    <n v="22589"/>
    <s v="Retail Sale"/>
    <n v="18"/>
    <n v="37157"/>
    <x v="55"/>
    <s v="Pharmcomplect"/>
    <s v="Dr. Reddy's"/>
    <n v="1"/>
    <n v="499.98"/>
    <n v="725.15"/>
    <n v="36.26"/>
    <n v="36.26"/>
    <s v="BONUS_CARD"/>
    <n v="29"/>
    <n v="1"/>
    <n v="6"/>
    <n v="688.89"/>
    <n v="13130001815"/>
  </r>
  <r>
    <x v="18"/>
    <d v="1899-12-30T13:15:15"/>
    <n v="2816"/>
    <n v="13002561"/>
    <n v="13"/>
    <n v="22589"/>
    <s v="Retail Sale"/>
    <n v="15"/>
    <n v="19789"/>
    <x v="6"/>
    <s v="Pulse"/>
    <s v="Dr. Reddy's"/>
    <n v="2"/>
    <n v="279.52999999999997"/>
    <n v="402.14"/>
    <n v="0"/>
    <n v="0"/>
    <m/>
    <n v="29"/>
    <n v="1"/>
    <n v="6"/>
    <n v="402.14"/>
    <n v="13130001816"/>
  </r>
  <r>
    <x v="28"/>
    <d v="1899-12-30T19:01:47"/>
    <n v="2817"/>
    <n v="13002561"/>
    <n v="13"/>
    <n v="22589"/>
    <s v="Retail Sale"/>
    <n v="15"/>
    <n v="61358"/>
    <x v="37"/>
    <s v="Katren"/>
    <s v="Pfizer"/>
    <n v="2"/>
    <n v="189.41"/>
    <n v="251.61"/>
    <n v="25.16"/>
    <n v="25.16"/>
    <s v="BONUS_CARD"/>
    <n v="29"/>
    <n v="1"/>
    <n v="4"/>
    <n v="226.45"/>
    <n v="13130001817"/>
  </r>
  <r>
    <x v="11"/>
    <d v="1899-12-30T18:26:05"/>
    <n v="2818"/>
    <n v="13002561"/>
    <n v="13"/>
    <n v="22589"/>
    <s v="Retail Sale"/>
    <n v="18"/>
    <n v="21584"/>
    <x v="65"/>
    <s v="Grand Capital"/>
    <s v="Pfizer"/>
    <n v="1"/>
    <n v="133.82"/>
    <n v="211.19"/>
    <n v="10.56"/>
    <n v="10.56"/>
    <s v="BONUS_CARD"/>
    <n v="29"/>
    <n v="1"/>
    <n v="2"/>
    <n v="200.63"/>
    <n v="13130001818"/>
  </r>
  <r>
    <x v="0"/>
    <d v="1899-12-30T18:42:01"/>
    <n v="2819"/>
    <n v="13002561"/>
    <n v="13"/>
    <n v="22589"/>
    <s v="Retail Sale"/>
    <n v="18"/>
    <n v="25453"/>
    <x v="21"/>
    <s v="Katren"/>
    <s v="Novartis"/>
    <n v="1"/>
    <n v="81.88"/>
    <n v="117.31"/>
    <n v="11.73"/>
    <n v="11.73"/>
    <s v="BONUS_CARD"/>
    <n v="29"/>
    <n v="1"/>
    <n v="6"/>
    <n v="105.58"/>
    <n v="13130001819"/>
  </r>
  <r>
    <x v="26"/>
    <d v="1899-12-30T08:56:24"/>
    <n v="2820"/>
    <n v="13002561"/>
    <n v="13"/>
    <n v="22589"/>
    <s v="Retail Sale"/>
    <n v="15"/>
    <n v="65131"/>
    <x v="72"/>
    <s v="Pharmcomplect"/>
    <s v="TEVA"/>
    <n v="2"/>
    <n v="133.11000000000001"/>
    <n v="205.67"/>
    <n v="0"/>
    <n v="0"/>
    <m/>
    <n v="29"/>
    <n v="1"/>
    <n v="5"/>
    <n v="205.67"/>
    <n v="13130001820"/>
  </r>
  <r>
    <x v="17"/>
    <d v="1899-12-30T10:33:23"/>
    <n v="2821"/>
    <n v="13002561"/>
    <n v="13"/>
    <n v="22589"/>
    <s v="Retail Sale"/>
    <n v="18"/>
    <n v="64946"/>
    <x v="25"/>
    <s v="Grand Capital"/>
    <s v="Novartis"/>
    <n v="2"/>
    <n v="160.22"/>
    <n v="229.31"/>
    <n v="22.93"/>
    <n v="22.93"/>
    <s v="BONUS_CARD"/>
    <n v="29"/>
    <n v="1"/>
    <n v="3"/>
    <n v="206.38"/>
    <n v="13130001821"/>
  </r>
  <r>
    <x v="14"/>
    <d v="1899-12-30T17:25:04"/>
    <n v="2822"/>
    <n v="13002561"/>
    <n v="13"/>
    <n v="22589"/>
    <s v="Retail Sale"/>
    <n v="18"/>
    <n v="92148"/>
    <x v="68"/>
    <s v="Avesta"/>
    <s v="TEVA"/>
    <n v="3"/>
    <n v="325.45999999999998"/>
    <n v="495.01"/>
    <n v="0"/>
    <n v="0"/>
    <m/>
    <n v="29"/>
    <n v="1"/>
    <n v="4"/>
    <n v="495.01"/>
    <n v="13130001822"/>
  </r>
  <r>
    <x v="9"/>
    <d v="1899-12-30T16:25:56"/>
    <n v="2823"/>
    <n v="13002561"/>
    <n v="13"/>
    <n v="22589"/>
    <s v="Retail Sale"/>
    <n v="18"/>
    <n v="27193"/>
    <x v="12"/>
    <s v="Katren"/>
    <s v="Sanofi"/>
    <n v="1"/>
    <n v="28.09"/>
    <n v="39.909999999999997"/>
    <n v="3.99"/>
    <n v="3.99"/>
    <s v="BONUS_CARD"/>
    <n v="29"/>
    <n v="1"/>
    <n v="2"/>
    <n v="35.92"/>
    <n v="13130001823"/>
  </r>
  <r>
    <x v="21"/>
    <d v="1899-12-30T13:28:02"/>
    <n v="2824"/>
    <n v="13002561"/>
    <n v="13"/>
    <n v="22589"/>
    <s v="Retail Sale"/>
    <n v="18"/>
    <n v="53895"/>
    <x v="88"/>
    <s v="Pulse"/>
    <s v="Novartis"/>
    <n v="1"/>
    <n v="242.49"/>
    <n v="314.67"/>
    <n v="0"/>
    <n v="0"/>
    <m/>
    <n v="29"/>
    <n v="1"/>
    <n v="3"/>
    <n v="314.67"/>
    <n v="13130001824"/>
  </r>
  <r>
    <x v="0"/>
    <d v="1899-12-30T18:03:36"/>
    <n v="2825"/>
    <n v="13002561"/>
    <n v="13"/>
    <n v="22589"/>
    <s v="Retail Sale"/>
    <n v="18"/>
    <n v="98285"/>
    <x v="73"/>
    <s v="Grand Capital"/>
    <s v="TEVA"/>
    <n v="3"/>
    <n v="521.35"/>
    <n v="723.47"/>
    <n v="0"/>
    <n v="0"/>
    <m/>
    <n v="29"/>
    <n v="1"/>
    <n v="1"/>
    <n v="723.47"/>
    <n v="13130001825"/>
  </r>
  <r>
    <x v="29"/>
    <d v="1899-12-30T16:02:30"/>
    <n v="2826"/>
    <n v="13002561"/>
    <n v="13"/>
    <n v="22589"/>
    <s v="Retail Sale"/>
    <n v="15"/>
    <n v="87276"/>
    <x v="40"/>
    <s v="Grand Capital"/>
    <s v="TEVA"/>
    <n v="3"/>
    <n v="57"/>
    <n v="81.89"/>
    <n v="8.19"/>
    <n v="8.19"/>
    <s v="BONUS_CARD"/>
    <n v="29"/>
    <n v="1"/>
    <n v="3"/>
    <n v="73.7"/>
    <n v="13130001826"/>
  </r>
  <r>
    <x v="19"/>
    <d v="1899-12-30T09:48:37"/>
    <n v="2827"/>
    <n v="13002561"/>
    <n v="13"/>
    <n v="22589"/>
    <s v="Retail Sale"/>
    <n v="15"/>
    <n v="27737"/>
    <x v="89"/>
    <s v="Avesta"/>
    <s v="Pfizer"/>
    <n v="1"/>
    <n v="593.80999999999995"/>
    <n v="923.51"/>
    <n v="46.18"/>
    <n v="46.18"/>
    <s v="BONUS_CARD"/>
    <n v="29"/>
    <n v="1"/>
    <n v="3"/>
    <n v="877.33"/>
    <n v="13130001827"/>
  </r>
  <r>
    <x v="23"/>
    <d v="1899-12-30T08:05:54"/>
    <n v="2828"/>
    <n v="13002561"/>
    <n v="13"/>
    <n v="22589"/>
    <s v="Retail Sale"/>
    <n v="18"/>
    <n v="13338"/>
    <x v="22"/>
    <s v="Pulse"/>
    <s v="Pfizer"/>
    <n v="3"/>
    <n v="328.11"/>
    <n v="518.62"/>
    <n v="0"/>
    <n v="0"/>
    <m/>
    <n v="29"/>
    <n v="1"/>
    <n v="4"/>
    <n v="518.62"/>
    <n v="13130001828"/>
  </r>
  <r>
    <x v="16"/>
    <d v="1899-12-30T08:45:11"/>
    <n v="2829"/>
    <n v="13002561"/>
    <n v="13"/>
    <n v="22589"/>
    <s v="Retail Sale"/>
    <n v="15"/>
    <n v="98721"/>
    <x v="56"/>
    <s v="Katren"/>
    <s v="Takeda"/>
    <n v="3"/>
    <n v="312.94"/>
    <n v="487.42"/>
    <n v="24.37"/>
    <n v="24.37"/>
    <s v="BONUS_CARD"/>
    <n v="29"/>
    <n v="1"/>
    <n v="6"/>
    <n v="463.05"/>
    <n v="13130001829"/>
  </r>
  <r>
    <x v="25"/>
    <d v="1899-12-30T16:55:30"/>
    <n v="2830"/>
    <n v="13002561"/>
    <n v="13"/>
    <n v="22589"/>
    <s v="Retail Sale"/>
    <n v="15"/>
    <n v="28889"/>
    <x v="30"/>
    <s v="Pulse"/>
    <s v="Dr. Reddy's"/>
    <n v="3"/>
    <n v="400.27"/>
    <n v="511.78"/>
    <n v="51.18"/>
    <n v="51.18"/>
    <s v="BONUS_CARD"/>
    <n v="29"/>
    <n v="1"/>
    <n v="2"/>
    <n v="460.6"/>
    <n v="13130001830"/>
  </r>
  <r>
    <x v="14"/>
    <d v="1899-12-30T16:42:41"/>
    <n v="2831"/>
    <n v="13002561"/>
    <n v="13"/>
    <n v="22589"/>
    <s v="Retail Sale"/>
    <n v="15"/>
    <n v="78071"/>
    <x v="7"/>
    <s v="Avesta"/>
    <s v="Novartis"/>
    <n v="3"/>
    <n v="58.23"/>
    <n v="97.26"/>
    <n v="4.8600000000000003"/>
    <n v="4.8600000000000003"/>
    <s v="BONUS_CARD"/>
    <n v="29"/>
    <n v="1"/>
    <n v="3"/>
    <n v="92.4"/>
    <n v="13130001831"/>
  </r>
  <r>
    <x v="7"/>
    <d v="1899-12-30T11:09:18"/>
    <n v="2832"/>
    <n v="13002561"/>
    <n v="13"/>
    <n v="22589"/>
    <s v="Retail Sale"/>
    <n v="15"/>
    <n v="80841"/>
    <x v="31"/>
    <s v="Avesta"/>
    <s v="Pfizer"/>
    <n v="1"/>
    <n v="577.39"/>
    <n v="888.72"/>
    <n v="88.87"/>
    <n v="88.87"/>
    <s v="BONUS_CARD"/>
    <n v="29"/>
    <n v="1"/>
    <n v="6"/>
    <n v="799.85"/>
    <n v="13130001832"/>
  </r>
  <r>
    <x v="9"/>
    <d v="1899-12-30T18:28:38"/>
    <n v="2833"/>
    <n v="13002561"/>
    <n v="13"/>
    <n v="22589"/>
    <s v="Retail Sale"/>
    <n v="18"/>
    <n v="28904"/>
    <x v="66"/>
    <s v="Protek"/>
    <s v="Takeda"/>
    <n v="3"/>
    <n v="330.76"/>
    <n v="509.95"/>
    <n v="25.5"/>
    <n v="25.5"/>
    <s v="BONUS_CARD"/>
    <n v="29"/>
    <n v="1"/>
    <n v="4"/>
    <n v="484.45"/>
    <n v="13130001833"/>
  </r>
  <r>
    <x v="23"/>
    <d v="1899-12-30T17:53:21"/>
    <n v="2834"/>
    <n v="13002561"/>
    <n v="13"/>
    <n v="22589"/>
    <s v="Retail Sale"/>
    <n v="15"/>
    <n v="95984"/>
    <x v="7"/>
    <s v="Grand Capital"/>
    <s v="Bayer"/>
    <n v="3"/>
    <n v="25.28"/>
    <n v="42.02"/>
    <n v="4.2"/>
    <n v="4.2"/>
    <s v="BONUS_CARD"/>
    <n v="29"/>
    <n v="1"/>
    <n v="4"/>
    <n v="37.82"/>
    <n v="13130001834"/>
  </r>
  <r>
    <x v="12"/>
    <d v="1899-12-30T17:05:50"/>
    <n v="2835"/>
    <n v="13002561"/>
    <n v="13"/>
    <n v="22589"/>
    <s v="Retail Sale"/>
    <n v="15"/>
    <n v="15621"/>
    <x v="36"/>
    <s v="Katren"/>
    <s v="Bayer"/>
    <n v="2"/>
    <n v="436.64"/>
    <n v="546.04"/>
    <n v="54.6"/>
    <n v="54.6"/>
    <s v="BONUS_CARD"/>
    <n v="29"/>
    <n v="1"/>
    <n v="1"/>
    <n v="491.44"/>
    <n v="13130001835"/>
  </r>
  <r>
    <x v="9"/>
    <d v="1899-12-30T09:45:47"/>
    <n v="2836"/>
    <n v="13002561"/>
    <n v="13"/>
    <n v="22589"/>
    <s v="Retail Sale"/>
    <n v="15"/>
    <n v="69151"/>
    <x v="13"/>
    <s v="Protek"/>
    <s v="Bayer"/>
    <n v="3"/>
    <n v="472.98"/>
    <n v="688.75"/>
    <n v="34.44"/>
    <n v="34.44"/>
    <s v="BONUS_CARD"/>
    <n v="29"/>
    <n v="1"/>
    <n v="5"/>
    <n v="654.30999999999995"/>
    <n v="13130001836"/>
  </r>
  <r>
    <x v="1"/>
    <d v="1899-12-30T20:28:58"/>
    <n v="2837"/>
    <n v="13002561"/>
    <n v="13"/>
    <n v="22589"/>
    <s v="Retail Sale"/>
    <n v="15"/>
    <n v="87690"/>
    <x v="30"/>
    <s v="Pharmcomplect"/>
    <s v="Novartis"/>
    <n v="2"/>
    <n v="557.66999999999996"/>
    <n v="797.61"/>
    <n v="39.880000000000003"/>
    <n v="39.880000000000003"/>
    <s v="BONUS_CARD"/>
    <n v="29"/>
    <n v="1"/>
    <n v="4"/>
    <n v="757.73"/>
    <n v="13130001837"/>
  </r>
  <r>
    <x v="17"/>
    <d v="1899-12-30T09:51:30"/>
    <n v="2838"/>
    <n v="13002561"/>
    <n v="13"/>
    <n v="22589"/>
    <s v="Retail Sale"/>
    <n v="18"/>
    <n v="74073"/>
    <x v="4"/>
    <s v="Grand Capital"/>
    <s v="Takeda"/>
    <n v="3"/>
    <n v="177.06"/>
    <n v="252.59"/>
    <n v="0"/>
    <n v="0"/>
    <m/>
    <n v="29"/>
    <n v="1"/>
    <n v="1"/>
    <n v="252.59"/>
    <n v="13130001838"/>
  </r>
  <r>
    <x v="21"/>
    <d v="1899-12-30T11:00:29"/>
    <n v="2839"/>
    <n v="13002561"/>
    <n v="13"/>
    <n v="22589"/>
    <s v="Retail Sale"/>
    <n v="15"/>
    <n v="11827"/>
    <x v="86"/>
    <s v="Pulse"/>
    <s v="Dr. Reddy's"/>
    <n v="3"/>
    <n v="210.51"/>
    <n v="318.79000000000002"/>
    <n v="31.88"/>
    <n v="31.88"/>
    <s v="BONUS_CARD"/>
    <n v="29"/>
    <n v="1"/>
    <n v="1"/>
    <n v="286.91000000000003"/>
    <n v="13130001839"/>
  </r>
  <r>
    <x v="4"/>
    <d v="1899-12-30T08:42:19"/>
    <n v="2840"/>
    <n v="13002561"/>
    <n v="13"/>
    <n v="22589"/>
    <s v="Retail Sale"/>
    <n v="15"/>
    <n v="41421"/>
    <x v="85"/>
    <s v="Avesta"/>
    <s v="Takeda"/>
    <n v="2"/>
    <n v="111.74"/>
    <n v="179.38"/>
    <n v="0"/>
    <n v="0"/>
    <m/>
    <n v="29"/>
    <n v="1"/>
    <n v="5"/>
    <n v="179.38"/>
    <n v="13130001840"/>
  </r>
  <r>
    <x v="6"/>
    <d v="1899-12-30T21:10:56"/>
    <n v="2841"/>
    <n v="13002561"/>
    <n v="13"/>
    <n v="22589"/>
    <s v="Retail Sale"/>
    <n v="18"/>
    <n v="80612"/>
    <x v="44"/>
    <s v="Pulse"/>
    <s v="TEVA"/>
    <n v="2"/>
    <n v="403.01"/>
    <n v="509.31"/>
    <n v="50.93"/>
    <n v="50.93"/>
    <s v="BONUS_CARD"/>
    <n v="29"/>
    <n v="1"/>
    <n v="3"/>
    <n v="458.38"/>
    <n v="13130001841"/>
  </r>
  <r>
    <x v="21"/>
    <d v="1899-12-30T16:25:55"/>
    <n v="2842"/>
    <n v="13002561"/>
    <n v="13"/>
    <n v="22589"/>
    <s v="Retail Sale"/>
    <n v="18"/>
    <n v="40966"/>
    <x v="67"/>
    <s v="Avesta"/>
    <s v="KRKA"/>
    <n v="2"/>
    <n v="226.52"/>
    <n v="321.23"/>
    <n v="32.119999999999997"/>
    <n v="32.119999999999997"/>
    <s v="BONUS_CARD"/>
    <n v="29"/>
    <n v="1"/>
    <n v="5"/>
    <n v="289.11"/>
    <n v="13130001842"/>
  </r>
  <r>
    <x v="2"/>
    <d v="1899-12-30T13:02:12"/>
    <n v="2843"/>
    <n v="13002561"/>
    <n v="13"/>
    <n v="22589"/>
    <s v="Retail Sale"/>
    <n v="15"/>
    <n v="11045"/>
    <x v="46"/>
    <s v="Grand Capital"/>
    <s v="Pfizer"/>
    <n v="2"/>
    <n v="330.37"/>
    <n v="548.29"/>
    <n v="0"/>
    <n v="0"/>
    <m/>
    <n v="29"/>
    <n v="1"/>
    <n v="1"/>
    <n v="548.29"/>
    <n v="13130001843"/>
  </r>
  <r>
    <x v="21"/>
    <d v="1899-12-30T13:04:27"/>
    <n v="2844"/>
    <n v="13002561"/>
    <n v="13"/>
    <n v="22589"/>
    <s v="Retail Sale"/>
    <n v="15"/>
    <n v="61529"/>
    <x v="19"/>
    <s v="Avesta"/>
    <s v="TEVA"/>
    <n v="2"/>
    <n v="596.69000000000005"/>
    <n v="899.22"/>
    <n v="0"/>
    <n v="0"/>
    <m/>
    <n v="29"/>
    <n v="1"/>
    <n v="1"/>
    <n v="899.22"/>
    <n v="13130001844"/>
  </r>
  <r>
    <x v="24"/>
    <d v="1899-12-30T17:02:24"/>
    <n v="2845"/>
    <n v="13002561"/>
    <n v="13"/>
    <n v="22589"/>
    <s v="Retail Sale"/>
    <n v="18"/>
    <n v="21479"/>
    <x v="78"/>
    <s v="Katren"/>
    <s v="Bayer"/>
    <n v="3"/>
    <n v="421.3"/>
    <n v="567.59"/>
    <n v="56.76"/>
    <n v="56.76"/>
    <s v="BONUS_CARD"/>
    <n v="29"/>
    <n v="1"/>
    <n v="4"/>
    <n v="510.83"/>
    <n v="13130001845"/>
  </r>
  <r>
    <x v="29"/>
    <d v="1899-12-30T21:58:29"/>
    <n v="2846"/>
    <n v="13002561"/>
    <n v="13"/>
    <n v="22589"/>
    <s v="Retail Sale"/>
    <n v="18"/>
    <n v="96126"/>
    <x v="61"/>
    <s v="Pulse"/>
    <s v="Takeda"/>
    <n v="3"/>
    <n v="340.47"/>
    <n v="545.97"/>
    <n v="0"/>
    <n v="0"/>
    <m/>
    <n v="29"/>
    <n v="1"/>
    <n v="6"/>
    <n v="545.97"/>
    <n v="13130001846"/>
  </r>
  <r>
    <x v="18"/>
    <d v="1899-12-30T22:38:24"/>
    <n v="2847"/>
    <n v="13002561"/>
    <n v="13"/>
    <n v="22589"/>
    <s v="Retail Sale"/>
    <n v="15"/>
    <n v="17076"/>
    <x v="58"/>
    <s v="Grand Capital"/>
    <s v="TEVA"/>
    <n v="2"/>
    <n v="564.77"/>
    <n v="717.36"/>
    <n v="0"/>
    <n v="0"/>
    <m/>
    <n v="29"/>
    <n v="1"/>
    <n v="3"/>
    <n v="717.36"/>
    <n v="13130001847"/>
  </r>
  <r>
    <x v="1"/>
    <d v="1899-12-30T08:02:20"/>
    <n v="2848"/>
    <n v="13002561"/>
    <n v="13"/>
    <n v="22589"/>
    <s v="Retail Sale"/>
    <n v="15"/>
    <n v="19756"/>
    <x v="67"/>
    <s v="Avesta"/>
    <s v="KRKA"/>
    <n v="3"/>
    <n v="488.24"/>
    <n v="666"/>
    <n v="66.599999999999994"/>
    <n v="66.599999999999994"/>
    <s v="BONUS_CARD"/>
    <n v="29"/>
    <n v="1"/>
    <n v="2"/>
    <n v="599.4"/>
    <n v="13130001848"/>
  </r>
  <r>
    <x v="15"/>
    <d v="1899-12-30T10:07:32"/>
    <n v="2849"/>
    <n v="13002561"/>
    <n v="13"/>
    <n v="22589"/>
    <s v="Retail Sale"/>
    <n v="18"/>
    <n v="96615"/>
    <x v="33"/>
    <s v="Pulse"/>
    <s v="KRKA"/>
    <n v="3"/>
    <n v="269.94"/>
    <n v="347.62"/>
    <n v="17.38"/>
    <n v="17.38"/>
    <s v="BONUS_CARD"/>
    <n v="29"/>
    <n v="1"/>
    <n v="6"/>
    <n v="330.24"/>
    <n v="13130001849"/>
  </r>
  <r>
    <x v="26"/>
    <d v="1899-12-30T16:15:17"/>
    <n v="2850"/>
    <n v="13002561"/>
    <n v="13"/>
    <n v="22589"/>
    <s v="Retail Sale"/>
    <n v="15"/>
    <n v="72237"/>
    <x v="18"/>
    <s v="Katren"/>
    <s v="Takeda"/>
    <n v="1"/>
    <n v="388.62"/>
    <n v="503.25"/>
    <n v="25.16"/>
    <n v="25.16"/>
    <s v="BONUS_CARD"/>
    <n v="29"/>
    <n v="1"/>
    <n v="6"/>
    <n v="478.09"/>
    <n v="13130001850"/>
  </r>
  <r>
    <x v="15"/>
    <d v="1899-12-30T20:26:39"/>
    <n v="2851"/>
    <n v="13002561"/>
    <n v="13"/>
    <n v="22589"/>
    <s v="Retail Sale"/>
    <n v="18"/>
    <n v="81233"/>
    <x v="64"/>
    <s v="Avesta"/>
    <s v="Takeda"/>
    <n v="1"/>
    <n v="404.2"/>
    <n v="562.69000000000005"/>
    <n v="56.27"/>
    <n v="56.27"/>
    <s v="BONUS_CARD"/>
    <n v="29"/>
    <n v="1"/>
    <n v="3"/>
    <n v="506.42"/>
    <n v="13130001851"/>
  </r>
  <r>
    <x v="6"/>
    <d v="1899-12-30T16:28:02"/>
    <n v="2852"/>
    <n v="13002561"/>
    <n v="13"/>
    <n v="22589"/>
    <s v="Retail Sale"/>
    <n v="15"/>
    <n v="50998"/>
    <x v="54"/>
    <s v="Pharmcomplect"/>
    <s v="Novartis"/>
    <n v="3"/>
    <n v="567.1"/>
    <n v="936.95"/>
    <n v="46.85"/>
    <n v="46.85"/>
    <s v="BONUS_CARD"/>
    <n v="29"/>
    <n v="1"/>
    <n v="4"/>
    <n v="890.1"/>
    <n v="13130001852"/>
  </r>
  <r>
    <x v="29"/>
    <d v="1899-12-30T18:48:08"/>
    <n v="2853"/>
    <n v="13002561"/>
    <n v="13"/>
    <n v="22589"/>
    <s v="Retail Sale"/>
    <n v="18"/>
    <n v="36220"/>
    <x v="16"/>
    <s v="Pulse"/>
    <s v="Bayer"/>
    <n v="3"/>
    <n v="168.15"/>
    <n v="258.85000000000002"/>
    <n v="0"/>
    <n v="0"/>
    <m/>
    <n v="29"/>
    <n v="1"/>
    <n v="2"/>
    <n v="258.85000000000002"/>
    <n v="13130001853"/>
  </r>
  <r>
    <x v="13"/>
    <d v="1899-12-30T15:02:06"/>
    <n v="2854"/>
    <n v="13002561"/>
    <n v="13"/>
    <n v="22589"/>
    <s v="Retail Sale"/>
    <n v="18"/>
    <n v="14977"/>
    <x v="28"/>
    <s v="Grand Capital"/>
    <s v="KRKA"/>
    <n v="1"/>
    <n v="34.49"/>
    <n v="55.03"/>
    <n v="2.75"/>
    <n v="2.75"/>
    <s v="BONUS_CARD"/>
    <n v="29"/>
    <n v="1"/>
    <n v="4"/>
    <n v="52.28"/>
    <n v="13130001854"/>
  </r>
  <r>
    <x v="11"/>
    <d v="1899-12-30T16:48:26"/>
    <n v="2855"/>
    <n v="13002561"/>
    <n v="13"/>
    <n v="22589"/>
    <s v="Retail Sale"/>
    <n v="18"/>
    <n v="17754"/>
    <x v="0"/>
    <s v="Pharmcomplect"/>
    <s v="Pfizer"/>
    <n v="1"/>
    <n v="123.82"/>
    <n v="204.54"/>
    <n v="0"/>
    <n v="0"/>
    <m/>
    <n v="29"/>
    <n v="1"/>
    <n v="6"/>
    <n v="204.54"/>
    <n v="13130001855"/>
  </r>
  <r>
    <x v="21"/>
    <d v="1899-12-30T14:45:45"/>
    <n v="2856"/>
    <n v="13002561"/>
    <n v="13"/>
    <n v="22589"/>
    <s v="Retail Sale"/>
    <n v="18"/>
    <n v="52644"/>
    <x v="28"/>
    <s v="Pharmcomplect"/>
    <s v="KRKA"/>
    <n v="2"/>
    <n v="162.56"/>
    <n v="209.39"/>
    <n v="0"/>
    <n v="0"/>
    <m/>
    <n v="29"/>
    <n v="1"/>
    <n v="1"/>
    <n v="209.39"/>
    <n v="13130001856"/>
  </r>
  <r>
    <x v="2"/>
    <d v="1899-12-30T21:08:29"/>
    <n v="2857"/>
    <n v="13002561"/>
    <n v="13"/>
    <n v="22589"/>
    <s v="Retail Sale"/>
    <n v="18"/>
    <n v="50786"/>
    <x v="22"/>
    <s v="Pharmcomplect"/>
    <s v="KRKA"/>
    <n v="2"/>
    <n v="350.32"/>
    <n v="491.02"/>
    <n v="24.55"/>
    <n v="24.55"/>
    <s v="BONUS_CARD"/>
    <n v="29"/>
    <n v="1"/>
    <n v="2"/>
    <n v="466.47"/>
    <n v="13130001857"/>
  </r>
  <r>
    <x v="17"/>
    <d v="1899-12-30T21:11:47"/>
    <n v="2858"/>
    <n v="13002561"/>
    <n v="13"/>
    <n v="22589"/>
    <s v="Retail Sale"/>
    <n v="15"/>
    <n v="70915"/>
    <x v="27"/>
    <s v="Pulse"/>
    <s v="Bayer"/>
    <n v="2"/>
    <n v="158.11000000000001"/>
    <n v="267.48"/>
    <n v="13.37"/>
    <n v="13.37"/>
    <s v="BONUS_CARD"/>
    <n v="29"/>
    <n v="1"/>
    <n v="3"/>
    <n v="254.11"/>
    <n v="13130001858"/>
  </r>
  <r>
    <x v="25"/>
    <d v="1899-12-30T21:52:57"/>
    <n v="2859"/>
    <n v="13002561"/>
    <n v="13"/>
    <n v="22589"/>
    <s v="Retail Sale"/>
    <n v="18"/>
    <n v="52905"/>
    <x v="32"/>
    <s v="Protek"/>
    <s v="Dr. Reddy's"/>
    <n v="2"/>
    <n v="38.14"/>
    <n v="53.68"/>
    <n v="2.68"/>
    <n v="2.68"/>
    <s v="BONUS_CARD"/>
    <n v="29"/>
    <n v="1"/>
    <n v="4"/>
    <n v="51"/>
    <n v="13130001859"/>
  </r>
  <r>
    <x v="5"/>
    <d v="1899-12-30T13:25:31"/>
    <n v="2860"/>
    <n v="13002561"/>
    <n v="13"/>
    <n v="22589"/>
    <s v="Retail Sale"/>
    <n v="18"/>
    <n v="31873"/>
    <x v="8"/>
    <s v="Protek"/>
    <s v="Bayer"/>
    <n v="3"/>
    <n v="560.64"/>
    <n v="717.29"/>
    <n v="71.73"/>
    <n v="71.73"/>
    <s v="BONUS_CARD"/>
    <n v="29"/>
    <n v="1"/>
    <n v="2"/>
    <n v="645.55999999999995"/>
    <n v="13130001860"/>
  </r>
  <r>
    <x v="21"/>
    <d v="1899-12-30T20:21:14"/>
    <n v="2861"/>
    <n v="13002561"/>
    <n v="13"/>
    <n v="22589"/>
    <s v="Retail Sale"/>
    <n v="18"/>
    <n v="82852"/>
    <x v="36"/>
    <s v="Pharmcomplect"/>
    <s v="Novartis"/>
    <n v="2"/>
    <n v="53.03"/>
    <n v="75.03"/>
    <n v="0"/>
    <n v="0"/>
    <m/>
    <n v="29"/>
    <n v="1"/>
    <n v="1"/>
    <n v="75.03"/>
    <n v="13130001861"/>
  </r>
  <r>
    <x v="24"/>
    <d v="1899-12-30T11:45:52"/>
    <n v="2862"/>
    <n v="13002561"/>
    <n v="13"/>
    <n v="22589"/>
    <s v="Retail Sale"/>
    <n v="18"/>
    <n v="76367"/>
    <x v="50"/>
    <s v="Pharmcomplect"/>
    <s v="Novartis"/>
    <n v="1"/>
    <n v="45.54"/>
    <n v="60.13"/>
    <n v="6.01"/>
    <n v="6.01"/>
    <s v="BONUS_CARD"/>
    <n v="29"/>
    <n v="1"/>
    <n v="4"/>
    <n v="54.12"/>
    <n v="13130001862"/>
  </r>
  <r>
    <x v="16"/>
    <d v="1899-12-30T11:39:25"/>
    <n v="2863"/>
    <n v="13002561"/>
    <n v="13"/>
    <n v="22589"/>
    <s v="Retail Sale"/>
    <n v="18"/>
    <n v="71639"/>
    <x v="24"/>
    <s v="Grand Capital"/>
    <s v="Pfizer"/>
    <n v="3"/>
    <n v="300.25"/>
    <n v="384.21"/>
    <n v="0"/>
    <n v="0"/>
    <m/>
    <n v="29"/>
    <n v="1"/>
    <n v="6"/>
    <n v="384.21"/>
    <n v="13130001863"/>
  </r>
  <r>
    <x v="1"/>
    <d v="1899-12-30T21:40:36"/>
    <n v="2864"/>
    <n v="13002561"/>
    <n v="13"/>
    <n v="22589"/>
    <s v="Retail Sale"/>
    <n v="18"/>
    <n v="82663"/>
    <x v="31"/>
    <s v="Pulse"/>
    <s v="Pfizer"/>
    <n v="3"/>
    <n v="573.82000000000005"/>
    <n v="878.23"/>
    <n v="43.91"/>
    <n v="43.91"/>
    <s v="BONUS_CARD"/>
    <n v="29"/>
    <n v="1"/>
    <n v="1"/>
    <n v="834.32"/>
    <n v="13130001864"/>
  </r>
  <r>
    <x v="0"/>
    <d v="1899-12-30T22:03:02"/>
    <n v="2865"/>
    <n v="13002561"/>
    <n v="13"/>
    <n v="22589"/>
    <s v="Retail Sale"/>
    <n v="18"/>
    <n v="19820"/>
    <x v="44"/>
    <s v="Grand Capital"/>
    <s v="Takeda"/>
    <n v="3"/>
    <n v="58.54"/>
    <n v="77.03"/>
    <n v="7.7"/>
    <n v="7.7"/>
    <s v="BONUS_CARD"/>
    <n v="29"/>
    <n v="1"/>
    <n v="4"/>
    <n v="69.33"/>
    <n v="13130001865"/>
  </r>
  <r>
    <x v="2"/>
    <d v="1899-12-30T17:45:03"/>
    <n v="2866"/>
    <n v="13002561"/>
    <n v="13"/>
    <n v="22589"/>
    <s v="Retail Sale"/>
    <n v="15"/>
    <n v="37832"/>
    <x v="88"/>
    <s v="Grand Capital"/>
    <s v="Novartis"/>
    <n v="2"/>
    <n v="466.53"/>
    <n v="602.87"/>
    <n v="0"/>
    <n v="0"/>
    <m/>
    <n v="29"/>
    <n v="1"/>
    <n v="6"/>
    <n v="602.87"/>
    <n v="13130001866"/>
  </r>
  <r>
    <x v="10"/>
    <d v="1899-12-30T16:46:40"/>
    <n v="2867"/>
    <n v="13002561"/>
    <n v="13"/>
    <n v="22589"/>
    <s v="Retail Sale"/>
    <n v="15"/>
    <n v="29692"/>
    <x v="73"/>
    <s v="Protek"/>
    <s v="Takeda"/>
    <n v="2"/>
    <n v="347.61"/>
    <n v="468.36"/>
    <n v="0"/>
    <n v="0"/>
    <m/>
    <n v="29"/>
    <n v="1"/>
    <n v="5"/>
    <n v="468.36"/>
    <n v="13130001867"/>
  </r>
  <r>
    <x v="0"/>
    <d v="1899-12-30T13:29:01"/>
    <n v="2868"/>
    <n v="13002561"/>
    <n v="13"/>
    <n v="22589"/>
    <s v="Retail Sale"/>
    <n v="15"/>
    <n v="85064"/>
    <x v="10"/>
    <s v="Avesta"/>
    <s v="Takeda"/>
    <n v="3"/>
    <n v="505.5"/>
    <n v="852.02"/>
    <n v="85.2"/>
    <n v="85.2"/>
    <s v="BONUS_CARD"/>
    <n v="29"/>
    <n v="1"/>
    <n v="4"/>
    <n v="766.82"/>
    <n v="13130001868"/>
  </r>
  <r>
    <x v="14"/>
    <d v="1899-12-30T09:10:14"/>
    <n v="2869"/>
    <n v="13002561"/>
    <n v="13"/>
    <n v="22589"/>
    <s v="Retail Sale"/>
    <n v="18"/>
    <n v="17472"/>
    <x v="73"/>
    <s v="Pulse"/>
    <s v="Novartis"/>
    <n v="2"/>
    <n v="594.12"/>
    <n v="841.91"/>
    <n v="42.1"/>
    <n v="42.1"/>
    <s v="BONUS_CARD"/>
    <n v="29"/>
    <n v="1"/>
    <n v="5"/>
    <n v="799.81"/>
    <n v="13130001869"/>
  </r>
  <r>
    <x v="10"/>
    <d v="1899-12-30T14:40:38"/>
    <n v="2870"/>
    <n v="13002561"/>
    <n v="13"/>
    <n v="22589"/>
    <s v="Retail Sale"/>
    <n v="15"/>
    <n v="20185"/>
    <x v="62"/>
    <s v="Avesta"/>
    <s v="Novartis"/>
    <n v="2"/>
    <n v="200.18"/>
    <n v="293.13"/>
    <n v="0"/>
    <n v="0"/>
    <m/>
    <n v="29"/>
    <n v="1"/>
    <n v="5"/>
    <n v="293.13"/>
    <n v="13130001870"/>
  </r>
  <r>
    <x v="13"/>
    <d v="1899-12-30T13:50:23"/>
    <n v="2871"/>
    <n v="13002561"/>
    <n v="13"/>
    <n v="22589"/>
    <s v="Retail Sale"/>
    <n v="15"/>
    <n v="78037"/>
    <x v="44"/>
    <s v="Grand Capital"/>
    <s v="Pfizer"/>
    <n v="1"/>
    <n v="191.34"/>
    <n v="307.44"/>
    <n v="15.37"/>
    <n v="15.37"/>
    <s v="BONUS_CARD"/>
    <n v="29"/>
    <n v="1"/>
    <n v="5"/>
    <n v="292.07"/>
    <n v="13130001871"/>
  </r>
  <r>
    <x v="5"/>
    <d v="1899-12-30T22:56:55"/>
    <n v="2872"/>
    <n v="13002561"/>
    <n v="13"/>
    <n v="22589"/>
    <s v="Retail Sale"/>
    <n v="18"/>
    <n v="12151"/>
    <x v="87"/>
    <s v="Grand Capital"/>
    <s v="Novartis"/>
    <n v="3"/>
    <n v="161.87"/>
    <n v="217.75"/>
    <n v="10.89"/>
    <n v="10.89"/>
    <s v="BONUS_CARD"/>
    <n v="29"/>
    <n v="1"/>
    <n v="3"/>
    <n v="206.86"/>
    <n v="13130001872"/>
  </r>
  <r>
    <x v="18"/>
    <d v="1899-12-30T12:28:07"/>
    <n v="2873"/>
    <n v="13002561"/>
    <n v="13"/>
    <n v="22589"/>
    <s v="Retail Sale"/>
    <n v="18"/>
    <n v="86194"/>
    <x v="1"/>
    <s v="Grand Capital"/>
    <s v="Bayer"/>
    <n v="3"/>
    <n v="286"/>
    <n v="462.1"/>
    <n v="46.21"/>
    <n v="46.21"/>
    <s v="BONUS_CARD"/>
    <n v="29"/>
    <n v="1"/>
    <n v="2"/>
    <n v="415.89"/>
    <n v="13130001873"/>
  </r>
  <r>
    <x v="4"/>
    <d v="1899-12-30T12:33:15"/>
    <n v="2874"/>
    <n v="13002561"/>
    <n v="13"/>
    <n v="22589"/>
    <s v="Retail Sale"/>
    <n v="18"/>
    <n v="15937"/>
    <x v="29"/>
    <s v="Grand Capital"/>
    <s v="Dr. Reddy's"/>
    <n v="3"/>
    <n v="524.04"/>
    <n v="797.39"/>
    <n v="0"/>
    <n v="0"/>
    <m/>
    <n v="29"/>
    <n v="1"/>
    <n v="2"/>
    <n v="797.39"/>
    <n v="13130001874"/>
  </r>
  <r>
    <x v="4"/>
    <d v="1899-12-30T15:01:57"/>
    <n v="2875"/>
    <n v="13002561"/>
    <n v="13"/>
    <n v="22589"/>
    <s v="Retail Sale"/>
    <n v="15"/>
    <n v="45316"/>
    <x v="15"/>
    <s v="Avesta"/>
    <s v="Sanofi"/>
    <n v="3"/>
    <n v="280.79000000000002"/>
    <n v="415.61"/>
    <n v="41.56"/>
    <n v="41.56"/>
    <s v="BONUS_CARD"/>
    <n v="29"/>
    <n v="1"/>
    <n v="4"/>
    <n v="374.05"/>
    <n v="13130001875"/>
  </r>
  <r>
    <x v="30"/>
    <d v="1899-12-30T20:45:23"/>
    <n v="2876"/>
    <n v="13002561"/>
    <n v="13"/>
    <n v="22589"/>
    <s v="Retail Sale"/>
    <n v="18"/>
    <n v="11301"/>
    <x v="48"/>
    <s v="Pulse"/>
    <s v="KRKA"/>
    <n v="2"/>
    <n v="488.82"/>
    <n v="767.78"/>
    <n v="0"/>
    <n v="0"/>
    <m/>
    <n v="29"/>
    <n v="1"/>
    <n v="3"/>
    <n v="767.78"/>
    <n v="13130001876"/>
  </r>
  <r>
    <x v="24"/>
    <d v="1899-12-30T17:34:53"/>
    <n v="2877"/>
    <n v="13002561"/>
    <n v="13"/>
    <n v="22589"/>
    <s v="Retail Sale"/>
    <n v="18"/>
    <n v="76608"/>
    <x v="2"/>
    <s v="Pulse"/>
    <s v="Takeda"/>
    <n v="3"/>
    <n v="136.96"/>
    <n v="216.5"/>
    <n v="0"/>
    <n v="0"/>
    <m/>
    <n v="29"/>
    <n v="1"/>
    <n v="4"/>
    <n v="216.5"/>
    <n v="13130001877"/>
  </r>
  <r>
    <x v="24"/>
    <d v="1899-12-30T11:54:24"/>
    <n v="2878"/>
    <n v="13002561"/>
    <n v="13"/>
    <n v="22589"/>
    <s v="Retail Sale"/>
    <n v="15"/>
    <n v="60389"/>
    <x v="50"/>
    <s v="Pharmcomplect"/>
    <s v="Dr. Reddy's"/>
    <n v="2"/>
    <n v="184.9"/>
    <n v="242.2"/>
    <n v="24.22"/>
    <n v="24.22"/>
    <s v="BONUS_CARD"/>
    <n v="29"/>
    <n v="1"/>
    <n v="4"/>
    <n v="217.98"/>
    <n v="13130001878"/>
  </r>
  <r>
    <x v="0"/>
    <d v="1899-12-30T11:28:24"/>
    <n v="2879"/>
    <n v="13002561"/>
    <n v="13"/>
    <n v="22589"/>
    <s v="Retail Sale"/>
    <n v="18"/>
    <n v="97286"/>
    <x v="62"/>
    <s v="Katren"/>
    <s v="Sanofi"/>
    <n v="2"/>
    <n v="133.65"/>
    <n v="197.78"/>
    <n v="0"/>
    <n v="0"/>
    <m/>
    <n v="29"/>
    <n v="1"/>
    <n v="1"/>
    <n v="197.78"/>
    <n v="13130001879"/>
  </r>
  <r>
    <x v="24"/>
    <d v="1899-12-30T21:08:45"/>
    <n v="2880"/>
    <n v="13002561"/>
    <n v="13"/>
    <n v="22589"/>
    <s v="Retail Sale"/>
    <n v="15"/>
    <n v="58038"/>
    <x v="13"/>
    <s v="Protek"/>
    <s v="Pfizer"/>
    <n v="1"/>
    <n v="38.71"/>
    <n v="60.77"/>
    <n v="0"/>
    <n v="0"/>
    <m/>
    <n v="29"/>
    <n v="1"/>
    <n v="2"/>
    <n v="60.77"/>
    <n v="13130001880"/>
  </r>
  <r>
    <x v="0"/>
    <d v="1899-12-30T08:17:30"/>
    <n v="2881"/>
    <n v="13002561"/>
    <n v="13"/>
    <n v="22589"/>
    <s v="Retail Sale"/>
    <n v="18"/>
    <n v="35064"/>
    <x v="28"/>
    <s v="Katren"/>
    <s v="TEVA"/>
    <n v="3"/>
    <n v="87.67"/>
    <n v="111.6"/>
    <n v="5.58"/>
    <n v="5.58"/>
    <s v="BONUS_CARD"/>
    <n v="29"/>
    <n v="1"/>
    <n v="6"/>
    <n v="106.02"/>
    <n v="13130001881"/>
  </r>
  <r>
    <x v="9"/>
    <d v="1899-12-30T17:59:23"/>
    <n v="2882"/>
    <n v="13002561"/>
    <n v="13"/>
    <n v="22589"/>
    <s v="Retail Sale"/>
    <n v="18"/>
    <n v="49190"/>
    <x v="48"/>
    <s v="Avesta"/>
    <s v="Novartis"/>
    <n v="3"/>
    <n v="465.01"/>
    <n v="640.41"/>
    <n v="64.040000000000006"/>
    <n v="64.040000000000006"/>
    <s v="BONUS_CARD"/>
    <n v="29"/>
    <n v="1"/>
    <n v="1"/>
    <n v="576.37"/>
    <n v="13130001882"/>
  </r>
  <r>
    <x v="6"/>
    <d v="1899-12-30T17:44:13"/>
    <n v="2883"/>
    <n v="13002561"/>
    <n v="13"/>
    <n v="22589"/>
    <s v="Retail Sale"/>
    <n v="18"/>
    <n v="51527"/>
    <x v="16"/>
    <s v="Grand Capital"/>
    <s v="Pfizer"/>
    <n v="1"/>
    <n v="391.45"/>
    <n v="650.92999999999995"/>
    <n v="0"/>
    <n v="0"/>
    <m/>
    <n v="29"/>
    <n v="1"/>
    <n v="1"/>
    <n v="650.92999999999995"/>
    <n v="13130001883"/>
  </r>
  <r>
    <x v="9"/>
    <d v="1899-12-30T09:48:13"/>
    <n v="2884"/>
    <n v="13002561"/>
    <n v="13"/>
    <n v="22589"/>
    <s v="Retail Sale"/>
    <n v="15"/>
    <n v="67429"/>
    <x v="34"/>
    <s v="Protek"/>
    <s v="Pfizer"/>
    <n v="3"/>
    <n v="238.66"/>
    <n v="397.46"/>
    <n v="19.87"/>
    <n v="19.87"/>
    <s v="BONUS_CARD"/>
    <n v="29"/>
    <n v="1"/>
    <n v="5"/>
    <n v="377.59"/>
    <n v="13130001884"/>
  </r>
  <r>
    <x v="25"/>
    <d v="1899-12-30T22:14:41"/>
    <n v="2885"/>
    <n v="13002561"/>
    <n v="13"/>
    <n v="22589"/>
    <s v="Retail Sale"/>
    <n v="15"/>
    <n v="17179"/>
    <x v="6"/>
    <s v="Pulse"/>
    <s v="Sanofi"/>
    <n v="1"/>
    <n v="44.99"/>
    <n v="69.59"/>
    <n v="3.48"/>
    <n v="3.48"/>
    <s v="BONUS_CARD"/>
    <n v="29"/>
    <n v="1"/>
    <n v="1"/>
    <n v="66.11"/>
    <n v="13130001885"/>
  </r>
  <r>
    <x v="7"/>
    <d v="1899-12-30T10:35:41"/>
    <n v="2886"/>
    <n v="13002561"/>
    <n v="13"/>
    <n v="22589"/>
    <s v="Retail Sale"/>
    <n v="15"/>
    <n v="53331"/>
    <x v="43"/>
    <s v="Protek"/>
    <s v="Takeda"/>
    <n v="2"/>
    <n v="346.93"/>
    <n v="577.96"/>
    <n v="57.8"/>
    <n v="57.8"/>
    <s v="BONUS_CARD"/>
    <n v="29"/>
    <n v="1"/>
    <n v="5"/>
    <n v="520.16"/>
    <n v="13130001886"/>
  </r>
  <r>
    <x v="6"/>
    <d v="1899-12-30T22:10:31"/>
    <n v="2887"/>
    <n v="13002561"/>
    <n v="13"/>
    <n v="22589"/>
    <s v="Retail Sale"/>
    <n v="18"/>
    <n v="91602"/>
    <x v="82"/>
    <s v="Pharmcomplect"/>
    <s v="TEVA"/>
    <n v="1"/>
    <n v="411.98"/>
    <n v="602.1"/>
    <n v="30.11"/>
    <n v="30.11"/>
    <s v="BONUS_CARD"/>
    <n v="29"/>
    <n v="1"/>
    <n v="6"/>
    <n v="571.99"/>
    <n v="13130001887"/>
  </r>
  <r>
    <x v="12"/>
    <d v="1899-12-30T15:32:27"/>
    <n v="2888"/>
    <n v="13002561"/>
    <n v="13"/>
    <n v="22589"/>
    <s v="Retail Sale"/>
    <n v="15"/>
    <n v="96005"/>
    <x v="6"/>
    <s v="Pulse"/>
    <s v="Novartis"/>
    <n v="3"/>
    <n v="39.22"/>
    <n v="52.15"/>
    <n v="5.21"/>
    <n v="5.21"/>
    <s v="BONUS_CARD"/>
    <n v="29"/>
    <n v="1"/>
    <n v="4"/>
    <n v="46.94"/>
    <n v="13130001888"/>
  </r>
  <r>
    <x v="25"/>
    <d v="1899-12-30T10:08:44"/>
    <n v="2889"/>
    <n v="13002561"/>
    <n v="13"/>
    <n v="22589"/>
    <s v="Retail Sale"/>
    <n v="18"/>
    <n v="58310"/>
    <x v="56"/>
    <s v="Grand Capital"/>
    <s v="TEVA"/>
    <n v="3"/>
    <n v="544.67999999999995"/>
    <n v="785.15"/>
    <n v="78.52"/>
    <n v="78.52"/>
    <s v="BONUS_CARD"/>
    <n v="29"/>
    <n v="1"/>
    <n v="2"/>
    <n v="706.63"/>
    <n v="13130001889"/>
  </r>
  <r>
    <x v="24"/>
    <d v="1899-12-30T19:46:35"/>
    <n v="2890"/>
    <n v="13002561"/>
    <n v="13"/>
    <n v="22589"/>
    <s v="Retail Sale"/>
    <n v="18"/>
    <n v="75047"/>
    <x v="54"/>
    <s v="Grand Capital"/>
    <s v="Sanofi"/>
    <n v="1"/>
    <n v="573.37"/>
    <n v="900.09"/>
    <n v="45"/>
    <n v="45"/>
    <s v="BONUS_CARD"/>
    <n v="29"/>
    <n v="1"/>
    <n v="5"/>
    <n v="855.09"/>
    <n v="13130001890"/>
  </r>
  <r>
    <x v="7"/>
    <d v="1899-12-30T17:24:40"/>
    <n v="2891"/>
    <n v="13002561"/>
    <n v="13"/>
    <n v="22589"/>
    <s v="Retail Sale"/>
    <n v="15"/>
    <n v="33038"/>
    <x v="59"/>
    <s v="Katren"/>
    <s v="KRKA"/>
    <n v="2"/>
    <n v="470.51"/>
    <n v="618.41999999999996"/>
    <n v="61.84"/>
    <n v="61.84"/>
    <s v="BONUS_CARD"/>
    <n v="29"/>
    <n v="1"/>
    <n v="6"/>
    <n v="556.58000000000004"/>
    <n v="13130001891"/>
  </r>
  <r>
    <x v="27"/>
    <d v="1899-12-30T09:44:52"/>
    <n v="2892"/>
    <n v="13002561"/>
    <n v="13"/>
    <n v="22589"/>
    <s v="Retail Sale"/>
    <n v="15"/>
    <n v="19380"/>
    <x v="65"/>
    <s v="Grand Capital"/>
    <s v="KRKA"/>
    <n v="1"/>
    <n v="30.09"/>
    <n v="51.14"/>
    <n v="5.1100000000000003"/>
    <n v="5.1100000000000003"/>
    <s v="BONUS_CARD"/>
    <n v="29"/>
    <n v="1"/>
    <n v="6"/>
    <n v="46.03"/>
    <n v="13130001892"/>
  </r>
  <r>
    <x v="9"/>
    <d v="1899-12-30T09:23:10"/>
    <n v="2893"/>
    <n v="13002561"/>
    <n v="13"/>
    <n v="22589"/>
    <s v="Retail Sale"/>
    <n v="15"/>
    <n v="13161"/>
    <x v="42"/>
    <s v="Katren"/>
    <s v="Bayer"/>
    <n v="2"/>
    <n v="118.09"/>
    <n v="162.97999999999999"/>
    <n v="16.3"/>
    <n v="16.3"/>
    <s v="BONUS_CARD"/>
    <n v="29"/>
    <n v="1"/>
    <n v="2"/>
    <n v="146.68"/>
    <n v="13130001893"/>
  </r>
  <r>
    <x v="2"/>
    <d v="1899-12-30T22:20:00"/>
    <n v="2894"/>
    <n v="13002561"/>
    <n v="13"/>
    <n v="22589"/>
    <s v="Retail Sale"/>
    <n v="18"/>
    <n v="96027"/>
    <x v="89"/>
    <s v="Katren"/>
    <s v="TEVA"/>
    <n v="1"/>
    <n v="152.32"/>
    <n v="220.74"/>
    <n v="0"/>
    <n v="0"/>
    <m/>
    <n v="29"/>
    <n v="1"/>
    <n v="3"/>
    <n v="220.74"/>
    <n v="13130001894"/>
  </r>
  <r>
    <x v="25"/>
    <d v="1899-12-30T18:13:14"/>
    <n v="2895"/>
    <n v="13002561"/>
    <n v="13"/>
    <n v="22589"/>
    <s v="Retail Sale"/>
    <n v="18"/>
    <n v="86376"/>
    <x v="55"/>
    <s v="Grand Capital"/>
    <s v="Takeda"/>
    <n v="2"/>
    <n v="341.63"/>
    <n v="494"/>
    <n v="0"/>
    <n v="0"/>
    <m/>
    <n v="29"/>
    <n v="1"/>
    <n v="2"/>
    <n v="494"/>
    <n v="13130001895"/>
  </r>
  <r>
    <x v="26"/>
    <d v="1899-12-30T13:34:36"/>
    <n v="2896"/>
    <n v="13002561"/>
    <n v="13"/>
    <n v="22589"/>
    <s v="Retail Sale"/>
    <n v="15"/>
    <n v="79059"/>
    <x v="36"/>
    <s v="Pharmcomplect"/>
    <s v="Novartis"/>
    <n v="3"/>
    <n v="391.13"/>
    <n v="494.45"/>
    <n v="24.72"/>
    <n v="24.72"/>
    <s v="BONUS_CARD"/>
    <n v="29"/>
    <n v="1"/>
    <n v="5"/>
    <n v="469.73"/>
    <n v="13130001896"/>
  </r>
  <r>
    <x v="22"/>
    <d v="1899-12-30T09:06:02"/>
    <n v="2897"/>
    <n v="13002561"/>
    <n v="13"/>
    <n v="22589"/>
    <s v="Retail Sale"/>
    <n v="15"/>
    <n v="18239"/>
    <x v="76"/>
    <s v="Pharmcomplect"/>
    <s v="TEVA"/>
    <n v="1"/>
    <n v="393.82"/>
    <n v="539.61"/>
    <n v="53.96"/>
    <n v="53.96"/>
    <s v="BONUS_CARD"/>
    <n v="29"/>
    <n v="1"/>
    <n v="2"/>
    <n v="485.65"/>
    <n v="13130001897"/>
  </r>
  <r>
    <x v="8"/>
    <d v="1899-12-30T22:04:33"/>
    <n v="2898"/>
    <n v="13002561"/>
    <n v="13"/>
    <n v="22589"/>
    <s v="Retail Sale"/>
    <n v="18"/>
    <n v="53754"/>
    <x v="53"/>
    <s v="Pharmcomplect"/>
    <s v="Novartis"/>
    <n v="3"/>
    <n v="372.19"/>
    <n v="623.32000000000005"/>
    <n v="62.33"/>
    <n v="62.33"/>
    <s v="BONUS_CARD"/>
    <n v="29"/>
    <n v="1"/>
    <n v="3"/>
    <n v="560.99"/>
    <n v="13130001898"/>
  </r>
  <r>
    <x v="21"/>
    <d v="1899-12-30T19:26:52"/>
    <n v="2899"/>
    <n v="13002561"/>
    <n v="13"/>
    <n v="22589"/>
    <s v="Retail Sale"/>
    <n v="18"/>
    <n v="93337"/>
    <x v="16"/>
    <s v="Pulse"/>
    <s v="Novartis"/>
    <n v="2"/>
    <n v="250.47"/>
    <n v="326.70999999999998"/>
    <n v="16.34"/>
    <n v="16.34"/>
    <s v="BONUS_CARD"/>
    <n v="29"/>
    <n v="1"/>
    <n v="2"/>
    <n v="310.37"/>
    <n v="13130001899"/>
  </r>
  <r>
    <x v="16"/>
    <d v="1899-12-30T10:55:12"/>
    <n v="2900"/>
    <n v="13002561"/>
    <n v="13"/>
    <n v="22589"/>
    <s v="Retail Sale"/>
    <n v="18"/>
    <n v="69775"/>
    <x v="45"/>
    <s v="Katren"/>
    <s v="Dr. Reddy's"/>
    <n v="3"/>
    <n v="302.98"/>
    <n v="428.85"/>
    <n v="21.44"/>
    <n v="21.44"/>
    <s v="BONUS_CARD"/>
    <n v="29"/>
    <n v="1"/>
    <n v="5"/>
    <n v="407.41"/>
    <n v="13130001900"/>
  </r>
  <r>
    <x v="21"/>
    <d v="1899-12-30T13:56:15"/>
    <n v="2901"/>
    <n v="13002561"/>
    <n v="13"/>
    <n v="22589"/>
    <s v="Retail Sale"/>
    <n v="15"/>
    <n v="49349"/>
    <x v="48"/>
    <s v="Katren"/>
    <s v="TEVA"/>
    <n v="1"/>
    <n v="353.87"/>
    <n v="454.22"/>
    <n v="0"/>
    <n v="0"/>
    <m/>
    <n v="29"/>
    <n v="1"/>
    <n v="1"/>
    <n v="454.22"/>
    <n v="13130001901"/>
  </r>
  <r>
    <x v="12"/>
    <d v="1899-12-30T10:20:48"/>
    <n v="2902"/>
    <n v="13002561"/>
    <n v="13"/>
    <n v="22589"/>
    <s v="Retail Sale"/>
    <n v="15"/>
    <n v="96841"/>
    <x v="76"/>
    <s v="Grand Capital"/>
    <s v="Bayer"/>
    <n v="3"/>
    <n v="87.91"/>
    <n v="142.03"/>
    <n v="0"/>
    <n v="0"/>
    <m/>
    <n v="29"/>
    <n v="1"/>
    <n v="1"/>
    <n v="142.03"/>
    <n v="13130001902"/>
  </r>
  <r>
    <x v="9"/>
    <d v="1899-12-30T13:17:21"/>
    <n v="2903"/>
    <n v="13002561"/>
    <n v="13"/>
    <n v="22589"/>
    <s v="Retail Sale"/>
    <n v="15"/>
    <n v="15779"/>
    <x v="35"/>
    <s v="Grand Capital"/>
    <s v="Takeda"/>
    <n v="3"/>
    <n v="172.23"/>
    <n v="250.81"/>
    <n v="12.54"/>
    <n v="12.54"/>
    <s v="BONUS_CARD"/>
    <n v="29"/>
    <n v="1"/>
    <n v="3"/>
    <n v="238.27"/>
    <n v="13130001903"/>
  </r>
  <r>
    <x v="14"/>
    <d v="1899-12-30T22:09:50"/>
    <n v="2904"/>
    <n v="13002561"/>
    <n v="13"/>
    <n v="22589"/>
    <s v="Retail Sale"/>
    <n v="18"/>
    <n v="70318"/>
    <x v="9"/>
    <s v="Katren"/>
    <s v="Takeda"/>
    <n v="1"/>
    <n v="77.650000000000006"/>
    <n v="102.53"/>
    <n v="10.25"/>
    <n v="10.25"/>
    <s v="BONUS_CARD"/>
    <n v="29"/>
    <n v="1"/>
    <n v="2"/>
    <n v="92.28"/>
    <n v="13130001904"/>
  </r>
  <r>
    <x v="3"/>
    <d v="1899-12-30T22:57:27"/>
    <n v="2905"/>
    <n v="13002561"/>
    <n v="13"/>
    <n v="22589"/>
    <s v="Retail Sale"/>
    <n v="18"/>
    <n v="71970"/>
    <x v="9"/>
    <s v="Protek"/>
    <s v="KRKA"/>
    <n v="1"/>
    <n v="312.51"/>
    <n v="423.55"/>
    <n v="21.18"/>
    <n v="21.18"/>
    <s v="BONUS_CARD"/>
    <n v="29"/>
    <n v="1"/>
    <n v="5"/>
    <n v="402.37"/>
    <n v="13130001905"/>
  </r>
  <r>
    <x v="6"/>
    <d v="1899-12-30T16:11:23"/>
    <n v="2906"/>
    <n v="13002561"/>
    <n v="13"/>
    <n v="22589"/>
    <s v="Retail Sale"/>
    <n v="15"/>
    <n v="60137"/>
    <x v="10"/>
    <s v="Grand Capital"/>
    <s v="Bayer"/>
    <n v="1"/>
    <n v="6.61"/>
    <n v="10.1"/>
    <n v="0"/>
    <n v="0"/>
    <m/>
    <n v="29"/>
    <n v="1"/>
    <n v="3"/>
    <n v="10.1"/>
    <n v="13130001906"/>
  </r>
  <r>
    <x v="14"/>
    <d v="1899-12-30T15:15:06"/>
    <n v="2907"/>
    <n v="13002561"/>
    <n v="13"/>
    <n v="22589"/>
    <s v="Retail Sale"/>
    <n v="15"/>
    <n v="63654"/>
    <x v="56"/>
    <s v="Grand Capital"/>
    <s v="Pfizer"/>
    <n v="3"/>
    <n v="280.19"/>
    <n v="397.26"/>
    <n v="39.729999999999997"/>
    <n v="39.729999999999997"/>
    <s v="BONUS_CARD"/>
    <n v="29"/>
    <n v="1"/>
    <n v="3"/>
    <n v="357.53"/>
    <n v="13130001907"/>
  </r>
  <r>
    <x v="30"/>
    <d v="1899-12-30T16:34:35"/>
    <n v="2908"/>
    <n v="13002561"/>
    <n v="13"/>
    <n v="22589"/>
    <s v="Retail Sale"/>
    <n v="15"/>
    <n v="61452"/>
    <x v="79"/>
    <s v="Grand Capital"/>
    <s v="TEVA"/>
    <n v="2"/>
    <n v="385.29"/>
    <n v="636.21"/>
    <n v="0"/>
    <n v="0"/>
    <m/>
    <n v="29"/>
    <n v="1"/>
    <n v="6"/>
    <n v="636.21"/>
    <n v="13130001908"/>
  </r>
  <r>
    <x v="4"/>
    <d v="1899-12-30T20:02:35"/>
    <n v="2909"/>
    <n v="13002561"/>
    <n v="13"/>
    <n v="22589"/>
    <s v="Retail Sale"/>
    <n v="18"/>
    <n v="91618"/>
    <x v="64"/>
    <s v="Pharmcomplect"/>
    <s v="Bayer"/>
    <n v="3"/>
    <n v="204.45"/>
    <n v="344.37"/>
    <n v="17.22"/>
    <n v="17.22"/>
    <s v="BONUS_CARD"/>
    <n v="29"/>
    <n v="1"/>
    <n v="4"/>
    <n v="327.14999999999998"/>
    <n v="13130001909"/>
  </r>
  <r>
    <x v="30"/>
    <d v="1899-12-30T19:01:48"/>
    <n v="2910"/>
    <n v="13002561"/>
    <n v="13"/>
    <n v="22589"/>
    <s v="Retail Sale"/>
    <n v="18"/>
    <n v="17253"/>
    <x v="51"/>
    <s v="Pulse"/>
    <s v="KRKA"/>
    <n v="1"/>
    <n v="246.99"/>
    <n v="350.13"/>
    <n v="17.510000000000002"/>
    <n v="17.510000000000002"/>
    <s v="BONUS_CARD"/>
    <n v="29"/>
    <n v="1"/>
    <n v="4"/>
    <n v="332.62"/>
    <n v="13130001910"/>
  </r>
  <r>
    <x v="17"/>
    <d v="1899-12-30T10:41:35"/>
    <n v="2911"/>
    <n v="13002561"/>
    <n v="13"/>
    <n v="22589"/>
    <s v="Retail Sale"/>
    <n v="18"/>
    <n v="62624"/>
    <x v="14"/>
    <s v="Grand Capital"/>
    <s v="Pfizer"/>
    <n v="2"/>
    <n v="45.63"/>
    <n v="71.989999999999995"/>
    <n v="0"/>
    <n v="0"/>
    <m/>
    <n v="29"/>
    <n v="1"/>
    <n v="2"/>
    <n v="71.989999999999995"/>
    <n v="13130001911"/>
  </r>
  <r>
    <x v="13"/>
    <d v="1899-12-30T17:48:22"/>
    <n v="2912"/>
    <n v="13002561"/>
    <n v="13"/>
    <n v="22589"/>
    <s v="Retail Sale"/>
    <n v="15"/>
    <n v="56699"/>
    <x v="60"/>
    <s v="Avesta"/>
    <s v="KRKA"/>
    <n v="3"/>
    <n v="267.55"/>
    <n v="349"/>
    <n v="17.45"/>
    <n v="17.45"/>
    <s v="BONUS_CARD"/>
    <n v="29"/>
    <n v="1"/>
    <n v="5"/>
    <n v="331.55"/>
    <n v="13130001912"/>
  </r>
  <r>
    <x v="22"/>
    <d v="1899-12-30T15:54:29"/>
    <n v="2913"/>
    <n v="13002561"/>
    <n v="13"/>
    <n v="22589"/>
    <s v="Retail Sale"/>
    <n v="15"/>
    <n v="82306"/>
    <x v="81"/>
    <s v="Pulse"/>
    <s v="Sanofi"/>
    <n v="1"/>
    <n v="201.24"/>
    <n v="284.70999999999998"/>
    <n v="28.47"/>
    <n v="28.47"/>
    <s v="BONUS_CARD"/>
    <n v="29"/>
    <n v="1"/>
    <n v="2"/>
    <n v="256.24"/>
    <n v="13130001913"/>
  </r>
  <r>
    <x v="19"/>
    <d v="1899-12-30T10:05:15"/>
    <n v="2914"/>
    <n v="13002561"/>
    <n v="13"/>
    <n v="22589"/>
    <s v="Retail Sale"/>
    <n v="15"/>
    <n v="68340"/>
    <x v="0"/>
    <s v="Protek"/>
    <s v="Pfizer"/>
    <n v="1"/>
    <n v="36.82"/>
    <n v="59.17"/>
    <n v="0"/>
    <n v="0"/>
    <m/>
    <n v="29"/>
    <n v="1"/>
    <n v="3"/>
    <n v="59.17"/>
    <n v="13130001914"/>
  </r>
  <r>
    <x v="14"/>
    <d v="1899-12-30T22:35:07"/>
    <n v="2915"/>
    <n v="13002561"/>
    <n v="13"/>
    <n v="22589"/>
    <s v="Retail Sale"/>
    <n v="18"/>
    <n v="43390"/>
    <x v="6"/>
    <s v="Pharmcomplect"/>
    <s v="Bayer"/>
    <n v="1"/>
    <n v="146.11000000000001"/>
    <n v="190.56"/>
    <n v="9.5299999999999994"/>
    <n v="9.5299999999999994"/>
    <s v="BONUS_CARD"/>
    <n v="29"/>
    <n v="1"/>
    <n v="4"/>
    <n v="181.03"/>
    <n v="13130001915"/>
  </r>
  <r>
    <x v="10"/>
    <d v="1899-12-30T21:45:48"/>
    <n v="2916"/>
    <n v="13002561"/>
    <n v="13"/>
    <n v="22589"/>
    <s v="Retail Sale"/>
    <n v="15"/>
    <n v="85991"/>
    <x v="28"/>
    <s v="Grand Capital"/>
    <s v="Bayer"/>
    <n v="1"/>
    <n v="417.05"/>
    <n v="591.73"/>
    <n v="29.59"/>
    <n v="29.59"/>
    <s v="BONUS_CARD"/>
    <n v="29"/>
    <n v="1"/>
    <n v="4"/>
    <n v="562.14"/>
    <n v="13130001916"/>
  </r>
  <r>
    <x v="0"/>
    <d v="1899-12-30T10:08:22"/>
    <n v="2917"/>
    <n v="13002561"/>
    <n v="13"/>
    <n v="22589"/>
    <s v="Retail Sale"/>
    <n v="18"/>
    <n v="45833"/>
    <x v="38"/>
    <s v="Pulse"/>
    <s v="Takeda"/>
    <n v="3"/>
    <n v="84.31"/>
    <n v="136.25"/>
    <n v="13.62"/>
    <n v="13.62"/>
    <s v="BONUS_CARD"/>
    <n v="29"/>
    <n v="1"/>
    <n v="2"/>
    <n v="122.63"/>
    <n v="13130001917"/>
  </r>
  <r>
    <x v="23"/>
    <d v="1899-12-30T11:03:21"/>
    <n v="2918"/>
    <n v="13002561"/>
    <n v="13"/>
    <n v="22589"/>
    <s v="Retail Sale"/>
    <n v="15"/>
    <n v="44708"/>
    <x v="57"/>
    <s v="Avesta"/>
    <s v="Novartis"/>
    <n v="3"/>
    <n v="83.27"/>
    <n v="130.83000000000001"/>
    <n v="6.54"/>
    <n v="6.54"/>
    <s v="BONUS_CARD"/>
    <n v="29"/>
    <n v="1"/>
    <n v="2"/>
    <n v="124.29"/>
    <n v="13130001918"/>
  </r>
  <r>
    <x v="12"/>
    <d v="1899-12-30T09:49:24"/>
    <n v="2919"/>
    <n v="13002561"/>
    <n v="13"/>
    <n v="22589"/>
    <s v="Retail Sale"/>
    <n v="15"/>
    <n v="15120"/>
    <x v="2"/>
    <s v="Katren"/>
    <s v="Bayer"/>
    <n v="1"/>
    <n v="222.97"/>
    <n v="288.41000000000003"/>
    <n v="0"/>
    <n v="0"/>
    <m/>
    <n v="29"/>
    <n v="1"/>
    <n v="2"/>
    <n v="288.41000000000003"/>
    <n v="13130001919"/>
  </r>
  <r>
    <x v="10"/>
    <d v="1899-12-30T17:24:29"/>
    <n v="2920"/>
    <n v="13002561"/>
    <n v="13"/>
    <n v="22589"/>
    <s v="Retail Sale"/>
    <n v="15"/>
    <n v="67086"/>
    <x v="6"/>
    <s v="Katren"/>
    <s v="KRKA"/>
    <n v="1"/>
    <n v="205.08"/>
    <n v="320.92"/>
    <n v="0"/>
    <n v="0"/>
    <m/>
    <n v="29"/>
    <n v="1"/>
    <n v="3"/>
    <n v="320.92"/>
    <n v="13130001920"/>
  </r>
  <r>
    <x v="20"/>
    <d v="1899-12-30T20:29:16"/>
    <n v="2921"/>
    <n v="13002561"/>
    <n v="13"/>
    <n v="22589"/>
    <s v="Retail Sale"/>
    <n v="15"/>
    <n v="78246"/>
    <x v="10"/>
    <s v="Pulse"/>
    <s v="TEVA"/>
    <n v="1"/>
    <n v="586.36"/>
    <n v="863.21"/>
    <n v="86.32"/>
    <n v="86.32"/>
    <s v="BONUS_CARD"/>
    <n v="29"/>
    <n v="1"/>
    <n v="6"/>
    <n v="776.89"/>
    <n v="13130001921"/>
  </r>
  <r>
    <x v="16"/>
    <d v="1899-12-30T18:32:55"/>
    <n v="2922"/>
    <n v="13002561"/>
    <n v="13"/>
    <n v="22589"/>
    <s v="Retail Sale"/>
    <n v="15"/>
    <n v="62642"/>
    <x v="13"/>
    <s v="Grand Capital"/>
    <s v="Novartis"/>
    <n v="3"/>
    <n v="118.61"/>
    <n v="185.66"/>
    <n v="9.2799999999999994"/>
    <n v="9.2799999999999994"/>
    <s v="BONUS_CARD"/>
    <n v="29"/>
    <n v="1"/>
    <n v="2"/>
    <n v="176.38"/>
    <n v="13130001922"/>
  </r>
  <r>
    <x v="13"/>
    <d v="1899-12-30T08:19:41"/>
    <n v="2923"/>
    <n v="13002561"/>
    <n v="13"/>
    <n v="22589"/>
    <s v="Retail Sale"/>
    <n v="18"/>
    <n v="54427"/>
    <x v="51"/>
    <s v="Protek"/>
    <s v="Takeda"/>
    <n v="1"/>
    <n v="432.75"/>
    <n v="654.22"/>
    <n v="0"/>
    <n v="0"/>
    <m/>
    <n v="29"/>
    <n v="1"/>
    <n v="4"/>
    <n v="654.22"/>
    <n v="13130001923"/>
  </r>
  <r>
    <x v="28"/>
    <d v="1899-12-30T08:00:29"/>
    <n v="2924"/>
    <n v="13002561"/>
    <n v="13"/>
    <n v="22589"/>
    <s v="Retail Sale"/>
    <n v="18"/>
    <n v="42849"/>
    <x v="16"/>
    <s v="Protek"/>
    <s v="KRKA"/>
    <n v="1"/>
    <n v="423.71"/>
    <n v="542.48"/>
    <n v="27.12"/>
    <n v="27.12"/>
    <s v="BONUS_CARD"/>
    <n v="29"/>
    <n v="1"/>
    <n v="3"/>
    <n v="515.36"/>
    <n v="13130001924"/>
  </r>
  <r>
    <x v="6"/>
    <d v="1899-12-30T10:35:48"/>
    <n v="2925"/>
    <n v="13002561"/>
    <n v="13"/>
    <n v="22589"/>
    <s v="Retail Sale"/>
    <n v="18"/>
    <n v="81189"/>
    <x v="65"/>
    <s v="Grand Capital"/>
    <s v="Takeda"/>
    <n v="3"/>
    <n v="426.71"/>
    <n v="579.66999999999996"/>
    <n v="0"/>
    <n v="0"/>
    <m/>
    <n v="29"/>
    <n v="1"/>
    <n v="1"/>
    <n v="579.66999999999996"/>
    <n v="13130001925"/>
  </r>
  <r>
    <x v="7"/>
    <d v="1899-12-30T21:56:23"/>
    <n v="2926"/>
    <n v="13002561"/>
    <n v="13"/>
    <n v="22589"/>
    <s v="Retail Sale"/>
    <n v="15"/>
    <n v="57835"/>
    <x v="38"/>
    <s v="Pulse"/>
    <s v="Takeda"/>
    <n v="3"/>
    <n v="393.25"/>
    <n v="563.70000000000005"/>
    <n v="0"/>
    <n v="0"/>
    <m/>
    <n v="29"/>
    <n v="1"/>
    <n v="1"/>
    <n v="563.70000000000005"/>
    <n v="13130001926"/>
  </r>
  <r>
    <x v="7"/>
    <d v="1899-12-30T14:15:09"/>
    <n v="2927"/>
    <n v="13002561"/>
    <n v="13"/>
    <n v="22589"/>
    <s v="Retail Sale"/>
    <n v="15"/>
    <n v="46981"/>
    <x v="47"/>
    <s v="Grand Capital"/>
    <s v="Bayer"/>
    <n v="1"/>
    <n v="52.33"/>
    <n v="78.819999999999993"/>
    <n v="7.88"/>
    <n v="7.88"/>
    <s v="BONUS_CARD"/>
    <n v="29"/>
    <n v="1"/>
    <n v="1"/>
    <n v="70.94"/>
    <n v="13130001927"/>
  </r>
  <r>
    <x v="9"/>
    <d v="1899-12-30T15:46:22"/>
    <n v="2928"/>
    <n v="13002561"/>
    <n v="13"/>
    <n v="22589"/>
    <s v="Retail Sale"/>
    <n v="18"/>
    <n v="53673"/>
    <x v="70"/>
    <s v="Grand Capital"/>
    <s v="Sanofi"/>
    <n v="2"/>
    <n v="258.29000000000002"/>
    <n v="381.55"/>
    <n v="19.079999999999998"/>
    <n v="19.079999999999998"/>
    <s v="BONUS_CARD"/>
    <n v="29"/>
    <n v="1"/>
    <n v="3"/>
    <n v="362.47"/>
    <n v="13130001928"/>
  </r>
  <r>
    <x v="10"/>
    <d v="1899-12-30T13:31:20"/>
    <n v="2929"/>
    <n v="13002561"/>
    <n v="13"/>
    <n v="22589"/>
    <s v="Retail Sale"/>
    <n v="15"/>
    <n v="65572"/>
    <x v="74"/>
    <s v="Pharmcomplect"/>
    <s v="Takeda"/>
    <n v="3"/>
    <n v="562.26"/>
    <n v="770.91"/>
    <n v="0"/>
    <n v="0"/>
    <m/>
    <n v="29"/>
    <n v="1"/>
    <n v="3"/>
    <n v="770.91"/>
    <n v="13130001929"/>
  </r>
  <r>
    <x v="6"/>
    <d v="1899-12-30T20:42:24"/>
    <n v="2930"/>
    <n v="13002561"/>
    <n v="13"/>
    <n v="22589"/>
    <s v="Retail Sale"/>
    <n v="15"/>
    <n v="99509"/>
    <x v="74"/>
    <s v="Avesta"/>
    <s v="Novartis"/>
    <n v="1"/>
    <n v="464.85"/>
    <n v="648.83000000000004"/>
    <n v="64.88"/>
    <n v="64.88"/>
    <s v="BONUS_CARD"/>
    <n v="29"/>
    <n v="1"/>
    <n v="6"/>
    <n v="583.95000000000005"/>
    <n v="13130001930"/>
  </r>
  <r>
    <x v="8"/>
    <d v="1899-12-30T14:38:48"/>
    <n v="2931"/>
    <n v="13002561"/>
    <n v="13"/>
    <n v="22589"/>
    <s v="Retail Sale"/>
    <n v="15"/>
    <n v="43003"/>
    <x v="0"/>
    <s v="Pulse"/>
    <s v="TEVA"/>
    <n v="1"/>
    <n v="333.05"/>
    <n v="555.38"/>
    <n v="0"/>
    <n v="0"/>
    <m/>
    <n v="29"/>
    <n v="1"/>
    <n v="6"/>
    <n v="555.38"/>
    <n v="13130001931"/>
  </r>
  <r>
    <x v="26"/>
    <d v="1899-12-30T16:12:18"/>
    <n v="2932"/>
    <n v="13002561"/>
    <n v="13"/>
    <n v="22589"/>
    <s v="Retail Sale"/>
    <n v="18"/>
    <n v="90796"/>
    <x v="22"/>
    <s v="Pulse"/>
    <s v="Dr. Reddy's"/>
    <n v="1"/>
    <n v="48.65"/>
    <n v="80.5"/>
    <n v="8.0500000000000007"/>
    <n v="8.0500000000000007"/>
    <s v="BONUS_CARD"/>
    <n v="29"/>
    <n v="1"/>
    <n v="5"/>
    <n v="72.45"/>
    <n v="13130001932"/>
  </r>
  <r>
    <x v="6"/>
    <d v="1899-12-30T08:02:01"/>
    <n v="2933"/>
    <n v="13002561"/>
    <n v="13"/>
    <n v="22589"/>
    <s v="Retail Sale"/>
    <n v="18"/>
    <n v="50296"/>
    <x v="60"/>
    <s v="Katren"/>
    <s v="Bayer"/>
    <n v="1"/>
    <n v="582.66"/>
    <n v="935.18"/>
    <n v="0"/>
    <n v="0"/>
    <m/>
    <n v="29"/>
    <n v="1"/>
    <n v="4"/>
    <n v="935.18"/>
    <n v="13130001933"/>
  </r>
  <r>
    <x v="27"/>
    <d v="1899-12-30T18:49:12"/>
    <n v="2934"/>
    <n v="13002561"/>
    <n v="13"/>
    <n v="22589"/>
    <s v="Retail Sale"/>
    <n v="18"/>
    <n v="76309"/>
    <x v="15"/>
    <s v="Pulse"/>
    <s v="Dr. Reddy's"/>
    <n v="3"/>
    <n v="223.67"/>
    <n v="328.46"/>
    <n v="16.420000000000002"/>
    <n v="16.420000000000002"/>
    <s v="BONUS_CARD"/>
    <n v="29"/>
    <n v="1"/>
    <n v="2"/>
    <n v="312.04000000000002"/>
    <n v="13130001934"/>
  </r>
  <r>
    <x v="30"/>
    <d v="1899-12-30T13:15:50"/>
    <n v="2935"/>
    <n v="13002561"/>
    <n v="13"/>
    <n v="22589"/>
    <s v="Retail Sale"/>
    <n v="18"/>
    <n v="89227"/>
    <x v="24"/>
    <s v="Pulse"/>
    <s v="Sanofi"/>
    <n v="2"/>
    <n v="507.55"/>
    <n v="772.1"/>
    <n v="38.61"/>
    <n v="38.61"/>
    <s v="BONUS_CARD"/>
    <n v="29"/>
    <n v="1"/>
    <n v="2"/>
    <n v="733.49"/>
    <n v="13130001935"/>
  </r>
  <r>
    <x v="16"/>
    <d v="1899-12-30T11:19:20"/>
    <n v="2936"/>
    <n v="13002561"/>
    <n v="13"/>
    <n v="22589"/>
    <s v="Retail Sale"/>
    <n v="18"/>
    <n v="63035"/>
    <x v="22"/>
    <s v="Grand Capital"/>
    <s v="Takeda"/>
    <n v="1"/>
    <n v="262.51"/>
    <n v="443.07"/>
    <n v="44.31"/>
    <n v="44.31"/>
    <s v="BONUS_CARD"/>
    <n v="29"/>
    <n v="1"/>
    <n v="2"/>
    <n v="398.76"/>
    <n v="13130001936"/>
  </r>
  <r>
    <x v="6"/>
    <d v="1899-12-30T08:20:02"/>
    <n v="2937"/>
    <n v="13002561"/>
    <n v="13"/>
    <n v="22589"/>
    <s v="Retail Sale"/>
    <n v="18"/>
    <n v="46838"/>
    <x v="78"/>
    <s v="Pharmcomplect"/>
    <s v="Takeda"/>
    <n v="3"/>
    <n v="405.63"/>
    <n v="654.73"/>
    <n v="0"/>
    <n v="0"/>
    <m/>
    <n v="29"/>
    <n v="1"/>
    <n v="1"/>
    <n v="654.73"/>
    <n v="13130001937"/>
  </r>
  <r>
    <x v="1"/>
    <d v="1899-12-30T12:07:50"/>
    <n v="2938"/>
    <n v="13002561"/>
    <n v="13"/>
    <n v="22589"/>
    <s v="Retail Sale"/>
    <n v="18"/>
    <n v="52994"/>
    <x v="24"/>
    <s v="Protek"/>
    <s v="Takeda"/>
    <n v="1"/>
    <n v="100.14"/>
    <n v="159.08000000000001"/>
    <n v="0"/>
    <n v="0"/>
    <m/>
    <n v="29"/>
    <n v="1"/>
    <n v="6"/>
    <n v="159.08000000000001"/>
    <n v="13130001938"/>
  </r>
  <r>
    <x v="3"/>
    <d v="1899-12-30T21:11:59"/>
    <n v="2939"/>
    <n v="13002561"/>
    <n v="13"/>
    <n v="22589"/>
    <s v="Retail Sale"/>
    <n v="18"/>
    <n v="88381"/>
    <x v="9"/>
    <s v="Pulse"/>
    <s v="Takeda"/>
    <n v="2"/>
    <n v="576.16"/>
    <n v="858.63"/>
    <n v="85.86"/>
    <n v="85.86"/>
    <s v="BONUS_CARD"/>
    <n v="29"/>
    <n v="1"/>
    <n v="4"/>
    <n v="772.77"/>
    <n v="13130001939"/>
  </r>
  <r>
    <x v="23"/>
    <d v="1899-12-30T09:06:39"/>
    <n v="2940"/>
    <n v="13002561"/>
    <n v="13"/>
    <n v="22589"/>
    <s v="Retail Sale"/>
    <n v="15"/>
    <n v="68011"/>
    <x v="36"/>
    <s v="Grand Capital"/>
    <s v="Novartis"/>
    <n v="2"/>
    <n v="433.3"/>
    <n v="697.3"/>
    <n v="69.73"/>
    <n v="69.73"/>
    <s v="BONUS_CARD"/>
    <n v="29"/>
    <n v="1"/>
    <n v="2"/>
    <n v="627.57000000000005"/>
    <n v="13130001940"/>
  </r>
  <r>
    <x v="29"/>
    <d v="1899-12-30T20:43:39"/>
    <n v="2941"/>
    <n v="13002561"/>
    <n v="13"/>
    <n v="22589"/>
    <s v="Retail Sale"/>
    <n v="18"/>
    <n v="72507"/>
    <x v="71"/>
    <s v="Avesta"/>
    <s v="Takeda"/>
    <n v="2"/>
    <n v="286.60000000000002"/>
    <n v="415.32"/>
    <n v="20.77"/>
    <n v="20.77"/>
    <s v="BONUS_CARD"/>
    <n v="29"/>
    <n v="1"/>
    <n v="1"/>
    <n v="394.55"/>
    <n v="13130001941"/>
  </r>
  <r>
    <x v="8"/>
    <d v="1899-12-30T17:21:20"/>
    <n v="2942"/>
    <n v="13002561"/>
    <n v="13"/>
    <n v="22589"/>
    <s v="Retail Sale"/>
    <n v="15"/>
    <n v="57357"/>
    <x v="20"/>
    <s v="Protek"/>
    <s v="Dr. Reddy's"/>
    <n v="1"/>
    <n v="422.07"/>
    <n v="620.04999999999995"/>
    <n v="62"/>
    <n v="62"/>
    <s v="BONUS_CARD"/>
    <n v="29"/>
    <n v="1"/>
    <n v="4"/>
    <n v="558.04999999999995"/>
    <n v="13130001942"/>
  </r>
  <r>
    <x v="14"/>
    <d v="1899-12-30T21:27:49"/>
    <n v="2943"/>
    <n v="13002561"/>
    <n v="13"/>
    <n v="22589"/>
    <s v="Retail Sale"/>
    <n v="15"/>
    <n v="71399"/>
    <x v="39"/>
    <s v="Katren"/>
    <s v="Bayer"/>
    <n v="1"/>
    <n v="80.87"/>
    <n v="102.75"/>
    <n v="5.14"/>
    <n v="5.14"/>
    <s v="BONUS_CARD"/>
    <n v="29"/>
    <n v="1"/>
    <n v="1"/>
    <n v="97.61"/>
    <n v="13130001943"/>
  </r>
  <r>
    <x v="25"/>
    <d v="1899-12-30T09:51:45"/>
    <n v="2944"/>
    <n v="13002561"/>
    <n v="13"/>
    <n v="22589"/>
    <s v="Retail Sale"/>
    <n v="18"/>
    <n v="14454"/>
    <x v="58"/>
    <s v="Pulse"/>
    <s v="Bayer"/>
    <n v="2"/>
    <n v="518.51"/>
    <n v="833.17"/>
    <n v="0"/>
    <n v="0"/>
    <m/>
    <n v="29"/>
    <n v="1"/>
    <n v="2"/>
    <n v="833.17"/>
    <n v="13130001944"/>
  </r>
  <r>
    <x v="16"/>
    <d v="1899-12-30T10:56:18"/>
    <n v="2945"/>
    <n v="13002561"/>
    <n v="13"/>
    <n v="22589"/>
    <s v="Retail Sale"/>
    <n v="15"/>
    <n v="29435"/>
    <x v="57"/>
    <s v="Grand Capital"/>
    <s v="Bayer"/>
    <n v="3"/>
    <n v="532.22"/>
    <n v="707.22"/>
    <n v="0"/>
    <n v="0"/>
    <m/>
    <n v="29"/>
    <n v="1"/>
    <n v="5"/>
    <n v="707.22"/>
    <n v="13130001945"/>
  </r>
  <r>
    <x v="21"/>
    <d v="1899-12-30T13:17:02"/>
    <n v="2946"/>
    <n v="13002561"/>
    <n v="13"/>
    <n v="22589"/>
    <s v="Retail Sale"/>
    <n v="15"/>
    <n v="74748"/>
    <x v="15"/>
    <s v="Protek"/>
    <s v="Takeda"/>
    <n v="2"/>
    <n v="250.44"/>
    <n v="414.21"/>
    <n v="0"/>
    <n v="0"/>
    <m/>
    <n v="29"/>
    <n v="1"/>
    <n v="5"/>
    <n v="414.21"/>
    <n v="13130001946"/>
  </r>
  <r>
    <x v="10"/>
    <d v="1899-12-30T20:17:46"/>
    <n v="2947"/>
    <n v="13002561"/>
    <n v="13"/>
    <n v="22589"/>
    <s v="Retail Sale"/>
    <n v="18"/>
    <n v="16718"/>
    <x v="3"/>
    <s v="Pharmcomplect"/>
    <s v="TEVA"/>
    <n v="1"/>
    <n v="579.49"/>
    <n v="880.92"/>
    <n v="44.05"/>
    <n v="44.05"/>
    <s v="BONUS_CARD"/>
    <n v="29"/>
    <n v="1"/>
    <n v="5"/>
    <n v="836.87"/>
    <n v="13130001947"/>
  </r>
  <r>
    <x v="25"/>
    <d v="1899-12-30T08:15:29"/>
    <n v="2948"/>
    <n v="13002561"/>
    <n v="13"/>
    <n v="22589"/>
    <s v="Retail Sale"/>
    <n v="18"/>
    <n v="62309"/>
    <x v="75"/>
    <s v="Avesta"/>
    <s v="Novartis"/>
    <n v="1"/>
    <n v="409.69"/>
    <n v="586.64"/>
    <n v="29.33"/>
    <n v="29.33"/>
    <s v="BONUS_CARD"/>
    <n v="29"/>
    <n v="1"/>
    <n v="5"/>
    <n v="557.30999999999995"/>
    <n v="13130001948"/>
  </r>
  <r>
    <x v="9"/>
    <d v="1899-12-30T14:12:41"/>
    <n v="2949"/>
    <n v="13002561"/>
    <n v="13"/>
    <n v="22589"/>
    <s v="Retail Sale"/>
    <n v="18"/>
    <n v="34450"/>
    <x v="52"/>
    <s v="Katren"/>
    <s v="Bayer"/>
    <n v="3"/>
    <n v="528.4"/>
    <n v="802.7"/>
    <n v="40.14"/>
    <n v="40.14"/>
    <s v="BONUS_CARD"/>
    <n v="29"/>
    <n v="1"/>
    <n v="6"/>
    <n v="762.56"/>
    <n v="13130001949"/>
  </r>
  <r>
    <x v="22"/>
    <d v="1899-12-30T18:20:17"/>
    <n v="2950"/>
    <n v="13002561"/>
    <n v="13"/>
    <n v="22589"/>
    <s v="Retail Sale"/>
    <n v="18"/>
    <n v="24709"/>
    <x v="58"/>
    <s v="Pharmcomplect"/>
    <s v="Bayer"/>
    <n v="3"/>
    <n v="358.18"/>
    <n v="587.36"/>
    <n v="29.37"/>
    <n v="29.37"/>
    <s v="BONUS_CARD"/>
    <n v="29"/>
    <n v="1"/>
    <n v="2"/>
    <n v="557.99"/>
    <n v="13130001950"/>
  </r>
  <r>
    <x v="29"/>
    <d v="1899-12-30T15:16:34"/>
    <n v="2951"/>
    <n v="13002561"/>
    <n v="13"/>
    <n v="22589"/>
    <s v="Retail Sale"/>
    <n v="15"/>
    <n v="39829"/>
    <x v="2"/>
    <s v="Grand Capital"/>
    <s v="Dr. Reddy's"/>
    <n v="1"/>
    <n v="563.6"/>
    <n v="862.52"/>
    <n v="43.13"/>
    <n v="43.13"/>
    <s v="BONUS_CARD"/>
    <n v="29"/>
    <n v="1"/>
    <n v="4"/>
    <n v="819.39"/>
    <n v="13130001951"/>
  </r>
  <r>
    <x v="8"/>
    <d v="1899-12-30T10:42:10"/>
    <n v="2952"/>
    <n v="13002561"/>
    <n v="13"/>
    <n v="22589"/>
    <s v="Retail Sale"/>
    <n v="18"/>
    <n v="28943"/>
    <x v="75"/>
    <s v="Protek"/>
    <s v="Bayer"/>
    <n v="2"/>
    <n v="165.04"/>
    <n v="267.37"/>
    <n v="13.37"/>
    <n v="13.37"/>
    <s v="BONUS_CARD"/>
    <n v="29"/>
    <n v="1"/>
    <n v="2"/>
    <n v="254"/>
    <n v="13130001952"/>
  </r>
  <r>
    <x v="27"/>
    <d v="1899-12-30T08:01:41"/>
    <n v="2953"/>
    <n v="13002561"/>
    <n v="13"/>
    <n v="22589"/>
    <s v="Retail Sale"/>
    <n v="18"/>
    <n v="29051"/>
    <x v="11"/>
    <s v="Pulse"/>
    <s v="Sanofi"/>
    <n v="3"/>
    <n v="250.92"/>
    <n v="358.52"/>
    <n v="0"/>
    <n v="0"/>
    <m/>
    <n v="29"/>
    <n v="1"/>
    <n v="4"/>
    <n v="358.52"/>
    <n v="13130001953"/>
  </r>
  <r>
    <x v="16"/>
    <d v="1899-12-30T10:05:12"/>
    <n v="2954"/>
    <n v="13002561"/>
    <n v="13"/>
    <n v="22589"/>
    <s v="Retail Sale"/>
    <n v="15"/>
    <n v="17305"/>
    <x v="16"/>
    <s v="Avesta"/>
    <s v="Pfizer"/>
    <n v="2"/>
    <n v="364.87"/>
    <n v="549.01"/>
    <n v="27.45"/>
    <n v="27.45"/>
    <s v="BONUS_CARD"/>
    <n v="29"/>
    <n v="1"/>
    <n v="2"/>
    <n v="521.55999999999995"/>
    <n v="13130001954"/>
  </r>
  <r>
    <x v="19"/>
    <d v="1899-12-30T12:00:21"/>
    <n v="2955"/>
    <n v="13002561"/>
    <n v="13"/>
    <n v="22589"/>
    <s v="Retail Sale"/>
    <n v="18"/>
    <n v="56868"/>
    <x v="81"/>
    <s v="Pulse"/>
    <s v="Pfizer"/>
    <n v="2"/>
    <n v="453.24"/>
    <n v="633.63"/>
    <n v="63.36"/>
    <n v="63.36"/>
    <s v="BONUS_CARD"/>
    <n v="29"/>
    <n v="1"/>
    <n v="1"/>
    <n v="570.27"/>
    <n v="13130001955"/>
  </r>
  <r>
    <x v="25"/>
    <d v="1899-12-30T22:54:12"/>
    <n v="2956"/>
    <n v="13002561"/>
    <n v="13"/>
    <n v="22589"/>
    <s v="Retail Sale"/>
    <n v="15"/>
    <n v="38972"/>
    <x v="52"/>
    <s v="Pulse"/>
    <s v="Bayer"/>
    <n v="2"/>
    <n v="248.31"/>
    <n v="368.99"/>
    <n v="18.45"/>
    <n v="18.45"/>
    <s v="BONUS_CARD"/>
    <n v="29"/>
    <n v="1"/>
    <n v="5"/>
    <n v="350.54"/>
    <n v="13130001956"/>
  </r>
  <r>
    <x v="30"/>
    <d v="1899-12-30T21:01:24"/>
    <n v="2957"/>
    <n v="13002561"/>
    <n v="13"/>
    <n v="22589"/>
    <s v="Retail Sale"/>
    <n v="18"/>
    <n v="15268"/>
    <x v="63"/>
    <s v="Katren"/>
    <s v="TEVA"/>
    <n v="3"/>
    <n v="341.58"/>
    <n v="471.66"/>
    <n v="23.58"/>
    <n v="23.58"/>
    <s v="BONUS_CARD"/>
    <n v="29"/>
    <n v="1"/>
    <n v="3"/>
    <n v="448.08"/>
    <n v="13130001957"/>
  </r>
  <r>
    <x v="20"/>
    <d v="1899-12-30T18:25:18"/>
    <n v="2958"/>
    <n v="13002561"/>
    <n v="13"/>
    <n v="22589"/>
    <s v="Retail Sale"/>
    <n v="15"/>
    <n v="44590"/>
    <x v="73"/>
    <s v="Pulse"/>
    <s v="Novartis"/>
    <n v="2"/>
    <n v="81.67"/>
    <n v="117.78"/>
    <n v="11.78"/>
    <n v="11.78"/>
    <s v="BONUS_CARD"/>
    <n v="29"/>
    <n v="1"/>
    <n v="4"/>
    <n v="106"/>
    <n v="13130001958"/>
  </r>
  <r>
    <x v="8"/>
    <d v="1899-12-30T22:00:44"/>
    <n v="2959"/>
    <n v="13002561"/>
    <n v="13"/>
    <n v="22589"/>
    <s v="Retail Sale"/>
    <n v="15"/>
    <n v="68137"/>
    <x v="54"/>
    <s v="Protek"/>
    <s v="Novartis"/>
    <n v="2"/>
    <n v="192.24"/>
    <n v="297.7"/>
    <n v="0"/>
    <n v="0"/>
    <m/>
    <n v="29"/>
    <n v="1"/>
    <n v="6"/>
    <n v="297.7"/>
    <n v="13130001959"/>
  </r>
  <r>
    <x v="26"/>
    <d v="1899-12-30T20:09:45"/>
    <n v="2960"/>
    <n v="13002561"/>
    <n v="13"/>
    <n v="22589"/>
    <s v="Retail Sale"/>
    <n v="18"/>
    <n v="87735"/>
    <x v="58"/>
    <s v="Pharmcomplect"/>
    <s v="Sanofi"/>
    <n v="1"/>
    <n v="84.92"/>
    <n v="128.79"/>
    <n v="0"/>
    <n v="0"/>
    <m/>
    <n v="29"/>
    <n v="1"/>
    <n v="5"/>
    <n v="128.79"/>
    <n v="13130001960"/>
  </r>
  <r>
    <x v="29"/>
    <d v="1899-12-30T10:46:32"/>
    <n v="2961"/>
    <n v="13002561"/>
    <n v="13"/>
    <n v="22589"/>
    <s v="Retail Sale"/>
    <n v="18"/>
    <n v="59440"/>
    <x v="60"/>
    <s v="Pharmcomplect"/>
    <s v="TEVA"/>
    <n v="1"/>
    <n v="474.87"/>
    <n v="687.4"/>
    <n v="68.739999999999995"/>
    <n v="68.739999999999995"/>
    <s v="BONUS_CARD"/>
    <n v="29"/>
    <n v="1"/>
    <n v="5"/>
    <n v="618.66"/>
    <n v="13130001961"/>
  </r>
  <r>
    <x v="20"/>
    <d v="1899-12-30T11:02:27"/>
    <n v="2962"/>
    <n v="13002561"/>
    <n v="13"/>
    <n v="22589"/>
    <s v="Retail Sale"/>
    <n v="18"/>
    <n v="83903"/>
    <x v="15"/>
    <s v="Protek"/>
    <s v="Novartis"/>
    <n v="1"/>
    <n v="495.66"/>
    <n v="720.59"/>
    <n v="72.06"/>
    <n v="72.06"/>
    <s v="BONUS_CARD"/>
    <n v="29"/>
    <n v="1"/>
    <n v="6"/>
    <n v="648.53"/>
    <n v="13130001962"/>
  </r>
  <r>
    <x v="24"/>
    <d v="1899-12-30T10:52:28"/>
    <n v="2963"/>
    <n v="13002561"/>
    <n v="13"/>
    <n v="22589"/>
    <s v="Retail Sale"/>
    <n v="18"/>
    <n v="96054"/>
    <x v="89"/>
    <s v="Pulse"/>
    <s v="KRKA"/>
    <n v="1"/>
    <n v="373.93"/>
    <n v="553.46"/>
    <n v="27.67"/>
    <n v="27.67"/>
    <s v="BONUS_CARD"/>
    <n v="29"/>
    <n v="1"/>
    <n v="4"/>
    <n v="525.79"/>
    <n v="13130001963"/>
  </r>
  <r>
    <x v="12"/>
    <d v="1899-12-30T10:43:13"/>
    <n v="2964"/>
    <n v="13002561"/>
    <n v="13"/>
    <n v="22589"/>
    <s v="Retail Sale"/>
    <n v="18"/>
    <n v="14865"/>
    <x v="1"/>
    <s v="Avesta"/>
    <s v="Takeda"/>
    <n v="1"/>
    <n v="371.59"/>
    <n v="534.98"/>
    <n v="53.5"/>
    <n v="53.5"/>
    <s v="BONUS_CARD"/>
    <n v="29"/>
    <n v="1"/>
    <n v="5"/>
    <n v="481.48"/>
    <n v="13130001964"/>
  </r>
  <r>
    <x v="21"/>
    <d v="1899-12-30T09:05:48"/>
    <n v="2965"/>
    <n v="13002561"/>
    <n v="13"/>
    <n v="22589"/>
    <s v="Retail Sale"/>
    <n v="15"/>
    <n v="51179"/>
    <x v="30"/>
    <s v="Grand Capital"/>
    <s v="Pfizer"/>
    <n v="2"/>
    <n v="360.48"/>
    <n v="528.17999999999995"/>
    <n v="0"/>
    <n v="0"/>
    <m/>
    <n v="29"/>
    <n v="1"/>
    <n v="1"/>
    <n v="528.17999999999995"/>
    <n v="13130001965"/>
  </r>
  <r>
    <x v="15"/>
    <d v="1899-12-30T14:25:07"/>
    <n v="2966"/>
    <n v="13002561"/>
    <n v="13"/>
    <n v="22589"/>
    <s v="Retail Sale"/>
    <n v="18"/>
    <n v="89694"/>
    <x v="38"/>
    <s v="Grand Capital"/>
    <s v="Bayer"/>
    <n v="3"/>
    <n v="584.79"/>
    <n v="782.18"/>
    <n v="0"/>
    <n v="0"/>
    <m/>
    <n v="29"/>
    <n v="1"/>
    <n v="3"/>
    <n v="782.18"/>
    <n v="13130001966"/>
  </r>
  <r>
    <x v="23"/>
    <d v="1899-12-30T14:50:03"/>
    <n v="2967"/>
    <n v="13002561"/>
    <n v="13"/>
    <n v="22589"/>
    <s v="Retail Sale"/>
    <n v="18"/>
    <n v="14067"/>
    <x v="86"/>
    <s v="Avesta"/>
    <s v="Pfizer"/>
    <n v="1"/>
    <n v="447.1"/>
    <n v="699"/>
    <n v="0"/>
    <n v="0"/>
    <m/>
    <n v="29"/>
    <n v="1"/>
    <n v="1"/>
    <n v="699"/>
    <n v="13130001967"/>
  </r>
  <r>
    <x v="21"/>
    <d v="1899-12-30T20:24:17"/>
    <n v="2968"/>
    <n v="13002561"/>
    <n v="13"/>
    <n v="22589"/>
    <s v="Retail Sale"/>
    <n v="15"/>
    <n v="13038"/>
    <x v="20"/>
    <s v="Avesta"/>
    <s v="Novartis"/>
    <n v="3"/>
    <n v="362"/>
    <n v="594.64"/>
    <n v="0"/>
    <n v="0"/>
    <m/>
    <n v="29"/>
    <n v="1"/>
    <n v="3"/>
    <n v="594.64"/>
    <n v="13130001968"/>
  </r>
  <r>
    <x v="20"/>
    <d v="1899-12-30T14:24:05"/>
    <n v="2969"/>
    <n v="13002561"/>
    <n v="13"/>
    <n v="22589"/>
    <s v="Retail Sale"/>
    <n v="18"/>
    <n v="72109"/>
    <x v="51"/>
    <s v="Katren"/>
    <s v="Sanofi"/>
    <n v="1"/>
    <n v="555.9"/>
    <n v="925.91"/>
    <n v="92.59"/>
    <n v="92.59"/>
    <s v="BONUS_CARD"/>
    <n v="29"/>
    <n v="1"/>
    <n v="6"/>
    <n v="833.32"/>
    <n v="13130001969"/>
  </r>
  <r>
    <x v="1"/>
    <d v="1899-12-30T18:26:31"/>
    <n v="2970"/>
    <n v="13002561"/>
    <n v="13"/>
    <n v="22589"/>
    <s v="Retail Sale"/>
    <n v="18"/>
    <n v="34893"/>
    <x v="16"/>
    <s v="Pulse"/>
    <s v="Bayer"/>
    <n v="1"/>
    <n v="294.64999999999998"/>
    <n v="388.53"/>
    <n v="38.85"/>
    <n v="38.85"/>
    <s v="BONUS_CARD"/>
    <n v="29"/>
    <n v="1"/>
    <n v="5"/>
    <n v="349.68"/>
    <n v="13130001970"/>
  </r>
  <r>
    <x v="13"/>
    <d v="1899-12-30T11:55:07"/>
    <n v="2971"/>
    <n v="13002561"/>
    <n v="13"/>
    <n v="22589"/>
    <s v="Retail Sale"/>
    <n v="15"/>
    <n v="54910"/>
    <x v="7"/>
    <s v="Avesta"/>
    <s v="Bayer"/>
    <n v="2"/>
    <n v="77.849999999999994"/>
    <n v="118.06"/>
    <n v="11.81"/>
    <n v="11.81"/>
    <s v="BONUS_CARD"/>
    <n v="29"/>
    <n v="1"/>
    <n v="4"/>
    <n v="106.25"/>
    <n v="13130001971"/>
  </r>
  <r>
    <x v="23"/>
    <d v="1899-12-30T20:35:16"/>
    <n v="2972"/>
    <n v="13002561"/>
    <n v="13"/>
    <n v="22589"/>
    <s v="Retail Sale"/>
    <n v="18"/>
    <n v="84487"/>
    <x v="61"/>
    <s v="Pharmcomplect"/>
    <s v="Sanofi"/>
    <n v="3"/>
    <n v="561.21"/>
    <n v="929.44"/>
    <n v="92.94"/>
    <n v="92.94"/>
    <s v="BONUS_CARD"/>
    <n v="29"/>
    <n v="1"/>
    <n v="2"/>
    <n v="836.5"/>
    <n v="13130001972"/>
  </r>
  <r>
    <x v="7"/>
    <d v="1899-12-30T20:18:56"/>
    <n v="2973"/>
    <n v="13002561"/>
    <n v="13"/>
    <n v="22589"/>
    <s v="Retail Sale"/>
    <n v="15"/>
    <n v="27137"/>
    <x v="10"/>
    <s v="Pharmcomplect"/>
    <s v="Bayer"/>
    <n v="1"/>
    <n v="49.04"/>
    <n v="66.39"/>
    <n v="3.32"/>
    <n v="3.32"/>
    <s v="BONUS_CARD"/>
    <n v="29"/>
    <n v="1"/>
    <n v="6"/>
    <n v="63.07"/>
    <n v="13130001973"/>
  </r>
  <r>
    <x v="8"/>
    <d v="1899-12-30T16:42:29"/>
    <n v="2974"/>
    <n v="13002561"/>
    <n v="13"/>
    <n v="22589"/>
    <s v="Retail Sale"/>
    <n v="18"/>
    <n v="54241"/>
    <x v="45"/>
    <s v="Grand Capital"/>
    <s v="KRKA"/>
    <n v="3"/>
    <n v="484.14"/>
    <n v="708.72"/>
    <n v="0"/>
    <n v="0"/>
    <m/>
    <n v="29"/>
    <n v="1"/>
    <n v="5"/>
    <n v="708.72"/>
    <n v="13130001974"/>
  </r>
  <r>
    <x v="20"/>
    <d v="1899-12-30T20:41:20"/>
    <n v="2975"/>
    <n v="13002561"/>
    <n v="13"/>
    <n v="22589"/>
    <s v="Retail Sale"/>
    <n v="18"/>
    <n v="87990"/>
    <x v="71"/>
    <s v="Pulse"/>
    <s v="Takeda"/>
    <n v="3"/>
    <n v="599.41"/>
    <n v="867.92"/>
    <n v="43.4"/>
    <n v="43.4"/>
    <s v="BONUS_CARD"/>
    <n v="29"/>
    <n v="1"/>
    <n v="5"/>
    <n v="824.52"/>
    <n v="13130001975"/>
  </r>
  <r>
    <x v="22"/>
    <d v="1899-12-30T15:47:14"/>
    <n v="2976"/>
    <n v="13002561"/>
    <n v="13"/>
    <n v="22589"/>
    <s v="Retail Sale"/>
    <n v="15"/>
    <n v="45341"/>
    <x v="74"/>
    <s v="Grand Capital"/>
    <s v="Takeda"/>
    <n v="3"/>
    <n v="322.85000000000002"/>
    <n v="454.38"/>
    <n v="22.72"/>
    <n v="22.72"/>
    <s v="BONUS_CARD"/>
    <n v="29"/>
    <n v="1"/>
    <n v="3"/>
    <n v="431.66"/>
    <n v="13130001976"/>
  </r>
  <r>
    <x v="4"/>
    <d v="1899-12-30T10:10:57"/>
    <n v="2977"/>
    <n v="13002561"/>
    <n v="13"/>
    <n v="22589"/>
    <s v="Retail Sale"/>
    <n v="15"/>
    <n v="96898"/>
    <x v="52"/>
    <s v="Pulse"/>
    <s v="Bayer"/>
    <n v="2"/>
    <n v="96.79"/>
    <n v="164.39"/>
    <n v="16.440000000000001"/>
    <n v="16.440000000000001"/>
    <s v="BONUS_CARD"/>
    <n v="29"/>
    <n v="1"/>
    <n v="6"/>
    <n v="147.94999999999999"/>
    <n v="13130001977"/>
  </r>
  <r>
    <x v="25"/>
    <d v="1899-12-30T19:28:53"/>
    <n v="2978"/>
    <n v="13002561"/>
    <n v="13"/>
    <n v="22589"/>
    <s v="Retail Sale"/>
    <n v="18"/>
    <n v="62863"/>
    <x v="64"/>
    <s v="Protek"/>
    <s v="Dr. Reddy's"/>
    <n v="2"/>
    <n v="78.78"/>
    <n v="121.23"/>
    <n v="12.12"/>
    <n v="12.12"/>
    <s v="BONUS_CARD"/>
    <n v="29"/>
    <n v="1"/>
    <n v="2"/>
    <n v="109.11"/>
    <n v="13130001978"/>
  </r>
  <r>
    <x v="28"/>
    <d v="1899-12-30T15:28:28"/>
    <n v="2979"/>
    <n v="13002561"/>
    <n v="13"/>
    <n v="22589"/>
    <s v="Retail Sale"/>
    <n v="18"/>
    <n v="13173"/>
    <x v="84"/>
    <s v="Protek"/>
    <s v="KRKA"/>
    <n v="3"/>
    <n v="381.4"/>
    <n v="489.96"/>
    <n v="0"/>
    <n v="0"/>
    <m/>
    <n v="29"/>
    <n v="1"/>
    <n v="2"/>
    <n v="489.96"/>
    <n v="13130001979"/>
  </r>
  <r>
    <x v="15"/>
    <d v="1899-12-30T16:45:39"/>
    <n v="2980"/>
    <n v="13002561"/>
    <n v="13"/>
    <n v="22589"/>
    <s v="Retail Sale"/>
    <n v="15"/>
    <n v="35463"/>
    <x v="8"/>
    <s v="Grand Capital"/>
    <s v="KRKA"/>
    <n v="2"/>
    <n v="147.9"/>
    <n v="247.24"/>
    <n v="24.72"/>
    <n v="24.72"/>
    <s v="BONUS_CARD"/>
    <n v="29"/>
    <n v="1"/>
    <n v="3"/>
    <n v="222.52"/>
    <n v="13130001980"/>
  </r>
  <r>
    <x v="20"/>
    <d v="1899-12-30T14:54:43"/>
    <n v="2981"/>
    <n v="13002561"/>
    <n v="13"/>
    <n v="22589"/>
    <s v="Retail Sale"/>
    <n v="18"/>
    <n v="37797"/>
    <x v="26"/>
    <s v="Pharmcomplect"/>
    <s v="Takeda"/>
    <n v="3"/>
    <n v="429.25"/>
    <n v="680.44"/>
    <n v="68.040000000000006"/>
    <n v="68.040000000000006"/>
    <s v="BONUS_CARD"/>
    <n v="29"/>
    <n v="1"/>
    <n v="2"/>
    <n v="612.4"/>
    <n v="13130001981"/>
  </r>
  <r>
    <x v="26"/>
    <d v="1899-12-30T22:25:07"/>
    <n v="2982"/>
    <n v="13002561"/>
    <n v="13"/>
    <n v="22589"/>
    <s v="Retail Sale"/>
    <n v="15"/>
    <n v="77124"/>
    <x v="34"/>
    <s v="Grand Capital"/>
    <s v="Sanofi"/>
    <n v="2"/>
    <n v="580.74"/>
    <n v="858.43"/>
    <n v="42.92"/>
    <n v="42.92"/>
    <s v="BONUS_CARD"/>
    <n v="29"/>
    <n v="1"/>
    <n v="4"/>
    <n v="815.51"/>
    <n v="13130001982"/>
  </r>
  <r>
    <x v="20"/>
    <d v="1899-12-30T15:17:26"/>
    <n v="2983"/>
    <n v="13002561"/>
    <n v="13"/>
    <n v="22589"/>
    <s v="Retail Sale"/>
    <n v="18"/>
    <n v="53778"/>
    <x v="65"/>
    <s v="Pulse"/>
    <s v="Sanofi"/>
    <n v="3"/>
    <n v="21.49"/>
    <n v="29.06"/>
    <n v="1.45"/>
    <n v="1.45"/>
    <s v="BONUS_CARD"/>
    <n v="29"/>
    <n v="1"/>
    <n v="2"/>
    <n v="27.61"/>
    <n v="13130001983"/>
  </r>
  <r>
    <x v="15"/>
    <d v="1899-12-30T22:20:18"/>
    <n v="2984"/>
    <n v="13002561"/>
    <n v="13"/>
    <n v="22589"/>
    <s v="Retail Sale"/>
    <n v="18"/>
    <n v="71480"/>
    <x v="45"/>
    <s v="Protek"/>
    <s v="Sanofi"/>
    <n v="1"/>
    <n v="425.55"/>
    <n v="598.47"/>
    <n v="59.85"/>
    <n v="59.85"/>
    <s v="BONUS_CARD"/>
    <n v="29"/>
    <n v="1"/>
    <n v="6"/>
    <n v="538.62"/>
    <n v="13130001984"/>
  </r>
  <r>
    <x v="10"/>
    <d v="1899-12-30T13:50:31"/>
    <n v="2985"/>
    <n v="13002561"/>
    <n v="13"/>
    <n v="22589"/>
    <s v="Retail Sale"/>
    <n v="15"/>
    <n v="10622"/>
    <x v="78"/>
    <s v="Protek"/>
    <s v="TEVA"/>
    <n v="2"/>
    <n v="13.56"/>
    <n v="19.47"/>
    <n v="0"/>
    <n v="0"/>
    <m/>
    <n v="29"/>
    <n v="1"/>
    <n v="1"/>
    <n v="19.47"/>
    <n v="13130001985"/>
  </r>
  <r>
    <x v="0"/>
    <d v="1899-12-30T20:52:11"/>
    <n v="2986"/>
    <n v="13002561"/>
    <n v="13"/>
    <n v="22589"/>
    <s v="Retail Sale"/>
    <n v="15"/>
    <n v="73182"/>
    <x v="33"/>
    <s v="Avesta"/>
    <s v="Novartis"/>
    <n v="3"/>
    <n v="297.67"/>
    <n v="395.83"/>
    <n v="0"/>
    <n v="0"/>
    <m/>
    <n v="29"/>
    <n v="1"/>
    <n v="5"/>
    <n v="395.83"/>
    <n v="13130001986"/>
  </r>
  <r>
    <x v="29"/>
    <d v="1899-12-30T16:34:10"/>
    <n v="2987"/>
    <n v="13002561"/>
    <n v="13"/>
    <n v="22589"/>
    <s v="Retail Sale"/>
    <n v="15"/>
    <n v="56345"/>
    <x v="72"/>
    <s v="Katren"/>
    <s v="TEVA"/>
    <n v="2"/>
    <n v="313.94"/>
    <n v="409.46"/>
    <n v="40.950000000000003"/>
    <n v="40.950000000000003"/>
    <s v="BONUS_CARD"/>
    <n v="29"/>
    <n v="1"/>
    <n v="3"/>
    <n v="368.51"/>
    <n v="13130001987"/>
  </r>
  <r>
    <x v="27"/>
    <d v="1899-12-30T10:51:25"/>
    <n v="2988"/>
    <n v="13002561"/>
    <n v="13"/>
    <n v="22589"/>
    <s v="Retail Sale"/>
    <n v="18"/>
    <n v="64208"/>
    <x v="24"/>
    <s v="Grand Capital"/>
    <s v="Sanofi"/>
    <n v="2"/>
    <n v="46"/>
    <n v="60.73"/>
    <n v="0"/>
    <n v="0"/>
    <m/>
    <n v="29"/>
    <n v="1"/>
    <n v="1"/>
    <n v="60.73"/>
    <n v="13130001988"/>
  </r>
  <r>
    <x v="15"/>
    <d v="1899-12-30T15:54:52"/>
    <n v="2989"/>
    <n v="13002561"/>
    <n v="13"/>
    <n v="22589"/>
    <s v="Retail Sale"/>
    <n v="18"/>
    <n v="17082"/>
    <x v="45"/>
    <s v="Grand Capital"/>
    <s v="Pfizer"/>
    <n v="1"/>
    <n v="19.04"/>
    <n v="29.16"/>
    <n v="2.92"/>
    <n v="2.92"/>
    <s v="BONUS_CARD"/>
    <n v="29"/>
    <n v="1"/>
    <n v="6"/>
    <n v="26.24"/>
    <n v="13130001989"/>
  </r>
  <r>
    <x v="4"/>
    <d v="1899-12-30T08:19:19"/>
    <n v="2990"/>
    <n v="13002561"/>
    <n v="13"/>
    <n v="22589"/>
    <s v="Retail Sale"/>
    <n v="18"/>
    <n v="20977"/>
    <x v="63"/>
    <s v="Katren"/>
    <s v="Novartis"/>
    <n v="3"/>
    <n v="389.57"/>
    <n v="587.95000000000005"/>
    <n v="29.4"/>
    <n v="29.4"/>
    <s v="BONUS_CARD"/>
    <n v="29"/>
    <n v="1"/>
    <n v="3"/>
    <n v="558.54999999999995"/>
    <n v="13130001990"/>
  </r>
  <r>
    <x v="12"/>
    <d v="1899-12-30T14:29:10"/>
    <n v="2991"/>
    <n v="13002561"/>
    <n v="13"/>
    <n v="22589"/>
    <s v="Retail Sale"/>
    <n v="15"/>
    <n v="93836"/>
    <x v="20"/>
    <s v="Pulse"/>
    <s v="Sanofi"/>
    <n v="1"/>
    <n v="356.88"/>
    <n v="549.16"/>
    <n v="54.92"/>
    <n v="54.92"/>
    <s v="BONUS_CARD"/>
    <n v="29"/>
    <n v="1"/>
    <n v="6"/>
    <n v="494.24"/>
    <n v="13130001991"/>
  </r>
  <r>
    <x v="7"/>
    <d v="1899-12-30T19:52:41"/>
    <n v="2992"/>
    <n v="13002561"/>
    <n v="13"/>
    <n v="22589"/>
    <s v="Retail Sale"/>
    <n v="18"/>
    <n v="43518"/>
    <x v="73"/>
    <s v="Protek"/>
    <s v="TEVA"/>
    <n v="1"/>
    <n v="456.25"/>
    <n v="571.78"/>
    <n v="57.18"/>
    <n v="57.18"/>
    <s v="BONUS_CARD"/>
    <n v="29"/>
    <n v="1"/>
    <n v="6"/>
    <n v="514.6"/>
    <n v="13130001992"/>
  </r>
  <r>
    <x v="5"/>
    <d v="1899-12-30T14:10:24"/>
    <n v="2993"/>
    <n v="13002561"/>
    <n v="13"/>
    <n v="22589"/>
    <s v="Retail Sale"/>
    <n v="18"/>
    <n v="44125"/>
    <x v="26"/>
    <s v="Grand Capital"/>
    <s v="Novartis"/>
    <n v="1"/>
    <n v="240.91"/>
    <n v="392.85"/>
    <n v="19.64"/>
    <n v="19.64"/>
    <s v="BONUS_CARD"/>
    <n v="29"/>
    <n v="1"/>
    <n v="1"/>
    <n v="373.21"/>
    <n v="13130001993"/>
  </r>
  <r>
    <x v="23"/>
    <d v="1899-12-30T10:41:45"/>
    <n v="2994"/>
    <n v="13002561"/>
    <n v="13"/>
    <n v="22589"/>
    <s v="Retail Sale"/>
    <n v="18"/>
    <n v="41851"/>
    <x v="22"/>
    <s v="Protek"/>
    <s v="KRKA"/>
    <n v="3"/>
    <n v="221.01"/>
    <n v="339.86"/>
    <n v="33.99"/>
    <n v="33.99"/>
    <s v="BONUS_CARD"/>
    <n v="29"/>
    <n v="1"/>
    <n v="1"/>
    <n v="305.87"/>
    <n v="13130001994"/>
  </r>
  <r>
    <x v="25"/>
    <d v="1899-12-30T15:34:34"/>
    <n v="2995"/>
    <n v="13002561"/>
    <n v="13"/>
    <n v="22589"/>
    <s v="Retail Sale"/>
    <n v="15"/>
    <n v="71905"/>
    <x v="39"/>
    <s v="Grand Capital"/>
    <s v="Takeda"/>
    <n v="3"/>
    <n v="360.03"/>
    <n v="544.16999999999996"/>
    <n v="54.42"/>
    <n v="54.42"/>
    <s v="BONUS_CARD"/>
    <n v="29"/>
    <n v="1"/>
    <n v="1"/>
    <n v="489.75"/>
    <n v="13130001995"/>
  </r>
  <r>
    <x v="5"/>
    <d v="1899-12-30T22:06:01"/>
    <n v="2996"/>
    <n v="13002561"/>
    <n v="13"/>
    <n v="22589"/>
    <s v="Retail Sale"/>
    <n v="15"/>
    <n v="65005"/>
    <x v="71"/>
    <s v="Katren"/>
    <s v="KRKA"/>
    <n v="2"/>
    <n v="302.57"/>
    <n v="467.44"/>
    <n v="46.74"/>
    <n v="46.74"/>
    <s v="BONUS_CARD"/>
    <n v="29"/>
    <n v="1"/>
    <n v="5"/>
    <n v="420.7"/>
    <n v="13130001996"/>
  </r>
  <r>
    <x v="4"/>
    <d v="1899-12-30T18:11:19"/>
    <n v="2997"/>
    <n v="13002561"/>
    <n v="13"/>
    <n v="22589"/>
    <s v="Retail Sale"/>
    <n v="15"/>
    <n v="53995"/>
    <x v="82"/>
    <s v="Pulse"/>
    <s v="TEVA"/>
    <n v="2"/>
    <n v="109.18"/>
    <n v="155.05000000000001"/>
    <n v="7.75"/>
    <n v="7.75"/>
    <s v="BONUS_CARD"/>
    <n v="29"/>
    <n v="1"/>
    <n v="1"/>
    <n v="147.30000000000001"/>
    <n v="13130001997"/>
  </r>
  <r>
    <x v="6"/>
    <d v="1899-12-30T11:09:46"/>
    <n v="2998"/>
    <n v="13002561"/>
    <n v="13"/>
    <n v="22589"/>
    <s v="Retail Sale"/>
    <n v="18"/>
    <n v="29910"/>
    <x v="82"/>
    <s v="Avesta"/>
    <s v="Takeda"/>
    <n v="3"/>
    <n v="308.85000000000002"/>
    <n v="429.95"/>
    <n v="0"/>
    <n v="0"/>
    <m/>
    <n v="29"/>
    <n v="1"/>
    <n v="3"/>
    <n v="429.95"/>
    <n v="13130001998"/>
  </r>
  <r>
    <x v="28"/>
    <d v="1899-12-30T15:55:56"/>
    <n v="2999"/>
    <n v="13002561"/>
    <n v="13"/>
    <n v="22589"/>
    <s v="Retail Sale"/>
    <n v="15"/>
    <n v="81768"/>
    <x v="1"/>
    <s v="Katren"/>
    <s v="Pfizer"/>
    <n v="3"/>
    <n v="272.67"/>
    <n v="421.76"/>
    <n v="0"/>
    <n v="0"/>
    <m/>
    <n v="29"/>
    <n v="1"/>
    <n v="3"/>
    <n v="421.76"/>
    <n v="13130001999"/>
  </r>
  <r>
    <x v="2"/>
    <d v="1899-12-30T18:06:23"/>
    <n v="3000"/>
    <n v="13002561"/>
    <n v="13"/>
    <n v="22589"/>
    <s v="Retail Sale"/>
    <n v="15"/>
    <n v="82625"/>
    <x v="60"/>
    <s v="Katren"/>
    <s v="Takeda"/>
    <n v="1"/>
    <n v="323.18"/>
    <n v="418.72"/>
    <n v="0"/>
    <n v="0"/>
    <m/>
    <n v="29"/>
    <n v="1"/>
    <n v="4"/>
    <n v="418.72"/>
    <n v="13130002000"/>
  </r>
  <r>
    <x v="28"/>
    <d v="1899-12-30T20:15:57"/>
    <n v="3001"/>
    <n v="13002561"/>
    <n v="13"/>
    <n v="22589"/>
    <s v="Retail Sale"/>
    <n v="18"/>
    <n v="17780"/>
    <x v="32"/>
    <s v="Grand Capital"/>
    <s v="Bayer"/>
    <n v="2"/>
    <n v="105.05"/>
    <n v="164.76"/>
    <n v="0"/>
    <n v="0"/>
    <m/>
    <n v="29"/>
    <n v="1"/>
    <n v="3"/>
    <n v="164.76"/>
    <n v="13130002001"/>
  </r>
  <r>
    <x v="7"/>
    <d v="1899-12-30T16:54:06"/>
    <n v="3002"/>
    <n v="13002561"/>
    <n v="13"/>
    <n v="22589"/>
    <s v="Retail Sale"/>
    <n v="15"/>
    <n v="16313"/>
    <x v="84"/>
    <s v="Katren"/>
    <s v="Takeda"/>
    <n v="2"/>
    <n v="39.200000000000003"/>
    <n v="65.56"/>
    <n v="3.28"/>
    <n v="3.28"/>
    <s v="BONUS_CARD"/>
    <n v="29"/>
    <n v="1"/>
    <n v="2"/>
    <n v="62.28"/>
    <n v="13130002002"/>
  </r>
  <r>
    <x v="11"/>
    <d v="1899-12-30T09:33:43"/>
    <n v="3003"/>
    <n v="13002561"/>
    <n v="13"/>
    <n v="22589"/>
    <s v="Retail Sale"/>
    <n v="15"/>
    <n v="43512"/>
    <x v="47"/>
    <s v="Avesta"/>
    <s v="Novartis"/>
    <n v="2"/>
    <n v="526.11"/>
    <n v="693.66"/>
    <n v="34.68"/>
    <n v="34.68"/>
    <s v="BONUS_CARD"/>
    <n v="29"/>
    <n v="1"/>
    <n v="4"/>
    <n v="658.98"/>
    <n v="13130002003"/>
  </r>
  <r>
    <x v="14"/>
    <d v="1899-12-30T22:49:00"/>
    <n v="3004"/>
    <n v="13002561"/>
    <n v="13"/>
    <n v="22589"/>
    <s v="Retail Sale"/>
    <n v="18"/>
    <n v="73914"/>
    <x v="57"/>
    <s v="Katren"/>
    <s v="Bayer"/>
    <n v="3"/>
    <n v="214.12"/>
    <n v="318.83999999999997"/>
    <n v="15.94"/>
    <n v="15.94"/>
    <s v="BONUS_CARD"/>
    <n v="29"/>
    <n v="1"/>
    <n v="1"/>
    <n v="302.89999999999998"/>
    <n v="13130002004"/>
  </r>
  <r>
    <x v="4"/>
    <d v="1899-12-30T18:07:14"/>
    <n v="3005"/>
    <n v="13002561"/>
    <n v="13"/>
    <n v="22589"/>
    <s v="Retail Sale"/>
    <n v="18"/>
    <n v="49098"/>
    <x v="6"/>
    <s v="Avesta"/>
    <s v="Sanofi"/>
    <n v="3"/>
    <n v="209.61"/>
    <n v="322.5"/>
    <n v="32.25"/>
    <n v="32.25"/>
    <s v="BONUS_CARD"/>
    <n v="29"/>
    <n v="1"/>
    <n v="3"/>
    <n v="290.25"/>
    <n v="13130002005"/>
  </r>
  <r>
    <x v="22"/>
    <d v="1899-12-30T22:57:46"/>
    <n v="3006"/>
    <n v="13002561"/>
    <n v="13"/>
    <n v="22589"/>
    <s v="Retail Sale"/>
    <n v="15"/>
    <n v="90593"/>
    <x v="0"/>
    <s v="Katren"/>
    <s v="Bayer"/>
    <n v="3"/>
    <n v="444.27"/>
    <n v="675.94"/>
    <n v="0"/>
    <n v="0"/>
    <m/>
    <n v="29"/>
    <n v="1"/>
    <n v="5"/>
    <n v="675.94"/>
    <n v="13130002006"/>
  </r>
  <r>
    <x v="16"/>
    <d v="1899-12-30T15:05:05"/>
    <n v="3007"/>
    <n v="13002561"/>
    <n v="13"/>
    <n v="22589"/>
    <s v="Retail Sale"/>
    <n v="15"/>
    <n v="28132"/>
    <x v="46"/>
    <s v="Protek"/>
    <s v="TEVA"/>
    <n v="1"/>
    <n v="91.86"/>
    <n v="128.56"/>
    <n v="6.43"/>
    <n v="6.43"/>
    <s v="BONUS_CARD"/>
    <n v="29"/>
    <n v="1"/>
    <n v="6"/>
    <n v="122.13"/>
    <n v="13130002007"/>
  </r>
  <r>
    <x v="5"/>
    <d v="1899-12-30T22:16:08"/>
    <n v="3008"/>
    <n v="13002561"/>
    <n v="13"/>
    <n v="22589"/>
    <s v="Retail Sale"/>
    <n v="18"/>
    <n v="89451"/>
    <x v="48"/>
    <s v="Grand Capital"/>
    <s v="Dr. Reddy's"/>
    <n v="2"/>
    <n v="330.6"/>
    <n v="494.66"/>
    <n v="24.73"/>
    <n v="24.73"/>
    <s v="BONUS_CARD"/>
    <n v="29"/>
    <n v="1"/>
    <n v="4"/>
    <n v="469.93"/>
    <n v="13130002008"/>
  </r>
  <r>
    <x v="29"/>
    <d v="1899-12-30T11:38:43"/>
    <n v="3009"/>
    <n v="13002561"/>
    <n v="13"/>
    <n v="22589"/>
    <s v="Retail Sale"/>
    <n v="15"/>
    <n v="32186"/>
    <x v="64"/>
    <s v="Katren"/>
    <s v="Takeda"/>
    <n v="1"/>
    <n v="308.17"/>
    <n v="461.48"/>
    <n v="0"/>
    <n v="0"/>
    <m/>
    <n v="29"/>
    <n v="1"/>
    <n v="3"/>
    <n v="461.48"/>
    <n v="13130002009"/>
  </r>
  <r>
    <x v="28"/>
    <d v="1899-12-30T16:34:50"/>
    <n v="3010"/>
    <n v="13002561"/>
    <n v="13"/>
    <n v="22589"/>
    <s v="Retail Sale"/>
    <n v="18"/>
    <n v="88357"/>
    <x v="20"/>
    <s v="Katren"/>
    <s v="Novartis"/>
    <n v="2"/>
    <n v="404.49"/>
    <n v="650.14"/>
    <n v="32.51"/>
    <n v="32.51"/>
    <s v="BONUS_CARD"/>
    <n v="29"/>
    <n v="1"/>
    <n v="2"/>
    <n v="617.63"/>
    <n v="13130002010"/>
  </r>
  <r>
    <x v="29"/>
    <d v="1899-12-30T15:08:41"/>
    <n v="3011"/>
    <n v="13002561"/>
    <n v="13"/>
    <n v="22589"/>
    <s v="Retail Sale"/>
    <n v="18"/>
    <n v="34517"/>
    <x v="7"/>
    <s v="Pulse"/>
    <s v="KRKA"/>
    <n v="3"/>
    <n v="109.62"/>
    <n v="142.41"/>
    <n v="14.24"/>
    <n v="14.24"/>
    <s v="BONUS_CARD"/>
    <n v="29"/>
    <n v="1"/>
    <n v="2"/>
    <n v="128.16999999999999"/>
    <n v="13130002011"/>
  </r>
  <r>
    <x v="11"/>
    <d v="1899-12-30T17:11:40"/>
    <n v="3012"/>
    <n v="13002561"/>
    <n v="13"/>
    <n v="22589"/>
    <s v="Retail Sale"/>
    <n v="18"/>
    <n v="73664"/>
    <x v="76"/>
    <s v="Grand Capital"/>
    <s v="Bayer"/>
    <n v="2"/>
    <n v="421.61"/>
    <n v="689.75"/>
    <n v="34.49"/>
    <n v="34.49"/>
    <s v="BONUS_CARD"/>
    <n v="29"/>
    <n v="1"/>
    <n v="5"/>
    <n v="655.26"/>
    <n v="13130002012"/>
  </r>
  <r>
    <x v="2"/>
    <d v="1899-12-30T10:25:45"/>
    <n v="3013"/>
    <n v="13002561"/>
    <n v="13"/>
    <n v="22589"/>
    <s v="Retail Sale"/>
    <n v="18"/>
    <n v="33306"/>
    <x v="13"/>
    <s v="Pulse"/>
    <s v="Pfizer"/>
    <n v="1"/>
    <n v="261.66000000000003"/>
    <n v="356.96"/>
    <n v="17.850000000000001"/>
    <n v="17.850000000000001"/>
    <s v="BONUS_CARD"/>
    <n v="29"/>
    <n v="1"/>
    <n v="4"/>
    <n v="339.11"/>
    <n v="13130002013"/>
  </r>
  <r>
    <x v="2"/>
    <d v="1899-12-30T08:00:58"/>
    <n v="3014"/>
    <n v="13002561"/>
    <n v="13"/>
    <n v="22589"/>
    <s v="Retail Sale"/>
    <n v="18"/>
    <n v="85729"/>
    <x v="70"/>
    <s v="Pharmcomplect"/>
    <s v="Novartis"/>
    <n v="3"/>
    <n v="207.73"/>
    <n v="339.83"/>
    <n v="0"/>
    <n v="0"/>
    <m/>
    <n v="29"/>
    <n v="1"/>
    <n v="6"/>
    <n v="339.83"/>
    <n v="13130002014"/>
  </r>
  <r>
    <x v="29"/>
    <d v="1899-12-30T17:26:30"/>
    <n v="3015"/>
    <n v="13002561"/>
    <n v="13"/>
    <n v="22589"/>
    <s v="Retail Sale"/>
    <n v="18"/>
    <n v="27905"/>
    <x v="17"/>
    <s v="Pulse"/>
    <s v="Bayer"/>
    <n v="2"/>
    <n v="206.49"/>
    <n v="290.08"/>
    <n v="29.01"/>
    <n v="29.01"/>
    <s v="BONUS_CARD"/>
    <n v="29"/>
    <n v="1"/>
    <n v="3"/>
    <n v="261.07"/>
    <n v="13130002015"/>
  </r>
  <r>
    <x v="19"/>
    <d v="1899-12-30T15:16:49"/>
    <n v="3016"/>
    <n v="13002561"/>
    <n v="13"/>
    <n v="22589"/>
    <s v="Retail Sale"/>
    <n v="18"/>
    <n v="45821"/>
    <x v="39"/>
    <s v="Pulse"/>
    <s v="Dr. Reddy's"/>
    <n v="1"/>
    <n v="474.69"/>
    <n v="645.91"/>
    <n v="32.299999999999997"/>
    <n v="32.299999999999997"/>
    <s v="BONUS_CARD"/>
    <n v="29"/>
    <n v="1"/>
    <n v="6"/>
    <n v="613.61"/>
    <n v="13130002016"/>
  </r>
  <r>
    <x v="16"/>
    <d v="1899-12-30T18:25:48"/>
    <n v="3017"/>
    <n v="13002561"/>
    <n v="13"/>
    <n v="22589"/>
    <s v="Retail Sale"/>
    <n v="15"/>
    <n v="66584"/>
    <x v="86"/>
    <s v="Protek"/>
    <s v="Takeda"/>
    <n v="2"/>
    <n v="406.64"/>
    <n v="550.28"/>
    <n v="0"/>
    <n v="0"/>
    <m/>
    <n v="29"/>
    <n v="1"/>
    <n v="4"/>
    <n v="550.28"/>
    <n v="13130002017"/>
  </r>
  <r>
    <x v="1"/>
    <d v="1899-12-30T13:30:05"/>
    <n v="3018"/>
    <n v="13002561"/>
    <n v="13"/>
    <n v="22589"/>
    <s v="Retail Sale"/>
    <n v="15"/>
    <n v="74035"/>
    <x v="42"/>
    <s v="Pharmcomplect"/>
    <s v="Novartis"/>
    <n v="1"/>
    <n v="510.28"/>
    <n v="701.16"/>
    <n v="0"/>
    <n v="0"/>
    <m/>
    <n v="29"/>
    <n v="1"/>
    <n v="4"/>
    <n v="701.16"/>
    <n v="13130002018"/>
  </r>
  <r>
    <x v="5"/>
    <d v="1899-12-30T11:52:56"/>
    <n v="3019"/>
    <n v="13002561"/>
    <n v="13"/>
    <n v="22589"/>
    <s v="Retail Sale"/>
    <n v="18"/>
    <n v="44463"/>
    <x v="41"/>
    <s v="Katren"/>
    <s v="Novartis"/>
    <n v="1"/>
    <n v="425.19"/>
    <n v="628.29"/>
    <n v="0"/>
    <n v="0"/>
    <m/>
    <n v="29"/>
    <n v="1"/>
    <n v="5"/>
    <n v="628.29"/>
    <n v="13130002019"/>
  </r>
  <r>
    <x v="17"/>
    <d v="1899-12-30T11:21:13"/>
    <n v="3020"/>
    <n v="13002561"/>
    <n v="13"/>
    <n v="22589"/>
    <s v="Retail Sale"/>
    <n v="18"/>
    <n v="21835"/>
    <x v="40"/>
    <s v="Pharmcomplect"/>
    <s v="Novartis"/>
    <n v="2"/>
    <n v="234.31"/>
    <n v="300.77"/>
    <n v="30.08"/>
    <n v="30.08"/>
    <s v="BONUS_CARD"/>
    <n v="29"/>
    <n v="1"/>
    <n v="5"/>
    <n v="270.69"/>
    <n v="13130002020"/>
  </r>
  <r>
    <x v="19"/>
    <d v="1899-12-30T09:39:45"/>
    <n v="3021"/>
    <n v="13002561"/>
    <n v="13"/>
    <n v="22589"/>
    <s v="Retail Sale"/>
    <n v="18"/>
    <n v="88865"/>
    <x v="18"/>
    <s v="Grand Capital"/>
    <s v="Dr. Reddy's"/>
    <n v="3"/>
    <n v="398.46"/>
    <n v="502.57"/>
    <n v="50.26"/>
    <n v="50.26"/>
    <s v="BONUS_CARD"/>
    <n v="29"/>
    <n v="1"/>
    <n v="6"/>
    <n v="452.31"/>
    <n v="13130002021"/>
  </r>
  <r>
    <x v="23"/>
    <d v="1899-12-30T14:36:07"/>
    <n v="3022"/>
    <n v="13002561"/>
    <n v="13"/>
    <n v="22589"/>
    <s v="Retail Sale"/>
    <n v="15"/>
    <n v="98902"/>
    <x v="19"/>
    <s v="Katren"/>
    <s v="Novartis"/>
    <n v="2"/>
    <n v="445.03"/>
    <n v="693.75"/>
    <n v="34.69"/>
    <n v="34.69"/>
    <s v="BONUS_CARD"/>
    <n v="29"/>
    <n v="1"/>
    <n v="4"/>
    <n v="659.06"/>
    <n v="13130002022"/>
  </r>
  <r>
    <x v="10"/>
    <d v="1899-12-30T11:20:49"/>
    <n v="3023"/>
    <n v="13002561"/>
    <n v="13"/>
    <n v="22589"/>
    <s v="Retail Sale"/>
    <n v="18"/>
    <n v="27901"/>
    <x v="3"/>
    <s v="Avesta"/>
    <s v="KRKA"/>
    <n v="3"/>
    <n v="225.32"/>
    <n v="310.08999999999997"/>
    <n v="15.5"/>
    <n v="15.5"/>
    <s v="BONUS_CARD"/>
    <n v="29"/>
    <n v="1"/>
    <n v="3"/>
    <n v="294.58999999999997"/>
    <n v="13130002023"/>
  </r>
  <r>
    <x v="17"/>
    <d v="1899-12-30T19:45:23"/>
    <n v="3024"/>
    <n v="13002561"/>
    <n v="13"/>
    <n v="22589"/>
    <s v="Retail Sale"/>
    <n v="18"/>
    <n v="63245"/>
    <x v="68"/>
    <s v="Protek"/>
    <s v="Pfizer"/>
    <n v="2"/>
    <n v="252.14"/>
    <n v="363.85"/>
    <n v="0"/>
    <n v="0"/>
    <m/>
    <n v="29"/>
    <n v="1"/>
    <n v="6"/>
    <n v="363.85"/>
    <n v="13130002024"/>
  </r>
  <r>
    <x v="29"/>
    <d v="1899-12-30T10:40:51"/>
    <n v="3025"/>
    <n v="13002561"/>
    <n v="13"/>
    <n v="22589"/>
    <s v="Retail Sale"/>
    <n v="15"/>
    <n v="11993"/>
    <x v="31"/>
    <s v="Protek"/>
    <s v="Takeda"/>
    <n v="1"/>
    <n v="43.39"/>
    <n v="68.69"/>
    <n v="0"/>
    <n v="0"/>
    <m/>
    <n v="29"/>
    <n v="1"/>
    <n v="5"/>
    <n v="68.69"/>
    <n v="13130002025"/>
  </r>
  <r>
    <x v="27"/>
    <d v="1899-12-30T14:09:32"/>
    <n v="3026"/>
    <n v="13002561"/>
    <n v="13"/>
    <n v="22589"/>
    <s v="Retail Sale"/>
    <n v="18"/>
    <n v="65794"/>
    <x v="31"/>
    <s v="Grand Capital"/>
    <s v="Sanofi"/>
    <n v="1"/>
    <n v="293.33999999999997"/>
    <n v="394.68"/>
    <n v="39.47"/>
    <n v="39.47"/>
    <s v="BONUS_CARD"/>
    <n v="29"/>
    <n v="1"/>
    <n v="3"/>
    <n v="355.21"/>
    <n v="13130002026"/>
  </r>
  <r>
    <x v="1"/>
    <d v="1899-12-30T21:07:26"/>
    <n v="3027"/>
    <n v="13002561"/>
    <n v="13"/>
    <n v="22589"/>
    <s v="Retail Sale"/>
    <n v="18"/>
    <n v="13343"/>
    <x v="11"/>
    <s v="Katren"/>
    <s v="Pfizer"/>
    <n v="2"/>
    <n v="237.62"/>
    <n v="364.38"/>
    <n v="0"/>
    <n v="0"/>
    <m/>
    <n v="29"/>
    <n v="1"/>
    <n v="5"/>
    <n v="364.38"/>
    <n v="13130002027"/>
  </r>
  <r>
    <x v="10"/>
    <d v="1899-12-30T11:44:18"/>
    <n v="3028"/>
    <n v="13002561"/>
    <n v="13"/>
    <n v="22589"/>
    <s v="Retail Sale"/>
    <n v="18"/>
    <n v="80638"/>
    <x v="18"/>
    <s v="Avesta"/>
    <s v="Sanofi"/>
    <n v="1"/>
    <n v="78.5"/>
    <n v="103.01"/>
    <n v="10.3"/>
    <n v="10.3"/>
    <s v="BONUS_CARD"/>
    <n v="29"/>
    <n v="1"/>
    <n v="3"/>
    <n v="92.71"/>
    <n v="13130002028"/>
  </r>
  <r>
    <x v="27"/>
    <d v="1899-12-30T08:41:18"/>
    <n v="3029"/>
    <n v="13002561"/>
    <n v="13"/>
    <n v="22589"/>
    <s v="Retail Sale"/>
    <n v="15"/>
    <n v="70731"/>
    <x v="5"/>
    <s v="Avesta"/>
    <s v="Pfizer"/>
    <n v="3"/>
    <n v="372.31"/>
    <n v="615.24"/>
    <n v="0"/>
    <n v="0"/>
    <m/>
    <n v="29"/>
    <n v="1"/>
    <n v="6"/>
    <n v="615.24"/>
    <n v="13130002029"/>
  </r>
  <r>
    <x v="12"/>
    <d v="1899-12-30T09:16:07"/>
    <n v="3030"/>
    <n v="13002561"/>
    <n v="13"/>
    <n v="22589"/>
    <s v="Retail Sale"/>
    <n v="15"/>
    <n v="18153"/>
    <x v="34"/>
    <s v="Pulse"/>
    <s v="Dr. Reddy's"/>
    <n v="3"/>
    <n v="224.34"/>
    <n v="343.42"/>
    <n v="34.340000000000003"/>
    <n v="34.340000000000003"/>
    <s v="BONUS_CARD"/>
    <n v="29"/>
    <n v="1"/>
    <n v="3"/>
    <n v="309.08"/>
    <n v="13130002030"/>
  </r>
  <r>
    <x v="20"/>
    <d v="1899-12-30T15:28:51"/>
    <n v="3031"/>
    <n v="13002561"/>
    <n v="13"/>
    <n v="22589"/>
    <s v="Retail Sale"/>
    <n v="18"/>
    <n v="83281"/>
    <x v="28"/>
    <s v="Protek"/>
    <s v="Bayer"/>
    <n v="1"/>
    <n v="408.38"/>
    <n v="595.36"/>
    <n v="0"/>
    <n v="0"/>
    <m/>
    <n v="29"/>
    <n v="1"/>
    <n v="2"/>
    <n v="595.36"/>
    <n v="13130002031"/>
  </r>
  <r>
    <x v="25"/>
    <d v="1899-12-30T08:28:31"/>
    <n v="3032"/>
    <n v="13002561"/>
    <n v="13"/>
    <n v="22589"/>
    <s v="Retail Sale"/>
    <n v="18"/>
    <n v="18149"/>
    <x v="75"/>
    <s v="Protek"/>
    <s v="Pfizer"/>
    <n v="1"/>
    <n v="59.42"/>
    <n v="76.959999999999994"/>
    <n v="7.7"/>
    <n v="7.7"/>
    <s v="BONUS_CARD"/>
    <n v="29"/>
    <n v="1"/>
    <n v="2"/>
    <n v="69.260000000000005"/>
    <n v="13130002032"/>
  </r>
  <r>
    <x v="20"/>
    <d v="1899-12-30T13:15:48"/>
    <n v="3033"/>
    <n v="13002561"/>
    <n v="13"/>
    <n v="22589"/>
    <s v="Retail Sale"/>
    <n v="15"/>
    <n v="52885"/>
    <x v="78"/>
    <s v="Pharmcomplect"/>
    <s v="Novartis"/>
    <n v="3"/>
    <n v="436.19"/>
    <n v="708.63"/>
    <n v="70.86"/>
    <n v="70.86"/>
    <s v="BONUS_CARD"/>
    <n v="29"/>
    <n v="1"/>
    <n v="1"/>
    <n v="637.77"/>
    <n v="13130002033"/>
  </r>
  <r>
    <x v="11"/>
    <d v="1899-12-30T14:20:58"/>
    <n v="3034"/>
    <n v="13002561"/>
    <n v="13"/>
    <n v="22589"/>
    <s v="Retail Sale"/>
    <n v="18"/>
    <n v="11915"/>
    <x v="75"/>
    <s v="Katren"/>
    <s v="Pfizer"/>
    <n v="1"/>
    <n v="324.25"/>
    <n v="474.11"/>
    <n v="47.41"/>
    <n v="47.41"/>
    <s v="BONUS_CARD"/>
    <n v="29"/>
    <n v="1"/>
    <n v="2"/>
    <n v="426.7"/>
    <n v="13130002034"/>
  </r>
  <r>
    <x v="17"/>
    <d v="1899-12-30T10:52:55"/>
    <n v="3035"/>
    <n v="13002561"/>
    <n v="13"/>
    <n v="22589"/>
    <s v="Retail Sale"/>
    <n v="18"/>
    <n v="23181"/>
    <x v="75"/>
    <s v="Katren"/>
    <s v="TEVA"/>
    <n v="1"/>
    <n v="263.44"/>
    <n v="332.08"/>
    <n v="16.600000000000001"/>
    <n v="16.600000000000001"/>
    <s v="BONUS_CARD"/>
    <n v="29"/>
    <n v="1"/>
    <n v="3"/>
    <n v="315.48"/>
    <n v="13130002035"/>
  </r>
  <r>
    <x v="8"/>
    <d v="1899-12-30T15:59:01"/>
    <n v="3036"/>
    <n v="13002561"/>
    <n v="13"/>
    <n v="22589"/>
    <s v="Retail Sale"/>
    <n v="18"/>
    <n v="82086"/>
    <x v="63"/>
    <s v="Katren"/>
    <s v="TEVA"/>
    <n v="3"/>
    <n v="296.75"/>
    <n v="481.74"/>
    <n v="48.17"/>
    <n v="48.17"/>
    <s v="BONUS_CARD"/>
    <n v="29"/>
    <n v="1"/>
    <n v="3"/>
    <n v="433.57"/>
    <n v="13130002036"/>
  </r>
  <r>
    <x v="7"/>
    <d v="1899-12-30T14:22:33"/>
    <n v="3037"/>
    <n v="13002561"/>
    <n v="13"/>
    <n v="22589"/>
    <s v="Retail Sale"/>
    <n v="18"/>
    <n v="23541"/>
    <x v="19"/>
    <s v="Avesta"/>
    <s v="Dr. Reddy's"/>
    <n v="1"/>
    <n v="73.62"/>
    <n v="120.08"/>
    <n v="0"/>
    <n v="0"/>
    <m/>
    <n v="29"/>
    <n v="1"/>
    <n v="2"/>
    <n v="120.08"/>
    <n v="13130002037"/>
  </r>
  <r>
    <x v="10"/>
    <d v="1899-12-30T20:28:42"/>
    <n v="3038"/>
    <n v="13002561"/>
    <n v="13"/>
    <n v="22589"/>
    <s v="Retail Sale"/>
    <n v="18"/>
    <n v="40047"/>
    <x v="87"/>
    <s v="Katren"/>
    <s v="Takeda"/>
    <n v="3"/>
    <n v="77.180000000000007"/>
    <n v="127.65"/>
    <n v="0"/>
    <n v="0"/>
    <m/>
    <n v="29"/>
    <n v="1"/>
    <n v="5"/>
    <n v="127.65"/>
    <n v="13130002038"/>
  </r>
  <r>
    <x v="23"/>
    <d v="1899-12-30T19:37:24"/>
    <n v="3039"/>
    <n v="13002561"/>
    <n v="13"/>
    <n v="22589"/>
    <s v="Retail Sale"/>
    <n v="15"/>
    <n v="57215"/>
    <x v="13"/>
    <s v="Pulse"/>
    <s v="KRKA"/>
    <n v="2"/>
    <n v="230.75"/>
    <n v="348.59"/>
    <n v="17.43"/>
    <n v="17.43"/>
    <s v="BONUS_CARD"/>
    <n v="29"/>
    <n v="1"/>
    <n v="5"/>
    <n v="331.16"/>
    <n v="13130002039"/>
  </r>
  <r>
    <x v="4"/>
    <d v="1899-12-30T14:21:42"/>
    <n v="3040"/>
    <n v="13002561"/>
    <n v="13"/>
    <n v="22589"/>
    <s v="Retail Sale"/>
    <n v="18"/>
    <n v="47483"/>
    <x v="14"/>
    <s v="Katren"/>
    <s v="KRKA"/>
    <n v="1"/>
    <n v="238.77"/>
    <n v="384.15"/>
    <n v="0"/>
    <n v="0"/>
    <m/>
    <n v="29"/>
    <n v="1"/>
    <n v="1"/>
    <n v="384.15"/>
    <n v="13130002040"/>
  </r>
  <r>
    <x v="16"/>
    <d v="1899-12-30T11:08:24"/>
    <n v="3041"/>
    <n v="13002561"/>
    <n v="13"/>
    <n v="22589"/>
    <s v="Retail Sale"/>
    <n v="18"/>
    <n v="76273"/>
    <x v="11"/>
    <s v="Pulse"/>
    <s v="Takeda"/>
    <n v="3"/>
    <n v="535.61"/>
    <n v="714.99"/>
    <n v="35.75"/>
    <n v="35.75"/>
    <s v="BONUS_CARD"/>
    <n v="29"/>
    <n v="1"/>
    <n v="4"/>
    <n v="679.24"/>
    <n v="13130002041"/>
  </r>
  <r>
    <x v="2"/>
    <d v="1899-12-30T20:49:17"/>
    <n v="3042"/>
    <n v="13002561"/>
    <n v="13"/>
    <n v="22589"/>
    <s v="Retail Sale"/>
    <n v="18"/>
    <n v="53997"/>
    <x v="85"/>
    <s v="Katren"/>
    <s v="Sanofi"/>
    <n v="2"/>
    <n v="498.66"/>
    <n v="646.14"/>
    <n v="0"/>
    <n v="0"/>
    <m/>
    <n v="29"/>
    <n v="1"/>
    <n v="3"/>
    <n v="646.14"/>
    <n v="13130002042"/>
  </r>
  <r>
    <x v="26"/>
    <d v="1899-12-30T17:12:36"/>
    <n v="3043"/>
    <n v="13002561"/>
    <n v="13"/>
    <n v="22589"/>
    <s v="Retail Sale"/>
    <n v="15"/>
    <n v="70222"/>
    <x v="7"/>
    <s v="Avesta"/>
    <s v="Takeda"/>
    <n v="3"/>
    <n v="289.92"/>
    <n v="373.29"/>
    <n v="18.66"/>
    <n v="18.66"/>
    <s v="BONUS_CARD"/>
    <n v="29"/>
    <n v="1"/>
    <n v="6"/>
    <n v="354.63"/>
    <n v="13130002043"/>
  </r>
  <r>
    <x v="11"/>
    <d v="1899-12-30T14:57:55"/>
    <n v="3044"/>
    <n v="13002561"/>
    <n v="13"/>
    <n v="22589"/>
    <s v="Retail Sale"/>
    <n v="15"/>
    <n v="77918"/>
    <x v="69"/>
    <s v="Grand Capital"/>
    <s v="Pfizer"/>
    <n v="3"/>
    <n v="182.21"/>
    <n v="306.58999999999997"/>
    <n v="0"/>
    <n v="0"/>
    <m/>
    <n v="29"/>
    <n v="1"/>
    <n v="5"/>
    <n v="306.58999999999997"/>
    <n v="13130002044"/>
  </r>
  <r>
    <x v="8"/>
    <d v="1899-12-30T10:42:18"/>
    <n v="3045"/>
    <n v="13002561"/>
    <n v="13"/>
    <n v="22589"/>
    <s v="Retail Sale"/>
    <n v="15"/>
    <n v="73185"/>
    <x v="89"/>
    <s v="Avesta"/>
    <s v="Pfizer"/>
    <n v="3"/>
    <n v="543.97"/>
    <n v="778.41"/>
    <n v="0"/>
    <n v="0"/>
    <m/>
    <n v="29"/>
    <n v="1"/>
    <n v="2"/>
    <n v="778.41"/>
    <n v="13130002045"/>
  </r>
  <r>
    <x v="14"/>
    <d v="1899-12-30T08:20:26"/>
    <n v="3046"/>
    <n v="13002561"/>
    <n v="13"/>
    <n v="22589"/>
    <s v="Retail Sale"/>
    <n v="18"/>
    <n v="66587"/>
    <x v="61"/>
    <s v="Protek"/>
    <s v="Sanofi"/>
    <n v="3"/>
    <n v="177.32"/>
    <n v="290.64999999999998"/>
    <n v="29.06"/>
    <n v="29.06"/>
    <s v="BONUS_CARD"/>
    <n v="29"/>
    <n v="1"/>
    <n v="5"/>
    <n v="261.58999999999997"/>
    <n v="13130002046"/>
  </r>
  <r>
    <x v="22"/>
    <d v="1899-12-30T08:29:52"/>
    <n v="3047"/>
    <n v="13002561"/>
    <n v="13"/>
    <n v="22589"/>
    <s v="Retail Sale"/>
    <n v="15"/>
    <n v="75399"/>
    <x v="80"/>
    <s v="Protek"/>
    <s v="KRKA"/>
    <n v="1"/>
    <n v="114.68"/>
    <n v="179.59"/>
    <n v="17.96"/>
    <n v="17.96"/>
    <s v="BONUS_CARD"/>
    <n v="29"/>
    <n v="1"/>
    <n v="6"/>
    <n v="161.63"/>
    <n v="13130002047"/>
  </r>
  <r>
    <x v="8"/>
    <d v="1899-12-30T09:57:48"/>
    <n v="3048"/>
    <n v="13002561"/>
    <n v="13"/>
    <n v="22589"/>
    <s v="Retail Sale"/>
    <n v="15"/>
    <n v="96072"/>
    <x v="48"/>
    <s v="Grand Capital"/>
    <s v="Novartis"/>
    <n v="3"/>
    <n v="359.88"/>
    <n v="571.61"/>
    <n v="0"/>
    <n v="0"/>
    <m/>
    <n v="29"/>
    <n v="1"/>
    <n v="6"/>
    <n v="571.61"/>
    <n v="13130002048"/>
  </r>
  <r>
    <x v="3"/>
    <d v="1899-12-30T13:50:24"/>
    <n v="3049"/>
    <n v="13002561"/>
    <n v="13"/>
    <n v="22589"/>
    <s v="Retail Sale"/>
    <n v="15"/>
    <n v="30619"/>
    <x v="17"/>
    <s v="Katren"/>
    <s v="Pfizer"/>
    <n v="1"/>
    <n v="178.9"/>
    <n v="300.23"/>
    <n v="15.01"/>
    <n v="15.01"/>
    <s v="BONUS_CARD"/>
    <n v="29"/>
    <n v="1"/>
    <n v="1"/>
    <n v="285.22000000000003"/>
    <n v="13130002049"/>
  </r>
  <r>
    <x v="9"/>
    <d v="1899-12-30T15:14:13"/>
    <n v="3050"/>
    <n v="13002561"/>
    <n v="13"/>
    <n v="22589"/>
    <s v="Retail Sale"/>
    <n v="18"/>
    <n v="77374"/>
    <x v="14"/>
    <s v="Pharmcomplect"/>
    <s v="Sanofi"/>
    <n v="2"/>
    <n v="540.07000000000005"/>
    <n v="909.12"/>
    <n v="45.46"/>
    <n v="45.46"/>
    <s v="BONUS_CARD"/>
    <n v="29"/>
    <n v="1"/>
    <n v="4"/>
    <n v="863.66"/>
    <n v="13130002050"/>
  </r>
  <r>
    <x v="15"/>
    <d v="1899-12-30T12:41:57"/>
    <n v="3051"/>
    <n v="13002561"/>
    <n v="13"/>
    <n v="22589"/>
    <s v="Retail Sale"/>
    <n v="15"/>
    <n v="77530"/>
    <x v="5"/>
    <s v="Avesta"/>
    <s v="Bayer"/>
    <n v="1"/>
    <n v="407.98"/>
    <n v="663.86"/>
    <n v="33.19"/>
    <n v="33.19"/>
    <s v="BONUS_CARD"/>
    <n v="29"/>
    <n v="1"/>
    <n v="1"/>
    <n v="630.66999999999996"/>
    <n v="13130002051"/>
  </r>
  <r>
    <x v="22"/>
    <d v="1899-12-30T22:39:20"/>
    <n v="3052"/>
    <n v="13002561"/>
    <n v="13"/>
    <n v="22589"/>
    <s v="Retail Sale"/>
    <n v="15"/>
    <n v="37407"/>
    <x v="44"/>
    <s v="Protek"/>
    <s v="KRKA"/>
    <n v="2"/>
    <n v="567.44000000000005"/>
    <n v="765.52"/>
    <n v="76.55"/>
    <n v="76.55"/>
    <s v="BONUS_CARD"/>
    <n v="29"/>
    <n v="1"/>
    <n v="1"/>
    <n v="688.97"/>
    <n v="13130002052"/>
  </r>
  <r>
    <x v="6"/>
    <d v="1899-12-30T14:52:30"/>
    <n v="3053"/>
    <n v="13002561"/>
    <n v="13"/>
    <n v="22589"/>
    <s v="Retail Sale"/>
    <n v="18"/>
    <n v="56885"/>
    <x v="4"/>
    <s v="Pharmcomplect"/>
    <s v="Novartis"/>
    <n v="3"/>
    <n v="599.01"/>
    <n v="808.99"/>
    <n v="0"/>
    <n v="0"/>
    <m/>
    <n v="29"/>
    <n v="1"/>
    <n v="5"/>
    <n v="808.99"/>
    <n v="13130002053"/>
  </r>
  <r>
    <x v="11"/>
    <d v="1899-12-30T16:24:50"/>
    <n v="3054"/>
    <n v="13002561"/>
    <n v="13"/>
    <n v="22589"/>
    <s v="Retail Sale"/>
    <n v="18"/>
    <n v="13420"/>
    <x v="69"/>
    <s v="Pharmcomplect"/>
    <s v="Bayer"/>
    <n v="2"/>
    <n v="124.29"/>
    <n v="200.86"/>
    <n v="0"/>
    <n v="0"/>
    <m/>
    <n v="29"/>
    <n v="1"/>
    <n v="1"/>
    <n v="200.86"/>
    <n v="13130002054"/>
  </r>
  <r>
    <x v="3"/>
    <d v="1899-12-30T08:42:11"/>
    <n v="3055"/>
    <n v="13002561"/>
    <n v="13"/>
    <n v="22589"/>
    <s v="Retail Sale"/>
    <n v="18"/>
    <n v="60874"/>
    <x v="72"/>
    <s v="Avesta"/>
    <s v="Sanofi"/>
    <n v="1"/>
    <n v="416.08"/>
    <n v="657.66"/>
    <n v="32.880000000000003"/>
    <n v="32.880000000000003"/>
    <s v="BONUS_CARD"/>
    <n v="29"/>
    <n v="1"/>
    <n v="3"/>
    <n v="624.78"/>
    <n v="13130002055"/>
  </r>
  <r>
    <x v="6"/>
    <d v="1899-12-30T16:58:47"/>
    <n v="3056"/>
    <n v="13002561"/>
    <n v="13"/>
    <n v="22589"/>
    <s v="Retail Sale"/>
    <n v="18"/>
    <n v="39294"/>
    <x v="1"/>
    <s v="Grand Capital"/>
    <s v="Dr. Reddy's"/>
    <n v="3"/>
    <n v="379.04"/>
    <n v="599.91999999999996"/>
    <n v="0"/>
    <n v="0"/>
    <m/>
    <n v="29"/>
    <n v="1"/>
    <n v="3"/>
    <n v="599.91999999999996"/>
    <n v="13130002056"/>
  </r>
  <r>
    <x v="21"/>
    <d v="1899-12-30T14:56:24"/>
    <n v="3057"/>
    <n v="13002561"/>
    <n v="13"/>
    <n v="22589"/>
    <s v="Retail Sale"/>
    <n v="18"/>
    <n v="66428"/>
    <x v="7"/>
    <s v="Katren"/>
    <s v="Pfizer"/>
    <n v="1"/>
    <n v="403.58"/>
    <n v="547.30999999999995"/>
    <n v="27.37"/>
    <n v="27.37"/>
    <s v="BONUS_CARD"/>
    <n v="29"/>
    <n v="1"/>
    <n v="2"/>
    <n v="519.94000000000005"/>
    <n v="13130002057"/>
  </r>
  <r>
    <x v="10"/>
    <d v="1899-12-30T15:37:55"/>
    <n v="3058"/>
    <n v="13002561"/>
    <n v="13"/>
    <n v="22589"/>
    <s v="Retail Sale"/>
    <n v="18"/>
    <n v="57768"/>
    <x v="76"/>
    <s v="Katren"/>
    <s v="Bayer"/>
    <n v="3"/>
    <n v="23.7"/>
    <n v="36.33"/>
    <n v="0"/>
    <n v="0"/>
    <m/>
    <n v="29"/>
    <n v="1"/>
    <n v="3"/>
    <n v="36.33"/>
    <n v="13130002058"/>
  </r>
  <r>
    <x v="4"/>
    <d v="1899-12-30T10:54:53"/>
    <n v="3059"/>
    <n v="13002561"/>
    <n v="13"/>
    <n v="22589"/>
    <s v="Retail Sale"/>
    <n v="18"/>
    <n v="86511"/>
    <x v="45"/>
    <s v="Grand Capital"/>
    <s v="Dr. Reddy's"/>
    <n v="1"/>
    <n v="258.58"/>
    <n v="326.55"/>
    <n v="16.329999999999998"/>
    <n v="16.329999999999998"/>
    <s v="BONUS_CARD"/>
    <n v="29"/>
    <n v="1"/>
    <n v="2"/>
    <n v="310.22000000000003"/>
    <n v="13130002059"/>
  </r>
  <r>
    <x v="19"/>
    <d v="1899-12-30T14:03:10"/>
    <n v="3060"/>
    <n v="13002561"/>
    <n v="13"/>
    <n v="22589"/>
    <s v="Retail Sale"/>
    <n v="18"/>
    <n v="28710"/>
    <x v="67"/>
    <s v="Avesta"/>
    <s v="Novartis"/>
    <n v="2"/>
    <n v="55.75"/>
    <n v="88.19"/>
    <n v="4.41"/>
    <n v="4.41"/>
    <s v="BONUS_CARD"/>
    <n v="29"/>
    <n v="1"/>
    <n v="3"/>
    <n v="83.78"/>
    <n v="13130002060"/>
  </r>
  <r>
    <x v="24"/>
    <d v="1899-12-30T11:10:49"/>
    <n v="3061"/>
    <n v="13002561"/>
    <n v="13"/>
    <n v="22589"/>
    <s v="Retail Sale"/>
    <n v="18"/>
    <n v="58211"/>
    <x v="48"/>
    <s v="Pulse"/>
    <s v="TEVA"/>
    <n v="1"/>
    <n v="311.77"/>
    <n v="454.52"/>
    <n v="0"/>
    <n v="0"/>
    <m/>
    <n v="29"/>
    <n v="1"/>
    <n v="5"/>
    <n v="454.52"/>
    <n v="13130002061"/>
  </r>
  <r>
    <x v="13"/>
    <d v="1899-12-30T18:05:59"/>
    <n v="3062"/>
    <n v="13002561"/>
    <n v="13"/>
    <n v="22589"/>
    <s v="Retail Sale"/>
    <n v="15"/>
    <n v="99636"/>
    <x v="40"/>
    <s v="Pharmcomplect"/>
    <s v="Dr. Reddy's"/>
    <n v="1"/>
    <n v="286.89999999999998"/>
    <n v="425.3"/>
    <n v="0"/>
    <n v="0"/>
    <m/>
    <n v="29"/>
    <n v="1"/>
    <n v="6"/>
    <n v="425.3"/>
    <n v="13130002062"/>
  </r>
  <r>
    <x v="18"/>
    <d v="1899-12-30T22:30:53"/>
    <n v="3063"/>
    <n v="13002561"/>
    <n v="13"/>
    <n v="22589"/>
    <s v="Retail Sale"/>
    <n v="15"/>
    <n v="65737"/>
    <x v="15"/>
    <s v="Avesta"/>
    <s v="KRKA"/>
    <n v="2"/>
    <n v="53.88"/>
    <n v="88.81"/>
    <n v="0"/>
    <n v="0"/>
    <m/>
    <n v="29"/>
    <n v="1"/>
    <n v="6"/>
    <n v="88.81"/>
    <n v="13130002063"/>
  </r>
  <r>
    <x v="11"/>
    <d v="1899-12-30T14:08:31"/>
    <n v="3064"/>
    <n v="13002561"/>
    <n v="13"/>
    <n v="22589"/>
    <s v="Retail Sale"/>
    <n v="18"/>
    <n v="96532"/>
    <x v="19"/>
    <s v="Avesta"/>
    <s v="TEVA"/>
    <n v="2"/>
    <n v="306.77999999999997"/>
    <n v="515.26"/>
    <n v="51.53"/>
    <n v="51.53"/>
    <s v="BONUS_CARD"/>
    <n v="29"/>
    <n v="1"/>
    <n v="1"/>
    <n v="463.73"/>
    <n v="13130002064"/>
  </r>
  <r>
    <x v="25"/>
    <d v="1899-12-30T22:52:50"/>
    <n v="3065"/>
    <n v="13002561"/>
    <n v="13"/>
    <n v="22589"/>
    <s v="Retail Sale"/>
    <n v="18"/>
    <n v="19689"/>
    <x v="69"/>
    <s v="Protek"/>
    <s v="Bayer"/>
    <n v="3"/>
    <n v="597.19000000000005"/>
    <n v="986.89"/>
    <n v="49.34"/>
    <n v="49.34"/>
    <s v="BONUS_CARD"/>
    <n v="29"/>
    <n v="1"/>
    <n v="3"/>
    <n v="937.55"/>
    <n v="13130002065"/>
  </r>
  <r>
    <x v="1"/>
    <d v="1899-12-30T19:16:31"/>
    <n v="3066"/>
    <n v="13002561"/>
    <n v="13"/>
    <n v="22589"/>
    <s v="Retail Sale"/>
    <n v="15"/>
    <n v="59932"/>
    <x v="23"/>
    <s v="Pharmcomplect"/>
    <s v="Pfizer"/>
    <n v="1"/>
    <n v="358.41"/>
    <n v="482.49"/>
    <n v="48.25"/>
    <n v="48.25"/>
    <s v="BONUS_CARD"/>
    <n v="29"/>
    <n v="1"/>
    <n v="1"/>
    <n v="434.24"/>
    <n v="13130002066"/>
  </r>
  <r>
    <x v="19"/>
    <d v="1899-12-30T20:57:28"/>
    <n v="3067"/>
    <n v="13002561"/>
    <n v="13"/>
    <n v="22589"/>
    <s v="Retail Sale"/>
    <n v="15"/>
    <n v="20654"/>
    <x v="49"/>
    <s v="Pulse"/>
    <s v="Pfizer"/>
    <n v="3"/>
    <n v="278.89999999999998"/>
    <n v="408.99"/>
    <n v="40.9"/>
    <n v="40.9"/>
    <s v="BONUS_CARD"/>
    <n v="29"/>
    <n v="1"/>
    <n v="3"/>
    <n v="368.09"/>
    <n v="13130002067"/>
  </r>
  <r>
    <x v="15"/>
    <d v="1899-12-30T22:36:02"/>
    <n v="3068"/>
    <n v="13002561"/>
    <n v="13"/>
    <n v="22589"/>
    <s v="Retail Sale"/>
    <n v="18"/>
    <n v="44242"/>
    <x v="2"/>
    <s v="Grand Capital"/>
    <s v="Bayer"/>
    <n v="2"/>
    <n v="240.21"/>
    <n v="401"/>
    <n v="40.1"/>
    <n v="40.1"/>
    <s v="BONUS_CARD"/>
    <n v="29"/>
    <n v="1"/>
    <n v="5"/>
    <n v="360.9"/>
    <n v="13130002068"/>
  </r>
  <r>
    <x v="18"/>
    <d v="1899-12-30T14:26:42"/>
    <n v="3069"/>
    <n v="13002561"/>
    <n v="13"/>
    <n v="22589"/>
    <s v="Retail Sale"/>
    <n v="15"/>
    <n v="91432"/>
    <x v="55"/>
    <s v="Pulse"/>
    <s v="TEVA"/>
    <n v="1"/>
    <n v="386.66"/>
    <n v="638.89"/>
    <n v="63.89"/>
    <n v="63.89"/>
    <s v="BONUS_CARD"/>
    <n v="29"/>
    <n v="1"/>
    <n v="2"/>
    <n v="575"/>
    <n v="13130002069"/>
  </r>
  <r>
    <x v="19"/>
    <d v="1899-12-30T19:39:18"/>
    <n v="3070"/>
    <n v="13002561"/>
    <n v="13"/>
    <n v="22589"/>
    <s v="Retail Sale"/>
    <n v="18"/>
    <n v="28883"/>
    <x v="74"/>
    <s v="Avesta"/>
    <s v="Pfizer"/>
    <n v="1"/>
    <n v="560.44000000000005"/>
    <n v="890.93"/>
    <n v="0"/>
    <n v="0"/>
    <m/>
    <n v="29"/>
    <n v="1"/>
    <n v="1"/>
    <n v="890.93"/>
    <n v="13130002070"/>
  </r>
  <r>
    <x v="3"/>
    <d v="1899-12-30T09:01:27"/>
    <n v="3071"/>
    <n v="13002561"/>
    <n v="13"/>
    <n v="22589"/>
    <s v="Retail Sale"/>
    <n v="18"/>
    <n v="61800"/>
    <x v="49"/>
    <s v="Grand Capital"/>
    <s v="Sanofi"/>
    <n v="1"/>
    <n v="91.3"/>
    <n v="144.66"/>
    <n v="14.47"/>
    <n v="14.47"/>
    <s v="BONUS_CARD"/>
    <n v="29"/>
    <n v="1"/>
    <n v="6"/>
    <n v="130.19"/>
    <n v="13130002071"/>
  </r>
  <r>
    <x v="26"/>
    <d v="1899-12-30T10:45:35"/>
    <n v="3072"/>
    <n v="13002561"/>
    <n v="13"/>
    <n v="22589"/>
    <s v="Retail Sale"/>
    <n v="18"/>
    <n v="10056"/>
    <x v="31"/>
    <s v="Pharmcomplect"/>
    <s v="TEVA"/>
    <n v="3"/>
    <n v="101.02"/>
    <n v="141.81"/>
    <n v="14.18"/>
    <n v="14.18"/>
    <s v="BONUS_CARD"/>
    <n v="29"/>
    <n v="1"/>
    <n v="5"/>
    <n v="127.63"/>
    <n v="13130002072"/>
  </r>
  <r>
    <x v="30"/>
    <d v="1899-12-30T21:06:57"/>
    <n v="3073"/>
    <n v="13002561"/>
    <n v="13"/>
    <n v="22589"/>
    <s v="Retail Sale"/>
    <n v="18"/>
    <n v="94171"/>
    <x v="66"/>
    <s v="Pulse"/>
    <s v="Dr. Reddy's"/>
    <n v="2"/>
    <n v="433.44"/>
    <n v="569.67999999999995"/>
    <n v="0"/>
    <n v="0"/>
    <m/>
    <n v="29"/>
    <n v="1"/>
    <n v="6"/>
    <n v="569.67999999999995"/>
    <n v="13130002073"/>
  </r>
  <r>
    <x v="4"/>
    <d v="1899-12-30T16:35:01"/>
    <n v="3074"/>
    <n v="13002561"/>
    <n v="13"/>
    <n v="22589"/>
    <s v="Retail Sale"/>
    <n v="15"/>
    <n v="29014"/>
    <x v="87"/>
    <s v="Grand Capital"/>
    <s v="Sanofi"/>
    <n v="1"/>
    <n v="220.08"/>
    <n v="289.64999999999998"/>
    <n v="28.96"/>
    <n v="28.96"/>
    <s v="BONUS_CARD"/>
    <n v="29"/>
    <n v="1"/>
    <n v="1"/>
    <n v="260.69"/>
    <n v="13130002074"/>
  </r>
  <r>
    <x v="11"/>
    <d v="1899-12-30T17:29:53"/>
    <n v="3075"/>
    <n v="13002561"/>
    <n v="13"/>
    <n v="22589"/>
    <s v="Retail Sale"/>
    <n v="18"/>
    <n v="44995"/>
    <x v="21"/>
    <s v="Katren"/>
    <s v="Takeda"/>
    <n v="3"/>
    <n v="318.68"/>
    <n v="473.56"/>
    <n v="47.36"/>
    <n v="47.36"/>
    <s v="BONUS_CARD"/>
    <n v="29"/>
    <n v="1"/>
    <n v="2"/>
    <n v="426.2"/>
    <n v="13130002075"/>
  </r>
  <r>
    <x v="23"/>
    <d v="1899-12-30T14:59:32"/>
    <n v="3076"/>
    <n v="13002561"/>
    <n v="13"/>
    <n v="22589"/>
    <s v="Retail Sale"/>
    <n v="15"/>
    <n v="62248"/>
    <x v="20"/>
    <s v="Grand Capital"/>
    <s v="TEVA"/>
    <n v="3"/>
    <n v="223.24"/>
    <n v="319.64999999999998"/>
    <n v="15.98"/>
    <n v="15.98"/>
    <s v="BONUS_CARD"/>
    <n v="29"/>
    <n v="1"/>
    <n v="5"/>
    <n v="303.67"/>
    <n v="13130002076"/>
  </r>
  <r>
    <x v="14"/>
    <d v="1899-12-30T11:09:05"/>
    <n v="3077"/>
    <n v="13002561"/>
    <n v="13"/>
    <n v="22589"/>
    <s v="Retail Sale"/>
    <n v="18"/>
    <n v="86812"/>
    <x v="59"/>
    <s v="Protek"/>
    <s v="Bayer"/>
    <n v="2"/>
    <n v="68.150000000000006"/>
    <n v="111.56"/>
    <n v="11.16"/>
    <n v="11.16"/>
    <s v="BONUS_CARD"/>
    <n v="29"/>
    <n v="1"/>
    <n v="4"/>
    <n v="100.4"/>
    <n v="13130002077"/>
  </r>
  <r>
    <x v="1"/>
    <d v="1899-12-30T18:36:03"/>
    <n v="3078"/>
    <n v="13002561"/>
    <n v="13"/>
    <n v="22589"/>
    <s v="Retail Sale"/>
    <n v="18"/>
    <n v="20455"/>
    <x v="71"/>
    <s v="Protek"/>
    <s v="KRKA"/>
    <n v="1"/>
    <n v="498.95"/>
    <n v="744.37"/>
    <n v="37.22"/>
    <n v="37.22"/>
    <s v="BONUS_CARD"/>
    <n v="29"/>
    <n v="1"/>
    <n v="6"/>
    <n v="707.15"/>
    <n v="13130002078"/>
  </r>
  <r>
    <x v="17"/>
    <d v="1899-12-30T15:17:07"/>
    <n v="3079"/>
    <n v="13002561"/>
    <n v="13"/>
    <n v="22589"/>
    <s v="Retail Sale"/>
    <n v="18"/>
    <n v="23156"/>
    <x v="33"/>
    <s v="Pharmcomplect"/>
    <s v="Bayer"/>
    <n v="2"/>
    <n v="101.64"/>
    <n v="155.76"/>
    <n v="7.79"/>
    <n v="7.79"/>
    <s v="BONUS_CARD"/>
    <n v="29"/>
    <n v="1"/>
    <n v="2"/>
    <n v="147.97"/>
    <n v="13130002079"/>
  </r>
  <r>
    <x v="4"/>
    <d v="1899-12-30T22:43:53"/>
    <n v="3080"/>
    <n v="13002561"/>
    <n v="13"/>
    <n v="22589"/>
    <s v="Retail Sale"/>
    <n v="15"/>
    <n v="42785"/>
    <x v="54"/>
    <s v="Protek"/>
    <s v="Novartis"/>
    <n v="1"/>
    <n v="45.84"/>
    <n v="71.319999999999993"/>
    <n v="3.57"/>
    <n v="3.57"/>
    <s v="BONUS_CARD"/>
    <n v="29"/>
    <n v="1"/>
    <n v="3"/>
    <n v="67.75"/>
    <n v="13130002080"/>
  </r>
  <r>
    <x v="9"/>
    <d v="1899-12-30T08:59:42"/>
    <n v="3081"/>
    <n v="13002561"/>
    <n v="13"/>
    <n v="22589"/>
    <s v="Retail Sale"/>
    <n v="15"/>
    <n v="51826"/>
    <x v="1"/>
    <s v="Pharmcomplect"/>
    <s v="Pfizer"/>
    <n v="1"/>
    <n v="79.44"/>
    <n v="131.63"/>
    <n v="0"/>
    <n v="0"/>
    <m/>
    <n v="29"/>
    <n v="1"/>
    <n v="4"/>
    <n v="131.63"/>
    <n v="13130002081"/>
  </r>
  <r>
    <x v="9"/>
    <d v="1899-12-30T10:14:33"/>
    <n v="3082"/>
    <n v="13002561"/>
    <n v="13"/>
    <n v="22589"/>
    <s v="Retail Sale"/>
    <n v="18"/>
    <n v="53345"/>
    <x v="20"/>
    <s v="Protek"/>
    <s v="Pfizer"/>
    <n v="2"/>
    <n v="546.16"/>
    <n v="898.79"/>
    <n v="89.88"/>
    <n v="89.88"/>
    <s v="BONUS_CARD"/>
    <n v="29"/>
    <n v="1"/>
    <n v="5"/>
    <n v="808.91"/>
    <n v="13130002082"/>
  </r>
  <r>
    <x v="23"/>
    <d v="1899-12-30T18:30:35"/>
    <n v="3083"/>
    <n v="13002561"/>
    <n v="13"/>
    <n v="22589"/>
    <s v="Retail Sale"/>
    <n v="15"/>
    <n v="38296"/>
    <x v="14"/>
    <s v="Protek"/>
    <s v="Bayer"/>
    <n v="2"/>
    <n v="383.24"/>
    <n v="575.47"/>
    <n v="0"/>
    <n v="0"/>
    <m/>
    <n v="29"/>
    <n v="1"/>
    <n v="2"/>
    <n v="575.47"/>
    <n v="13130002083"/>
  </r>
  <r>
    <x v="29"/>
    <d v="1899-12-30T19:45:56"/>
    <n v="3084"/>
    <n v="13002561"/>
    <n v="13"/>
    <n v="22589"/>
    <s v="Retail Sale"/>
    <n v="15"/>
    <n v="88548"/>
    <x v="83"/>
    <s v="Grand Capital"/>
    <s v="Bayer"/>
    <n v="2"/>
    <n v="593.98"/>
    <n v="822.16"/>
    <n v="41.11"/>
    <n v="41.11"/>
    <s v="BONUS_CARD"/>
    <n v="29"/>
    <n v="1"/>
    <n v="5"/>
    <n v="781.05"/>
    <n v="13130002084"/>
  </r>
  <r>
    <x v="20"/>
    <d v="1899-12-30T21:57:10"/>
    <n v="3085"/>
    <n v="13002561"/>
    <n v="13"/>
    <n v="22589"/>
    <s v="Retail Sale"/>
    <n v="18"/>
    <n v="37064"/>
    <x v="35"/>
    <s v="Pulse"/>
    <s v="Bayer"/>
    <n v="2"/>
    <n v="462"/>
    <n v="672.98"/>
    <n v="67.3"/>
    <n v="67.3"/>
    <s v="BONUS_CARD"/>
    <n v="29"/>
    <n v="1"/>
    <n v="4"/>
    <n v="605.67999999999995"/>
    <n v="13130002085"/>
  </r>
  <r>
    <x v="18"/>
    <d v="1899-12-30T12:13:19"/>
    <n v="3086"/>
    <n v="13002561"/>
    <n v="13"/>
    <n v="22589"/>
    <s v="Retail Sale"/>
    <n v="15"/>
    <n v="75776"/>
    <x v="67"/>
    <s v="Grand Capital"/>
    <s v="Takeda"/>
    <n v="3"/>
    <n v="338.89"/>
    <n v="516.87"/>
    <n v="25.84"/>
    <n v="25.84"/>
    <s v="BONUS_CARD"/>
    <n v="29"/>
    <n v="1"/>
    <n v="1"/>
    <n v="491.03"/>
    <n v="13130002086"/>
  </r>
  <r>
    <x v="21"/>
    <d v="1899-12-30T09:44:09"/>
    <n v="3087"/>
    <n v="13002561"/>
    <n v="13"/>
    <n v="22589"/>
    <s v="Retail Sale"/>
    <n v="15"/>
    <n v="42225"/>
    <x v="3"/>
    <s v="Pulse"/>
    <s v="Novartis"/>
    <n v="1"/>
    <n v="515.20000000000005"/>
    <n v="706.97"/>
    <n v="70.7"/>
    <n v="70.7"/>
    <s v="BONUS_CARD"/>
    <n v="29"/>
    <n v="1"/>
    <n v="3"/>
    <n v="636.27"/>
    <n v="13130002087"/>
  </r>
  <r>
    <x v="30"/>
    <d v="1899-12-30T08:06:57"/>
    <n v="3088"/>
    <n v="13002561"/>
    <n v="13"/>
    <n v="22589"/>
    <s v="Retail Sale"/>
    <n v="18"/>
    <n v="22071"/>
    <x v="45"/>
    <s v="Pulse"/>
    <s v="TEVA"/>
    <n v="2"/>
    <n v="264.66000000000003"/>
    <n v="363.51"/>
    <n v="18.18"/>
    <n v="18.18"/>
    <s v="BONUS_CARD"/>
    <n v="29"/>
    <n v="1"/>
    <n v="4"/>
    <n v="345.33"/>
    <n v="13130002088"/>
  </r>
  <r>
    <x v="11"/>
    <d v="1899-12-30T13:10:06"/>
    <n v="3089"/>
    <n v="13002561"/>
    <n v="13"/>
    <n v="22589"/>
    <s v="Retail Sale"/>
    <n v="18"/>
    <n v="57851"/>
    <x v="19"/>
    <s v="Pharmcomplect"/>
    <s v="TEVA"/>
    <n v="1"/>
    <n v="340.75"/>
    <n v="483.96"/>
    <n v="0"/>
    <n v="0"/>
    <m/>
    <n v="29"/>
    <n v="1"/>
    <n v="1"/>
    <n v="483.96"/>
    <n v="13130002089"/>
  </r>
  <r>
    <x v="9"/>
    <d v="1899-12-30T15:23:13"/>
    <n v="3090"/>
    <n v="13002561"/>
    <n v="13"/>
    <n v="22589"/>
    <s v="Retail Sale"/>
    <n v="18"/>
    <n v="61098"/>
    <x v="58"/>
    <s v="Katren"/>
    <s v="Bayer"/>
    <n v="2"/>
    <n v="324"/>
    <n v="515.61"/>
    <n v="25.78"/>
    <n v="25.78"/>
    <s v="BONUS_CARD"/>
    <n v="29"/>
    <n v="1"/>
    <n v="2"/>
    <n v="489.83"/>
    <n v="13130002090"/>
  </r>
  <r>
    <x v="15"/>
    <d v="1899-12-30T19:54:02"/>
    <n v="3091"/>
    <n v="13002561"/>
    <n v="13"/>
    <n v="22589"/>
    <s v="Retail Sale"/>
    <n v="15"/>
    <n v="18969"/>
    <x v="66"/>
    <s v="Avesta"/>
    <s v="Dr. Reddy's"/>
    <n v="2"/>
    <n v="557.91999999999996"/>
    <n v="943.2"/>
    <n v="0"/>
    <n v="0"/>
    <m/>
    <n v="29"/>
    <n v="1"/>
    <n v="6"/>
    <n v="943.2"/>
    <n v="13130002091"/>
  </r>
  <r>
    <x v="14"/>
    <d v="1899-12-30T22:33:21"/>
    <n v="3092"/>
    <n v="13002561"/>
    <n v="13"/>
    <n v="22589"/>
    <s v="Retail Sale"/>
    <n v="15"/>
    <n v="51510"/>
    <x v="41"/>
    <s v="Protek"/>
    <s v="Novartis"/>
    <n v="1"/>
    <n v="519.11"/>
    <n v="754.35"/>
    <n v="0"/>
    <n v="0"/>
    <m/>
    <n v="29"/>
    <n v="1"/>
    <n v="1"/>
    <n v="754.35"/>
    <n v="13130002092"/>
  </r>
  <r>
    <x v="0"/>
    <d v="1899-12-30T10:28:23"/>
    <n v="3093"/>
    <n v="13002561"/>
    <n v="13"/>
    <n v="22589"/>
    <s v="Retail Sale"/>
    <n v="15"/>
    <n v="67270"/>
    <x v="35"/>
    <s v="Katren"/>
    <s v="TEVA"/>
    <n v="1"/>
    <n v="283.19"/>
    <n v="475.71"/>
    <n v="23.79"/>
    <n v="23.79"/>
    <s v="BONUS_CARD"/>
    <n v="29"/>
    <n v="1"/>
    <n v="5"/>
    <n v="451.92"/>
    <n v="13130002093"/>
  </r>
  <r>
    <x v="3"/>
    <d v="1899-12-30T22:53:55"/>
    <n v="3094"/>
    <n v="13002561"/>
    <n v="13"/>
    <n v="22589"/>
    <s v="Retail Sale"/>
    <n v="15"/>
    <n v="51304"/>
    <x v="46"/>
    <s v="Avesta"/>
    <s v="Sanofi"/>
    <n v="1"/>
    <n v="49.92"/>
    <n v="74.680000000000007"/>
    <n v="0"/>
    <n v="0"/>
    <m/>
    <n v="29"/>
    <n v="1"/>
    <n v="2"/>
    <n v="74.680000000000007"/>
    <n v="13130002094"/>
  </r>
  <r>
    <x v="2"/>
    <d v="1899-12-30T12:24:50"/>
    <n v="3095"/>
    <n v="13002561"/>
    <n v="13"/>
    <n v="22589"/>
    <s v="Retail Sale"/>
    <n v="15"/>
    <n v="52282"/>
    <x v="24"/>
    <s v="Pulse"/>
    <s v="Pfizer"/>
    <n v="2"/>
    <n v="192.7"/>
    <n v="267.17"/>
    <n v="0"/>
    <n v="0"/>
    <m/>
    <n v="29"/>
    <n v="1"/>
    <n v="2"/>
    <n v="267.17"/>
    <n v="13130002095"/>
  </r>
  <r>
    <x v="29"/>
    <d v="1899-12-30T16:27:23"/>
    <n v="3096"/>
    <n v="13002561"/>
    <n v="13"/>
    <n v="22589"/>
    <s v="Retail Sale"/>
    <n v="15"/>
    <n v="32860"/>
    <x v="24"/>
    <s v="Katren"/>
    <s v="Sanofi"/>
    <n v="1"/>
    <n v="558.74"/>
    <n v="915.53"/>
    <n v="0"/>
    <n v="0"/>
    <m/>
    <n v="29"/>
    <n v="1"/>
    <n v="1"/>
    <n v="915.53"/>
    <n v="13130002096"/>
  </r>
  <r>
    <x v="15"/>
    <d v="1899-12-30T19:35:58"/>
    <n v="3097"/>
    <n v="13002561"/>
    <n v="13"/>
    <n v="22589"/>
    <s v="Retail Sale"/>
    <n v="18"/>
    <n v="43755"/>
    <x v="80"/>
    <s v="Avesta"/>
    <s v="Pfizer"/>
    <n v="3"/>
    <n v="335.48"/>
    <n v="505.73"/>
    <n v="25.29"/>
    <n v="25.29"/>
    <s v="BONUS_CARD"/>
    <n v="29"/>
    <n v="1"/>
    <n v="6"/>
    <n v="480.44"/>
    <n v="13130002097"/>
  </r>
  <r>
    <x v="14"/>
    <d v="1899-12-30T11:02:41"/>
    <n v="3098"/>
    <n v="13002561"/>
    <n v="13"/>
    <n v="22589"/>
    <s v="Retail Sale"/>
    <n v="18"/>
    <n v="49722"/>
    <x v="78"/>
    <s v="Pharmcomplect"/>
    <s v="Bayer"/>
    <n v="2"/>
    <n v="432.96"/>
    <n v="653.15"/>
    <n v="65.31"/>
    <n v="65.31"/>
    <s v="BONUS_CARD"/>
    <n v="29"/>
    <n v="1"/>
    <n v="4"/>
    <n v="587.84"/>
    <n v="13130002098"/>
  </r>
  <r>
    <x v="19"/>
    <d v="1899-12-30T22:42:05"/>
    <n v="3099"/>
    <n v="13002561"/>
    <n v="13"/>
    <n v="22589"/>
    <s v="Retail Sale"/>
    <n v="18"/>
    <n v="20925"/>
    <x v="54"/>
    <s v="Katren"/>
    <s v="KRKA"/>
    <n v="1"/>
    <n v="92.27"/>
    <n v="139.28"/>
    <n v="0"/>
    <n v="0"/>
    <m/>
    <n v="29"/>
    <n v="1"/>
    <n v="3"/>
    <n v="139.28"/>
    <n v="13130002099"/>
  </r>
  <r>
    <x v="27"/>
    <d v="1899-12-30T15:49:59"/>
    <n v="3100"/>
    <n v="13002561"/>
    <n v="13"/>
    <n v="22589"/>
    <s v="Retail Sale"/>
    <n v="18"/>
    <n v="47013"/>
    <x v="69"/>
    <s v="Pharmcomplect"/>
    <s v="Pfizer"/>
    <n v="1"/>
    <n v="273.64999999999998"/>
    <n v="448.23"/>
    <n v="22.41"/>
    <n v="22.41"/>
    <s v="BONUS_CARD"/>
    <n v="29"/>
    <n v="1"/>
    <n v="3"/>
    <n v="425.82"/>
    <n v="13130002100"/>
  </r>
  <r>
    <x v="2"/>
    <d v="1899-12-30T08:02:18"/>
    <n v="3101"/>
    <n v="13002561"/>
    <n v="13"/>
    <n v="22589"/>
    <s v="Retail Sale"/>
    <n v="15"/>
    <n v="67763"/>
    <x v="76"/>
    <s v="Avesta"/>
    <s v="TEVA"/>
    <n v="2"/>
    <n v="317.77999999999997"/>
    <n v="520.99"/>
    <n v="26.05"/>
    <n v="26.05"/>
    <s v="BONUS_CARD"/>
    <n v="29"/>
    <n v="1"/>
    <n v="5"/>
    <n v="494.94"/>
    <n v="13130002101"/>
  </r>
  <r>
    <x v="12"/>
    <d v="1899-12-30T22:23:17"/>
    <n v="3102"/>
    <n v="13002561"/>
    <n v="13"/>
    <n v="22589"/>
    <s v="Retail Sale"/>
    <n v="15"/>
    <n v="47928"/>
    <x v="54"/>
    <s v="Avesta"/>
    <s v="Bayer"/>
    <n v="2"/>
    <n v="273.66000000000003"/>
    <n v="363.54"/>
    <n v="36.35"/>
    <n v="36.35"/>
    <s v="BONUS_CARD"/>
    <n v="29"/>
    <n v="1"/>
    <n v="1"/>
    <n v="327.19"/>
    <n v="13130002102"/>
  </r>
  <r>
    <x v="21"/>
    <d v="1899-12-30T09:56:32"/>
    <n v="3103"/>
    <n v="13002561"/>
    <n v="13"/>
    <n v="22589"/>
    <s v="Retail Sale"/>
    <n v="15"/>
    <n v="54723"/>
    <x v="53"/>
    <s v="Grand Capital"/>
    <s v="Bayer"/>
    <n v="2"/>
    <n v="561.48"/>
    <n v="950.44"/>
    <n v="47.52"/>
    <n v="47.52"/>
    <s v="BONUS_CARD"/>
    <n v="29"/>
    <n v="1"/>
    <n v="5"/>
    <n v="902.92"/>
    <n v="13130002103"/>
  </r>
  <r>
    <x v="11"/>
    <d v="1899-12-30T09:23:56"/>
    <n v="3104"/>
    <n v="13002561"/>
    <n v="13"/>
    <n v="22589"/>
    <s v="Retail Sale"/>
    <n v="15"/>
    <n v="74454"/>
    <x v="35"/>
    <s v="Avesta"/>
    <s v="Bayer"/>
    <n v="2"/>
    <n v="330.51"/>
    <n v="475.08"/>
    <n v="0"/>
    <n v="0"/>
    <m/>
    <n v="29"/>
    <n v="1"/>
    <n v="2"/>
    <n v="475.08"/>
    <n v="13130002104"/>
  </r>
  <r>
    <x v="11"/>
    <d v="1899-12-30T18:54:06"/>
    <n v="3105"/>
    <n v="13002561"/>
    <n v="13"/>
    <n v="22589"/>
    <s v="Retail Sale"/>
    <n v="15"/>
    <n v="46993"/>
    <x v="66"/>
    <s v="Avesta"/>
    <s v="Pfizer"/>
    <n v="2"/>
    <n v="582.22"/>
    <n v="824.46"/>
    <n v="0"/>
    <n v="0"/>
    <m/>
    <n v="29"/>
    <n v="1"/>
    <n v="2"/>
    <n v="824.46"/>
    <n v="13130002105"/>
  </r>
  <r>
    <x v="22"/>
    <d v="1899-12-30T15:06:18"/>
    <n v="3106"/>
    <n v="13002561"/>
    <n v="13"/>
    <n v="22589"/>
    <s v="Retail Sale"/>
    <n v="15"/>
    <n v="52754"/>
    <x v="65"/>
    <s v="Pharmcomplect"/>
    <s v="Sanofi"/>
    <n v="2"/>
    <n v="403.3"/>
    <n v="513.01"/>
    <n v="51.3"/>
    <n v="51.3"/>
    <s v="BONUS_CARD"/>
    <n v="29"/>
    <n v="1"/>
    <n v="3"/>
    <n v="461.71"/>
    <n v="13130002106"/>
  </r>
  <r>
    <x v="14"/>
    <d v="1899-12-30T13:57:35"/>
    <n v="3107"/>
    <n v="13002561"/>
    <n v="13"/>
    <n v="22589"/>
    <s v="Retail Sale"/>
    <n v="18"/>
    <n v="85411"/>
    <x v="3"/>
    <s v="Pharmcomplect"/>
    <s v="Takeda"/>
    <n v="3"/>
    <n v="41.38"/>
    <n v="56.49"/>
    <n v="2.82"/>
    <n v="2.82"/>
    <s v="BONUS_CARD"/>
    <n v="29"/>
    <n v="1"/>
    <n v="1"/>
    <n v="53.67"/>
    <n v="13130002107"/>
  </r>
  <r>
    <x v="13"/>
    <d v="1899-12-30T20:25:05"/>
    <n v="3108"/>
    <n v="13002561"/>
    <n v="13"/>
    <n v="22589"/>
    <s v="Retail Sale"/>
    <n v="18"/>
    <n v="79232"/>
    <x v="70"/>
    <s v="Pharmcomplect"/>
    <s v="Pfizer"/>
    <n v="1"/>
    <n v="381.7"/>
    <n v="477.21"/>
    <n v="47.72"/>
    <n v="47.72"/>
    <s v="BONUS_CARD"/>
    <n v="29"/>
    <n v="1"/>
    <n v="1"/>
    <n v="429.49"/>
    <n v="13130002108"/>
  </r>
  <r>
    <x v="24"/>
    <d v="1899-12-30T14:18:24"/>
    <n v="3109"/>
    <n v="13002561"/>
    <n v="13"/>
    <n v="22589"/>
    <s v="Retail Sale"/>
    <n v="18"/>
    <n v="34047"/>
    <x v="28"/>
    <s v="Protek"/>
    <s v="Bayer"/>
    <n v="2"/>
    <n v="416.55"/>
    <n v="534.04999999999995"/>
    <n v="0"/>
    <n v="0"/>
    <m/>
    <n v="29"/>
    <n v="1"/>
    <n v="1"/>
    <n v="534.04999999999995"/>
    <n v="13130002109"/>
  </r>
  <r>
    <x v="27"/>
    <d v="1899-12-30T11:27:07"/>
    <n v="3110"/>
    <n v="13002561"/>
    <n v="13"/>
    <n v="22589"/>
    <s v="Retail Sale"/>
    <n v="18"/>
    <n v="16735"/>
    <x v="61"/>
    <s v="Avesta"/>
    <s v="Bayer"/>
    <n v="1"/>
    <n v="247.69"/>
    <n v="374.84"/>
    <n v="18.739999999999998"/>
    <n v="18.739999999999998"/>
    <s v="BONUS_CARD"/>
    <n v="29"/>
    <n v="1"/>
    <n v="4"/>
    <n v="356.1"/>
    <n v="13130002110"/>
  </r>
  <r>
    <x v="2"/>
    <d v="1899-12-30T18:58:13"/>
    <n v="3111"/>
    <n v="13002561"/>
    <n v="13"/>
    <n v="22589"/>
    <s v="Retail Sale"/>
    <n v="15"/>
    <n v="69865"/>
    <x v="11"/>
    <s v="Katren"/>
    <s v="Bayer"/>
    <n v="3"/>
    <n v="109.61"/>
    <n v="169.52"/>
    <n v="0"/>
    <n v="0"/>
    <m/>
    <n v="29"/>
    <n v="1"/>
    <n v="3"/>
    <n v="169.52"/>
    <n v="13130002111"/>
  </r>
  <r>
    <x v="0"/>
    <d v="1899-12-30T10:44:57"/>
    <n v="3112"/>
    <n v="13002561"/>
    <n v="13"/>
    <n v="22589"/>
    <s v="Retail Sale"/>
    <n v="15"/>
    <n v="13362"/>
    <x v="33"/>
    <s v="Protek"/>
    <s v="Dr. Reddy's"/>
    <n v="2"/>
    <n v="145.51"/>
    <n v="234.87"/>
    <n v="0"/>
    <n v="0"/>
    <m/>
    <n v="29"/>
    <n v="1"/>
    <n v="6"/>
    <n v="234.87"/>
    <n v="13130002112"/>
  </r>
  <r>
    <x v="5"/>
    <d v="1899-12-30T19:39:36"/>
    <n v="3113"/>
    <n v="13002561"/>
    <n v="13"/>
    <n v="22589"/>
    <s v="Retail Sale"/>
    <n v="15"/>
    <n v="75744"/>
    <x v="49"/>
    <s v="Pharmcomplect"/>
    <s v="Dr. Reddy's"/>
    <n v="2"/>
    <n v="326.47000000000003"/>
    <n v="476.18"/>
    <n v="23.81"/>
    <n v="23.81"/>
    <s v="BONUS_CARD"/>
    <n v="29"/>
    <n v="1"/>
    <n v="1"/>
    <n v="452.37"/>
    <n v="13130002113"/>
  </r>
  <r>
    <x v="6"/>
    <d v="1899-12-30T12:47:37"/>
    <n v="3114"/>
    <n v="13002561"/>
    <n v="13"/>
    <n v="22589"/>
    <s v="Retail Sale"/>
    <n v="15"/>
    <n v="79599"/>
    <x v="13"/>
    <s v="Pulse"/>
    <s v="TEVA"/>
    <n v="2"/>
    <n v="199.67"/>
    <n v="282.39999999999998"/>
    <n v="28.24"/>
    <n v="28.24"/>
    <s v="BONUS_CARD"/>
    <n v="29"/>
    <n v="1"/>
    <n v="2"/>
    <n v="254.16"/>
    <n v="13130002114"/>
  </r>
  <r>
    <x v="0"/>
    <d v="1899-12-30T08:59:10"/>
    <n v="3115"/>
    <n v="13002561"/>
    <n v="13"/>
    <n v="22589"/>
    <s v="Retail Sale"/>
    <n v="18"/>
    <n v="95297"/>
    <x v="10"/>
    <s v="Pulse"/>
    <s v="Novartis"/>
    <n v="2"/>
    <n v="384.45"/>
    <n v="591.51"/>
    <n v="59.15"/>
    <n v="59.15"/>
    <s v="BONUS_CARD"/>
    <n v="29"/>
    <n v="1"/>
    <n v="2"/>
    <n v="532.36"/>
    <n v="13130002115"/>
  </r>
  <r>
    <x v="7"/>
    <d v="1899-12-30T09:19:44"/>
    <n v="3116"/>
    <n v="13002561"/>
    <n v="13"/>
    <n v="22589"/>
    <s v="Retail Sale"/>
    <n v="15"/>
    <n v="11512"/>
    <x v="15"/>
    <s v="Katren"/>
    <s v="Pfizer"/>
    <n v="1"/>
    <n v="173.94"/>
    <n v="234.12"/>
    <n v="11.71"/>
    <n v="11.71"/>
    <s v="BONUS_CARD"/>
    <n v="29"/>
    <n v="1"/>
    <n v="5"/>
    <n v="222.41"/>
    <n v="13130002116"/>
  </r>
  <r>
    <x v="11"/>
    <d v="1899-12-30T21:58:41"/>
    <n v="3117"/>
    <n v="13002561"/>
    <n v="13"/>
    <n v="22589"/>
    <s v="Retail Sale"/>
    <n v="18"/>
    <n v="35890"/>
    <x v="76"/>
    <s v="Grand Capital"/>
    <s v="Sanofi"/>
    <n v="1"/>
    <n v="92.04"/>
    <n v="131.1"/>
    <n v="6.55"/>
    <n v="6.55"/>
    <s v="BONUS_CARD"/>
    <n v="29"/>
    <n v="1"/>
    <n v="5"/>
    <n v="124.55"/>
    <n v="13130002117"/>
  </r>
  <r>
    <x v="9"/>
    <d v="1899-12-30T21:25:21"/>
    <n v="3118"/>
    <n v="13002561"/>
    <n v="13"/>
    <n v="22589"/>
    <s v="Retail Sale"/>
    <n v="15"/>
    <n v="88766"/>
    <x v="89"/>
    <s v="Katren"/>
    <s v="Dr. Reddy's"/>
    <n v="1"/>
    <n v="480.97"/>
    <n v="774.58"/>
    <n v="0"/>
    <n v="0"/>
    <m/>
    <n v="29"/>
    <n v="1"/>
    <n v="5"/>
    <n v="774.58"/>
    <n v="13130002118"/>
  </r>
  <r>
    <x v="8"/>
    <d v="1899-12-30T09:01:46"/>
    <n v="3119"/>
    <n v="13002561"/>
    <n v="13"/>
    <n v="22589"/>
    <s v="Retail Sale"/>
    <n v="18"/>
    <n v="52154"/>
    <x v="24"/>
    <s v="Katren"/>
    <s v="Takeda"/>
    <n v="2"/>
    <n v="486.4"/>
    <n v="693.33"/>
    <n v="69.33"/>
    <n v="69.33"/>
    <s v="BONUS_CARD"/>
    <n v="29"/>
    <n v="1"/>
    <n v="5"/>
    <n v="624"/>
    <n v="13130002119"/>
  </r>
  <r>
    <x v="23"/>
    <d v="1899-12-30T18:43:28"/>
    <n v="3120"/>
    <n v="13002561"/>
    <n v="13"/>
    <n v="22589"/>
    <s v="Retail Sale"/>
    <n v="18"/>
    <n v="70356"/>
    <x v="47"/>
    <s v="Pharmcomplect"/>
    <s v="Takeda"/>
    <n v="2"/>
    <n v="446.22"/>
    <n v="611.46"/>
    <n v="0"/>
    <n v="0"/>
    <m/>
    <n v="29"/>
    <n v="1"/>
    <n v="5"/>
    <n v="611.46"/>
    <n v="13130002120"/>
  </r>
  <r>
    <x v="17"/>
    <d v="1899-12-30T17:23:47"/>
    <n v="3121"/>
    <n v="13002561"/>
    <n v="13"/>
    <n v="22589"/>
    <s v="Retail Sale"/>
    <n v="15"/>
    <n v="76032"/>
    <x v="11"/>
    <s v="Protek"/>
    <s v="TEVA"/>
    <n v="1"/>
    <n v="175.32"/>
    <n v="231.62"/>
    <n v="23.16"/>
    <n v="23.16"/>
    <s v="BONUS_CARD"/>
    <n v="29"/>
    <n v="1"/>
    <n v="2"/>
    <n v="208.46"/>
    <n v="13130002121"/>
  </r>
  <r>
    <x v="12"/>
    <d v="1899-12-30T14:47:33"/>
    <n v="3122"/>
    <n v="13002561"/>
    <n v="13"/>
    <n v="22589"/>
    <s v="Retail Sale"/>
    <n v="18"/>
    <n v="40441"/>
    <x v="7"/>
    <s v="Pharmcomplect"/>
    <s v="TEVA"/>
    <n v="2"/>
    <n v="397.8"/>
    <n v="554.83000000000004"/>
    <n v="55.48"/>
    <n v="55.48"/>
    <s v="BONUS_CARD"/>
    <n v="29"/>
    <n v="1"/>
    <n v="2"/>
    <n v="499.35"/>
    <n v="13130002122"/>
  </r>
  <r>
    <x v="30"/>
    <d v="1899-12-30T14:31:08"/>
    <n v="3123"/>
    <n v="13002561"/>
    <n v="13"/>
    <n v="22589"/>
    <s v="Retail Sale"/>
    <n v="18"/>
    <n v="68548"/>
    <x v="9"/>
    <s v="Protek"/>
    <s v="Pfizer"/>
    <n v="1"/>
    <n v="581.84"/>
    <n v="942.57"/>
    <n v="0"/>
    <n v="0"/>
    <m/>
    <n v="29"/>
    <n v="1"/>
    <n v="6"/>
    <n v="942.57"/>
    <n v="13130002123"/>
  </r>
  <r>
    <x v="8"/>
    <d v="1899-12-30T22:37:15"/>
    <n v="3124"/>
    <n v="13002561"/>
    <n v="13"/>
    <n v="22589"/>
    <s v="Retail Sale"/>
    <n v="15"/>
    <n v="88230"/>
    <x v="7"/>
    <s v="Pulse"/>
    <s v="Sanofi"/>
    <n v="1"/>
    <n v="470.2"/>
    <n v="717.08"/>
    <n v="71.709999999999994"/>
    <n v="71.709999999999994"/>
    <s v="BONUS_CARD"/>
    <n v="29"/>
    <n v="1"/>
    <n v="4"/>
    <n v="645.37"/>
    <n v="13130002124"/>
  </r>
  <r>
    <x v="16"/>
    <d v="1899-12-30T15:31:56"/>
    <n v="3125"/>
    <n v="13002561"/>
    <n v="13"/>
    <n v="22589"/>
    <s v="Retail Sale"/>
    <n v="15"/>
    <n v="13302"/>
    <x v="29"/>
    <s v="Protek"/>
    <s v="Sanofi"/>
    <n v="3"/>
    <n v="570.41999999999996"/>
    <n v="762.71"/>
    <n v="38.14"/>
    <n v="38.14"/>
    <s v="BONUS_CARD"/>
    <n v="29"/>
    <n v="1"/>
    <n v="2"/>
    <n v="724.57"/>
    <n v="13130002125"/>
  </r>
  <r>
    <x v="13"/>
    <d v="1899-12-30T08:23:57"/>
    <n v="3126"/>
    <n v="13002561"/>
    <n v="13"/>
    <n v="22589"/>
    <s v="Retail Sale"/>
    <n v="18"/>
    <n v="55390"/>
    <x v="19"/>
    <s v="Pharmcomplect"/>
    <s v="TEVA"/>
    <n v="2"/>
    <n v="412.49"/>
    <n v="655.22"/>
    <n v="0"/>
    <n v="0"/>
    <m/>
    <n v="29"/>
    <n v="1"/>
    <n v="6"/>
    <n v="655.22"/>
    <n v="13130002126"/>
  </r>
  <r>
    <x v="9"/>
    <d v="1899-12-30T21:22:41"/>
    <n v="3127"/>
    <n v="13002561"/>
    <n v="13"/>
    <n v="22589"/>
    <s v="Retail Sale"/>
    <n v="18"/>
    <n v="64448"/>
    <x v="73"/>
    <s v="Pulse"/>
    <s v="Takeda"/>
    <n v="1"/>
    <n v="238.66"/>
    <n v="362.61"/>
    <n v="0"/>
    <n v="0"/>
    <m/>
    <n v="29"/>
    <n v="1"/>
    <n v="1"/>
    <n v="362.61"/>
    <n v="13130002127"/>
  </r>
  <r>
    <x v="23"/>
    <d v="1899-12-30T17:51:59"/>
    <n v="3128"/>
    <n v="13002561"/>
    <n v="13"/>
    <n v="22589"/>
    <s v="Retail Sale"/>
    <n v="15"/>
    <n v="85122"/>
    <x v="29"/>
    <s v="Avesta"/>
    <s v="Novartis"/>
    <n v="1"/>
    <n v="173.89"/>
    <n v="236.41"/>
    <n v="11.82"/>
    <n v="11.82"/>
    <s v="BONUS_CARD"/>
    <n v="29"/>
    <n v="1"/>
    <n v="6"/>
    <n v="224.59"/>
    <n v="13130002128"/>
  </r>
  <r>
    <x v="14"/>
    <d v="1899-12-30T09:34:41"/>
    <n v="3129"/>
    <n v="13002561"/>
    <n v="13"/>
    <n v="22589"/>
    <s v="Retail Sale"/>
    <n v="15"/>
    <n v="10029"/>
    <x v="81"/>
    <s v="Pharmcomplect"/>
    <s v="TEVA"/>
    <n v="3"/>
    <n v="447.5"/>
    <n v="625"/>
    <n v="62.5"/>
    <n v="62.5"/>
    <s v="BONUS_CARD"/>
    <n v="29"/>
    <n v="1"/>
    <n v="4"/>
    <n v="562.5"/>
    <n v="13130002129"/>
  </r>
  <r>
    <x v="20"/>
    <d v="1899-12-30T09:28:28"/>
    <n v="3130"/>
    <n v="13002561"/>
    <n v="13"/>
    <n v="22589"/>
    <s v="Retail Sale"/>
    <n v="15"/>
    <n v="85639"/>
    <x v="82"/>
    <s v="Pulse"/>
    <s v="KRKA"/>
    <n v="3"/>
    <n v="531.64"/>
    <n v="821.49"/>
    <n v="82.15"/>
    <n v="82.15"/>
    <s v="BONUS_CARD"/>
    <n v="29"/>
    <n v="1"/>
    <n v="1"/>
    <n v="739.34"/>
    <n v="13130002130"/>
  </r>
  <r>
    <x v="16"/>
    <d v="1899-12-30T16:19:16"/>
    <n v="3131"/>
    <n v="13002561"/>
    <n v="13"/>
    <n v="22589"/>
    <s v="Retail Sale"/>
    <n v="18"/>
    <n v="21670"/>
    <x v="56"/>
    <s v="Avesta"/>
    <s v="TEVA"/>
    <n v="3"/>
    <n v="126.4"/>
    <n v="190.35"/>
    <n v="19.04"/>
    <n v="19.04"/>
    <s v="BONUS_CARD"/>
    <n v="29"/>
    <n v="1"/>
    <n v="6"/>
    <n v="171.31"/>
    <n v="13130002131"/>
  </r>
  <r>
    <x v="16"/>
    <d v="1899-12-30T13:46:10"/>
    <n v="3132"/>
    <n v="13002561"/>
    <n v="13"/>
    <n v="22589"/>
    <s v="Retail Sale"/>
    <n v="18"/>
    <n v="62630"/>
    <x v="6"/>
    <s v="Pharmcomplect"/>
    <s v="KRKA"/>
    <n v="1"/>
    <n v="262.39"/>
    <n v="389.2"/>
    <n v="0"/>
    <n v="0"/>
    <m/>
    <n v="29"/>
    <n v="1"/>
    <n v="5"/>
    <n v="389.2"/>
    <n v="13130002132"/>
  </r>
  <r>
    <x v="5"/>
    <d v="1899-12-30T19:43:44"/>
    <n v="3133"/>
    <n v="13002561"/>
    <n v="13"/>
    <n v="22589"/>
    <s v="Retail Sale"/>
    <n v="15"/>
    <n v="55443"/>
    <x v="86"/>
    <s v="Avesta"/>
    <s v="Novartis"/>
    <n v="1"/>
    <n v="354.79"/>
    <n v="541.92999999999995"/>
    <n v="27.1"/>
    <n v="27.1"/>
    <s v="BONUS_CARD"/>
    <n v="29"/>
    <n v="1"/>
    <n v="5"/>
    <n v="514.83000000000004"/>
    <n v="13130002133"/>
  </r>
  <r>
    <x v="28"/>
    <d v="1899-12-30T20:16:14"/>
    <n v="3134"/>
    <n v="13002561"/>
    <n v="13"/>
    <n v="22589"/>
    <s v="Retail Sale"/>
    <n v="15"/>
    <n v="53761"/>
    <x v="65"/>
    <s v="Pulse"/>
    <s v="Bayer"/>
    <n v="2"/>
    <n v="505.28"/>
    <n v="796.63"/>
    <n v="79.66"/>
    <n v="79.66"/>
    <s v="BONUS_CARD"/>
    <n v="29"/>
    <n v="1"/>
    <n v="1"/>
    <n v="716.97"/>
    <n v="13130002134"/>
  </r>
  <r>
    <x v="22"/>
    <d v="1899-12-30T17:16:52"/>
    <n v="3135"/>
    <n v="13002561"/>
    <n v="13"/>
    <n v="22589"/>
    <s v="Retail Sale"/>
    <n v="15"/>
    <n v="11976"/>
    <x v="85"/>
    <s v="Protek"/>
    <s v="Bayer"/>
    <n v="3"/>
    <n v="398.07"/>
    <n v="617.92999999999995"/>
    <n v="0"/>
    <n v="0"/>
    <m/>
    <n v="29"/>
    <n v="1"/>
    <n v="4"/>
    <n v="617.92999999999995"/>
    <n v="13130002135"/>
  </r>
  <r>
    <x v="29"/>
    <d v="1899-12-30T15:26:20"/>
    <n v="3136"/>
    <n v="13002561"/>
    <n v="13"/>
    <n v="22589"/>
    <s v="Retail Sale"/>
    <n v="15"/>
    <n v="16730"/>
    <x v="2"/>
    <s v="Avesta"/>
    <s v="Takeda"/>
    <n v="2"/>
    <n v="552.79"/>
    <n v="847.75"/>
    <n v="42.39"/>
    <n v="42.39"/>
    <s v="BONUS_CARD"/>
    <n v="29"/>
    <n v="1"/>
    <n v="6"/>
    <n v="805.36"/>
    <n v="13130002136"/>
  </r>
  <r>
    <x v="25"/>
    <d v="1899-12-30T22:17:56"/>
    <n v="3137"/>
    <n v="13002561"/>
    <n v="13"/>
    <n v="22589"/>
    <s v="Retail Sale"/>
    <n v="15"/>
    <n v="77534"/>
    <x v="61"/>
    <s v="Protek"/>
    <s v="Novartis"/>
    <n v="1"/>
    <n v="124.45"/>
    <n v="194.34"/>
    <n v="19.43"/>
    <n v="19.43"/>
    <s v="BONUS_CARD"/>
    <n v="29"/>
    <n v="1"/>
    <n v="2"/>
    <n v="174.91"/>
    <n v="13130002137"/>
  </r>
  <r>
    <x v="28"/>
    <d v="1899-12-30T13:43:14"/>
    <n v="3138"/>
    <n v="13002561"/>
    <n v="13"/>
    <n v="22589"/>
    <s v="Retail Sale"/>
    <n v="15"/>
    <n v="84213"/>
    <x v="19"/>
    <s v="Katren"/>
    <s v="TEVA"/>
    <n v="2"/>
    <n v="574.4"/>
    <n v="921.89"/>
    <n v="0"/>
    <n v="0"/>
    <m/>
    <n v="29"/>
    <n v="1"/>
    <n v="5"/>
    <n v="921.89"/>
    <n v="13130002138"/>
  </r>
  <r>
    <x v="8"/>
    <d v="1899-12-30T16:36:54"/>
    <n v="3139"/>
    <n v="13002561"/>
    <n v="13"/>
    <n v="22589"/>
    <s v="Retail Sale"/>
    <n v="15"/>
    <n v="17471"/>
    <x v="29"/>
    <s v="Pharmcomplect"/>
    <s v="Bayer"/>
    <n v="2"/>
    <n v="110.52"/>
    <n v="176.69"/>
    <n v="0"/>
    <n v="0"/>
    <m/>
    <n v="29"/>
    <n v="1"/>
    <n v="1"/>
    <n v="176.69"/>
    <n v="13130002139"/>
  </r>
  <r>
    <x v="10"/>
    <d v="1899-12-30T16:32:29"/>
    <n v="3140"/>
    <n v="13002561"/>
    <n v="13"/>
    <n v="22589"/>
    <s v="Retail Sale"/>
    <n v="18"/>
    <n v="89459"/>
    <x v="20"/>
    <s v="Pharmcomplect"/>
    <s v="KRKA"/>
    <n v="3"/>
    <n v="22.34"/>
    <n v="31.95"/>
    <n v="3.2"/>
    <n v="3.2"/>
    <s v="BONUS_CARD"/>
    <n v="29"/>
    <n v="1"/>
    <n v="6"/>
    <n v="28.75"/>
    <n v="13130002140"/>
  </r>
  <r>
    <x v="15"/>
    <d v="1899-12-30T11:29:59"/>
    <n v="3141"/>
    <n v="13002561"/>
    <n v="13"/>
    <n v="22589"/>
    <s v="Retail Sale"/>
    <n v="15"/>
    <n v="65979"/>
    <x v="50"/>
    <s v="Grand Capital"/>
    <s v="Sanofi"/>
    <n v="2"/>
    <n v="542.79999999999995"/>
    <n v="796.78"/>
    <n v="39.840000000000003"/>
    <n v="39.840000000000003"/>
    <s v="BONUS_CARD"/>
    <n v="29"/>
    <n v="1"/>
    <n v="5"/>
    <n v="756.94"/>
    <n v="13130002141"/>
  </r>
  <r>
    <x v="14"/>
    <d v="1899-12-30T12:16:36"/>
    <n v="3142"/>
    <n v="13002561"/>
    <n v="13"/>
    <n v="22589"/>
    <s v="Retail Sale"/>
    <n v="18"/>
    <n v="47093"/>
    <x v="7"/>
    <s v="Grand Capital"/>
    <s v="Sanofi"/>
    <n v="3"/>
    <n v="29.48"/>
    <n v="50.01"/>
    <n v="2.5"/>
    <n v="2.5"/>
    <s v="BONUS_CARD"/>
    <n v="29"/>
    <n v="1"/>
    <n v="4"/>
    <n v="47.51"/>
    <n v="13130002142"/>
  </r>
  <r>
    <x v="12"/>
    <d v="1899-12-30T10:10:06"/>
    <n v="3143"/>
    <n v="13002561"/>
    <n v="13"/>
    <n v="22589"/>
    <s v="Retail Sale"/>
    <n v="18"/>
    <n v="90992"/>
    <x v="21"/>
    <s v="Pharmcomplect"/>
    <s v="TEVA"/>
    <n v="2"/>
    <n v="175.6"/>
    <n v="233.02"/>
    <n v="23.3"/>
    <n v="23.3"/>
    <s v="BONUS_CARD"/>
    <n v="29"/>
    <n v="1"/>
    <n v="5"/>
    <n v="209.72"/>
    <n v="13130002143"/>
  </r>
  <r>
    <x v="14"/>
    <d v="1899-12-30T17:33:19"/>
    <n v="3144"/>
    <n v="13002561"/>
    <n v="13"/>
    <n v="22589"/>
    <s v="Retail Sale"/>
    <n v="18"/>
    <n v="24763"/>
    <x v="51"/>
    <s v="Pulse"/>
    <s v="TEVA"/>
    <n v="1"/>
    <n v="579.54"/>
    <n v="974.22"/>
    <n v="97.42"/>
    <n v="97.42"/>
    <s v="BONUS_CARD"/>
    <n v="29"/>
    <n v="1"/>
    <n v="2"/>
    <n v="876.8"/>
    <n v="13130002144"/>
  </r>
  <r>
    <x v="17"/>
    <d v="1899-12-30T13:49:18"/>
    <n v="3145"/>
    <n v="13002561"/>
    <n v="13"/>
    <n v="22589"/>
    <s v="Retail Sale"/>
    <n v="18"/>
    <n v="37436"/>
    <x v="27"/>
    <s v="Katren"/>
    <s v="Bayer"/>
    <n v="2"/>
    <n v="311.26"/>
    <n v="409.2"/>
    <n v="40.92"/>
    <n v="40.92"/>
    <s v="BONUS_CARD"/>
    <n v="29"/>
    <n v="1"/>
    <n v="3"/>
    <n v="368.28"/>
    <n v="13130002145"/>
  </r>
  <r>
    <x v="7"/>
    <d v="1899-12-30T20:03:42"/>
    <n v="3146"/>
    <n v="13002561"/>
    <n v="13"/>
    <n v="22589"/>
    <s v="Retail Sale"/>
    <n v="18"/>
    <n v="49452"/>
    <x v="36"/>
    <s v="Pulse"/>
    <s v="TEVA"/>
    <n v="3"/>
    <n v="73.209999999999994"/>
    <n v="106.7"/>
    <n v="5.34"/>
    <n v="5.34"/>
    <s v="BONUS_CARD"/>
    <n v="29"/>
    <n v="1"/>
    <n v="2"/>
    <n v="101.36"/>
    <n v="13130002146"/>
  </r>
  <r>
    <x v="17"/>
    <d v="1899-12-30T22:46:07"/>
    <n v="3147"/>
    <n v="13002561"/>
    <n v="13"/>
    <n v="22589"/>
    <s v="Retail Sale"/>
    <n v="15"/>
    <n v="17144"/>
    <x v="68"/>
    <s v="Grand Capital"/>
    <s v="Pfizer"/>
    <n v="1"/>
    <n v="429.83"/>
    <n v="609.39"/>
    <n v="60.94"/>
    <n v="60.94"/>
    <s v="BONUS_CARD"/>
    <n v="29"/>
    <n v="1"/>
    <n v="4"/>
    <n v="548.45000000000005"/>
    <n v="13130002147"/>
  </r>
  <r>
    <x v="29"/>
    <d v="1899-12-30T16:18:38"/>
    <n v="3148"/>
    <n v="13002561"/>
    <n v="13"/>
    <n v="22589"/>
    <s v="Retail Sale"/>
    <n v="15"/>
    <n v="73770"/>
    <x v="35"/>
    <s v="Protek"/>
    <s v="Novartis"/>
    <n v="1"/>
    <n v="522.89"/>
    <n v="717.02"/>
    <n v="35.85"/>
    <n v="35.85"/>
    <s v="BONUS_CARD"/>
    <n v="29"/>
    <n v="1"/>
    <n v="6"/>
    <n v="681.17"/>
    <n v="13130002148"/>
  </r>
  <r>
    <x v="25"/>
    <d v="1899-12-30T12:28:59"/>
    <n v="3149"/>
    <n v="13002561"/>
    <n v="13"/>
    <n v="22589"/>
    <s v="Retail Sale"/>
    <n v="18"/>
    <n v="40599"/>
    <x v="88"/>
    <s v="Grand Capital"/>
    <s v="Novartis"/>
    <n v="3"/>
    <n v="296.32"/>
    <n v="442.03"/>
    <n v="22.1"/>
    <n v="22.1"/>
    <s v="BONUS_CARD"/>
    <n v="29"/>
    <n v="1"/>
    <n v="6"/>
    <n v="419.93"/>
    <n v="13130002149"/>
  </r>
  <r>
    <x v="30"/>
    <d v="1899-12-30T10:59:21"/>
    <n v="3150"/>
    <n v="13002561"/>
    <n v="13"/>
    <n v="22589"/>
    <s v="Retail Sale"/>
    <n v="18"/>
    <n v="40504"/>
    <x v="33"/>
    <s v="Katren"/>
    <s v="Bayer"/>
    <n v="2"/>
    <n v="142.4"/>
    <n v="239.35"/>
    <n v="0"/>
    <n v="0"/>
    <m/>
    <n v="29"/>
    <n v="1"/>
    <n v="5"/>
    <n v="239.35"/>
    <n v="13130002150"/>
  </r>
  <r>
    <x v="13"/>
    <d v="1899-12-30T16:26:59"/>
    <n v="3151"/>
    <n v="13002561"/>
    <n v="13"/>
    <n v="22589"/>
    <s v="Retail Sale"/>
    <n v="18"/>
    <n v="59011"/>
    <x v="71"/>
    <s v="Pharmcomplect"/>
    <s v="Novartis"/>
    <n v="2"/>
    <n v="61.89"/>
    <n v="81.16"/>
    <n v="0"/>
    <n v="0"/>
    <m/>
    <n v="29"/>
    <n v="1"/>
    <n v="6"/>
    <n v="81.16"/>
    <n v="13130002151"/>
  </r>
  <r>
    <x v="15"/>
    <d v="1899-12-30T08:38:11"/>
    <n v="3152"/>
    <n v="13002561"/>
    <n v="13"/>
    <n v="22589"/>
    <s v="Retail Sale"/>
    <n v="15"/>
    <n v="48178"/>
    <x v="14"/>
    <s v="Pharmcomplect"/>
    <s v="TEVA"/>
    <n v="2"/>
    <n v="467.9"/>
    <n v="675.42"/>
    <n v="67.540000000000006"/>
    <n v="67.540000000000006"/>
    <s v="BONUS_CARD"/>
    <n v="29"/>
    <n v="1"/>
    <n v="5"/>
    <n v="607.88"/>
    <n v="13130002152"/>
  </r>
  <r>
    <x v="11"/>
    <d v="1899-12-30T21:57:45"/>
    <n v="3153"/>
    <n v="13002561"/>
    <n v="13"/>
    <n v="22589"/>
    <s v="Retail Sale"/>
    <n v="18"/>
    <n v="14877"/>
    <x v="8"/>
    <s v="Pharmcomplect"/>
    <s v="Takeda"/>
    <n v="3"/>
    <n v="43.69"/>
    <n v="56.1"/>
    <n v="5.61"/>
    <n v="5.61"/>
    <s v="BONUS_CARD"/>
    <n v="29"/>
    <n v="1"/>
    <n v="6"/>
    <n v="50.49"/>
    <n v="13130002153"/>
  </r>
  <r>
    <x v="21"/>
    <d v="1899-12-30T18:01:36"/>
    <n v="3154"/>
    <n v="13002561"/>
    <n v="13"/>
    <n v="22589"/>
    <s v="Retail Sale"/>
    <n v="18"/>
    <n v="74585"/>
    <x v="37"/>
    <s v="Avesta"/>
    <s v="Sanofi"/>
    <n v="1"/>
    <n v="464.1"/>
    <n v="762.11"/>
    <n v="0"/>
    <n v="0"/>
    <m/>
    <n v="29"/>
    <n v="1"/>
    <n v="4"/>
    <n v="762.11"/>
    <n v="13130002154"/>
  </r>
  <r>
    <x v="16"/>
    <d v="1899-12-30T08:17:36"/>
    <n v="3155"/>
    <n v="13002561"/>
    <n v="13"/>
    <n v="22589"/>
    <s v="Retail Sale"/>
    <n v="18"/>
    <n v="26810"/>
    <x v="23"/>
    <s v="Protek"/>
    <s v="Takeda"/>
    <n v="2"/>
    <n v="79.08"/>
    <n v="119.85"/>
    <n v="5.99"/>
    <n v="5.99"/>
    <s v="BONUS_CARD"/>
    <n v="29"/>
    <n v="1"/>
    <n v="4"/>
    <n v="113.86"/>
    <n v="13130002155"/>
  </r>
  <r>
    <x v="6"/>
    <d v="1899-12-30T16:08:26"/>
    <n v="3156"/>
    <n v="13002561"/>
    <n v="13"/>
    <n v="22589"/>
    <s v="Retail Sale"/>
    <n v="18"/>
    <n v="27623"/>
    <x v="66"/>
    <s v="Pulse"/>
    <s v="Novartis"/>
    <n v="2"/>
    <n v="120.76"/>
    <n v="167.96"/>
    <n v="16.8"/>
    <n v="16.8"/>
    <s v="BONUS_CARD"/>
    <n v="29"/>
    <n v="1"/>
    <n v="4"/>
    <n v="151.16"/>
    <n v="13130002156"/>
  </r>
  <r>
    <x v="24"/>
    <d v="1899-12-30T09:41:00"/>
    <n v="3157"/>
    <n v="13002561"/>
    <n v="13"/>
    <n v="22589"/>
    <s v="Retail Sale"/>
    <n v="18"/>
    <n v="39951"/>
    <x v="72"/>
    <s v="Katren"/>
    <s v="KRKA"/>
    <n v="2"/>
    <n v="309.73"/>
    <n v="483.63"/>
    <n v="24.18"/>
    <n v="24.18"/>
    <s v="BONUS_CARD"/>
    <n v="29"/>
    <n v="1"/>
    <n v="4"/>
    <n v="459.45"/>
    <n v="13130002157"/>
  </r>
  <r>
    <x v="17"/>
    <d v="1899-12-30T22:33:36"/>
    <n v="3158"/>
    <n v="13002561"/>
    <n v="13"/>
    <n v="22589"/>
    <s v="Retail Sale"/>
    <n v="15"/>
    <n v="78392"/>
    <x v="51"/>
    <s v="Pharmcomplect"/>
    <s v="Sanofi"/>
    <n v="3"/>
    <n v="521.79"/>
    <n v="781.03"/>
    <n v="39.049999999999997"/>
    <n v="39.049999999999997"/>
    <s v="BONUS_CARD"/>
    <n v="29"/>
    <n v="1"/>
    <n v="4"/>
    <n v="741.98"/>
    <n v="13130002158"/>
  </r>
  <r>
    <x v="18"/>
    <d v="1899-12-30T13:40:34"/>
    <n v="3159"/>
    <n v="13002561"/>
    <n v="13"/>
    <n v="22589"/>
    <s v="Retail Sale"/>
    <n v="18"/>
    <n v="68677"/>
    <x v="67"/>
    <s v="Katren"/>
    <s v="Novartis"/>
    <n v="3"/>
    <n v="201.06"/>
    <n v="327.63"/>
    <n v="32.76"/>
    <n v="32.76"/>
    <s v="BONUS_CARD"/>
    <n v="29"/>
    <n v="1"/>
    <n v="4"/>
    <n v="294.87"/>
    <n v="13130002159"/>
  </r>
  <r>
    <x v="7"/>
    <d v="1899-12-30T14:16:55"/>
    <n v="3160"/>
    <n v="13002561"/>
    <n v="13"/>
    <n v="22589"/>
    <s v="Retail Sale"/>
    <n v="15"/>
    <n v="42613"/>
    <x v="23"/>
    <s v="Grand Capital"/>
    <s v="TEVA"/>
    <n v="1"/>
    <n v="128.33000000000001"/>
    <n v="209.94"/>
    <n v="20.99"/>
    <n v="20.99"/>
    <s v="BONUS_CARD"/>
    <n v="29"/>
    <n v="1"/>
    <n v="1"/>
    <n v="188.95"/>
    <n v="13130002160"/>
  </r>
  <r>
    <x v="14"/>
    <d v="1899-12-30T16:40:53"/>
    <n v="3161"/>
    <n v="13002561"/>
    <n v="13"/>
    <n v="22589"/>
    <s v="Retail Sale"/>
    <n v="15"/>
    <n v="60335"/>
    <x v="83"/>
    <s v="Pharmcomplect"/>
    <s v="Novartis"/>
    <n v="3"/>
    <n v="251.77"/>
    <n v="390.58"/>
    <n v="0"/>
    <n v="0"/>
    <m/>
    <n v="29"/>
    <n v="1"/>
    <n v="3"/>
    <n v="390.58"/>
    <n v="13130002161"/>
  </r>
  <r>
    <x v="2"/>
    <d v="1899-12-30T11:34:09"/>
    <n v="3162"/>
    <n v="13002561"/>
    <n v="13"/>
    <n v="22589"/>
    <s v="Retail Sale"/>
    <n v="18"/>
    <n v="48859"/>
    <x v="60"/>
    <s v="Pulse"/>
    <s v="KRKA"/>
    <n v="2"/>
    <n v="381.04"/>
    <n v="487.29"/>
    <n v="0"/>
    <n v="0"/>
    <m/>
    <n v="29"/>
    <n v="1"/>
    <n v="2"/>
    <n v="487.29"/>
    <n v="13130002162"/>
  </r>
  <r>
    <x v="6"/>
    <d v="1899-12-30T22:25:15"/>
    <n v="3163"/>
    <n v="13002561"/>
    <n v="13"/>
    <n v="22589"/>
    <s v="Retail Sale"/>
    <n v="15"/>
    <n v="30448"/>
    <x v="4"/>
    <s v="Avesta"/>
    <s v="Takeda"/>
    <n v="3"/>
    <n v="68.45"/>
    <n v="114.61"/>
    <n v="11.46"/>
    <n v="11.46"/>
    <s v="BONUS_CARD"/>
    <n v="29"/>
    <n v="1"/>
    <n v="2"/>
    <n v="103.15"/>
    <n v="13130002163"/>
  </r>
  <r>
    <x v="0"/>
    <d v="1899-12-30T15:45:18"/>
    <n v="3164"/>
    <n v="13002561"/>
    <n v="13"/>
    <n v="22589"/>
    <s v="Retail Sale"/>
    <n v="15"/>
    <n v="71873"/>
    <x v="53"/>
    <s v="Pharmcomplect"/>
    <s v="KRKA"/>
    <n v="2"/>
    <n v="217.48"/>
    <n v="318.95999999999998"/>
    <n v="31.9"/>
    <n v="31.9"/>
    <s v="BONUS_CARD"/>
    <n v="29"/>
    <n v="1"/>
    <n v="2"/>
    <n v="287.06"/>
    <n v="13130002164"/>
  </r>
  <r>
    <x v="3"/>
    <d v="1899-12-30T17:43:07"/>
    <n v="3165"/>
    <n v="13002561"/>
    <n v="13"/>
    <n v="22589"/>
    <s v="Retail Sale"/>
    <n v="18"/>
    <n v="99541"/>
    <x v="61"/>
    <s v="Avesta"/>
    <s v="Pfizer"/>
    <n v="1"/>
    <n v="114.79"/>
    <n v="161.43"/>
    <n v="8.07"/>
    <n v="8.07"/>
    <s v="BONUS_CARD"/>
    <n v="29"/>
    <n v="1"/>
    <n v="4"/>
    <n v="153.36000000000001"/>
    <n v="13130002165"/>
  </r>
  <r>
    <x v="6"/>
    <d v="1899-12-30T10:06:39"/>
    <n v="3166"/>
    <n v="13002561"/>
    <n v="13"/>
    <n v="22589"/>
    <s v="Retail Sale"/>
    <n v="15"/>
    <n v="22906"/>
    <x v="4"/>
    <s v="Grand Capital"/>
    <s v="Dr. Reddy's"/>
    <n v="3"/>
    <n v="134.57"/>
    <n v="227.22"/>
    <n v="0"/>
    <n v="0"/>
    <m/>
    <n v="29"/>
    <n v="1"/>
    <n v="6"/>
    <n v="227.22"/>
    <n v="13130002166"/>
  </r>
  <r>
    <x v="10"/>
    <d v="1899-12-30T17:14:57"/>
    <n v="3167"/>
    <n v="13002561"/>
    <n v="13"/>
    <n v="22589"/>
    <s v="Retail Sale"/>
    <n v="15"/>
    <n v="14025"/>
    <x v="36"/>
    <s v="Grand Capital"/>
    <s v="Dr. Reddy's"/>
    <n v="3"/>
    <n v="313.19"/>
    <n v="464.25"/>
    <n v="23.21"/>
    <n v="23.21"/>
    <s v="BONUS_CARD"/>
    <n v="29"/>
    <n v="1"/>
    <n v="1"/>
    <n v="441.04"/>
    <n v="13130002167"/>
  </r>
  <r>
    <x v="30"/>
    <d v="1899-12-30T15:34:42"/>
    <n v="3168"/>
    <n v="13002561"/>
    <n v="13"/>
    <n v="22589"/>
    <s v="Retail Sale"/>
    <n v="15"/>
    <n v="75837"/>
    <x v="50"/>
    <s v="Grand Capital"/>
    <s v="Novartis"/>
    <n v="3"/>
    <n v="294.58"/>
    <n v="494.05"/>
    <n v="49.41"/>
    <n v="49.41"/>
    <s v="BONUS_CARD"/>
    <n v="29"/>
    <n v="1"/>
    <n v="3"/>
    <n v="444.64"/>
    <n v="13130002168"/>
  </r>
  <r>
    <x v="10"/>
    <d v="1899-12-30T15:13:49"/>
    <n v="3169"/>
    <n v="13002561"/>
    <n v="13"/>
    <n v="22589"/>
    <s v="Retail Sale"/>
    <n v="15"/>
    <n v="31000"/>
    <x v="86"/>
    <s v="Katren"/>
    <s v="Bayer"/>
    <n v="2"/>
    <n v="229.57"/>
    <n v="328.76"/>
    <n v="16.440000000000001"/>
    <n v="16.440000000000001"/>
    <s v="BONUS_CARD"/>
    <n v="29"/>
    <n v="1"/>
    <n v="2"/>
    <n v="312.32"/>
    <n v="13130002169"/>
  </r>
  <r>
    <x v="10"/>
    <d v="1899-12-30T09:24:37"/>
    <n v="3170"/>
    <n v="13002561"/>
    <n v="13"/>
    <n v="22589"/>
    <s v="Retail Sale"/>
    <n v="18"/>
    <n v="32304"/>
    <x v="67"/>
    <s v="Pharmcomplect"/>
    <s v="Dr. Reddy's"/>
    <n v="1"/>
    <n v="144.37"/>
    <n v="180.88"/>
    <n v="9.0399999999999991"/>
    <n v="9.0399999999999991"/>
    <s v="BONUS_CARD"/>
    <n v="29"/>
    <n v="1"/>
    <n v="2"/>
    <n v="171.84"/>
    <n v="13130002170"/>
  </r>
  <r>
    <x v="19"/>
    <d v="1899-12-30T13:48:47"/>
    <n v="3171"/>
    <n v="13002561"/>
    <n v="13"/>
    <n v="22589"/>
    <s v="Retail Sale"/>
    <n v="18"/>
    <n v="84395"/>
    <x v="27"/>
    <s v="Katren"/>
    <s v="TEVA"/>
    <n v="2"/>
    <n v="24.34"/>
    <n v="40.39"/>
    <n v="2.02"/>
    <n v="2.02"/>
    <s v="BONUS_CARD"/>
    <n v="29"/>
    <n v="1"/>
    <n v="1"/>
    <n v="38.369999999999997"/>
    <n v="13130002171"/>
  </r>
  <r>
    <x v="13"/>
    <d v="1899-12-30T14:34:07"/>
    <n v="3172"/>
    <n v="13002561"/>
    <n v="13"/>
    <n v="22589"/>
    <s v="Retail Sale"/>
    <n v="18"/>
    <n v="99495"/>
    <x v="5"/>
    <s v="Katren"/>
    <s v="Novartis"/>
    <n v="2"/>
    <n v="281.83"/>
    <n v="409.38"/>
    <n v="0"/>
    <n v="0"/>
    <m/>
    <n v="29"/>
    <n v="1"/>
    <n v="4"/>
    <n v="409.38"/>
    <n v="13130002172"/>
  </r>
  <r>
    <x v="14"/>
    <d v="1899-12-30T13:11:38"/>
    <n v="3173"/>
    <n v="13002561"/>
    <n v="13"/>
    <n v="22589"/>
    <s v="Retail Sale"/>
    <n v="15"/>
    <n v="31481"/>
    <x v="1"/>
    <s v="Protek"/>
    <s v="Dr. Reddy's"/>
    <n v="2"/>
    <n v="149.88"/>
    <n v="242.03"/>
    <n v="12.1"/>
    <n v="12.1"/>
    <s v="BONUS_CARD"/>
    <n v="29"/>
    <n v="1"/>
    <n v="3"/>
    <n v="229.93"/>
    <n v="13130002173"/>
  </r>
  <r>
    <x v="13"/>
    <d v="1899-12-30T14:01:35"/>
    <n v="3174"/>
    <n v="13002561"/>
    <n v="13"/>
    <n v="22589"/>
    <s v="Retail Sale"/>
    <n v="18"/>
    <n v="94851"/>
    <x v="51"/>
    <s v="Avesta"/>
    <s v="TEVA"/>
    <n v="3"/>
    <n v="584.27"/>
    <n v="905.09"/>
    <n v="0"/>
    <n v="0"/>
    <m/>
    <n v="29"/>
    <n v="1"/>
    <n v="1"/>
    <n v="905.09"/>
    <n v="13130002174"/>
  </r>
  <r>
    <x v="18"/>
    <d v="1899-12-30T10:27:01"/>
    <n v="3175"/>
    <n v="13002561"/>
    <n v="13"/>
    <n v="22589"/>
    <s v="Retail Sale"/>
    <n v="18"/>
    <n v="93487"/>
    <x v="22"/>
    <s v="Grand Capital"/>
    <s v="Novartis"/>
    <n v="3"/>
    <n v="474.76"/>
    <n v="743.07"/>
    <n v="37.15"/>
    <n v="37.15"/>
    <s v="BONUS_CARD"/>
    <n v="29"/>
    <n v="1"/>
    <n v="4"/>
    <n v="705.92"/>
    <n v="13130002175"/>
  </r>
  <r>
    <x v="4"/>
    <d v="1899-12-30T15:03:55"/>
    <n v="3176"/>
    <n v="13002561"/>
    <n v="13"/>
    <n v="22589"/>
    <s v="Retail Sale"/>
    <n v="15"/>
    <n v="33487"/>
    <x v="80"/>
    <s v="Protek"/>
    <s v="Dr. Reddy's"/>
    <n v="2"/>
    <n v="495.01"/>
    <n v="640.61"/>
    <n v="32.03"/>
    <n v="32.03"/>
    <s v="BONUS_CARD"/>
    <n v="29"/>
    <n v="1"/>
    <n v="2"/>
    <n v="608.58000000000004"/>
    <n v="13130002176"/>
  </r>
  <r>
    <x v="9"/>
    <d v="1899-12-30T21:59:45"/>
    <n v="3177"/>
    <n v="13002561"/>
    <n v="13"/>
    <n v="22589"/>
    <s v="Retail Sale"/>
    <n v="15"/>
    <n v="50432"/>
    <x v="34"/>
    <s v="Pulse"/>
    <s v="Takeda"/>
    <n v="3"/>
    <n v="23.75"/>
    <n v="30.51"/>
    <n v="3.05"/>
    <n v="3.05"/>
    <s v="BONUS_CARD"/>
    <n v="29"/>
    <n v="1"/>
    <n v="2"/>
    <n v="27.46"/>
    <n v="13130002177"/>
  </r>
  <r>
    <x v="3"/>
    <d v="1899-12-30T11:47:47"/>
    <n v="3178"/>
    <n v="13002561"/>
    <n v="13"/>
    <n v="22589"/>
    <s v="Retail Sale"/>
    <n v="18"/>
    <n v="80700"/>
    <x v="31"/>
    <s v="Avesta"/>
    <s v="Dr. Reddy's"/>
    <n v="3"/>
    <n v="169.64"/>
    <n v="234.27"/>
    <n v="11.71"/>
    <n v="11.71"/>
    <s v="BONUS_CARD"/>
    <n v="29"/>
    <n v="1"/>
    <n v="1"/>
    <n v="222.56"/>
    <n v="13130002178"/>
  </r>
  <r>
    <x v="18"/>
    <d v="1899-12-30T20:42:09"/>
    <n v="3179"/>
    <n v="13002561"/>
    <n v="13"/>
    <n v="22589"/>
    <s v="Retail Sale"/>
    <n v="15"/>
    <n v="73862"/>
    <x v="75"/>
    <s v="Grand Capital"/>
    <s v="Bayer"/>
    <n v="2"/>
    <n v="423.82"/>
    <n v="612.08000000000004"/>
    <n v="30.6"/>
    <n v="30.6"/>
    <s v="BONUS_CARD"/>
    <n v="29"/>
    <n v="1"/>
    <n v="4"/>
    <n v="581.48"/>
    <n v="13130002179"/>
  </r>
  <r>
    <x v="5"/>
    <d v="1899-12-30T20:39:42"/>
    <n v="3180"/>
    <n v="13002561"/>
    <n v="13"/>
    <n v="22589"/>
    <s v="Retail Sale"/>
    <n v="15"/>
    <n v="73411"/>
    <x v="59"/>
    <s v="Katren"/>
    <s v="Bayer"/>
    <n v="1"/>
    <n v="577.54999999999995"/>
    <n v="835.73"/>
    <n v="83.57"/>
    <n v="83.57"/>
    <s v="BONUS_CARD"/>
    <n v="29"/>
    <n v="1"/>
    <n v="5"/>
    <n v="752.16"/>
    <n v="13130002180"/>
  </r>
  <r>
    <x v="16"/>
    <d v="1899-12-30T11:01:06"/>
    <n v="3181"/>
    <n v="13002561"/>
    <n v="13"/>
    <n v="22589"/>
    <s v="Retail Sale"/>
    <n v="15"/>
    <n v="78299"/>
    <x v="34"/>
    <s v="Pulse"/>
    <s v="Dr. Reddy's"/>
    <n v="2"/>
    <n v="486.3"/>
    <n v="743.66"/>
    <n v="0"/>
    <n v="0"/>
    <m/>
    <n v="29"/>
    <n v="1"/>
    <n v="4"/>
    <n v="743.66"/>
    <n v="13130002181"/>
  </r>
  <r>
    <x v="16"/>
    <d v="1899-12-30T11:55:39"/>
    <n v="3182"/>
    <n v="13002561"/>
    <n v="13"/>
    <n v="22589"/>
    <s v="Retail Sale"/>
    <n v="18"/>
    <n v="43354"/>
    <x v="29"/>
    <s v="Pharmcomplect"/>
    <s v="Sanofi"/>
    <n v="1"/>
    <n v="420.14"/>
    <n v="598"/>
    <n v="59.8"/>
    <n v="59.8"/>
    <s v="BONUS_CARD"/>
    <n v="29"/>
    <n v="1"/>
    <n v="1"/>
    <n v="538.20000000000005"/>
    <n v="13130002182"/>
  </r>
  <r>
    <x v="6"/>
    <d v="1899-12-30T22:21:25"/>
    <n v="3183"/>
    <n v="13002561"/>
    <n v="13"/>
    <n v="22589"/>
    <s v="Retail Sale"/>
    <n v="15"/>
    <n v="45875"/>
    <x v="77"/>
    <s v="Protek"/>
    <s v="Sanofi"/>
    <n v="3"/>
    <n v="246.47"/>
    <n v="333.55"/>
    <n v="33.36"/>
    <n v="33.36"/>
    <s v="BONUS_CARD"/>
    <n v="29"/>
    <n v="1"/>
    <n v="1"/>
    <n v="300.19"/>
    <n v="13130002183"/>
  </r>
  <r>
    <x v="29"/>
    <d v="1899-12-30T17:38:51"/>
    <n v="3184"/>
    <n v="13002561"/>
    <n v="13"/>
    <n v="22589"/>
    <s v="Retail Sale"/>
    <n v="18"/>
    <n v="57552"/>
    <x v="70"/>
    <s v="Katren"/>
    <s v="Bayer"/>
    <n v="1"/>
    <n v="376.54"/>
    <n v="601.6"/>
    <n v="60.16"/>
    <n v="60.16"/>
    <s v="BONUS_CARD"/>
    <n v="29"/>
    <n v="1"/>
    <n v="6"/>
    <n v="541.44000000000005"/>
    <n v="13130002184"/>
  </r>
  <r>
    <x v="13"/>
    <d v="1899-12-30T09:30:57"/>
    <n v="3185"/>
    <n v="13002561"/>
    <n v="13"/>
    <n v="22589"/>
    <s v="Retail Sale"/>
    <n v="15"/>
    <n v="47814"/>
    <x v="70"/>
    <s v="Protek"/>
    <s v="Bayer"/>
    <n v="3"/>
    <n v="115.49"/>
    <n v="151.9"/>
    <n v="7.6"/>
    <n v="7.6"/>
    <s v="BONUS_CARD"/>
    <n v="29"/>
    <n v="1"/>
    <n v="3"/>
    <n v="144.30000000000001"/>
    <n v="13130002185"/>
  </r>
  <r>
    <x v="13"/>
    <d v="1899-12-30T09:32:19"/>
    <n v="3186"/>
    <n v="13002561"/>
    <n v="13"/>
    <n v="22589"/>
    <s v="Retail Sale"/>
    <n v="18"/>
    <n v="76827"/>
    <x v="25"/>
    <s v="Avesta"/>
    <s v="Bayer"/>
    <n v="3"/>
    <n v="82.3"/>
    <n v="107.05"/>
    <n v="10.71"/>
    <n v="10.71"/>
    <s v="BONUS_CARD"/>
    <n v="29"/>
    <n v="1"/>
    <n v="6"/>
    <n v="96.34"/>
    <n v="13130002186"/>
  </r>
  <r>
    <x v="0"/>
    <d v="1899-12-30T22:03:14"/>
    <n v="3187"/>
    <n v="13002561"/>
    <n v="13"/>
    <n v="22589"/>
    <s v="Retail Sale"/>
    <n v="18"/>
    <n v="89638"/>
    <x v="9"/>
    <s v="Pulse"/>
    <s v="Sanofi"/>
    <n v="1"/>
    <n v="346.22"/>
    <n v="499.4"/>
    <n v="49.94"/>
    <n v="49.94"/>
    <s v="BONUS_CARD"/>
    <n v="29"/>
    <n v="1"/>
    <n v="3"/>
    <n v="449.46"/>
    <n v="13130002187"/>
  </r>
  <r>
    <x v="16"/>
    <d v="1899-12-30T12:14:28"/>
    <n v="3188"/>
    <n v="13002561"/>
    <n v="13"/>
    <n v="22589"/>
    <s v="Retail Sale"/>
    <n v="18"/>
    <n v="18680"/>
    <x v="75"/>
    <s v="Katren"/>
    <s v="TEVA"/>
    <n v="3"/>
    <n v="591.21"/>
    <n v="959.08"/>
    <n v="95.91"/>
    <n v="95.91"/>
    <s v="BONUS_CARD"/>
    <n v="29"/>
    <n v="1"/>
    <n v="3"/>
    <n v="863.17"/>
    <n v="13130002188"/>
  </r>
  <r>
    <x v="9"/>
    <d v="1899-12-30T20:04:09"/>
    <n v="3189"/>
    <n v="13002561"/>
    <n v="13"/>
    <n v="22589"/>
    <s v="Retail Sale"/>
    <n v="18"/>
    <n v="37726"/>
    <x v="83"/>
    <s v="Pharmcomplect"/>
    <s v="Dr. Reddy's"/>
    <n v="1"/>
    <n v="485.93"/>
    <n v="806.09"/>
    <n v="80.61"/>
    <n v="80.61"/>
    <s v="BONUS_CARD"/>
    <n v="29"/>
    <n v="1"/>
    <n v="2"/>
    <n v="725.48"/>
    <n v="13130002189"/>
  </r>
  <r>
    <x v="29"/>
    <d v="1899-12-30T14:40:41"/>
    <n v="3190"/>
    <n v="13002561"/>
    <n v="13"/>
    <n v="22589"/>
    <s v="Retail Sale"/>
    <n v="15"/>
    <n v="35699"/>
    <x v="63"/>
    <s v="Katren"/>
    <s v="Sanofi"/>
    <n v="2"/>
    <n v="391.2"/>
    <n v="649.11"/>
    <n v="0"/>
    <n v="0"/>
    <m/>
    <n v="29"/>
    <n v="1"/>
    <n v="6"/>
    <n v="649.11"/>
    <n v="13130002190"/>
  </r>
  <r>
    <x v="21"/>
    <d v="1899-12-30T18:34:33"/>
    <n v="3191"/>
    <n v="13002561"/>
    <n v="13"/>
    <n v="22589"/>
    <s v="Retail Sale"/>
    <n v="18"/>
    <n v="40924"/>
    <x v="9"/>
    <s v="Katren"/>
    <s v="Pfizer"/>
    <n v="3"/>
    <n v="105.95"/>
    <n v="134.76"/>
    <n v="0"/>
    <n v="0"/>
    <m/>
    <n v="29"/>
    <n v="1"/>
    <n v="5"/>
    <n v="134.76"/>
    <n v="13130002191"/>
  </r>
  <r>
    <x v="25"/>
    <d v="1899-12-30T19:33:04"/>
    <n v="3192"/>
    <n v="13002561"/>
    <n v="13"/>
    <n v="22589"/>
    <s v="Retail Sale"/>
    <n v="15"/>
    <n v="51831"/>
    <x v="57"/>
    <s v="Grand Capital"/>
    <s v="TEVA"/>
    <n v="2"/>
    <n v="341.94"/>
    <n v="512.53"/>
    <n v="25.63"/>
    <n v="25.63"/>
    <s v="BONUS_CARD"/>
    <n v="29"/>
    <n v="1"/>
    <n v="3"/>
    <n v="486.9"/>
    <n v="13130002192"/>
  </r>
  <r>
    <x v="30"/>
    <d v="1899-12-30T12:49:33"/>
    <n v="3193"/>
    <n v="13002561"/>
    <n v="13"/>
    <n v="22589"/>
    <s v="Retail Sale"/>
    <n v="18"/>
    <n v="77194"/>
    <x v="20"/>
    <s v="Grand Capital"/>
    <s v="Takeda"/>
    <n v="3"/>
    <n v="111.39"/>
    <n v="144.83000000000001"/>
    <n v="14.48"/>
    <n v="14.48"/>
    <s v="BONUS_CARD"/>
    <n v="29"/>
    <n v="1"/>
    <n v="3"/>
    <n v="130.35"/>
    <n v="13130002193"/>
  </r>
  <r>
    <x v="13"/>
    <d v="1899-12-30T17:23:09"/>
    <n v="3194"/>
    <n v="13002561"/>
    <n v="13"/>
    <n v="22589"/>
    <s v="Retail Sale"/>
    <n v="15"/>
    <n v="64459"/>
    <x v="21"/>
    <s v="Pharmcomplect"/>
    <s v="Novartis"/>
    <n v="1"/>
    <n v="338.47"/>
    <n v="569.85"/>
    <n v="28.49"/>
    <n v="28.49"/>
    <s v="BONUS_CARD"/>
    <n v="29"/>
    <n v="1"/>
    <n v="1"/>
    <n v="541.36"/>
    <n v="13130002194"/>
  </r>
  <r>
    <x v="6"/>
    <d v="1899-12-30T10:00:51"/>
    <n v="3195"/>
    <n v="13002561"/>
    <n v="13"/>
    <n v="22589"/>
    <s v="Retail Sale"/>
    <n v="18"/>
    <n v="19346"/>
    <x v="27"/>
    <s v="Pulse"/>
    <s v="Dr. Reddy's"/>
    <n v="2"/>
    <n v="291.72000000000003"/>
    <n v="414.12"/>
    <n v="0"/>
    <n v="0"/>
    <m/>
    <n v="29"/>
    <n v="1"/>
    <n v="5"/>
    <n v="414.12"/>
    <n v="13130002195"/>
  </r>
  <r>
    <x v="3"/>
    <d v="1899-12-30T22:57:42"/>
    <n v="3196"/>
    <n v="13002561"/>
    <n v="13"/>
    <n v="22589"/>
    <s v="Retail Sale"/>
    <n v="18"/>
    <n v="84902"/>
    <x v="52"/>
    <s v="Katren"/>
    <s v="TEVA"/>
    <n v="2"/>
    <n v="314.41000000000003"/>
    <n v="492.84"/>
    <n v="49.28"/>
    <n v="49.28"/>
    <s v="BONUS_CARD"/>
    <n v="29"/>
    <n v="1"/>
    <n v="3"/>
    <n v="443.56"/>
    <n v="13130002196"/>
  </r>
  <r>
    <x v="11"/>
    <d v="1899-12-30T22:21:46"/>
    <n v="3197"/>
    <n v="13002561"/>
    <n v="13"/>
    <n v="22589"/>
    <s v="Retail Sale"/>
    <n v="18"/>
    <n v="23751"/>
    <x v="17"/>
    <s v="Protek"/>
    <s v="Pfizer"/>
    <n v="2"/>
    <n v="374.39"/>
    <n v="470.34"/>
    <n v="47.03"/>
    <n v="47.03"/>
    <s v="BONUS_CARD"/>
    <n v="29"/>
    <n v="1"/>
    <n v="6"/>
    <n v="423.31"/>
    <n v="13130002197"/>
  </r>
  <r>
    <x v="14"/>
    <d v="1899-12-30T13:29:40"/>
    <n v="3198"/>
    <n v="13002561"/>
    <n v="13"/>
    <n v="22589"/>
    <s v="Retail Sale"/>
    <n v="18"/>
    <n v="65622"/>
    <x v="31"/>
    <s v="Pharmcomplect"/>
    <s v="Dr. Reddy's"/>
    <n v="3"/>
    <n v="46.45"/>
    <n v="63.3"/>
    <n v="3.17"/>
    <n v="3.17"/>
    <s v="BONUS_CARD"/>
    <n v="29"/>
    <n v="1"/>
    <n v="3"/>
    <n v="60.13"/>
    <n v="13130002198"/>
  </r>
  <r>
    <x v="14"/>
    <d v="1899-12-30T09:19:45"/>
    <n v="3199"/>
    <n v="13002561"/>
    <n v="13"/>
    <n v="22589"/>
    <s v="Retail Sale"/>
    <n v="18"/>
    <n v="15545"/>
    <x v="40"/>
    <s v="Pulse"/>
    <s v="Bayer"/>
    <n v="3"/>
    <n v="197.46"/>
    <n v="288.54000000000002"/>
    <n v="0"/>
    <n v="0"/>
    <m/>
    <n v="29"/>
    <n v="1"/>
    <n v="5"/>
    <n v="288.54000000000002"/>
    <n v="13130002199"/>
  </r>
  <r>
    <x v="24"/>
    <d v="1899-12-30T16:35:28"/>
    <n v="3200"/>
    <n v="13002561"/>
    <n v="13"/>
    <n v="22589"/>
    <s v="Retail Sale"/>
    <n v="15"/>
    <n v="60548"/>
    <x v="15"/>
    <s v="Grand Capital"/>
    <s v="Takeda"/>
    <n v="2"/>
    <n v="420.33"/>
    <n v="617.46"/>
    <n v="30.87"/>
    <n v="30.87"/>
    <s v="BONUS_CARD"/>
    <n v="29"/>
    <n v="1"/>
    <n v="5"/>
    <n v="586.59"/>
    <n v="13130002200"/>
  </r>
  <r>
    <x v="25"/>
    <d v="1899-12-30T21:08:41"/>
    <n v="3201"/>
    <n v="13002561"/>
    <n v="13"/>
    <n v="22589"/>
    <s v="Retail Sale"/>
    <n v="18"/>
    <n v="37934"/>
    <x v="76"/>
    <s v="Grand Capital"/>
    <s v="Takeda"/>
    <n v="1"/>
    <n v="138.35"/>
    <n v="197.46"/>
    <n v="0"/>
    <n v="0"/>
    <m/>
    <n v="29"/>
    <n v="1"/>
    <n v="6"/>
    <n v="197.46"/>
    <n v="13130002201"/>
  </r>
  <r>
    <x v="9"/>
    <d v="1899-12-30T13:56:05"/>
    <n v="3202"/>
    <n v="13002561"/>
    <n v="13"/>
    <n v="22589"/>
    <s v="Retail Sale"/>
    <n v="15"/>
    <n v="31758"/>
    <x v="77"/>
    <s v="Avesta"/>
    <s v="Novartis"/>
    <n v="2"/>
    <n v="249.14"/>
    <n v="410.77"/>
    <n v="0"/>
    <n v="0"/>
    <m/>
    <n v="29"/>
    <n v="1"/>
    <n v="5"/>
    <n v="410.77"/>
    <n v="13130002202"/>
  </r>
  <r>
    <x v="11"/>
    <d v="1899-12-30T13:08:05"/>
    <n v="3203"/>
    <n v="13002561"/>
    <n v="13"/>
    <n v="22589"/>
    <s v="Retail Sale"/>
    <n v="18"/>
    <n v="50751"/>
    <x v="33"/>
    <s v="Pharmcomplect"/>
    <s v="Novartis"/>
    <n v="3"/>
    <n v="376.98"/>
    <n v="634.97"/>
    <n v="63.5"/>
    <n v="63.5"/>
    <s v="BONUS_CARD"/>
    <n v="29"/>
    <n v="1"/>
    <n v="3"/>
    <n v="571.47"/>
    <n v="13130002203"/>
  </r>
  <r>
    <x v="20"/>
    <d v="1899-12-30T13:49:30"/>
    <n v="3204"/>
    <n v="13002561"/>
    <n v="13"/>
    <n v="22589"/>
    <s v="Retail Sale"/>
    <n v="18"/>
    <n v="71619"/>
    <x v="31"/>
    <s v="Grand Capital"/>
    <s v="TEVA"/>
    <n v="2"/>
    <n v="171.01"/>
    <n v="255.21"/>
    <n v="12.76"/>
    <n v="12.76"/>
    <s v="BONUS_CARD"/>
    <n v="29"/>
    <n v="1"/>
    <n v="6"/>
    <n v="242.45"/>
    <n v="13130002204"/>
  </r>
  <r>
    <x v="2"/>
    <d v="1899-12-30T15:20:51"/>
    <n v="3205"/>
    <n v="13002561"/>
    <n v="13"/>
    <n v="22589"/>
    <s v="Retail Sale"/>
    <n v="15"/>
    <n v="38535"/>
    <x v="1"/>
    <s v="Pharmcomplect"/>
    <s v="Novartis"/>
    <n v="3"/>
    <n v="213.26"/>
    <n v="337.69"/>
    <n v="16.88"/>
    <n v="16.88"/>
    <s v="BONUS_CARD"/>
    <n v="29"/>
    <n v="1"/>
    <n v="2"/>
    <n v="320.81"/>
    <n v="13130002205"/>
  </r>
  <r>
    <x v="16"/>
    <d v="1899-12-30T11:13:53"/>
    <n v="3206"/>
    <n v="13002561"/>
    <n v="13"/>
    <n v="22589"/>
    <s v="Retail Sale"/>
    <n v="15"/>
    <n v="87135"/>
    <x v="21"/>
    <s v="Protek"/>
    <s v="TEVA"/>
    <n v="2"/>
    <n v="83.5"/>
    <n v="107.87"/>
    <n v="10.79"/>
    <n v="10.79"/>
    <s v="BONUS_CARD"/>
    <n v="29"/>
    <n v="1"/>
    <n v="6"/>
    <n v="97.08"/>
    <n v="13130002206"/>
  </r>
  <r>
    <x v="28"/>
    <d v="1899-12-30T10:37:10"/>
    <n v="3207"/>
    <n v="13002561"/>
    <n v="13"/>
    <n v="22589"/>
    <s v="Retail Sale"/>
    <n v="15"/>
    <n v="37357"/>
    <x v="40"/>
    <s v="Katren"/>
    <s v="TEVA"/>
    <n v="2"/>
    <n v="565.54999999999995"/>
    <n v="728.31"/>
    <n v="72.83"/>
    <n v="72.83"/>
    <s v="BONUS_CARD"/>
    <n v="29"/>
    <n v="1"/>
    <n v="1"/>
    <n v="655.48"/>
    <n v="13130002207"/>
  </r>
  <r>
    <x v="16"/>
    <d v="1899-12-30T22:53:45"/>
    <n v="3208"/>
    <n v="13002561"/>
    <n v="13"/>
    <n v="22589"/>
    <s v="Retail Sale"/>
    <n v="18"/>
    <n v="71837"/>
    <x v="28"/>
    <s v="Pulse"/>
    <s v="Sanofi"/>
    <n v="3"/>
    <n v="513.72"/>
    <n v="802.13"/>
    <n v="40.11"/>
    <n v="40.11"/>
    <s v="BONUS_CARD"/>
    <n v="29"/>
    <n v="1"/>
    <n v="6"/>
    <n v="762.02"/>
    <n v="13130002208"/>
  </r>
  <r>
    <x v="23"/>
    <d v="1899-12-30T18:24:38"/>
    <n v="3209"/>
    <n v="13002561"/>
    <n v="13"/>
    <n v="22589"/>
    <s v="Retail Sale"/>
    <n v="18"/>
    <n v="11001"/>
    <x v="70"/>
    <s v="Katren"/>
    <s v="KRKA"/>
    <n v="3"/>
    <n v="369.27"/>
    <n v="606.16"/>
    <n v="0"/>
    <n v="0"/>
    <m/>
    <n v="29"/>
    <n v="1"/>
    <n v="4"/>
    <n v="606.16"/>
    <n v="13130002209"/>
  </r>
  <r>
    <x v="23"/>
    <d v="1899-12-30T10:22:27"/>
    <n v="3210"/>
    <n v="13002561"/>
    <n v="13"/>
    <n v="22589"/>
    <s v="Retail Sale"/>
    <n v="18"/>
    <n v="19985"/>
    <x v="55"/>
    <s v="Katren"/>
    <s v="Bayer"/>
    <n v="2"/>
    <n v="576.36"/>
    <n v="858.74"/>
    <n v="85.87"/>
    <n v="85.87"/>
    <s v="BONUS_CARD"/>
    <n v="29"/>
    <n v="1"/>
    <n v="6"/>
    <n v="772.87"/>
    <n v="13130002210"/>
  </r>
  <r>
    <x v="6"/>
    <d v="1899-12-30T22:25:03"/>
    <n v="3211"/>
    <n v="13002561"/>
    <n v="13"/>
    <n v="22589"/>
    <s v="Retail Sale"/>
    <n v="18"/>
    <n v="60319"/>
    <x v="58"/>
    <s v="Pharmcomplect"/>
    <s v="Sanofi"/>
    <n v="1"/>
    <n v="428.59"/>
    <n v="682.24"/>
    <n v="34.11"/>
    <n v="34.11"/>
    <s v="BONUS_CARD"/>
    <n v="29"/>
    <n v="1"/>
    <n v="5"/>
    <n v="648.13"/>
    <n v="13130002211"/>
  </r>
  <r>
    <x v="13"/>
    <d v="1899-12-30T19:38:13"/>
    <n v="3212"/>
    <n v="13002561"/>
    <n v="13"/>
    <n v="22589"/>
    <s v="Retail Sale"/>
    <n v="15"/>
    <n v="86749"/>
    <x v="7"/>
    <s v="Protek"/>
    <s v="Pfizer"/>
    <n v="1"/>
    <n v="347.6"/>
    <n v="477.66"/>
    <n v="47.77"/>
    <n v="47.77"/>
    <s v="BONUS_CARD"/>
    <n v="29"/>
    <n v="1"/>
    <n v="3"/>
    <n v="429.89"/>
    <n v="13130002212"/>
  </r>
  <r>
    <x v="22"/>
    <d v="1899-12-30T22:23:48"/>
    <n v="3213"/>
    <n v="13002561"/>
    <n v="13"/>
    <n v="22589"/>
    <s v="Retail Sale"/>
    <n v="15"/>
    <n v="88422"/>
    <x v="44"/>
    <s v="Pharmcomplect"/>
    <s v="KRKA"/>
    <n v="3"/>
    <n v="141.76"/>
    <n v="238.67"/>
    <n v="0"/>
    <n v="0"/>
    <m/>
    <n v="29"/>
    <n v="1"/>
    <n v="2"/>
    <n v="238.67"/>
    <n v="13130002213"/>
  </r>
  <r>
    <x v="11"/>
    <d v="1899-12-30T16:39:32"/>
    <n v="3214"/>
    <n v="13002561"/>
    <n v="13"/>
    <n v="22589"/>
    <s v="Retail Sale"/>
    <n v="15"/>
    <n v="44998"/>
    <x v="30"/>
    <s v="Avesta"/>
    <s v="Dr. Reddy's"/>
    <n v="1"/>
    <n v="406.03"/>
    <n v="559.53"/>
    <n v="27.98"/>
    <n v="27.98"/>
    <s v="BONUS_CARD"/>
    <n v="29"/>
    <n v="1"/>
    <n v="5"/>
    <n v="531.54999999999995"/>
    <n v="13130002214"/>
  </r>
  <r>
    <x v="18"/>
    <d v="1899-12-30T18:06:49"/>
    <n v="3215"/>
    <n v="13002561"/>
    <n v="13"/>
    <n v="22589"/>
    <s v="Retail Sale"/>
    <n v="18"/>
    <n v="65540"/>
    <x v="62"/>
    <s v="Pulse"/>
    <s v="Takeda"/>
    <n v="2"/>
    <n v="554.63"/>
    <n v="701.83"/>
    <n v="70.180000000000007"/>
    <n v="70.180000000000007"/>
    <s v="BONUS_CARD"/>
    <n v="29"/>
    <n v="1"/>
    <n v="6"/>
    <n v="631.65"/>
    <n v="13130002215"/>
  </r>
  <r>
    <x v="30"/>
    <d v="1899-12-30T13:59:05"/>
    <n v="3216"/>
    <n v="13002561"/>
    <n v="13"/>
    <n v="22589"/>
    <s v="Retail Sale"/>
    <n v="15"/>
    <n v="53829"/>
    <x v="43"/>
    <s v="Protek"/>
    <s v="KRKA"/>
    <n v="2"/>
    <n v="501.5"/>
    <n v="837.92"/>
    <n v="0"/>
    <n v="0"/>
    <m/>
    <n v="29"/>
    <n v="1"/>
    <n v="4"/>
    <n v="837.92"/>
    <n v="13130002216"/>
  </r>
  <r>
    <x v="13"/>
    <d v="1899-12-30T10:07:42"/>
    <n v="3217"/>
    <n v="13002561"/>
    <n v="13"/>
    <n v="22589"/>
    <s v="Retail Sale"/>
    <n v="18"/>
    <n v="28958"/>
    <x v="28"/>
    <s v="Pulse"/>
    <s v="KRKA"/>
    <n v="2"/>
    <n v="193.7"/>
    <n v="272.5"/>
    <n v="0"/>
    <n v="0"/>
    <m/>
    <n v="29"/>
    <n v="1"/>
    <n v="1"/>
    <n v="272.5"/>
    <n v="13130002217"/>
  </r>
  <r>
    <x v="13"/>
    <d v="1899-12-30T12:11:33"/>
    <n v="3218"/>
    <n v="13002561"/>
    <n v="13"/>
    <n v="22589"/>
    <s v="Retail Sale"/>
    <n v="15"/>
    <n v="99856"/>
    <x v="45"/>
    <s v="Protek"/>
    <s v="Dr. Reddy's"/>
    <n v="3"/>
    <n v="282.39999999999998"/>
    <n v="451.58"/>
    <n v="0"/>
    <n v="0"/>
    <m/>
    <n v="29"/>
    <n v="1"/>
    <n v="2"/>
    <n v="451.58"/>
    <n v="13130002218"/>
  </r>
  <r>
    <x v="18"/>
    <d v="1899-12-30T19:18:29"/>
    <n v="3219"/>
    <n v="13002561"/>
    <n v="13"/>
    <n v="22589"/>
    <s v="Retail Sale"/>
    <n v="15"/>
    <n v="39816"/>
    <x v="21"/>
    <s v="Pulse"/>
    <s v="Dr. Reddy's"/>
    <n v="3"/>
    <n v="438.07"/>
    <n v="634"/>
    <n v="0"/>
    <n v="0"/>
    <m/>
    <n v="29"/>
    <n v="1"/>
    <n v="5"/>
    <n v="634"/>
    <n v="13130002219"/>
  </r>
  <r>
    <x v="25"/>
    <d v="1899-12-30T22:57:02"/>
    <n v="3220"/>
    <n v="13002561"/>
    <n v="13"/>
    <n v="22589"/>
    <s v="Retail Sale"/>
    <n v="18"/>
    <n v="60055"/>
    <x v="82"/>
    <s v="Protek"/>
    <s v="Bayer"/>
    <n v="1"/>
    <n v="351.56"/>
    <n v="566.41999999999996"/>
    <n v="56.64"/>
    <n v="56.64"/>
    <s v="BONUS_CARD"/>
    <n v="29"/>
    <n v="1"/>
    <n v="3"/>
    <n v="509.78"/>
    <n v="13130002220"/>
  </r>
  <r>
    <x v="21"/>
    <d v="1899-12-30T09:29:03"/>
    <n v="3221"/>
    <n v="13002561"/>
    <n v="13"/>
    <n v="22589"/>
    <s v="Retail Sale"/>
    <n v="15"/>
    <n v="34309"/>
    <x v="10"/>
    <s v="Grand Capital"/>
    <s v="TEVA"/>
    <n v="3"/>
    <n v="291.75"/>
    <n v="373.76"/>
    <n v="0"/>
    <n v="0"/>
    <m/>
    <n v="29"/>
    <n v="1"/>
    <n v="5"/>
    <n v="373.76"/>
    <n v="13130002221"/>
  </r>
  <r>
    <x v="30"/>
    <d v="1899-12-30T20:41:32"/>
    <n v="3222"/>
    <n v="13002561"/>
    <n v="13"/>
    <n v="22589"/>
    <s v="Retail Sale"/>
    <n v="15"/>
    <n v="12472"/>
    <x v="72"/>
    <s v="Avesta"/>
    <s v="Novartis"/>
    <n v="1"/>
    <n v="13.43"/>
    <n v="18.02"/>
    <n v="0.9"/>
    <n v="0.9"/>
    <s v="BONUS_CARD"/>
    <n v="29"/>
    <n v="1"/>
    <n v="4"/>
    <n v="17.12"/>
    <n v="13130002222"/>
  </r>
  <r>
    <x v="17"/>
    <d v="1899-12-30T17:57:44"/>
    <n v="3223"/>
    <n v="13002561"/>
    <n v="13"/>
    <n v="22589"/>
    <s v="Retail Sale"/>
    <n v="15"/>
    <n v="64253"/>
    <x v="26"/>
    <s v="Pharmcomplect"/>
    <s v="Dr. Reddy's"/>
    <n v="3"/>
    <n v="415.67"/>
    <n v="541.45000000000005"/>
    <n v="0"/>
    <n v="0"/>
    <m/>
    <n v="29"/>
    <n v="1"/>
    <n v="6"/>
    <n v="541.45000000000005"/>
    <n v="13130002223"/>
  </r>
  <r>
    <x v="5"/>
    <d v="1899-12-30T15:46:09"/>
    <n v="3224"/>
    <n v="13002561"/>
    <n v="13"/>
    <n v="22589"/>
    <s v="Retail Sale"/>
    <n v="15"/>
    <n v="84374"/>
    <x v="80"/>
    <s v="Protek"/>
    <s v="Pfizer"/>
    <n v="2"/>
    <n v="187.46"/>
    <n v="236.43"/>
    <n v="23.64"/>
    <n v="23.64"/>
    <s v="BONUS_CARD"/>
    <n v="29"/>
    <n v="1"/>
    <n v="5"/>
    <n v="212.79"/>
    <n v="13130002224"/>
  </r>
  <r>
    <x v="21"/>
    <d v="1899-12-30T15:41:25"/>
    <n v="3225"/>
    <n v="13002561"/>
    <n v="13"/>
    <n v="22589"/>
    <s v="Retail Sale"/>
    <n v="18"/>
    <n v="63806"/>
    <x v="11"/>
    <s v="Katren"/>
    <s v="Novartis"/>
    <n v="2"/>
    <n v="40.44"/>
    <n v="51.18"/>
    <n v="2.56"/>
    <n v="2.56"/>
    <s v="BONUS_CARD"/>
    <n v="29"/>
    <n v="1"/>
    <n v="3"/>
    <n v="48.62"/>
    <n v="13130002225"/>
  </r>
  <r>
    <x v="30"/>
    <d v="1899-12-30T10:54:29"/>
    <n v="3226"/>
    <n v="13002561"/>
    <n v="13"/>
    <n v="22589"/>
    <s v="Retail Sale"/>
    <n v="15"/>
    <n v="51275"/>
    <x v="6"/>
    <s v="Katren"/>
    <s v="Pfizer"/>
    <n v="2"/>
    <n v="187.11"/>
    <n v="311.55"/>
    <n v="15.58"/>
    <n v="15.58"/>
    <s v="BONUS_CARD"/>
    <n v="29"/>
    <n v="1"/>
    <n v="4"/>
    <n v="295.97000000000003"/>
    <n v="13130002226"/>
  </r>
  <r>
    <x v="30"/>
    <d v="1899-12-30T15:33:42"/>
    <n v="3227"/>
    <n v="13002561"/>
    <n v="13"/>
    <n v="22589"/>
    <s v="Retail Sale"/>
    <n v="15"/>
    <n v="90565"/>
    <x v="71"/>
    <s v="Grand Capital"/>
    <s v="Bayer"/>
    <n v="2"/>
    <n v="350.58"/>
    <n v="525"/>
    <n v="52.5"/>
    <n v="52.5"/>
    <s v="BONUS_CARD"/>
    <n v="29"/>
    <n v="1"/>
    <n v="4"/>
    <n v="472.5"/>
    <n v="13130002227"/>
  </r>
  <r>
    <x v="2"/>
    <d v="1899-12-30T13:55:01"/>
    <n v="3228"/>
    <n v="13002561"/>
    <n v="13"/>
    <n v="22589"/>
    <s v="Retail Sale"/>
    <n v="15"/>
    <n v="69393"/>
    <x v="85"/>
    <s v="Grand Capital"/>
    <s v="Novartis"/>
    <n v="1"/>
    <n v="306.02999999999997"/>
    <n v="477.99"/>
    <n v="0"/>
    <n v="0"/>
    <m/>
    <n v="29"/>
    <n v="1"/>
    <n v="1"/>
    <n v="477.99"/>
    <n v="13130002228"/>
  </r>
  <r>
    <x v="10"/>
    <d v="1899-12-30T20:39:03"/>
    <n v="3229"/>
    <n v="13002561"/>
    <n v="13"/>
    <n v="22589"/>
    <s v="Retail Sale"/>
    <n v="15"/>
    <n v="95409"/>
    <x v="67"/>
    <s v="Katren"/>
    <s v="Dr. Reddy's"/>
    <n v="2"/>
    <n v="114.64"/>
    <n v="190"/>
    <n v="19"/>
    <n v="19"/>
    <s v="BONUS_CARD"/>
    <n v="29"/>
    <n v="1"/>
    <n v="4"/>
    <n v="171"/>
    <n v="13130002229"/>
  </r>
  <r>
    <x v="23"/>
    <d v="1899-12-30T17:43:30"/>
    <n v="3230"/>
    <n v="13002561"/>
    <n v="13"/>
    <n v="22589"/>
    <s v="Retail Sale"/>
    <n v="18"/>
    <n v="23836"/>
    <x v="60"/>
    <s v="Protek"/>
    <s v="Bayer"/>
    <n v="1"/>
    <n v="307.7"/>
    <n v="398.09"/>
    <n v="0"/>
    <n v="0"/>
    <m/>
    <n v="29"/>
    <n v="1"/>
    <n v="1"/>
    <n v="398.09"/>
    <n v="13130002230"/>
  </r>
  <r>
    <x v="24"/>
    <d v="1899-12-30T12:37:41"/>
    <n v="3231"/>
    <n v="13002561"/>
    <n v="13"/>
    <n v="22589"/>
    <s v="Retail Sale"/>
    <n v="18"/>
    <n v="99348"/>
    <x v="48"/>
    <s v="Pulse"/>
    <s v="KRKA"/>
    <n v="3"/>
    <n v="532.51"/>
    <n v="689.31"/>
    <n v="0"/>
    <n v="0"/>
    <m/>
    <n v="29"/>
    <n v="1"/>
    <n v="5"/>
    <n v="689.31"/>
    <n v="13130002231"/>
  </r>
  <r>
    <x v="30"/>
    <d v="1899-12-30T20:13:04"/>
    <n v="3232"/>
    <n v="13002561"/>
    <n v="13"/>
    <n v="22589"/>
    <s v="Retail Sale"/>
    <n v="18"/>
    <n v="29639"/>
    <x v="31"/>
    <s v="Katren"/>
    <s v="KRKA"/>
    <n v="3"/>
    <n v="469.85"/>
    <n v="625.86"/>
    <n v="31.29"/>
    <n v="31.29"/>
    <s v="BONUS_CARD"/>
    <n v="29"/>
    <n v="1"/>
    <n v="2"/>
    <n v="594.57000000000005"/>
    <n v="13130002232"/>
  </r>
  <r>
    <x v="5"/>
    <d v="1899-12-30T13:32:06"/>
    <n v="3233"/>
    <n v="13002561"/>
    <n v="13"/>
    <n v="22589"/>
    <s v="Retail Sale"/>
    <n v="15"/>
    <n v="32966"/>
    <x v="80"/>
    <s v="Pharmcomplect"/>
    <s v="Bayer"/>
    <n v="1"/>
    <n v="297.74"/>
    <n v="387.65"/>
    <n v="0"/>
    <n v="0"/>
    <m/>
    <n v="29"/>
    <n v="1"/>
    <n v="6"/>
    <n v="387.65"/>
    <n v="13130002233"/>
  </r>
  <r>
    <x v="6"/>
    <d v="1899-12-30T19:06:19"/>
    <n v="3234"/>
    <n v="13002561"/>
    <n v="13"/>
    <n v="22589"/>
    <s v="Retail Sale"/>
    <n v="18"/>
    <n v="56304"/>
    <x v="8"/>
    <s v="Katren"/>
    <s v="Sanofi"/>
    <n v="1"/>
    <n v="171.78"/>
    <n v="225.91"/>
    <n v="22.59"/>
    <n v="22.59"/>
    <s v="BONUS_CARD"/>
    <n v="29"/>
    <n v="1"/>
    <n v="2"/>
    <n v="203.32"/>
    <n v="13130002234"/>
  </r>
  <r>
    <x v="6"/>
    <d v="1899-12-30T20:50:29"/>
    <n v="3235"/>
    <n v="13002561"/>
    <n v="13"/>
    <n v="22589"/>
    <s v="Retail Sale"/>
    <n v="18"/>
    <n v="77389"/>
    <x v="61"/>
    <s v="Protek"/>
    <s v="Pfizer"/>
    <n v="1"/>
    <n v="196.19"/>
    <n v="261.47000000000003"/>
    <n v="26.15"/>
    <n v="26.15"/>
    <s v="BONUS_CARD"/>
    <n v="29"/>
    <n v="1"/>
    <n v="3"/>
    <n v="235.32"/>
    <n v="13130002235"/>
  </r>
  <r>
    <x v="18"/>
    <d v="1899-12-30T13:15:40"/>
    <n v="3236"/>
    <n v="13002561"/>
    <n v="13"/>
    <n v="22589"/>
    <s v="Retail Sale"/>
    <n v="18"/>
    <n v="99811"/>
    <x v="47"/>
    <s v="Pharmcomplect"/>
    <s v="Dr. Reddy's"/>
    <n v="2"/>
    <n v="112.87"/>
    <n v="191.46"/>
    <n v="9.57"/>
    <n v="9.57"/>
    <s v="BONUS_CARD"/>
    <n v="29"/>
    <n v="1"/>
    <n v="6"/>
    <n v="181.89"/>
    <n v="13130002236"/>
  </r>
  <r>
    <x v="11"/>
    <d v="1899-12-30T15:33:57"/>
    <n v="3237"/>
    <n v="13002561"/>
    <n v="13"/>
    <n v="22589"/>
    <s v="Retail Sale"/>
    <n v="18"/>
    <n v="79038"/>
    <x v="64"/>
    <s v="Pulse"/>
    <s v="Novartis"/>
    <n v="2"/>
    <n v="425.68"/>
    <n v="656.64"/>
    <n v="0"/>
    <n v="0"/>
    <m/>
    <n v="29"/>
    <n v="1"/>
    <n v="4"/>
    <n v="656.64"/>
    <n v="13130002237"/>
  </r>
  <r>
    <x v="13"/>
    <d v="1899-12-30T10:43:42"/>
    <n v="3238"/>
    <n v="13002561"/>
    <n v="13"/>
    <n v="22589"/>
    <s v="Retail Sale"/>
    <n v="15"/>
    <n v="79178"/>
    <x v="58"/>
    <s v="Avesta"/>
    <s v="Bayer"/>
    <n v="3"/>
    <n v="223.26"/>
    <n v="299.41000000000003"/>
    <n v="0"/>
    <n v="0"/>
    <m/>
    <n v="29"/>
    <n v="1"/>
    <n v="2"/>
    <n v="299.41000000000003"/>
    <n v="13130002238"/>
  </r>
  <r>
    <x v="6"/>
    <d v="1899-12-30T14:27:13"/>
    <n v="3239"/>
    <n v="13002561"/>
    <n v="13"/>
    <n v="22589"/>
    <s v="Retail Sale"/>
    <n v="15"/>
    <n v="79739"/>
    <x v="9"/>
    <s v="Pharmcomplect"/>
    <s v="Bayer"/>
    <n v="1"/>
    <n v="113.86"/>
    <n v="165.74"/>
    <n v="0"/>
    <n v="0"/>
    <m/>
    <n v="29"/>
    <n v="1"/>
    <n v="5"/>
    <n v="165.74"/>
    <n v="13130002239"/>
  </r>
  <r>
    <x v="4"/>
    <d v="1899-12-30T12:34:13"/>
    <n v="3240"/>
    <n v="13002561"/>
    <n v="13"/>
    <n v="22589"/>
    <s v="Retail Sale"/>
    <n v="18"/>
    <n v="52617"/>
    <x v="79"/>
    <s v="Protek"/>
    <s v="Pfizer"/>
    <n v="2"/>
    <n v="376.33"/>
    <n v="629.4"/>
    <n v="62.94"/>
    <n v="62.94"/>
    <s v="BONUS_CARD"/>
    <n v="29"/>
    <n v="1"/>
    <n v="1"/>
    <n v="566.46"/>
    <n v="13130002240"/>
  </r>
  <r>
    <x v="17"/>
    <d v="1899-12-30T08:59:45"/>
    <n v="3241"/>
    <n v="13002561"/>
    <n v="13"/>
    <n v="22589"/>
    <s v="Retail Sale"/>
    <n v="15"/>
    <n v="14050"/>
    <x v="7"/>
    <s v="Protek"/>
    <s v="TEVA"/>
    <n v="2"/>
    <n v="588.62"/>
    <n v="971.35"/>
    <n v="0"/>
    <n v="0"/>
    <m/>
    <n v="29"/>
    <n v="1"/>
    <n v="1"/>
    <n v="971.35"/>
    <n v="13130002241"/>
  </r>
  <r>
    <x v="27"/>
    <d v="1899-12-30T15:35:01"/>
    <n v="3242"/>
    <n v="13002561"/>
    <n v="13"/>
    <n v="22589"/>
    <s v="Retail Sale"/>
    <n v="18"/>
    <n v="50724"/>
    <x v="10"/>
    <s v="Protek"/>
    <s v="KRKA"/>
    <n v="2"/>
    <n v="463.82"/>
    <n v="734.72"/>
    <n v="36.74"/>
    <n v="36.74"/>
    <s v="BONUS_CARD"/>
    <n v="29"/>
    <n v="1"/>
    <n v="5"/>
    <n v="697.98"/>
    <n v="13130002242"/>
  </r>
  <r>
    <x v="10"/>
    <d v="1899-12-30T22:35:54"/>
    <n v="3243"/>
    <n v="13002561"/>
    <n v="13"/>
    <n v="22589"/>
    <s v="Retail Sale"/>
    <n v="18"/>
    <n v="86936"/>
    <x v="39"/>
    <s v="Avesta"/>
    <s v="Sanofi"/>
    <n v="1"/>
    <n v="381.45"/>
    <n v="502.48"/>
    <n v="50.25"/>
    <n v="50.25"/>
    <s v="BONUS_CARD"/>
    <n v="29"/>
    <n v="1"/>
    <n v="3"/>
    <n v="452.23"/>
    <n v="13130002243"/>
  </r>
  <r>
    <x v="18"/>
    <d v="1899-12-30T14:34:04"/>
    <n v="3244"/>
    <n v="13002561"/>
    <n v="13"/>
    <n v="22589"/>
    <s v="Retail Sale"/>
    <n v="18"/>
    <n v="34513"/>
    <x v="75"/>
    <s v="Grand Capital"/>
    <s v="KRKA"/>
    <n v="2"/>
    <n v="589.20000000000005"/>
    <n v="989.26"/>
    <n v="0"/>
    <n v="0"/>
    <m/>
    <n v="29"/>
    <n v="1"/>
    <n v="4"/>
    <n v="989.26"/>
    <n v="13130002244"/>
  </r>
  <r>
    <x v="5"/>
    <d v="1899-12-30T10:52:05"/>
    <n v="3245"/>
    <n v="13002561"/>
    <n v="13"/>
    <n v="22589"/>
    <s v="Retail Sale"/>
    <n v="18"/>
    <n v="75301"/>
    <x v="11"/>
    <s v="Grand Capital"/>
    <s v="Sanofi"/>
    <n v="2"/>
    <n v="205.4"/>
    <n v="348.92"/>
    <n v="17.45"/>
    <n v="17.45"/>
    <s v="BONUS_CARD"/>
    <n v="29"/>
    <n v="1"/>
    <n v="1"/>
    <n v="331.47"/>
    <n v="13130002245"/>
  </r>
  <r>
    <x v="26"/>
    <d v="1899-12-30T18:23:17"/>
    <n v="3246"/>
    <n v="13002561"/>
    <n v="13"/>
    <n v="22589"/>
    <s v="Retail Sale"/>
    <n v="18"/>
    <n v="91962"/>
    <x v="32"/>
    <s v="Pharmcomplect"/>
    <s v="Pfizer"/>
    <n v="1"/>
    <n v="541.62"/>
    <n v="714.14"/>
    <n v="35.71"/>
    <n v="35.71"/>
    <s v="BONUS_CARD"/>
    <n v="29"/>
    <n v="1"/>
    <n v="5"/>
    <n v="678.43"/>
    <n v="13130002246"/>
  </r>
  <r>
    <x v="14"/>
    <d v="1899-12-30T09:40:52"/>
    <n v="3247"/>
    <n v="13002561"/>
    <n v="13"/>
    <n v="22589"/>
    <s v="Retail Sale"/>
    <n v="18"/>
    <n v="14952"/>
    <x v="17"/>
    <s v="Pulse"/>
    <s v="Pfizer"/>
    <n v="3"/>
    <n v="245.56"/>
    <n v="364.11"/>
    <n v="36.409999999999997"/>
    <n v="36.409999999999997"/>
    <s v="BONUS_CARD"/>
    <n v="29"/>
    <n v="1"/>
    <n v="6"/>
    <n v="327.7"/>
    <n v="13130002247"/>
  </r>
  <r>
    <x v="3"/>
    <d v="1899-12-30T11:20:46"/>
    <n v="3248"/>
    <n v="13002561"/>
    <n v="13"/>
    <n v="22589"/>
    <s v="Retail Sale"/>
    <n v="15"/>
    <n v="71190"/>
    <x v="81"/>
    <s v="Grand Capital"/>
    <s v="Sanofi"/>
    <n v="3"/>
    <n v="298.82"/>
    <n v="421.06"/>
    <n v="0"/>
    <n v="0"/>
    <m/>
    <n v="29"/>
    <n v="1"/>
    <n v="3"/>
    <n v="421.06"/>
    <n v="13130002248"/>
  </r>
  <r>
    <x v="9"/>
    <d v="1899-12-30T12:53:45"/>
    <n v="3249"/>
    <n v="13002561"/>
    <n v="13"/>
    <n v="22589"/>
    <s v="Retail Sale"/>
    <n v="15"/>
    <n v="80745"/>
    <x v="15"/>
    <s v="Grand Capital"/>
    <s v="Bayer"/>
    <n v="2"/>
    <n v="310.05"/>
    <n v="486.53"/>
    <n v="48.65"/>
    <n v="48.65"/>
    <s v="BONUS_CARD"/>
    <n v="29"/>
    <n v="1"/>
    <n v="2"/>
    <n v="437.88"/>
    <n v="13130002249"/>
  </r>
  <r>
    <x v="7"/>
    <d v="1899-12-30T16:09:58"/>
    <n v="3250"/>
    <n v="13002561"/>
    <n v="13"/>
    <n v="22589"/>
    <s v="Retail Sale"/>
    <n v="15"/>
    <n v="14354"/>
    <x v="87"/>
    <s v="Katren"/>
    <s v="Sanofi"/>
    <n v="3"/>
    <n v="545.47"/>
    <n v="739.28"/>
    <n v="36.96"/>
    <n v="36.96"/>
    <s v="BONUS_CARD"/>
    <n v="29"/>
    <n v="1"/>
    <n v="6"/>
    <n v="702.32"/>
    <n v="13130002250"/>
  </r>
  <r>
    <x v="8"/>
    <d v="1899-12-30T19:08:35"/>
    <n v="3251"/>
    <n v="13002561"/>
    <n v="13"/>
    <n v="22589"/>
    <s v="Retail Sale"/>
    <n v="18"/>
    <n v="89980"/>
    <x v="87"/>
    <s v="Pulse"/>
    <s v="Sanofi"/>
    <n v="3"/>
    <n v="214.57"/>
    <n v="344.75"/>
    <n v="34.479999999999997"/>
    <n v="34.479999999999997"/>
    <s v="BONUS_CARD"/>
    <n v="29"/>
    <n v="1"/>
    <n v="5"/>
    <n v="310.27"/>
    <n v="13130002251"/>
  </r>
  <r>
    <x v="7"/>
    <d v="1899-12-30T20:56:40"/>
    <n v="3252"/>
    <n v="13002561"/>
    <n v="13"/>
    <n v="22589"/>
    <s v="Retail Sale"/>
    <n v="18"/>
    <n v="73448"/>
    <x v="15"/>
    <s v="Protek"/>
    <s v="KRKA"/>
    <n v="1"/>
    <n v="281.02"/>
    <n v="439.65"/>
    <n v="0"/>
    <n v="0"/>
    <m/>
    <n v="29"/>
    <n v="1"/>
    <n v="2"/>
    <n v="439.65"/>
    <n v="13130002252"/>
  </r>
  <r>
    <x v="30"/>
    <d v="1899-12-30T12:11:09"/>
    <n v="3253"/>
    <n v="13002561"/>
    <n v="13"/>
    <n v="22589"/>
    <s v="Retail Sale"/>
    <n v="18"/>
    <n v="91111"/>
    <x v="24"/>
    <s v="Grand Capital"/>
    <s v="Takeda"/>
    <n v="2"/>
    <n v="512.19000000000005"/>
    <n v="760.94"/>
    <n v="0"/>
    <n v="0"/>
    <m/>
    <n v="29"/>
    <n v="1"/>
    <n v="5"/>
    <n v="760.94"/>
    <n v="13130002253"/>
  </r>
  <r>
    <x v="5"/>
    <d v="1899-12-30T14:35:33"/>
    <n v="3254"/>
    <n v="13002561"/>
    <n v="13"/>
    <n v="22589"/>
    <s v="Retail Sale"/>
    <n v="15"/>
    <n v="93212"/>
    <x v="38"/>
    <s v="Protek"/>
    <s v="Sanofi"/>
    <n v="3"/>
    <n v="541.29999999999995"/>
    <n v="898.18"/>
    <n v="44.91"/>
    <n v="44.91"/>
    <s v="BONUS_CARD"/>
    <n v="29"/>
    <n v="1"/>
    <n v="2"/>
    <n v="853.27"/>
    <n v="13130002254"/>
  </r>
  <r>
    <x v="19"/>
    <d v="1899-12-30T14:44:19"/>
    <n v="3255"/>
    <n v="13002561"/>
    <n v="13"/>
    <n v="22589"/>
    <s v="Retail Sale"/>
    <n v="15"/>
    <n v="25181"/>
    <x v="18"/>
    <s v="Katren"/>
    <s v="KRKA"/>
    <n v="3"/>
    <n v="444.3"/>
    <n v="656.28"/>
    <n v="65.63"/>
    <n v="65.63"/>
    <s v="BONUS_CARD"/>
    <n v="29"/>
    <n v="1"/>
    <n v="1"/>
    <n v="590.65"/>
    <n v="13130002255"/>
  </r>
  <r>
    <x v="10"/>
    <d v="1899-12-30T18:20:44"/>
    <n v="3256"/>
    <n v="13002561"/>
    <n v="13"/>
    <n v="22589"/>
    <s v="Retail Sale"/>
    <n v="18"/>
    <n v="98935"/>
    <x v="5"/>
    <s v="Katren"/>
    <s v="Pfizer"/>
    <n v="2"/>
    <n v="455.17"/>
    <n v="576.20000000000005"/>
    <n v="57.62"/>
    <n v="57.62"/>
    <s v="BONUS_CARD"/>
    <n v="29"/>
    <n v="1"/>
    <n v="6"/>
    <n v="518.58000000000004"/>
    <n v="13130002256"/>
  </r>
  <r>
    <x v="29"/>
    <d v="1899-12-30T17:13:46"/>
    <n v="3257"/>
    <n v="13002561"/>
    <n v="13"/>
    <n v="22589"/>
    <s v="Retail Sale"/>
    <n v="15"/>
    <n v="98687"/>
    <x v="30"/>
    <s v="Avesta"/>
    <s v="Dr. Reddy's"/>
    <n v="2"/>
    <n v="149.55000000000001"/>
    <n v="251.95"/>
    <n v="25.2"/>
    <n v="25.2"/>
    <s v="BONUS_CARD"/>
    <n v="29"/>
    <n v="1"/>
    <n v="5"/>
    <n v="226.75"/>
    <n v="13130002257"/>
  </r>
  <r>
    <x v="5"/>
    <d v="1899-12-30T16:12:46"/>
    <n v="3258"/>
    <n v="13002561"/>
    <n v="13"/>
    <n v="22589"/>
    <s v="Retail Sale"/>
    <n v="18"/>
    <n v="82250"/>
    <x v="23"/>
    <s v="Avesta"/>
    <s v="TEVA"/>
    <n v="1"/>
    <n v="396.49"/>
    <n v="600.9"/>
    <n v="30.05"/>
    <n v="30.05"/>
    <s v="BONUS_CARD"/>
    <n v="29"/>
    <n v="1"/>
    <n v="5"/>
    <n v="570.85"/>
    <n v="13130002258"/>
  </r>
  <r>
    <x v="23"/>
    <d v="1899-12-30T12:04:07"/>
    <n v="3259"/>
    <n v="13002561"/>
    <n v="13"/>
    <n v="22589"/>
    <s v="Retail Sale"/>
    <n v="15"/>
    <n v="91383"/>
    <x v="67"/>
    <s v="Grand Capital"/>
    <s v="Dr. Reddy's"/>
    <n v="2"/>
    <n v="585.47"/>
    <n v="775.49"/>
    <n v="38.770000000000003"/>
    <n v="38.770000000000003"/>
    <s v="BONUS_CARD"/>
    <n v="29"/>
    <n v="1"/>
    <n v="1"/>
    <n v="736.72"/>
    <n v="13130002259"/>
  </r>
  <r>
    <x v="15"/>
    <d v="1899-12-30T22:57:18"/>
    <n v="3260"/>
    <n v="13002561"/>
    <n v="13"/>
    <n v="22589"/>
    <s v="Retail Sale"/>
    <n v="18"/>
    <n v="81960"/>
    <x v="67"/>
    <s v="Pulse"/>
    <s v="Takeda"/>
    <n v="1"/>
    <n v="559.15"/>
    <n v="821.85"/>
    <n v="0"/>
    <n v="0"/>
    <m/>
    <n v="29"/>
    <n v="1"/>
    <n v="6"/>
    <n v="821.85"/>
    <n v="13130002260"/>
  </r>
  <r>
    <x v="7"/>
    <d v="1899-12-30T18:39:15"/>
    <n v="3261"/>
    <n v="13002561"/>
    <n v="13"/>
    <n v="22589"/>
    <s v="Retail Sale"/>
    <n v="15"/>
    <n v="17211"/>
    <x v="67"/>
    <s v="Pulse"/>
    <s v="Bayer"/>
    <n v="3"/>
    <n v="396.58"/>
    <n v="632.26"/>
    <n v="63.23"/>
    <n v="63.23"/>
    <s v="BONUS_CARD"/>
    <n v="29"/>
    <n v="1"/>
    <n v="6"/>
    <n v="569.03"/>
    <n v="13130002261"/>
  </r>
  <r>
    <x v="4"/>
    <d v="1899-12-30T18:36:35"/>
    <n v="3262"/>
    <n v="13002561"/>
    <n v="13"/>
    <n v="22589"/>
    <s v="Retail Sale"/>
    <n v="15"/>
    <n v="52239"/>
    <x v="74"/>
    <s v="Grand Capital"/>
    <s v="Bayer"/>
    <n v="3"/>
    <n v="101.95"/>
    <n v="135.85"/>
    <n v="6.79"/>
    <n v="6.79"/>
    <s v="BONUS_CARD"/>
    <n v="29"/>
    <n v="1"/>
    <n v="1"/>
    <n v="129.06"/>
    <n v="13130002262"/>
  </r>
  <r>
    <x v="25"/>
    <d v="1899-12-30T21:58:59"/>
    <n v="3263"/>
    <n v="13002561"/>
    <n v="13"/>
    <n v="22589"/>
    <s v="Retail Sale"/>
    <n v="18"/>
    <n v="90925"/>
    <x v="75"/>
    <s v="Pulse"/>
    <s v="Takeda"/>
    <n v="1"/>
    <n v="152.66"/>
    <n v="198.97"/>
    <n v="9.9499999999999993"/>
    <n v="9.9499999999999993"/>
    <s v="BONUS_CARD"/>
    <n v="29"/>
    <n v="1"/>
    <n v="6"/>
    <n v="189.02"/>
    <n v="13130002263"/>
  </r>
  <r>
    <x v="4"/>
    <d v="1899-12-30T22:43:10"/>
    <n v="3264"/>
    <n v="13002561"/>
    <n v="13"/>
    <n v="22589"/>
    <s v="Retail Sale"/>
    <n v="15"/>
    <n v="46585"/>
    <x v="14"/>
    <s v="Pharmcomplect"/>
    <s v="TEVA"/>
    <n v="1"/>
    <n v="250.72"/>
    <n v="399.22"/>
    <n v="19.96"/>
    <n v="19.96"/>
    <s v="BONUS_CARD"/>
    <n v="29"/>
    <n v="1"/>
    <n v="1"/>
    <n v="379.26"/>
    <n v="13130002264"/>
  </r>
  <r>
    <x v="17"/>
    <d v="1899-12-30T15:58:02"/>
    <n v="3265"/>
    <n v="13002561"/>
    <n v="13"/>
    <n v="22589"/>
    <s v="Retail Sale"/>
    <n v="15"/>
    <n v="23377"/>
    <x v="53"/>
    <s v="Pulse"/>
    <s v="Bayer"/>
    <n v="3"/>
    <n v="12.49"/>
    <n v="18.05"/>
    <n v="0.9"/>
    <n v="0.9"/>
    <s v="BONUS_CARD"/>
    <n v="29"/>
    <n v="1"/>
    <n v="1"/>
    <n v="17.149999999999999"/>
    <n v="13130002265"/>
  </r>
  <r>
    <x v="20"/>
    <d v="1899-12-30T17:55:50"/>
    <n v="3266"/>
    <n v="13002561"/>
    <n v="13"/>
    <n v="22589"/>
    <s v="Retail Sale"/>
    <n v="18"/>
    <n v="79399"/>
    <x v="74"/>
    <s v="Pharmcomplect"/>
    <s v="Bayer"/>
    <n v="3"/>
    <n v="286.89"/>
    <n v="441"/>
    <n v="22.05"/>
    <n v="22.05"/>
    <s v="BONUS_CARD"/>
    <n v="29"/>
    <n v="1"/>
    <n v="1"/>
    <n v="418.95"/>
    <n v="13130002266"/>
  </r>
  <r>
    <x v="27"/>
    <d v="1899-12-30T19:48:42"/>
    <n v="3267"/>
    <n v="13002561"/>
    <n v="13"/>
    <n v="22589"/>
    <s v="Retail Sale"/>
    <n v="18"/>
    <n v="67526"/>
    <x v="51"/>
    <s v="Pulse"/>
    <s v="TEVA"/>
    <n v="2"/>
    <n v="304.79000000000002"/>
    <n v="473.79"/>
    <n v="23.69"/>
    <n v="23.69"/>
    <s v="BONUS_CARD"/>
    <n v="29"/>
    <n v="1"/>
    <n v="4"/>
    <n v="450.1"/>
    <n v="13130002267"/>
  </r>
  <r>
    <x v="11"/>
    <d v="1899-12-30T08:03:38"/>
    <n v="3268"/>
    <n v="13002561"/>
    <n v="13"/>
    <n v="22589"/>
    <s v="Retail Sale"/>
    <n v="18"/>
    <n v="41670"/>
    <x v="11"/>
    <s v="Grand Capital"/>
    <s v="KRKA"/>
    <n v="3"/>
    <n v="154.12"/>
    <n v="204.12"/>
    <n v="10.210000000000001"/>
    <n v="10.210000000000001"/>
    <s v="BONUS_CARD"/>
    <n v="29"/>
    <n v="1"/>
    <n v="5"/>
    <n v="193.91"/>
    <n v="13130002268"/>
  </r>
  <r>
    <x v="18"/>
    <d v="1899-12-30T13:00:55"/>
    <n v="3269"/>
    <n v="13002561"/>
    <n v="13"/>
    <n v="22589"/>
    <s v="Retail Sale"/>
    <n v="15"/>
    <n v="31854"/>
    <x v="25"/>
    <s v="Avesta"/>
    <s v="Pfizer"/>
    <n v="1"/>
    <n v="466.67"/>
    <n v="619.39"/>
    <n v="61.94"/>
    <n v="61.94"/>
    <s v="BONUS_CARD"/>
    <n v="29"/>
    <n v="1"/>
    <n v="4"/>
    <n v="557.45000000000005"/>
    <n v="13130002269"/>
  </r>
  <r>
    <x v="20"/>
    <d v="1899-12-30T19:02:52"/>
    <n v="3270"/>
    <n v="13002561"/>
    <n v="13"/>
    <n v="22589"/>
    <s v="Retail Sale"/>
    <n v="15"/>
    <n v="67917"/>
    <x v="7"/>
    <s v="Avesta"/>
    <s v="Bayer"/>
    <n v="3"/>
    <n v="584.96"/>
    <n v="735.94"/>
    <n v="73.59"/>
    <n v="73.59"/>
    <s v="BONUS_CARD"/>
    <n v="29"/>
    <n v="1"/>
    <n v="1"/>
    <n v="662.35"/>
    <n v="13130002270"/>
  </r>
  <r>
    <x v="8"/>
    <d v="1899-12-30T11:32:42"/>
    <n v="3271"/>
    <n v="13002561"/>
    <n v="13"/>
    <n v="22589"/>
    <s v="Retail Sale"/>
    <n v="15"/>
    <n v="14173"/>
    <x v="61"/>
    <s v="Pulse"/>
    <s v="Takeda"/>
    <n v="3"/>
    <n v="110.44"/>
    <n v="173.44"/>
    <n v="0"/>
    <n v="0"/>
    <m/>
    <n v="29"/>
    <n v="1"/>
    <n v="4"/>
    <n v="173.44"/>
    <n v="13130002271"/>
  </r>
  <r>
    <x v="11"/>
    <d v="1899-12-30T11:03:26"/>
    <n v="3272"/>
    <n v="13002561"/>
    <n v="13"/>
    <n v="22589"/>
    <s v="Retail Sale"/>
    <n v="18"/>
    <n v="48215"/>
    <x v="29"/>
    <s v="Pharmcomplect"/>
    <s v="Dr. Reddy's"/>
    <n v="2"/>
    <n v="396.3"/>
    <n v="649.02"/>
    <n v="32.450000000000003"/>
    <n v="32.450000000000003"/>
    <s v="BONUS_CARD"/>
    <n v="29"/>
    <n v="1"/>
    <n v="1"/>
    <n v="616.57000000000005"/>
    <n v="13130002272"/>
  </r>
  <r>
    <x v="5"/>
    <d v="1899-12-30T13:04:15"/>
    <n v="3273"/>
    <n v="13002561"/>
    <n v="13"/>
    <n v="22589"/>
    <s v="Retail Sale"/>
    <n v="15"/>
    <n v="53842"/>
    <x v="55"/>
    <s v="Katren"/>
    <s v="Novartis"/>
    <n v="3"/>
    <n v="436.02"/>
    <n v="557.65"/>
    <n v="0"/>
    <n v="0"/>
    <m/>
    <n v="29"/>
    <n v="1"/>
    <n v="4"/>
    <n v="557.65"/>
    <n v="13130002273"/>
  </r>
  <r>
    <x v="19"/>
    <d v="1899-12-30T16:55:33"/>
    <n v="3274"/>
    <n v="13002561"/>
    <n v="13"/>
    <n v="22589"/>
    <s v="Retail Sale"/>
    <n v="18"/>
    <n v="49994"/>
    <x v="62"/>
    <s v="Pulse"/>
    <s v="Bayer"/>
    <n v="2"/>
    <n v="464.45"/>
    <n v="699.58"/>
    <n v="69.959999999999994"/>
    <n v="69.959999999999994"/>
    <s v="BONUS_CARD"/>
    <n v="29"/>
    <n v="1"/>
    <n v="4"/>
    <n v="629.62"/>
    <n v="13130002274"/>
  </r>
  <r>
    <x v="16"/>
    <d v="1899-12-30T09:04:00"/>
    <n v="3275"/>
    <n v="13002561"/>
    <n v="13"/>
    <n v="22589"/>
    <s v="Retail Sale"/>
    <n v="15"/>
    <n v="56427"/>
    <x v="45"/>
    <s v="Protek"/>
    <s v="Takeda"/>
    <n v="2"/>
    <n v="461.08"/>
    <n v="589.75"/>
    <n v="29.49"/>
    <n v="29.49"/>
    <s v="BONUS_CARD"/>
    <n v="29"/>
    <n v="1"/>
    <n v="4"/>
    <n v="560.26"/>
    <n v="13130002275"/>
  </r>
  <r>
    <x v="4"/>
    <d v="1899-12-30T19:43:30"/>
    <n v="3276"/>
    <n v="13002561"/>
    <n v="13"/>
    <n v="22589"/>
    <s v="Retail Sale"/>
    <n v="15"/>
    <n v="51758"/>
    <x v="65"/>
    <s v="Avesta"/>
    <s v="Pfizer"/>
    <n v="3"/>
    <n v="63.48"/>
    <n v="95.69"/>
    <n v="4.78"/>
    <n v="4.78"/>
    <s v="BONUS_CARD"/>
    <n v="29"/>
    <n v="1"/>
    <n v="4"/>
    <n v="90.91"/>
    <n v="13130002276"/>
  </r>
  <r>
    <x v="8"/>
    <d v="1899-12-30T15:21:42"/>
    <n v="3277"/>
    <n v="13002561"/>
    <n v="13"/>
    <n v="22589"/>
    <s v="Retail Sale"/>
    <n v="18"/>
    <n v="84349"/>
    <x v="28"/>
    <s v="Grand Capital"/>
    <s v="Sanofi"/>
    <n v="2"/>
    <n v="342.05"/>
    <n v="434.44"/>
    <n v="21.72"/>
    <n v="21.72"/>
    <s v="BONUS_CARD"/>
    <n v="29"/>
    <n v="1"/>
    <n v="4"/>
    <n v="412.72"/>
    <n v="13130002277"/>
  </r>
  <r>
    <x v="5"/>
    <d v="1899-12-30T11:59:30"/>
    <n v="3278"/>
    <n v="13002561"/>
    <n v="13"/>
    <n v="22589"/>
    <s v="Retail Sale"/>
    <n v="15"/>
    <n v="44122"/>
    <x v="23"/>
    <s v="Protek"/>
    <s v="Pfizer"/>
    <n v="2"/>
    <n v="579"/>
    <n v="848.42"/>
    <n v="42.42"/>
    <n v="42.42"/>
    <s v="BONUS_CARD"/>
    <n v="29"/>
    <n v="1"/>
    <n v="1"/>
    <n v="806"/>
    <n v="13130002278"/>
  </r>
  <r>
    <x v="13"/>
    <d v="1899-12-30T21:15:59"/>
    <n v="3279"/>
    <n v="13002561"/>
    <n v="13"/>
    <n v="22589"/>
    <s v="Retail Sale"/>
    <n v="15"/>
    <n v="21049"/>
    <x v="73"/>
    <s v="Protek"/>
    <s v="KRKA"/>
    <n v="2"/>
    <n v="275.95999999999998"/>
    <n v="346.77"/>
    <n v="34.68"/>
    <n v="34.68"/>
    <s v="BONUS_CARD"/>
    <n v="29"/>
    <n v="1"/>
    <n v="5"/>
    <n v="312.08999999999997"/>
    <n v="13130002279"/>
  </r>
  <r>
    <x v="10"/>
    <d v="1899-12-30T15:35:45"/>
    <n v="3280"/>
    <n v="13002561"/>
    <n v="13"/>
    <n v="22589"/>
    <s v="Retail Sale"/>
    <n v="18"/>
    <n v="52149"/>
    <x v="84"/>
    <s v="Katren"/>
    <s v="Bayer"/>
    <n v="3"/>
    <n v="189.7"/>
    <n v="322.26"/>
    <n v="0"/>
    <n v="0"/>
    <m/>
    <n v="29"/>
    <n v="1"/>
    <n v="1"/>
    <n v="322.26"/>
    <n v="13130002280"/>
  </r>
  <r>
    <x v="29"/>
    <d v="1899-12-30T08:26:41"/>
    <n v="3281"/>
    <n v="13002561"/>
    <n v="13"/>
    <n v="22589"/>
    <s v="Retail Sale"/>
    <n v="15"/>
    <n v="25990"/>
    <x v="78"/>
    <s v="Protek"/>
    <s v="TEVA"/>
    <n v="2"/>
    <n v="473.13"/>
    <n v="706.01"/>
    <n v="35.299999999999997"/>
    <n v="35.299999999999997"/>
    <s v="BONUS_CARD"/>
    <n v="29"/>
    <n v="1"/>
    <n v="1"/>
    <n v="670.71"/>
    <n v="13130002281"/>
  </r>
  <r>
    <x v="15"/>
    <d v="1899-12-30T21:17:21"/>
    <n v="3282"/>
    <n v="13002561"/>
    <n v="13"/>
    <n v="22589"/>
    <s v="Retail Sale"/>
    <n v="18"/>
    <n v="95905"/>
    <x v="78"/>
    <s v="Pharmcomplect"/>
    <s v="Dr. Reddy's"/>
    <n v="2"/>
    <n v="468.29"/>
    <n v="616.46"/>
    <n v="61.65"/>
    <n v="61.65"/>
    <s v="BONUS_CARD"/>
    <n v="29"/>
    <n v="1"/>
    <n v="2"/>
    <n v="554.80999999999995"/>
    <n v="13130002282"/>
  </r>
  <r>
    <x v="15"/>
    <d v="1899-12-30T19:13:48"/>
    <n v="3283"/>
    <n v="13002561"/>
    <n v="13"/>
    <n v="22589"/>
    <s v="Retail Sale"/>
    <n v="15"/>
    <n v="70068"/>
    <x v="41"/>
    <s v="Katren"/>
    <s v="Bayer"/>
    <n v="2"/>
    <n v="64.83"/>
    <n v="106.96"/>
    <n v="5.35"/>
    <n v="5.35"/>
    <s v="BONUS_CARD"/>
    <n v="29"/>
    <n v="1"/>
    <n v="6"/>
    <n v="101.61"/>
    <n v="13130002283"/>
  </r>
  <r>
    <x v="18"/>
    <d v="1899-12-30T16:43:35"/>
    <n v="3284"/>
    <n v="13002561"/>
    <n v="13"/>
    <n v="22589"/>
    <s v="Retail Sale"/>
    <n v="15"/>
    <n v="35429"/>
    <x v="84"/>
    <s v="Grand Capital"/>
    <s v="Sanofi"/>
    <n v="1"/>
    <n v="430.71"/>
    <n v="662.03"/>
    <n v="0"/>
    <n v="0"/>
    <m/>
    <n v="29"/>
    <n v="1"/>
    <n v="4"/>
    <n v="662.03"/>
    <n v="13130002284"/>
  </r>
  <r>
    <x v="28"/>
    <d v="1899-12-30T10:45:01"/>
    <n v="3285"/>
    <n v="13002561"/>
    <n v="13"/>
    <n v="22589"/>
    <s v="Retail Sale"/>
    <n v="18"/>
    <n v="35341"/>
    <x v="65"/>
    <s v="Katren"/>
    <s v="Pfizer"/>
    <n v="1"/>
    <n v="102.59"/>
    <n v="145.71"/>
    <n v="0"/>
    <n v="0"/>
    <m/>
    <n v="29"/>
    <n v="1"/>
    <n v="2"/>
    <n v="145.71"/>
    <n v="13130002285"/>
  </r>
  <r>
    <x v="26"/>
    <d v="1899-12-30T14:11:15"/>
    <n v="3286"/>
    <n v="13002561"/>
    <n v="13"/>
    <n v="22589"/>
    <s v="Retail Sale"/>
    <n v="15"/>
    <n v="98636"/>
    <x v="37"/>
    <s v="Protek"/>
    <s v="Dr. Reddy's"/>
    <n v="2"/>
    <n v="171.08"/>
    <n v="246.59"/>
    <n v="12.33"/>
    <n v="12.33"/>
    <s v="BONUS_CARD"/>
    <n v="29"/>
    <n v="1"/>
    <n v="5"/>
    <n v="234.26"/>
    <n v="13130002286"/>
  </r>
  <r>
    <x v="3"/>
    <d v="1899-12-30T20:55:55"/>
    <n v="3287"/>
    <n v="13002561"/>
    <n v="13"/>
    <n v="22589"/>
    <s v="Retail Sale"/>
    <n v="18"/>
    <n v="60951"/>
    <x v="59"/>
    <s v="Avesta"/>
    <s v="KRKA"/>
    <n v="2"/>
    <n v="355.18"/>
    <n v="455.76"/>
    <n v="22.79"/>
    <n v="22.79"/>
    <s v="BONUS_CARD"/>
    <n v="29"/>
    <n v="1"/>
    <n v="1"/>
    <n v="432.97"/>
    <n v="13130002287"/>
  </r>
  <r>
    <x v="20"/>
    <d v="1899-12-30T08:03:15"/>
    <n v="3288"/>
    <n v="13002561"/>
    <n v="13"/>
    <n v="22589"/>
    <s v="Retail Sale"/>
    <n v="18"/>
    <n v="46295"/>
    <x v="43"/>
    <s v="Pulse"/>
    <s v="Sanofi"/>
    <n v="2"/>
    <n v="576.80999999999995"/>
    <n v="794.69"/>
    <n v="39.729999999999997"/>
    <n v="39.729999999999997"/>
    <s v="BONUS_CARD"/>
    <n v="29"/>
    <n v="1"/>
    <n v="3"/>
    <n v="754.96"/>
    <n v="13130002288"/>
  </r>
  <r>
    <x v="24"/>
    <d v="1899-12-30T10:08:22"/>
    <n v="3289"/>
    <n v="13002561"/>
    <n v="13"/>
    <n v="22589"/>
    <s v="Retail Sale"/>
    <n v="15"/>
    <n v="21398"/>
    <x v="40"/>
    <s v="Avesta"/>
    <s v="Novartis"/>
    <n v="2"/>
    <n v="153.27000000000001"/>
    <n v="223.39"/>
    <n v="0"/>
    <n v="0"/>
    <m/>
    <n v="29"/>
    <n v="1"/>
    <n v="3"/>
    <n v="223.39"/>
    <n v="13130002289"/>
  </r>
  <r>
    <x v="30"/>
    <d v="1899-12-30T22:40:15"/>
    <n v="3290"/>
    <n v="13002561"/>
    <n v="13"/>
    <n v="22589"/>
    <s v="Retail Sale"/>
    <n v="18"/>
    <n v="24499"/>
    <x v="73"/>
    <s v="Pulse"/>
    <s v="Pfizer"/>
    <n v="3"/>
    <n v="341.55"/>
    <n v="577.79"/>
    <n v="28.89"/>
    <n v="28.89"/>
    <s v="BONUS_CARD"/>
    <n v="29"/>
    <n v="1"/>
    <n v="4"/>
    <n v="548.9"/>
    <n v="13130002290"/>
  </r>
  <r>
    <x v="29"/>
    <d v="1899-12-30T10:09:48"/>
    <n v="3291"/>
    <n v="13002561"/>
    <n v="13"/>
    <n v="22589"/>
    <s v="Retail Sale"/>
    <n v="15"/>
    <n v="42142"/>
    <x v="68"/>
    <s v="Protek"/>
    <s v="Sanofi"/>
    <n v="1"/>
    <n v="272.12"/>
    <n v="380.5"/>
    <n v="19.03"/>
    <n v="19.03"/>
    <s v="BONUS_CARD"/>
    <n v="29"/>
    <n v="1"/>
    <n v="5"/>
    <n v="361.47"/>
    <n v="13130002291"/>
  </r>
  <r>
    <x v="0"/>
    <d v="1899-12-30T11:07:33"/>
    <n v="3292"/>
    <n v="13002561"/>
    <n v="13"/>
    <n v="22589"/>
    <s v="Retail Sale"/>
    <n v="15"/>
    <n v="63128"/>
    <x v="80"/>
    <s v="Pulse"/>
    <s v="Novartis"/>
    <n v="2"/>
    <n v="492.56"/>
    <n v="734.63"/>
    <n v="36.729999999999997"/>
    <n v="36.729999999999997"/>
    <s v="BONUS_CARD"/>
    <n v="29"/>
    <n v="1"/>
    <n v="4"/>
    <n v="697.9"/>
    <n v="13130002292"/>
  </r>
  <r>
    <x v="21"/>
    <d v="1899-12-30T20:16:15"/>
    <n v="3293"/>
    <n v="13002561"/>
    <n v="13"/>
    <n v="22589"/>
    <s v="Retail Sale"/>
    <n v="18"/>
    <n v="93594"/>
    <x v="89"/>
    <s v="Pulse"/>
    <s v="KRKA"/>
    <n v="3"/>
    <n v="227.31"/>
    <n v="349.11"/>
    <n v="0"/>
    <n v="0"/>
    <m/>
    <n v="29"/>
    <n v="1"/>
    <n v="3"/>
    <n v="349.11"/>
    <n v="13130002293"/>
  </r>
  <r>
    <x v="0"/>
    <d v="1899-12-30T17:39:16"/>
    <n v="3294"/>
    <n v="13002561"/>
    <n v="13"/>
    <n v="22589"/>
    <s v="Retail Sale"/>
    <n v="18"/>
    <n v="44615"/>
    <x v="89"/>
    <s v="Grand Capital"/>
    <s v="Novartis"/>
    <n v="3"/>
    <n v="184.77"/>
    <n v="254.33"/>
    <n v="0"/>
    <n v="0"/>
    <m/>
    <n v="29"/>
    <n v="1"/>
    <n v="6"/>
    <n v="254.33"/>
    <n v="13130002294"/>
  </r>
  <r>
    <x v="7"/>
    <d v="1899-12-30T16:44:38"/>
    <n v="3295"/>
    <n v="13002561"/>
    <n v="13"/>
    <n v="22589"/>
    <s v="Retail Sale"/>
    <n v="15"/>
    <n v="82519"/>
    <x v="81"/>
    <s v="Katren"/>
    <s v="Pfizer"/>
    <n v="2"/>
    <n v="221.71"/>
    <n v="372.91"/>
    <n v="37.29"/>
    <n v="37.29"/>
    <s v="BONUS_CARD"/>
    <n v="29"/>
    <n v="1"/>
    <n v="2"/>
    <n v="335.62"/>
    <n v="13130002295"/>
  </r>
  <r>
    <x v="26"/>
    <d v="1899-12-30T10:01:55"/>
    <n v="3296"/>
    <n v="13002561"/>
    <n v="13"/>
    <n v="22589"/>
    <s v="Retail Sale"/>
    <n v="18"/>
    <n v="19372"/>
    <x v="25"/>
    <s v="Grand Capital"/>
    <s v="Novartis"/>
    <n v="2"/>
    <n v="35.47"/>
    <n v="54.47"/>
    <n v="0"/>
    <n v="0"/>
    <m/>
    <n v="29"/>
    <n v="1"/>
    <n v="5"/>
    <n v="54.47"/>
    <n v="13130002296"/>
  </r>
  <r>
    <x v="7"/>
    <d v="1899-12-30T21:47:42"/>
    <n v="3297"/>
    <n v="13002561"/>
    <n v="13"/>
    <n v="22589"/>
    <s v="Retail Sale"/>
    <n v="15"/>
    <n v="93651"/>
    <x v="69"/>
    <s v="Pulse"/>
    <s v="Dr. Reddy's"/>
    <n v="3"/>
    <n v="227.07"/>
    <n v="347.47"/>
    <n v="0"/>
    <n v="0"/>
    <m/>
    <n v="29"/>
    <n v="1"/>
    <n v="3"/>
    <n v="347.47"/>
    <n v="13130002297"/>
  </r>
  <r>
    <x v="29"/>
    <d v="1899-12-30T15:55:33"/>
    <n v="3298"/>
    <n v="13002561"/>
    <n v="13"/>
    <n v="22589"/>
    <s v="Retail Sale"/>
    <n v="15"/>
    <n v="76209"/>
    <x v="85"/>
    <s v="Pulse"/>
    <s v="KRKA"/>
    <n v="2"/>
    <n v="585.84"/>
    <n v="809.89"/>
    <n v="40.49"/>
    <n v="40.49"/>
    <s v="BONUS_CARD"/>
    <n v="29"/>
    <n v="1"/>
    <n v="3"/>
    <n v="769.4"/>
    <n v="13130002298"/>
  </r>
  <r>
    <x v="13"/>
    <d v="1899-12-30T17:36:19"/>
    <n v="3299"/>
    <n v="13002561"/>
    <n v="13"/>
    <n v="22589"/>
    <s v="Retail Sale"/>
    <n v="18"/>
    <n v="58389"/>
    <x v="44"/>
    <s v="Pharmcomplect"/>
    <s v="Bayer"/>
    <n v="1"/>
    <n v="172.35"/>
    <n v="289.77"/>
    <n v="14.49"/>
    <n v="14.49"/>
    <s v="BONUS_CARD"/>
    <n v="29"/>
    <n v="1"/>
    <n v="1"/>
    <n v="275.27999999999997"/>
    <n v="13130002299"/>
  </r>
  <r>
    <x v="13"/>
    <d v="1899-12-30T21:10:23"/>
    <n v="3300"/>
    <n v="13002561"/>
    <n v="13"/>
    <n v="22589"/>
    <s v="Retail Sale"/>
    <n v="15"/>
    <n v="50697"/>
    <x v="2"/>
    <s v="Protek"/>
    <s v="TEVA"/>
    <n v="2"/>
    <n v="391.32"/>
    <n v="561.01"/>
    <n v="28.05"/>
    <n v="28.05"/>
    <s v="BONUS_CARD"/>
    <n v="29"/>
    <n v="1"/>
    <n v="5"/>
    <n v="532.96"/>
    <n v="13130002300"/>
  </r>
  <r>
    <x v="11"/>
    <d v="1899-12-30T13:31:37"/>
    <n v="3301"/>
    <n v="13002561"/>
    <n v="13"/>
    <n v="22589"/>
    <s v="Retail Sale"/>
    <n v="15"/>
    <n v="55834"/>
    <x v="88"/>
    <s v="Katren"/>
    <s v="Bayer"/>
    <n v="2"/>
    <n v="487.16"/>
    <n v="781.26"/>
    <n v="39.06"/>
    <n v="39.06"/>
    <s v="BONUS_CARD"/>
    <n v="29"/>
    <n v="1"/>
    <n v="4"/>
    <n v="742.2"/>
    <n v="13130002301"/>
  </r>
  <r>
    <x v="18"/>
    <d v="1899-12-30T15:13:31"/>
    <n v="3302"/>
    <n v="13002561"/>
    <n v="13"/>
    <n v="22589"/>
    <s v="Retail Sale"/>
    <n v="18"/>
    <n v="45081"/>
    <x v="14"/>
    <s v="Protek"/>
    <s v="Pfizer"/>
    <n v="1"/>
    <n v="574.07000000000005"/>
    <n v="958.61"/>
    <n v="95.86"/>
    <n v="95.86"/>
    <s v="BONUS_CARD"/>
    <n v="29"/>
    <n v="1"/>
    <n v="3"/>
    <n v="862.75"/>
    <n v="13130002302"/>
  </r>
  <r>
    <x v="25"/>
    <d v="1899-12-30T18:37:35"/>
    <n v="3303"/>
    <n v="13002561"/>
    <n v="13"/>
    <n v="22589"/>
    <s v="Retail Sale"/>
    <n v="15"/>
    <n v="75911"/>
    <x v="44"/>
    <s v="Avesta"/>
    <s v="Pfizer"/>
    <n v="3"/>
    <n v="296.77999999999997"/>
    <n v="465.41"/>
    <n v="46.54"/>
    <n v="46.54"/>
    <s v="BONUS_CARD"/>
    <n v="29"/>
    <n v="1"/>
    <n v="1"/>
    <n v="418.87"/>
    <n v="13130002303"/>
  </r>
  <r>
    <x v="19"/>
    <d v="1899-12-30T09:27:02"/>
    <n v="3304"/>
    <n v="13002561"/>
    <n v="13"/>
    <n v="22589"/>
    <s v="Retail Sale"/>
    <n v="15"/>
    <n v="27493"/>
    <x v="80"/>
    <s v="Protek"/>
    <s v="Takeda"/>
    <n v="2"/>
    <n v="173.96"/>
    <n v="287"/>
    <n v="28.7"/>
    <n v="28.7"/>
    <s v="BONUS_CARD"/>
    <n v="29"/>
    <n v="1"/>
    <n v="4"/>
    <n v="258.3"/>
    <n v="13130002304"/>
  </r>
  <r>
    <x v="9"/>
    <d v="1899-12-30T22:10:20"/>
    <n v="3305"/>
    <n v="13002561"/>
    <n v="13"/>
    <n v="22589"/>
    <s v="Retail Sale"/>
    <n v="18"/>
    <n v="74742"/>
    <x v="25"/>
    <s v="Pharmcomplect"/>
    <s v="Pfizer"/>
    <n v="3"/>
    <n v="157.34"/>
    <n v="219.64"/>
    <n v="10.98"/>
    <n v="10.98"/>
    <s v="BONUS_CARD"/>
    <n v="29"/>
    <n v="1"/>
    <n v="1"/>
    <n v="208.66"/>
    <n v="13130002305"/>
  </r>
  <r>
    <x v="15"/>
    <d v="1899-12-30T11:16:09"/>
    <n v="3306"/>
    <n v="13002561"/>
    <n v="13"/>
    <n v="22589"/>
    <s v="Retail Sale"/>
    <n v="15"/>
    <n v="60452"/>
    <x v="78"/>
    <s v="Pharmcomplect"/>
    <s v="KRKA"/>
    <n v="3"/>
    <n v="465.58"/>
    <n v="612.01"/>
    <n v="61.2"/>
    <n v="61.2"/>
    <s v="BONUS_CARD"/>
    <n v="29"/>
    <n v="1"/>
    <n v="6"/>
    <n v="550.80999999999995"/>
    <n v="13130002306"/>
  </r>
  <r>
    <x v="4"/>
    <d v="1899-12-30T22:13:37"/>
    <n v="3307"/>
    <n v="13002561"/>
    <n v="13"/>
    <n v="22589"/>
    <s v="Retail Sale"/>
    <n v="15"/>
    <n v="61333"/>
    <x v="51"/>
    <s v="Katren"/>
    <s v="Bayer"/>
    <n v="1"/>
    <n v="395.25"/>
    <n v="501.19"/>
    <n v="0"/>
    <n v="0"/>
    <m/>
    <n v="29"/>
    <n v="1"/>
    <n v="5"/>
    <n v="501.19"/>
    <n v="13130002307"/>
  </r>
  <r>
    <x v="26"/>
    <d v="1899-12-30T16:16:29"/>
    <n v="3308"/>
    <n v="13002561"/>
    <n v="13"/>
    <n v="22589"/>
    <s v="Retail Sale"/>
    <n v="15"/>
    <n v="66120"/>
    <x v="3"/>
    <s v="Pharmcomplect"/>
    <s v="Novartis"/>
    <n v="2"/>
    <n v="234.26"/>
    <n v="367.67"/>
    <n v="36.770000000000003"/>
    <n v="36.770000000000003"/>
    <s v="BONUS_CARD"/>
    <n v="29"/>
    <n v="1"/>
    <n v="4"/>
    <n v="330.9"/>
    <n v="13130002308"/>
  </r>
  <r>
    <x v="27"/>
    <d v="1899-12-30T08:24:04"/>
    <n v="3309"/>
    <n v="13002561"/>
    <n v="13"/>
    <n v="22589"/>
    <s v="Retail Sale"/>
    <n v="18"/>
    <n v="53825"/>
    <x v="53"/>
    <s v="Pulse"/>
    <s v="Pfizer"/>
    <n v="2"/>
    <n v="236.12"/>
    <n v="379.17"/>
    <n v="0"/>
    <n v="0"/>
    <m/>
    <n v="29"/>
    <n v="1"/>
    <n v="3"/>
    <n v="379.17"/>
    <n v="13130002309"/>
  </r>
  <r>
    <x v="29"/>
    <d v="1899-12-30T19:12:13"/>
    <n v="3310"/>
    <n v="13002561"/>
    <n v="13"/>
    <n v="22589"/>
    <s v="Retail Sale"/>
    <n v="18"/>
    <n v="88973"/>
    <x v="2"/>
    <s v="Pulse"/>
    <s v="KRKA"/>
    <n v="3"/>
    <n v="143.56"/>
    <n v="227.7"/>
    <n v="22.77"/>
    <n v="22.77"/>
    <s v="BONUS_CARD"/>
    <n v="29"/>
    <n v="1"/>
    <n v="2"/>
    <n v="204.93"/>
    <n v="13130002310"/>
  </r>
  <r>
    <x v="17"/>
    <d v="1899-12-30T13:07:04"/>
    <n v="3311"/>
    <n v="13002561"/>
    <n v="13"/>
    <n v="22589"/>
    <s v="Retail Sale"/>
    <n v="18"/>
    <n v="39905"/>
    <x v="3"/>
    <s v="Pharmcomplect"/>
    <s v="Sanofi"/>
    <n v="2"/>
    <n v="229.26"/>
    <n v="378.4"/>
    <n v="0"/>
    <n v="0"/>
    <m/>
    <n v="29"/>
    <n v="1"/>
    <n v="3"/>
    <n v="378.4"/>
    <n v="13130002311"/>
  </r>
  <r>
    <x v="10"/>
    <d v="1899-12-30T18:19:03"/>
    <n v="3312"/>
    <n v="13002561"/>
    <n v="13"/>
    <n v="22589"/>
    <s v="Retail Sale"/>
    <n v="15"/>
    <n v="65285"/>
    <x v="58"/>
    <s v="Pharmcomplect"/>
    <s v="Dr. Reddy's"/>
    <n v="3"/>
    <n v="176.92"/>
    <n v="238.95"/>
    <n v="23.89"/>
    <n v="23.89"/>
    <s v="BONUS_CARD"/>
    <n v="29"/>
    <n v="1"/>
    <n v="2"/>
    <n v="215.06"/>
    <n v="13130002312"/>
  </r>
  <r>
    <x v="24"/>
    <d v="1899-12-30T15:04:52"/>
    <n v="3313"/>
    <n v="13002561"/>
    <n v="13"/>
    <n v="22589"/>
    <s v="Retail Sale"/>
    <n v="15"/>
    <n v="35863"/>
    <x v="55"/>
    <s v="Pharmcomplect"/>
    <s v="Dr. Reddy's"/>
    <n v="3"/>
    <n v="111.28"/>
    <n v="148.19"/>
    <n v="7.41"/>
    <n v="7.41"/>
    <s v="BONUS_CARD"/>
    <n v="29"/>
    <n v="1"/>
    <n v="4"/>
    <n v="140.78"/>
    <n v="13130002313"/>
  </r>
  <r>
    <x v="23"/>
    <d v="1899-12-30T18:27:15"/>
    <n v="3314"/>
    <n v="13002561"/>
    <n v="13"/>
    <n v="22589"/>
    <s v="Retail Sale"/>
    <n v="15"/>
    <n v="48752"/>
    <x v="84"/>
    <s v="Pulse"/>
    <s v="Novartis"/>
    <n v="3"/>
    <n v="561.63"/>
    <n v="895.77"/>
    <n v="89.58"/>
    <n v="89.58"/>
    <s v="BONUS_CARD"/>
    <n v="29"/>
    <n v="1"/>
    <n v="2"/>
    <n v="806.19"/>
    <n v="13130002314"/>
  </r>
  <r>
    <x v="15"/>
    <d v="1899-12-30T22:23:57"/>
    <n v="3315"/>
    <n v="13002561"/>
    <n v="13"/>
    <n v="22589"/>
    <s v="Retail Sale"/>
    <n v="18"/>
    <n v="41602"/>
    <x v="75"/>
    <s v="Avesta"/>
    <s v="Novartis"/>
    <n v="2"/>
    <n v="181.93"/>
    <n v="228.12"/>
    <n v="0"/>
    <n v="0"/>
    <m/>
    <n v="29"/>
    <n v="1"/>
    <n v="5"/>
    <n v="228.12"/>
    <n v="13130002315"/>
  </r>
  <r>
    <x v="15"/>
    <d v="1899-12-30T10:00:06"/>
    <n v="3316"/>
    <n v="13002561"/>
    <n v="13"/>
    <n v="22589"/>
    <s v="Retail Sale"/>
    <n v="18"/>
    <n v="30199"/>
    <x v="28"/>
    <s v="Pulse"/>
    <s v="Takeda"/>
    <n v="3"/>
    <n v="420.19"/>
    <n v="613.79999999999995"/>
    <n v="0"/>
    <n v="0"/>
    <m/>
    <n v="29"/>
    <n v="1"/>
    <n v="4"/>
    <n v="613.79999999999995"/>
    <n v="13130002316"/>
  </r>
  <r>
    <x v="4"/>
    <d v="1899-12-30T19:48:15"/>
    <n v="3317"/>
    <n v="13002561"/>
    <n v="13"/>
    <n v="22589"/>
    <s v="Retail Sale"/>
    <n v="15"/>
    <n v="18895"/>
    <x v="29"/>
    <s v="Grand Capital"/>
    <s v="KRKA"/>
    <n v="1"/>
    <n v="274.26"/>
    <n v="379.82"/>
    <n v="18.989999999999998"/>
    <n v="18.989999999999998"/>
    <s v="BONUS_CARD"/>
    <n v="29"/>
    <n v="1"/>
    <n v="4"/>
    <n v="360.83"/>
    <n v="13130002317"/>
  </r>
  <r>
    <x v="24"/>
    <d v="1899-12-30T09:53:13"/>
    <n v="3318"/>
    <n v="13002561"/>
    <n v="13"/>
    <n v="22589"/>
    <s v="Retail Sale"/>
    <n v="18"/>
    <n v="91567"/>
    <x v="49"/>
    <s v="Avesta"/>
    <s v="Dr. Reddy's"/>
    <n v="3"/>
    <n v="217.41"/>
    <n v="272.83"/>
    <n v="13.64"/>
    <n v="13.64"/>
    <s v="BONUS_CARD"/>
    <n v="29"/>
    <n v="1"/>
    <n v="5"/>
    <n v="259.19"/>
    <n v="13130002318"/>
  </r>
  <r>
    <x v="16"/>
    <d v="1899-12-30T15:21:51"/>
    <n v="3319"/>
    <n v="13002561"/>
    <n v="13"/>
    <n v="22589"/>
    <s v="Retail Sale"/>
    <n v="15"/>
    <n v="62601"/>
    <x v="66"/>
    <s v="Avesta"/>
    <s v="Dr. Reddy's"/>
    <n v="1"/>
    <n v="119.63"/>
    <n v="167.98"/>
    <n v="16.8"/>
    <n v="16.8"/>
    <s v="BONUS_CARD"/>
    <n v="29"/>
    <n v="1"/>
    <n v="6"/>
    <n v="151.18"/>
    <n v="13130002319"/>
  </r>
  <r>
    <x v="13"/>
    <d v="1899-12-30T13:29:10"/>
    <n v="3320"/>
    <n v="13002561"/>
    <n v="13"/>
    <n v="22589"/>
    <s v="Retail Sale"/>
    <n v="15"/>
    <n v="15619"/>
    <x v="9"/>
    <s v="Avesta"/>
    <s v="TEVA"/>
    <n v="2"/>
    <n v="180.71"/>
    <n v="239.93"/>
    <n v="0"/>
    <n v="0"/>
    <m/>
    <n v="29"/>
    <n v="1"/>
    <n v="5"/>
    <n v="239.93"/>
    <n v="13130002320"/>
  </r>
  <r>
    <x v="9"/>
    <d v="1899-12-30T20:12:57"/>
    <n v="3321"/>
    <n v="13002561"/>
    <n v="13"/>
    <n v="22589"/>
    <s v="Retail Sale"/>
    <n v="18"/>
    <n v="66319"/>
    <x v="7"/>
    <s v="Avesta"/>
    <s v="Sanofi"/>
    <n v="3"/>
    <n v="291.58999999999997"/>
    <n v="462.61"/>
    <n v="23.13"/>
    <n v="23.13"/>
    <s v="BONUS_CARD"/>
    <n v="29"/>
    <n v="1"/>
    <n v="5"/>
    <n v="439.48"/>
    <n v="13130002321"/>
  </r>
  <r>
    <x v="1"/>
    <d v="1899-12-30T22:02:58"/>
    <n v="3322"/>
    <n v="13002561"/>
    <n v="13"/>
    <n v="22589"/>
    <s v="Retail Sale"/>
    <n v="15"/>
    <n v="52056"/>
    <x v="82"/>
    <s v="Protek"/>
    <s v="Dr. Reddy's"/>
    <n v="1"/>
    <n v="54.14"/>
    <n v="91.25"/>
    <n v="4.5599999999999996"/>
    <n v="4.5599999999999996"/>
    <s v="BONUS_CARD"/>
    <n v="29"/>
    <n v="1"/>
    <n v="3"/>
    <n v="86.69"/>
    <n v="13130002322"/>
  </r>
  <r>
    <x v="0"/>
    <d v="1899-12-30T15:46:35"/>
    <n v="3323"/>
    <n v="13002561"/>
    <n v="13"/>
    <n v="22589"/>
    <s v="Retail Sale"/>
    <n v="18"/>
    <n v="22099"/>
    <x v="85"/>
    <s v="Katren"/>
    <s v="Bayer"/>
    <n v="1"/>
    <n v="511.02"/>
    <n v="703.43"/>
    <n v="35.17"/>
    <n v="35.17"/>
    <s v="BONUS_CARD"/>
    <n v="29"/>
    <n v="1"/>
    <n v="6"/>
    <n v="668.26"/>
    <n v="13130002323"/>
  </r>
  <r>
    <x v="8"/>
    <d v="1899-12-30T12:03:36"/>
    <n v="3324"/>
    <n v="13002561"/>
    <n v="13"/>
    <n v="22589"/>
    <s v="Retail Sale"/>
    <n v="18"/>
    <n v="38503"/>
    <x v="1"/>
    <s v="Avesta"/>
    <s v="KRKA"/>
    <n v="3"/>
    <n v="550.26"/>
    <n v="899.95"/>
    <n v="0"/>
    <n v="0"/>
    <m/>
    <n v="29"/>
    <n v="1"/>
    <n v="3"/>
    <n v="899.95"/>
    <n v="13130002324"/>
  </r>
  <r>
    <x v="10"/>
    <d v="1899-12-30T19:47:18"/>
    <n v="3325"/>
    <n v="13002561"/>
    <n v="13"/>
    <n v="22589"/>
    <s v="Retail Sale"/>
    <n v="15"/>
    <n v="86933"/>
    <x v="28"/>
    <s v="Protek"/>
    <s v="KRKA"/>
    <n v="3"/>
    <n v="354.41"/>
    <n v="546.71"/>
    <n v="27.34"/>
    <n v="27.34"/>
    <s v="BONUS_CARD"/>
    <n v="29"/>
    <n v="1"/>
    <n v="5"/>
    <n v="519.37"/>
    <n v="13130002325"/>
  </r>
  <r>
    <x v="14"/>
    <d v="1899-12-30T19:03:30"/>
    <n v="3326"/>
    <n v="13002561"/>
    <n v="13"/>
    <n v="22589"/>
    <s v="Retail Sale"/>
    <n v="18"/>
    <n v="87628"/>
    <x v="58"/>
    <s v="Pulse"/>
    <s v="Pfizer"/>
    <n v="1"/>
    <n v="522.59"/>
    <n v="749.14"/>
    <n v="0"/>
    <n v="0"/>
    <m/>
    <n v="29"/>
    <n v="1"/>
    <n v="3"/>
    <n v="749.14"/>
    <n v="13130002326"/>
  </r>
  <r>
    <x v="30"/>
    <d v="1899-12-30T18:17:34"/>
    <n v="3327"/>
    <n v="13002561"/>
    <n v="13"/>
    <n v="22589"/>
    <s v="Retail Sale"/>
    <n v="15"/>
    <n v="88046"/>
    <x v="59"/>
    <s v="Katren"/>
    <s v="Pfizer"/>
    <n v="2"/>
    <n v="305.7"/>
    <n v="457.89"/>
    <n v="45.79"/>
    <n v="45.79"/>
    <s v="BONUS_CARD"/>
    <n v="29"/>
    <n v="1"/>
    <n v="1"/>
    <n v="412.1"/>
    <n v="13130002327"/>
  </r>
  <r>
    <x v="13"/>
    <d v="1899-12-30T20:29:53"/>
    <n v="3328"/>
    <n v="13002561"/>
    <n v="13"/>
    <n v="22589"/>
    <s v="Retail Sale"/>
    <n v="15"/>
    <n v="18311"/>
    <x v="56"/>
    <s v="Protek"/>
    <s v="Takeda"/>
    <n v="3"/>
    <n v="241.89"/>
    <n v="352.22"/>
    <n v="0"/>
    <n v="0"/>
    <m/>
    <n v="29"/>
    <n v="1"/>
    <n v="4"/>
    <n v="352.22"/>
    <n v="13130002328"/>
  </r>
  <r>
    <x v="29"/>
    <d v="1899-12-30T17:29:58"/>
    <n v="3329"/>
    <n v="13002561"/>
    <n v="13"/>
    <n v="22589"/>
    <s v="Retail Sale"/>
    <n v="15"/>
    <n v="84817"/>
    <x v="76"/>
    <s v="Katren"/>
    <s v="KRKA"/>
    <n v="1"/>
    <n v="124.22"/>
    <n v="195.44"/>
    <n v="9.77"/>
    <n v="9.77"/>
    <s v="BONUS_CARD"/>
    <n v="29"/>
    <n v="1"/>
    <n v="2"/>
    <n v="185.67"/>
    <n v="13130002329"/>
  </r>
  <r>
    <x v="25"/>
    <d v="1899-12-30T18:28:57"/>
    <n v="3330"/>
    <n v="13002561"/>
    <n v="13"/>
    <n v="22589"/>
    <s v="Retail Sale"/>
    <n v="18"/>
    <n v="85409"/>
    <x v="29"/>
    <s v="Grand Capital"/>
    <s v="KRKA"/>
    <n v="3"/>
    <n v="542.92999999999995"/>
    <n v="868.63"/>
    <n v="43.43"/>
    <n v="43.43"/>
    <s v="BONUS_CARD"/>
    <n v="29"/>
    <n v="1"/>
    <n v="3"/>
    <n v="825.2"/>
    <n v="13130002330"/>
  </r>
  <r>
    <x v="15"/>
    <d v="1899-12-30T14:40:18"/>
    <n v="3331"/>
    <n v="13002561"/>
    <n v="13"/>
    <n v="22589"/>
    <s v="Retail Sale"/>
    <n v="15"/>
    <n v="73563"/>
    <x v="85"/>
    <s v="Grand Capital"/>
    <s v="TEVA"/>
    <n v="3"/>
    <n v="512.36"/>
    <n v="703.88"/>
    <n v="70.39"/>
    <n v="70.39"/>
    <s v="BONUS_CARD"/>
    <n v="29"/>
    <n v="1"/>
    <n v="2"/>
    <n v="633.49"/>
    <n v="13130002331"/>
  </r>
  <r>
    <x v="19"/>
    <d v="1899-12-30T21:18:43"/>
    <n v="3332"/>
    <n v="13002561"/>
    <n v="13"/>
    <n v="22589"/>
    <s v="Retail Sale"/>
    <n v="15"/>
    <n v="16116"/>
    <x v="45"/>
    <s v="Pulse"/>
    <s v="Takeda"/>
    <n v="3"/>
    <n v="148.34"/>
    <n v="194.16"/>
    <n v="19.420000000000002"/>
    <n v="19.420000000000002"/>
    <s v="BONUS_CARD"/>
    <n v="29"/>
    <n v="1"/>
    <n v="4"/>
    <n v="174.74"/>
    <n v="13130002332"/>
  </r>
  <r>
    <x v="24"/>
    <d v="1899-12-30T13:34:34"/>
    <n v="3333"/>
    <n v="13002561"/>
    <n v="13"/>
    <n v="22589"/>
    <s v="Retail Sale"/>
    <n v="18"/>
    <n v="76519"/>
    <x v="38"/>
    <s v="Avesta"/>
    <s v="Takeda"/>
    <n v="3"/>
    <n v="419.72"/>
    <n v="682.58"/>
    <n v="68.260000000000005"/>
    <n v="68.260000000000005"/>
    <s v="BONUS_CARD"/>
    <n v="29"/>
    <n v="1"/>
    <n v="3"/>
    <n v="614.32000000000005"/>
    <n v="13130002333"/>
  </r>
  <r>
    <x v="23"/>
    <d v="1899-12-30T13:28:09"/>
    <n v="3334"/>
    <n v="13002561"/>
    <n v="13"/>
    <n v="22589"/>
    <s v="Retail Sale"/>
    <n v="15"/>
    <n v="37570"/>
    <x v="80"/>
    <s v="Grand Capital"/>
    <s v="KRKA"/>
    <n v="2"/>
    <n v="308.06"/>
    <n v="464.36"/>
    <n v="0"/>
    <n v="0"/>
    <m/>
    <n v="29"/>
    <n v="1"/>
    <n v="5"/>
    <n v="464.36"/>
    <n v="13130002334"/>
  </r>
  <r>
    <x v="15"/>
    <d v="1899-12-30T12:08:06"/>
    <n v="3335"/>
    <n v="13002561"/>
    <n v="13"/>
    <n v="22589"/>
    <s v="Retail Sale"/>
    <n v="18"/>
    <n v="51187"/>
    <x v="27"/>
    <s v="Protek"/>
    <s v="Dr. Reddy's"/>
    <n v="3"/>
    <n v="336.52"/>
    <n v="532.37"/>
    <n v="53.24"/>
    <n v="53.24"/>
    <s v="BONUS_CARD"/>
    <n v="29"/>
    <n v="1"/>
    <n v="4"/>
    <n v="479.13"/>
    <n v="13130002335"/>
  </r>
  <r>
    <x v="30"/>
    <d v="1899-12-30T20:33:13"/>
    <n v="3336"/>
    <n v="13002561"/>
    <n v="13"/>
    <n v="22589"/>
    <s v="Retail Sale"/>
    <n v="15"/>
    <n v="28711"/>
    <x v="76"/>
    <s v="Pulse"/>
    <s v="Pfizer"/>
    <n v="2"/>
    <n v="124.77"/>
    <n v="211.9"/>
    <n v="0"/>
    <n v="0"/>
    <m/>
    <n v="29"/>
    <n v="1"/>
    <n v="2"/>
    <n v="211.9"/>
    <n v="13130002336"/>
  </r>
  <r>
    <x v="5"/>
    <d v="1899-12-30T14:07:43"/>
    <n v="3337"/>
    <n v="13002561"/>
    <n v="13"/>
    <n v="22589"/>
    <s v="Retail Sale"/>
    <n v="15"/>
    <n v="39080"/>
    <x v="59"/>
    <s v="Protek"/>
    <s v="Dr. Reddy's"/>
    <n v="2"/>
    <n v="459.92"/>
    <n v="622.66"/>
    <n v="31.13"/>
    <n v="31.13"/>
    <s v="BONUS_CARD"/>
    <n v="29"/>
    <n v="1"/>
    <n v="6"/>
    <n v="591.53"/>
    <n v="13130002337"/>
  </r>
  <r>
    <x v="25"/>
    <d v="1899-12-30T22:27:29"/>
    <n v="3338"/>
    <n v="13002561"/>
    <n v="13"/>
    <n v="22589"/>
    <s v="Retail Sale"/>
    <n v="15"/>
    <n v="57027"/>
    <x v="1"/>
    <s v="Pharmcomplect"/>
    <s v="Novartis"/>
    <n v="2"/>
    <n v="426.64"/>
    <n v="546.47"/>
    <n v="54.65"/>
    <n v="54.65"/>
    <s v="BONUS_CARD"/>
    <n v="29"/>
    <n v="1"/>
    <n v="5"/>
    <n v="491.82"/>
    <n v="13130002338"/>
  </r>
  <r>
    <x v="12"/>
    <d v="1899-12-30T16:01:26"/>
    <n v="3339"/>
    <n v="13002561"/>
    <n v="13"/>
    <n v="22589"/>
    <s v="Retail Sale"/>
    <n v="15"/>
    <n v="65701"/>
    <x v="66"/>
    <s v="Avesta"/>
    <s v="Takeda"/>
    <n v="3"/>
    <n v="273.42"/>
    <n v="460.3"/>
    <n v="23.02"/>
    <n v="23.02"/>
    <s v="BONUS_CARD"/>
    <n v="29"/>
    <n v="1"/>
    <n v="1"/>
    <n v="437.28"/>
    <n v="13130002339"/>
  </r>
  <r>
    <x v="24"/>
    <d v="1899-12-30T22:39:00"/>
    <n v="3340"/>
    <n v="13002561"/>
    <n v="13"/>
    <n v="22589"/>
    <s v="Retail Sale"/>
    <n v="18"/>
    <n v="74380"/>
    <x v="26"/>
    <s v="Pulse"/>
    <s v="Takeda"/>
    <n v="2"/>
    <n v="58.06"/>
    <n v="78.48"/>
    <n v="0"/>
    <n v="0"/>
    <m/>
    <n v="29"/>
    <n v="1"/>
    <n v="3"/>
    <n v="78.48"/>
    <n v="13130002340"/>
  </r>
  <r>
    <x v="30"/>
    <d v="1899-12-30T19:31:28"/>
    <n v="3341"/>
    <n v="13002561"/>
    <n v="13"/>
    <n v="22589"/>
    <s v="Retail Sale"/>
    <n v="15"/>
    <n v="22516"/>
    <x v="10"/>
    <s v="Katren"/>
    <s v="Sanofi"/>
    <n v="2"/>
    <n v="239.19"/>
    <n v="401.61"/>
    <n v="20.079999999999998"/>
    <n v="20.079999999999998"/>
    <s v="BONUS_CARD"/>
    <n v="29"/>
    <n v="1"/>
    <n v="2"/>
    <n v="381.53"/>
    <n v="13130002341"/>
  </r>
  <r>
    <x v="20"/>
    <d v="1899-12-30T18:10:04"/>
    <n v="3342"/>
    <n v="13002561"/>
    <n v="13"/>
    <n v="22589"/>
    <s v="Retail Sale"/>
    <n v="18"/>
    <n v="58641"/>
    <x v="40"/>
    <s v="Katren"/>
    <s v="Takeda"/>
    <n v="3"/>
    <n v="554.67999999999995"/>
    <n v="778.47"/>
    <n v="77.849999999999994"/>
    <n v="77.849999999999994"/>
    <s v="BONUS_CARD"/>
    <n v="29"/>
    <n v="1"/>
    <n v="2"/>
    <n v="700.62"/>
    <n v="13130002342"/>
  </r>
  <r>
    <x v="21"/>
    <d v="1899-12-30T08:25:49"/>
    <n v="3343"/>
    <n v="13002561"/>
    <n v="13"/>
    <n v="22589"/>
    <s v="Retail Sale"/>
    <n v="18"/>
    <n v="91562"/>
    <x v="17"/>
    <s v="Avesta"/>
    <s v="TEVA"/>
    <n v="2"/>
    <n v="477.22"/>
    <n v="626.30999999999995"/>
    <n v="62.63"/>
    <n v="62.63"/>
    <s v="BONUS_CARD"/>
    <n v="29"/>
    <n v="1"/>
    <n v="3"/>
    <n v="563.67999999999995"/>
    <n v="13130002343"/>
  </r>
  <r>
    <x v="26"/>
    <d v="1899-12-30T20:26:32"/>
    <n v="3344"/>
    <n v="13002561"/>
    <n v="13"/>
    <n v="22589"/>
    <s v="Retail Sale"/>
    <n v="15"/>
    <n v="34057"/>
    <x v="55"/>
    <s v="Pulse"/>
    <s v="Sanofi"/>
    <n v="3"/>
    <n v="560.33000000000004"/>
    <n v="701.17"/>
    <n v="0"/>
    <n v="0"/>
    <m/>
    <n v="29"/>
    <n v="1"/>
    <n v="4"/>
    <n v="701.17"/>
    <n v="13130002344"/>
  </r>
  <r>
    <x v="3"/>
    <d v="1899-12-30T10:23:51"/>
    <n v="3345"/>
    <n v="13002561"/>
    <n v="13"/>
    <n v="22589"/>
    <s v="Retail Sale"/>
    <n v="18"/>
    <n v="73415"/>
    <x v="55"/>
    <s v="Pharmcomplect"/>
    <s v="Sanofi"/>
    <n v="3"/>
    <n v="29.11"/>
    <n v="38.24"/>
    <n v="1.91"/>
    <n v="1.91"/>
    <s v="BONUS_CARD"/>
    <n v="29"/>
    <n v="1"/>
    <n v="6"/>
    <n v="36.33"/>
    <n v="13130002345"/>
  </r>
  <r>
    <x v="4"/>
    <d v="1899-12-30T14:17:46"/>
    <n v="3346"/>
    <n v="13002561"/>
    <n v="13"/>
    <n v="22589"/>
    <s v="Retail Sale"/>
    <n v="18"/>
    <n v="29544"/>
    <x v="43"/>
    <s v="Katren"/>
    <s v="Pfizer"/>
    <n v="1"/>
    <n v="217.75"/>
    <n v="354.46"/>
    <n v="35.450000000000003"/>
    <n v="35.450000000000003"/>
    <s v="BONUS_CARD"/>
    <n v="29"/>
    <n v="1"/>
    <n v="2"/>
    <n v="319.01"/>
    <n v="13130002346"/>
  </r>
  <r>
    <x v="0"/>
    <d v="1899-12-30T11:34:00"/>
    <n v="3347"/>
    <n v="13002561"/>
    <n v="13"/>
    <n v="22589"/>
    <s v="Retail Sale"/>
    <n v="18"/>
    <n v="63282"/>
    <x v="87"/>
    <s v="Grand Capital"/>
    <s v="Pfizer"/>
    <n v="3"/>
    <n v="360.4"/>
    <n v="573.09"/>
    <n v="0"/>
    <n v="0"/>
    <m/>
    <n v="29"/>
    <n v="1"/>
    <n v="6"/>
    <n v="573.09"/>
    <n v="13130002347"/>
  </r>
  <r>
    <x v="22"/>
    <d v="1899-12-30T09:18:19"/>
    <n v="3348"/>
    <n v="13002561"/>
    <n v="13"/>
    <n v="22589"/>
    <s v="Retail Sale"/>
    <n v="15"/>
    <n v="13318"/>
    <x v="12"/>
    <s v="Pulse"/>
    <s v="Novartis"/>
    <n v="2"/>
    <n v="167.08"/>
    <n v="216.72"/>
    <n v="0"/>
    <n v="0"/>
    <m/>
    <n v="29"/>
    <n v="1"/>
    <n v="4"/>
    <n v="216.72"/>
    <n v="13130002348"/>
  </r>
  <r>
    <x v="18"/>
    <d v="1899-12-30T18:26:19"/>
    <n v="3349"/>
    <n v="13002561"/>
    <n v="13"/>
    <n v="22589"/>
    <s v="Retail Sale"/>
    <n v="15"/>
    <n v="91444"/>
    <x v="17"/>
    <s v="Pulse"/>
    <s v="Bayer"/>
    <n v="1"/>
    <n v="264.86"/>
    <n v="401.35"/>
    <n v="40.14"/>
    <n v="40.14"/>
    <s v="BONUS_CARD"/>
    <n v="29"/>
    <n v="1"/>
    <n v="4"/>
    <n v="361.21"/>
    <n v="13130002349"/>
  </r>
  <r>
    <x v="28"/>
    <d v="1899-12-30T14:07:02"/>
    <n v="3350"/>
    <n v="13002561"/>
    <n v="13"/>
    <n v="22589"/>
    <s v="Retail Sale"/>
    <n v="15"/>
    <n v="78383"/>
    <x v="36"/>
    <s v="Grand Capital"/>
    <s v="TEVA"/>
    <n v="3"/>
    <n v="573.20000000000005"/>
    <n v="849.59"/>
    <n v="0"/>
    <n v="0"/>
    <m/>
    <n v="29"/>
    <n v="1"/>
    <n v="3"/>
    <n v="849.59"/>
    <n v="13130002350"/>
  </r>
  <r>
    <x v="28"/>
    <d v="1899-12-30T10:36:58"/>
    <n v="3351"/>
    <n v="13002561"/>
    <n v="13"/>
    <n v="22589"/>
    <s v="Retail Sale"/>
    <n v="15"/>
    <n v="51969"/>
    <x v="62"/>
    <s v="Protek"/>
    <s v="TEVA"/>
    <n v="3"/>
    <n v="137.66999999999999"/>
    <n v="216.08"/>
    <n v="0"/>
    <n v="0"/>
    <m/>
    <n v="29"/>
    <n v="1"/>
    <n v="3"/>
    <n v="216.08"/>
    <n v="13130002351"/>
  </r>
  <r>
    <x v="1"/>
    <d v="1899-12-30T18:16:45"/>
    <n v="3352"/>
    <n v="13002561"/>
    <n v="13"/>
    <n v="22589"/>
    <s v="Retail Sale"/>
    <n v="18"/>
    <n v="77565"/>
    <x v="18"/>
    <s v="Protek"/>
    <s v="Pfizer"/>
    <n v="1"/>
    <n v="172.01"/>
    <n v="219.31"/>
    <n v="21.93"/>
    <n v="21.93"/>
    <s v="BONUS_CARD"/>
    <n v="29"/>
    <n v="1"/>
    <n v="6"/>
    <n v="197.38"/>
    <n v="13130002352"/>
  </r>
  <r>
    <x v="18"/>
    <d v="1899-12-30T09:54:51"/>
    <n v="3353"/>
    <n v="13002561"/>
    <n v="13"/>
    <n v="22589"/>
    <s v="Retail Sale"/>
    <n v="15"/>
    <n v="49780"/>
    <x v="51"/>
    <s v="Grand Capital"/>
    <s v="TEVA"/>
    <n v="1"/>
    <n v="345.92"/>
    <n v="570.1"/>
    <n v="28.51"/>
    <n v="28.51"/>
    <s v="BONUS_CARD"/>
    <n v="29"/>
    <n v="1"/>
    <n v="4"/>
    <n v="541.59"/>
    <n v="13130002353"/>
  </r>
  <r>
    <x v="29"/>
    <d v="1899-12-30T16:29:34"/>
    <n v="3354"/>
    <n v="13002561"/>
    <n v="13"/>
    <n v="22589"/>
    <s v="Retail Sale"/>
    <n v="15"/>
    <n v="26065"/>
    <x v="46"/>
    <s v="Katren"/>
    <s v="Novartis"/>
    <n v="3"/>
    <n v="298.89"/>
    <n v="438.7"/>
    <n v="21.94"/>
    <n v="21.94"/>
    <s v="BONUS_CARD"/>
    <n v="29"/>
    <n v="1"/>
    <n v="4"/>
    <n v="416.76"/>
    <n v="13130002354"/>
  </r>
  <r>
    <x v="10"/>
    <d v="1899-12-30T20:39:46"/>
    <n v="3355"/>
    <n v="13002561"/>
    <n v="13"/>
    <n v="22589"/>
    <s v="Retail Sale"/>
    <n v="15"/>
    <n v="33158"/>
    <x v="11"/>
    <s v="Katren"/>
    <s v="Bayer"/>
    <n v="2"/>
    <n v="173.42"/>
    <n v="252.22"/>
    <n v="25.22"/>
    <n v="25.22"/>
    <s v="BONUS_CARD"/>
    <n v="29"/>
    <n v="1"/>
    <n v="3"/>
    <n v="227"/>
    <n v="13130002355"/>
  </r>
  <r>
    <x v="4"/>
    <d v="1899-12-30T15:40:40"/>
    <n v="3356"/>
    <n v="13002561"/>
    <n v="13"/>
    <n v="22589"/>
    <s v="Retail Sale"/>
    <n v="18"/>
    <n v="43730"/>
    <x v="68"/>
    <s v="Pulse"/>
    <s v="Pfizer"/>
    <n v="1"/>
    <n v="350.36"/>
    <n v="461.42"/>
    <n v="0"/>
    <n v="0"/>
    <m/>
    <n v="29"/>
    <n v="1"/>
    <n v="6"/>
    <n v="461.42"/>
    <n v="13130002356"/>
  </r>
  <r>
    <x v="5"/>
    <d v="1899-12-30T18:32:03"/>
    <n v="3357"/>
    <n v="13002561"/>
    <n v="13"/>
    <n v="22589"/>
    <s v="Retail Sale"/>
    <n v="18"/>
    <n v="65313"/>
    <x v="86"/>
    <s v="Grand Capital"/>
    <s v="KRKA"/>
    <n v="3"/>
    <n v="180.52"/>
    <n v="244.62"/>
    <n v="12.23"/>
    <n v="12.23"/>
    <s v="BONUS_CARD"/>
    <n v="29"/>
    <n v="1"/>
    <n v="5"/>
    <n v="232.39"/>
    <n v="13130002357"/>
  </r>
  <r>
    <x v="2"/>
    <d v="1899-12-30T14:54:24"/>
    <n v="3358"/>
    <n v="13002561"/>
    <n v="13"/>
    <n v="22589"/>
    <s v="Retail Sale"/>
    <n v="15"/>
    <n v="13603"/>
    <x v="10"/>
    <s v="Protek"/>
    <s v="Novartis"/>
    <n v="2"/>
    <n v="414.03"/>
    <n v="556.33000000000004"/>
    <n v="55.63"/>
    <n v="55.63"/>
    <s v="BONUS_CARD"/>
    <n v="29"/>
    <n v="1"/>
    <n v="5"/>
    <n v="500.7"/>
    <n v="13130002358"/>
  </r>
  <r>
    <x v="0"/>
    <d v="1899-12-30T10:46:29"/>
    <n v="3359"/>
    <n v="13002561"/>
    <n v="13"/>
    <n v="22589"/>
    <s v="Retail Sale"/>
    <n v="15"/>
    <n v="21307"/>
    <x v="64"/>
    <s v="Protek"/>
    <s v="KRKA"/>
    <n v="3"/>
    <n v="75.98"/>
    <n v="106.91"/>
    <n v="5.35"/>
    <n v="5.35"/>
    <s v="BONUS_CARD"/>
    <n v="29"/>
    <n v="1"/>
    <n v="4"/>
    <n v="101.56"/>
    <n v="13130002359"/>
  </r>
  <r>
    <x v="1"/>
    <d v="1899-12-30T15:20:22"/>
    <n v="3360"/>
    <n v="13002561"/>
    <n v="13"/>
    <n v="22589"/>
    <s v="Retail Sale"/>
    <n v="15"/>
    <n v="97860"/>
    <x v="47"/>
    <s v="Grand Capital"/>
    <s v="Takeda"/>
    <n v="1"/>
    <n v="319.27"/>
    <n v="492.2"/>
    <n v="24.61"/>
    <n v="24.61"/>
    <s v="BONUS_CARD"/>
    <n v="29"/>
    <n v="1"/>
    <n v="5"/>
    <n v="467.59"/>
    <n v="13130002360"/>
  </r>
  <r>
    <x v="3"/>
    <d v="1899-12-30T20:00:38"/>
    <n v="3361"/>
    <n v="13002561"/>
    <n v="13"/>
    <n v="22589"/>
    <s v="Retail Sale"/>
    <n v="15"/>
    <n v="90079"/>
    <x v="36"/>
    <s v="Pharmcomplect"/>
    <s v="Dr. Reddy's"/>
    <n v="2"/>
    <n v="22.63"/>
    <n v="31.7"/>
    <n v="3.17"/>
    <n v="3.17"/>
    <s v="BONUS_CARD"/>
    <n v="29"/>
    <n v="1"/>
    <n v="4"/>
    <n v="28.53"/>
    <n v="13130002361"/>
  </r>
  <r>
    <x v="30"/>
    <d v="1899-12-30T12:44:56"/>
    <n v="3362"/>
    <n v="13002561"/>
    <n v="13"/>
    <n v="22589"/>
    <s v="Retail Sale"/>
    <n v="18"/>
    <n v="28939"/>
    <x v="36"/>
    <s v="Grand Capital"/>
    <s v="Takeda"/>
    <n v="1"/>
    <n v="554"/>
    <n v="725.63"/>
    <n v="72.56"/>
    <n v="72.56"/>
    <s v="BONUS_CARD"/>
    <n v="29"/>
    <n v="1"/>
    <n v="3"/>
    <n v="653.07000000000005"/>
    <n v="13130002362"/>
  </r>
  <r>
    <x v="4"/>
    <d v="1899-12-30T21:58:05"/>
    <n v="3363"/>
    <n v="13002561"/>
    <n v="13"/>
    <n v="22589"/>
    <s v="Retail Sale"/>
    <n v="18"/>
    <n v="60696"/>
    <x v="12"/>
    <s v="Avesta"/>
    <s v="Pfizer"/>
    <n v="2"/>
    <n v="422.91"/>
    <n v="608.26"/>
    <n v="30.41"/>
    <n v="30.41"/>
    <s v="BONUS_CARD"/>
    <n v="29"/>
    <n v="1"/>
    <n v="4"/>
    <n v="577.85"/>
    <n v="13130002363"/>
  </r>
  <r>
    <x v="23"/>
    <d v="1899-12-30T17:04:56"/>
    <n v="3364"/>
    <n v="13002561"/>
    <n v="13"/>
    <n v="22589"/>
    <s v="Retail Sale"/>
    <n v="18"/>
    <n v="69037"/>
    <x v="71"/>
    <s v="Protek"/>
    <s v="Takeda"/>
    <n v="1"/>
    <n v="251.88"/>
    <n v="339.26"/>
    <n v="16.96"/>
    <n v="16.96"/>
    <s v="BONUS_CARD"/>
    <n v="29"/>
    <n v="1"/>
    <n v="6"/>
    <n v="322.3"/>
    <n v="13130002364"/>
  </r>
  <r>
    <x v="20"/>
    <d v="1899-12-30T21:13:49"/>
    <n v="3365"/>
    <n v="13002561"/>
    <n v="13"/>
    <n v="22589"/>
    <s v="Retail Sale"/>
    <n v="18"/>
    <n v="30216"/>
    <x v="29"/>
    <s v="Avesta"/>
    <s v="KRKA"/>
    <n v="1"/>
    <n v="152.59"/>
    <n v="202.58"/>
    <n v="0"/>
    <n v="0"/>
    <m/>
    <n v="29"/>
    <n v="1"/>
    <n v="6"/>
    <n v="202.58"/>
    <n v="13130002365"/>
  </r>
  <r>
    <x v="10"/>
    <d v="1899-12-30T21:09:40"/>
    <n v="3366"/>
    <n v="13002561"/>
    <n v="13"/>
    <n v="22589"/>
    <s v="Retail Sale"/>
    <n v="15"/>
    <n v="54110"/>
    <x v="26"/>
    <s v="Pulse"/>
    <s v="Bayer"/>
    <n v="2"/>
    <n v="501.3"/>
    <n v="689.71"/>
    <n v="68.97"/>
    <n v="68.97"/>
    <s v="BONUS_CARD"/>
    <n v="29"/>
    <n v="1"/>
    <n v="2"/>
    <n v="620.74"/>
    <n v="13130002366"/>
  </r>
  <r>
    <x v="23"/>
    <d v="1899-12-30T19:20:07"/>
    <n v="3367"/>
    <n v="13002561"/>
    <n v="13"/>
    <n v="22589"/>
    <s v="Retail Sale"/>
    <n v="18"/>
    <n v="38350"/>
    <x v="77"/>
    <s v="Protek"/>
    <s v="Takeda"/>
    <n v="1"/>
    <n v="465.71"/>
    <n v="644.4"/>
    <n v="32.22"/>
    <n v="32.22"/>
    <s v="BONUS_CARD"/>
    <n v="29"/>
    <n v="1"/>
    <n v="1"/>
    <n v="612.17999999999995"/>
    <n v="13130002367"/>
  </r>
  <r>
    <x v="17"/>
    <d v="1899-12-30T18:32:25"/>
    <n v="3368"/>
    <n v="13002561"/>
    <n v="13"/>
    <n v="22589"/>
    <s v="Retail Sale"/>
    <n v="18"/>
    <n v="90477"/>
    <x v="6"/>
    <s v="Katren"/>
    <s v="Bayer"/>
    <n v="3"/>
    <n v="590.41999999999996"/>
    <n v="822.18"/>
    <n v="0"/>
    <n v="0"/>
    <m/>
    <n v="29"/>
    <n v="1"/>
    <n v="1"/>
    <n v="822.18"/>
    <n v="13130002368"/>
  </r>
  <r>
    <x v="29"/>
    <d v="1899-12-30T20:56:55"/>
    <n v="3369"/>
    <n v="13002561"/>
    <n v="13"/>
    <n v="22589"/>
    <s v="Retail Sale"/>
    <n v="15"/>
    <n v="17419"/>
    <x v="20"/>
    <s v="Grand Capital"/>
    <s v="TEVA"/>
    <n v="1"/>
    <n v="185.2"/>
    <n v="263.44"/>
    <n v="13.17"/>
    <n v="13.17"/>
    <s v="BONUS_CARD"/>
    <n v="29"/>
    <n v="1"/>
    <n v="5"/>
    <n v="250.27"/>
    <n v="13130002369"/>
  </r>
  <r>
    <x v="12"/>
    <d v="1899-12-30T16:20:50"/>
    <n v="3370"/>
    <n v="13002561"/>
    <n v="13"/>
    <n v="22589"/>
    <s v="Retail Sale"/>
    <n v="18"/>
    <n v="46238"/>
    <x v="2"/>
    <s v="Grand Capital"/>
    <s v="Dr. Reddy's"/>
    <n v="1"/>
    <n v="217.65"/>
    <n v="272.97000000000003"/>
    <n v="0"/>
    <n v="0"/>
    <m/>
    <n v="29"/>
    <n v="1"/>
    <n v="6"/>
    <n v="272.97000000000003"/>
    <n v="13130002370"/>
  </r>
  <r>
    <x v="27"/>
    <d v="1899-12-30T16:55:32"/>
    <n v="3371"/>
    <n v="13002561"/>
    <n v="13"/>
    <n v="22589"/>
    <s v="Retail Sale"/>
    <n v="18"/>
    <n v="72855"/>
    <x v="6"/>
    <s v="Katren"/>
    <s v="KRKA"/>
    <n v="3"/>
    <n v="195.86"/>
    <n v="316.70999999999998"/>
    <n v="31.67"/>
    <n v="31.67"/>
    <s v="BONUS_CARD"/>
    <n v="29"/>
    <n v="1"/>
    <n v="2"/>
    <n v="285.04000000000002"/>
    <n v="13130002371"/>
  </r>
  <r>
    <x v="0"/>
    <d v="1899-12-30T13:21:58"/>
    <n v="3372"/>
    <n v="13002561"/>
    <n v="13"/>
    <n v="22589"/>
    <s v="Retail Sale"/>
    <n v="15"/>
    <n v="81153"/>
    <x v="3"/>
    <s v="Katren"/>
    <s v="Pfizer"/>
    <n v="3"/>
    <n v="149"/>
    <n v="190.92"/>
    <n v="19.09"/>
    <n v="19.09"/>
    <s v="BONUS_CARD"/>
    <n v="29"/>
    <n v="1"/>
    <n v="6"/>
    <n v="171.83"/>
    <n v="13130002372"/>
  </r>
  <r>
    <x v="11"/>
    <d v="1899-12-30T10:39:32"/>
    <n v="3373"/>
    <n v="13002561"/>
    <n v="13"/>
    <n v="22589"/>
    <s v="Retail Sale"/>
    <n v="15"/>
    <n v="22544"/>
    <x v="30"/>
    <s v="Protek"/>
    <s v="Dr. Reddy's"/>
    <n v="1"/>
    <n v="508.2"/>
    <n v="845.59"/>
    <n v="84.56"/>
    <n v="84.56"/>
    <s v="BONUS_CARD"/>
    <n v="29"/>
    <n v="1"/>
    <n v="2"/>
    <n v="761.03"/>
    <n v="13130002373"/>
  </r>
  <r>
    <x v="14"/>
    <d v="1899-12-30T12:35:18"/>
    <n v="3374"/>
    <n v="13002561"/>
    <n v="13"/>
    <n v="22589"/>
    <s v="Retail Sale"/>
    <n v="15"/>
    <n v="37806"/>
    <x v="56"/>
    <s v="Grand Capital"/>
    <s v="KRKA"/>
    <n v="3"/>
    <n v="95.66"/>
    <n v="158.87"/>
    <n v="0"/>
    <n v="0"/>
    <m/>
    <n v="29"/>
    <n v="1"/>
    <n v="1"/>
    <n v="158.87"/>
    <n v="13130002374"/>
  </r>
  <r>
    <x v="8"/>
    <d v="1899-12-30T21:38:23"/>
    <n v="3375"/>
    <n v="13002561"/>
    <n v="13"/>
    <n v="22589"/>
    <s v="Retail Sale"/>
    <n v="18"/>
    <n v="77918"/>
    <x v="43"/>
    <s v="Pharmcomplect"/>
    <s v="KRKA"/>
    <n v="2"/>
    <n v="289.02999999999997"/>
    <n v="473.27"/>
    <n v="47.33"/>
    <n v="47.33"/>
    <s v="BONUS_CARD"/>
    <n v="29"/>
    <n v="1"/>
    <n v="1"/>
    <n v="425.94"/>
    <n v="13130002375"/>
  </r>
  <r>
    <x v="12"/>
    <d v="1899-12-30T12:59:17"/>
    <n v="3376"/>
    <n v="13002561"/>
    <n v="13"/>
    <n v="22589"/>
    <s v="Retail Sale"/>
    <n v="18"/>
    <n v="60683"/>
    <x v="1"/>
    <s v="Pulse"/>
    <s v="Dr. Reddy's"/>
    <n v="1"/>
    <n v="285.89"/>
    <n v="387.16"/>
    <n v="38.72"/>
    <n v="38.72"/>
    <s v="BONUS_CARD"/>
    <n v="29"/>
    <n v="1"/>
    <n v="5"/>
    <n v="348.44"/>
    <n v="13130002376"/>
  </r>
  <r>
    <x v="19"/>
    <d v="1899-12-30T12:48:32"/>
    <n v="3377"/>
    <n v="13002561"/>
    <n v="13"/>
    <n v="22589"/>
    <s v="Retail Sale"/>
    <n v="15"/>
    <n v="23240"/>
    <x v="17"/>
    <s v="Avesta"/>
    <s v="TEVA"/>
    <n v="2"/>
    <n v="187.84"/>
    <n v="257.77"/>
    <n v="0"/>
    <n v="0"/>
    <m/>
    <n v="29"/>
    <n v="1"/>
    <n v="6"/>
    <n v="257.77"/>
    <n v="13130002377"/>
  </r>
  <r>
    <x v="15"/>
    <d v="1899-12-30T16:31:16"/>
    <n v="3378"/>
    <n v="13002561"/>
    <n v="13"/>
    <n v="22589"/>
    <s v="Retail Sale"/>
    <n v="15"/>
    <n v="91037"/>
    <x v="5"/>
    <s v="Protek"/>
    <s v="Pfizer"/>
    <n v="2"/>
    <n v="411.15"/>
    <n v="645.01"/>
    <n v="0"/>
    <n v="0"/>
    <m/>
    <n v="29"/>
    <n v="1"/>
    <n v="6"/>
    <n v="645.01"/>
    <n v="13130002378"/>
  </r>
  <r>
    <x v="18"/>
    <d v="1899-12-30T20:08:35"/>
    <n v="3379"/>
    <n v="13002561"/>
    <n v="13"/>
    <n v="22589"/>
    <s v="Retail Sale"/>
    <n v="18"/>
    <n v="54417"/>
    <x v="84"/>
    <s v="Pulse"/>
    <s v="Bayer"/>
    <n v="2"/>
    <n v="228.49"/>
    <n v="343.87"/>
    <n v="0"/>
    <n v="0"/>
    <m/>
    <n v="29"/>
    <n v="1"/>
    <n v="2"/>
    <n v="343.87"/>
    <n v="13130002379"/>
  </r>
  <r>
    <x v="27"/>
    <d v="1899-12-30T13:21:52"/>
    <n v="3380"/>
    <n v="13002561"/>
    <n v="13"/>
    <n v="22589"/>
    <s v="Retail Sale"/>
    <n v="18"/>
    <n v="80056"/>
    <x v="66"/>
    <s v="Avesta"/>
    <s v="Bayer"/>
    <n v="1"/>
    <n v="343.9"/>
    <n v="566.04"/>
    <n v="56.6"/>
    <n v="56.6"/>
    <s v="BONUS_CARD"/>
    <n v="29"/>
    <n v="1"/>
    <n v="1"/>
    <n v="509.44"/>
    <n v="13130002380"/>
  </r>
  <r>
    <x v="8"/>
    <d v="1899-12-30T10:05:18"/>
    <n v="3381"/>
    <n v="13002561"/>
    <n v="13"/>
    <n v="22589"/>
    <s v="Retail Sale"/>
    <n v="18"/>
    <n v="67440"/>
    <x v="21"/>
    <s v="Avesta"/>
    <s v="TEVA"/>
    <n v="1"/>
    <n v="226.37"/>
    <n v="377.74"/>
    <n v="18.89"/>
    <n v="18.89"/>
    <s v="BONUS_CARD"/>
    <n v="29"/>
    <n v="1"/>
    <n v="4"/>
    <n v="358.85"/>
    <n v="13130002381"/>
  </r>
  <r>
    <x v="24"/>
    <d v="1899-12-30T12:37:30"/>
    <n v="3382"/>
    <n v="13002561"/>
    <n v="13"/>
    <n v="22589"/>
    <s v="Retail Sale"/>
    <n v="15"/>
    <n v="84210"/>
    <x v="62"/>
    <s v="Katren"/>
    <s v="KRKA"/>
    <n v="2"/>
    <n v="495.43"/>
    <n v="712.58"/>
    <n v="71.260000000000005"/>
    <n v="71.260000000000005"/>
    <s v="BONUS_CARD"/>
    <n v="29"/>
    <n v="1"/>
    <n v="4"/>
    <n v="641.32000000000005"/>
    <n v="13130002382"/>
  </r>
  <r>
    <x v="9"/>
    <d v="1899-12-30T10:21:27"/>
    <n v="3383"/>
    <n v="13002561"/>
    <n v="13"/>
    <n v="22589"/>
    <s v="Retail Sale"/>
    <n v="15"/>
    <n v="12846"/>
    <x v="80"/>
    <s v="Grand Capital"/>
    <s v="Takeda"/>
    <n v="1"/>
    <n v="277.02"/>
    <n v="458.42"/>
    <n v="0"/>
    <n v="0"/>
    <m/>
    <n v="29"/>
    <n v="1"/>
    <n v="1"/>
    <n v="458.42"/>
    <n v="13130002383"/>
  </r>
  <r>
    <x v="12"/>
    <d v="1899-12-30T14:37:54"/>
    <n v="3384"/>
    <n v="13002561"/>
    <n v="13"/>
    <n v="22589"/>
    <s v="Retail Sale"/>
    <n v="18"/>
    <n v="90496"/>
    <x v="73"/>
    <s v="Grand Capital"/>
    <s v="Pfizer"/>
    <n v="1"/>
    <n v="576.34"/>
    <n v="776.7"/>
    <n v="38.840000000000003"/>
    <n v="38.840000000000003"/>
    <s v="BONUS_CARD"/>
    <n v="29"/>
    <n v="1"/>
    <n v="4"/>
    <n v="737.86"/>
    <n v="13130002384"/>
  </r>
  <r>
    <x v="9"/>
    <d v="1899-12-30T12:06:44"/>
    <n v="3385"/>
    <n v="13002561"/>
    <n v="13"/>
    <n v="22589"/>
    <s v="Retail Sale"/>
    <n v="18"/>
    <n v="22780"/>
    <x v="13"/>
    <s v="Grand Capital"/>
    <s v="KRKA"/>
    <n v="1"/>
    <n v="124.03"/>
    <n v="203.93"/>
    <n v="0"/>
    <n v="0"/>
    <m/>
    <n v="29"/>
    <n v="1"/>
    <n v="4"/>
    <n v="203.93"/>
    <n v="13130002385"/>
  </r>
  <r>
    <x v="0"/>
    <d v="1899-12-30T18:12:00"/>
    <n v="3386"/>
    <n v="13002561"/>
    <n v="13"/>
    <n v="22589"/>
    <s v="Retail Sale"/>
    <n v="15"/>
    <n v="25737"/>
    <x v="16"/>
    <s v="Pharmcomplect"/>
    <s v="Sanofi"/>
    <n v="1"/>
    <n v="469.61"/>
    <n v="783.47"/>
    <n v="78.349999999999994"/>
    <n v="78.349999999999994"/>
    <s v="BONUS_CARD"/>
    <n v="29"/>
    <n v="1"/>
    <n v="5"/>
    <n v="705.12"/>
    <n v="13130002386"/>
  </r>
  <r>
    <x v="23"/>
    <d v="1899-12-30T08:24:34"/>
    <n v="3387"/>
    <n v="13002561"/>
    <n v="13"/>
    <n v="22589"/>
    <s v="Retail Sale"/>
    <n v="18"/>
    <n v="91176"/>
    <x v="6"/>
    <s v="Pharmcomplect"/>
    <s v="TEVA"/>
    <n v="3"/>
    <n v="322.62"/>
    <n v="530.47"/>
    <n v="26.52"/>
    <n v="26.52"/>
    <s v="BONUS_CARD"/>
    <n v="29"/>
    <n v="1"/>
    <n v="4"/>
    <n v="503.95"/>
    <n v="13130002387"/>
  </r>
  <r>
    <x v="6"/>
    <d v="1899-12-30T17:10:02"/>
    <n v="3388"/>
    <n v="13002561"/>
    <n v="13"/>
    <n v="22589"/>
    <s v="Retail Sale"/>
    <n v="18"/>
    <n v="11255"/>
    <x v="18"/>
    <s v="Protek"/>
    <s v="Takeda"/>
    <n v="3"/>
    <n v="5.77"/>
    <n v="7.89"/>
    <n v="0"/>
    <n v="0"/>
    <m/>
    <n v="29"/>
    <n v="1"/>
    <n v="3"/>
    <n v="7.89"/>
    <n v="13130002388"/>
  </r>
  <r>
    <x v="15"/>
    <d v="1899-12-30T21:25:18"/>
    <n v="3389"/>
    <n v="13002561"/>
    <n v="13"/>
    <n v="22589"/>
    <s v="Retail Sale"/>
    <n v="15"/>
    <n v="50228"/>
    <x v="14"/>
    <s v="Avesta"/>
    <s v="Novartis"/>
    <n v="3"/>
    <n v="53.39"/>
    <n v="72.489999999999995"/>
    <n v="0"/>
    <n v="0"/>
    <m/>
    <n v="29"/>
    <n v="1"/>
    <n v="4"/>
    <n v="72.489999999999995"/>
    <n v="13130002389"/>
  </r>
  <r>
    <x v="15"/>
    <d v="1899-12-30T22:32:53"/>
    <n v="3390"/>
    <n v="13002561"/>
    <n v="13"/>
    <n v="22589"/>
    <s v="Retail Sale"/>
    <n v="15"/>
    <n v="56670"/>
    <x v="69"/>
    <s v="Avesta"/>
    <s v="Dr. Reddy's"/>
    <n v="2"/>
    <n v="346"/>
    <n v="452.73"/>
    <n v="22.64"/>
    <n v="22.64"/>
    <s v="BONUS_CARD"/>
    <n v="29"/>
    <n v="1"/>
    <n v="5"/>
    <n v="430.09"/>
    <n v="13130002390"/>
  </r>
  <r>
    <x v="16"/>
    <d v="1899-12-30T12:39:29"/>
    <n v="3391"/>
    <n v="13002561"/>
    <n v="13"/>
    <n v="22589"/>
    <s v="Retail Sale"/>
    <n v="18"/>
    <n v="97618"/>
    <x v="9"/>
    <s v="Katren"/>
    <s v="Novartis"/>
    <n v="2"/>
    <n v="193.1"/>
    <n v="255.85"/>
    <n v="25.59"/>
    <n v="25.59"/>
    <s v="BONUS_CARD"/>
    <n v="29"/>
    <n v="1"/>
    <n v="4"/>
    <n v="230.26"/>
    <n v="13130002391"/>
  </r>
  <r>
    <x v="5"/>
    <d v="1899-12-30T21:00:12"/>
    <n v="3392"/>
    <n v="13002561"/>
    <n v="13"/>
    <n v="22589"/>
    <s v="Retail Sale"/>
    <n v="15"/>
    <n v="79788"/>
    <x v="80"/>
    <s v="Pharmcomplect"/>
    <s v="Bayer"/>
    <n v="1"/>
    <n v="75.7"/>
    <n v="116.34"/>
    <n v="0"/>
    <n v="0"/>
    <m/>
    <n v="29"/>
    <n v="1"/>
    <n v="4"/>
    <n v="116.34"/>
    <n v="13130002392"/>
  </r>
  <r>
    <x v="22"/>
    <d v="1899-12-30T13:43:16"/>
    <n v="3393"/>
    <n v="13002561"/>
    <n v="13"/>
    <n v="22589"/>
    <s v="Retail Sale"/>
    <n v="18"/>
    <n v="28511"/>
    <x v="69"/>
    <s v="Katren"/>
    <s v="Sanofi"/>
    <n v="2"/>
    <n v="36.049999999999997"/>
    <n v="54.38"/>
    <n v="5.44"/>
    <n v="5.44"/>
    <s v="BONUS_CARD"/>
    <n v="29"/>
    <n v="1"/>
    <n v="3"/>
    <n v="48.94"/>
    <n v="13130002393"/>
  </r>
  <r>
    <x v="12"/>
    <d v="1899-12-30T14:22:53"/>
    <n v="3394"/>
    <n v="13002561"/>
    <n v="13"/>
    <n v="22589"/>
    <s v="Retail Sale"/>
    <n v="15"/>
    <n v="90868"/>
    <x v="78"/>
    <s v="Avesta"/>
    <s v="Dr. Reddy's"/>
    <n v="1"/>
    <n v="244.78"/>
    <n v="316.58999999999997"/>
    <n v="31.66"/>
    <n v="31.66"/>
    <s v="BONUS_CARD"/>
    <n v="29"/>
    <n v="1"/>
    <n v="5"/>
    <n v="284.93"/>
    <n v="13130002394"/>
  </r>
  <r>
    <x v="11"/>
    <d v="1899-12-30T14:49:14"/>
    <n v="3395"/>
    <n v="13002561"/>
    <n v="13"/>
    <n v="22589"/>
    <s v="Retail Sale"/>
    <n v="18"/>
    <n v="34505"/>
    <x v="81"/>
    <s v="Grand Capital"/>
    <s v="Novartis"/>
    <n v="3"/>
    <n v="358.61"/>
    <n v="549.77"/>
    <n v="54.98"/>
    <n v="54.98"/>
    <s v="BONUS_CARD"/>
    <n v="29"/>
    <n v="1"/>
    <n v="3"/>
    <n v="494.79"/>
    <n v="13130002395"/>
  </r>
  <r>
    <x v="8"/>
    <d v="1899-12-30T16:11:19"/>
    <n v="3396"/>
    <n v="13002561"/>
    <n v="13"/>
    <n v="22589"/>
    <s v="Retail Sale"/>
    <n v="18"/>
    <n v="22858"/>
    <x v="41"/>
    <s v="Avesta"/>
    <s v="TEVA"/>
    <n v="2"/>
    <n v="550.16"/>
    <n v="735.58"/>
    <n v="73.56"/>
    <n v="73.56"/>
    <s v="BONUS_CARD"/>
    <n v="29"/>
    <n v="1"/>
    <n v="4"/>
    <n v="662.02"/>
    <n v="13130002396"/>
  </r>
  <r>
    <x v="1"/>
    <d v="1899-12-30T17:03:58"/>
    <n v="3397"/>
    <n v="13002561"/>
    <n v="13"/>
    <n v="22589"/>
    <s v="Retail Sale"/>
    <n v="15"/>
    <n v="16591"/>
    <x v="81"/>
    <s v="Pharmcomplect"/>
    <s v="Takeda"/>
    <n v="3"/>
    <n v="291.75"/>
    <n v="394.76"/>
    <n v="19.739999999999998"/>
    <n v="19.739999999999998"/>
    <s v="BONUS_CARD"/>
    <n v="29"/>
    <n v="1"/>
    <n v="3"/>
    <n v="375.02"/>
    <n v="13130002397"/>
  </r>
  <r>
    <x v="10"/>
    <d v="1899-12-30T11:57:01"/>
    <n v="3398"/>
    <n v="13002561"/>
    <n v="13"/>
    <n v="22589"/>
    <s v="Retail Sale"/>
    <n v="18"/>
    <n v="81093"/>
    <x v="24"/>
    <s v="Protek"/>
    <s v="KRKA"/>
    <n v="2"/>
    <n v="464.91"/>
    <n v="642.95000000000005"/>
    <n v="64.3"/>
    <n v="64.3"/>
    <s v="BONUS_CARD"/>
    <n v="29"/>
    <n v="1"/>
    <n v="1"/>
    <n v="578.65"/>
    <n v="13130002398"/>
  </r>
  <r>
    <x v="10"/>
    <d v="1899-12-30T16:10:04"/>
    <n v="3399"/>
    <n v="13002561"/>
    <n v="13"/>
    <n v="22589"/>
    <s v="Retail Sale"/>
    <n v="15"/>
    <n v="70878"/>
    <x v="66"/>
    <s v="Pharmcomplect"/>
    <s v="Novartis"/>
    <n v="3"/>
    <n v="279.45"/>
    <n v="399.12"/>
    <n v="0"/>
    <n v="0"/>
    <m/>
    <n v="29"/>
    <n v="1"/>
    <n v="2"/>
    <n v="399.12"/>
    <n v="13130002399"/>
  </r>
  <r>
    <x v="4"/>
    <d v="1899-12-30T08:51:00"/>
    <n v="3400"/>
    <n v="13002561"/>
    <n v="13"/>
    <n v="22589"/>
    <s v="Retail Sale"/>
    <n v="15"/>
    <n v="66363"/>
    <x v="36"/>
    <s v="Pulse"/>
    <s v="TEVA"/>
    <n v="3"/>
    <n v="421.61"/>
    <n v="659.22"/>
    <n v="0"/>
    <n v="0"/>
    <m/>
    <n v="29"/>
    <n v="1"/>
    <n v="2"/>
    <n v="659.22"/>
    <n v="13130002400"/>
  </r>
  <r>
    <x v="30"/>
    <d v="1899-12-30T18:53:39"/>
    <n v="3401"/>
    <n v="13002561"/>
    <n v="13"/>
    <n v="22589"/>
    <s v="Retail Sale"/>
    <n v="18"/>
    <n v="32794"/>
    <x v="87"/>
    <s v="Avesta"/>
    <s v="Pfizer"/>
    <n v="3"/>
    <n v="388.09"/>
    <n v="555.16999999999996"/>
    <n v="55.52"/>
    <n v="55.52"/>
    <s v="BONUS_CARD"/>
    <n v="29"/>
    <n v="1"/>
    <n v="2"/>
    <n v="499.65"/>
    <n v="13130002401"/>
  </r>
  <r>
    <x v="15"/>
    <d v="1899-12-30T22:10:52"/>
    <n v="3402"/>
    <n v="13002561"/>
    <n v="13"/>
    <n v="22589"/>
    <s v="Retail Sale"/>
    <n v="15"/>
    <n v="16749"/>
    <x v="86"/>
    <s v="Avesta"/>
    <s v="Takeda"/>
    <n v="2"/>
    <n v="24.46"/>
    <n v="32.119999999999997"/>
    <n v="0"/>
    <n v="0"/>
    <m/>
    <n v="29"/>
    <n v="1"/>
    <n v="5"/>
    <n v="32.119999999999997"/>
    <n v="13130002402"/>
  </r>
  <r>
    <x v="3"/>
    <d v="1899-12-30T17:46:26"/>
    <n v="3403"/>
    <n v="13002561"/>
    <n v="13"/>
    <n v="22589"/>
    <s v="Retail Sale"/>
    <n v="18"/>
    <n v="92916"/>
    <x v="60"/>
    <s v="Katren"/>
    <s v="Dr. Reddy's"/>
    <n v="1"/>
    <n v="435.55"/>
    <n v="671.59"/>
    <n v="0"/>
    <n v="0"/>
    <m/>
    <n v="29"/>
    <n v="1"/>
    <n v="5"/>
    <n v="671.59"/>
    <n v="13130002403"/>
  </r>
  <r>
    <x v="22"/>
    <d v="1899-12-30T15:35:58"/>
    <n v="3404"/>
    <n v="13002561"/>
    <n v="13"/>
    <n v="22589"/>
    <s v="Retail Sale"/>
    <n v="15"/>
    <n v="73733"/>
    <x v="2"/>
    <s v="Pharmcomplect"/>
    <s v="Bayer"/>
    <n v="2"/>
    <n v="356.75"/>
    <n v="606.41999999999996"/>
    <n v="0"/>
    <n v="0"/>
    <m/>
    <n v="29"/>
    <n v="1"/>
    <n v="3"/>
    <n v="606.41999999999996"/>
    <n v="13130002404"/>
  </r>
  <r>
    <x v="26"/>
    <d v="1899-12-30T22:12:26"/>
    <n v="3405"/>
    <n v="13002561"/>
    <n v="13"/>
    <n v="22589"/>
    <s v="Retail Sale"/>
    <n v="18"/>
    <n v="74408"/>
    <x v="36"/>
    <s v="Pharmcomplect"/>
    <s v="Dr. Reddy's"/>
    <n v="3"/>
    <n v="322.07"/>
    <n v="410.16"/>
    <n v="41.02"/>
    <n v="41.02"/>
    <s v="BONUS_CARD"/>
    <n v="29"/>
    <n v="1"/>
    <n v="3"/>
    <n v="369.14"/>
    <n v="13130002405"/>
  </r>
  <r>
    <x v="12"/>
    <d v="1899-12-30T21:49:58"/>
    <n v="3406"/>
    <n v="13002561"/>
    <n v="13"/>
    <n v="22589"/>
    <s v="Retail Sale"/>
    <n v="15"/>
    <n v="10832"/>
    <x v="50"/>
    <s v="Protek"/>
    <s v="Dr. Reddy's"/>
    <n v="3"/>
    <n v="155.77000000000001"/>
    <n v="205.19"/>
    <n v="10.26"/>
    <n v="10.26"/>
    <s v="BONUS_CARD"/>
    <n v="29"/>
    <n v="1"/>
    <n v="4"/>
    <n v="194.93"/>
    <n v="13130002406"/>
  </r>
  <r>
    <x v="11"/>
    <d v="1899-12-30T14:39:37"/>
    <n v="3407"/>
    <n v="13002561"/>
    <n v="13"/>
    <n v="22589"/>
    <s v="Retail Sale"/>
    <n v="15"/>
    <n v="98973"/>
    <x v="23"/>
    <s v="Katren"/>
    <s v="TEVA"/>
    <n v="3"/>
    <n v="9.5299999999999994"/>
    <n v="12.08"/>
    <n v="1.21"/>
    <n v="1.21"/>
    <s v="BONUS_CARD"/>
    <n v="29"/>
    <n v="1"/>
    <n v="1"/>
    <n v="10.87"/>
    <n v="13130002407"/>
  </r>
  <r>
    <x v="27"/>
    <d v="1899-12-30T16:13:12"/>
    <n v="3408"/>
    <n v="13002561"/>
    <n v="13"/>
    <n v="22589"/>
    <s v="Retail Sale"/>
    <n v="15"/>
    <n v="29942"/>
    <x v="80"/>
    <s v="Grand Capital"/>
    <s v="Dr. Reddy's"/>
    <n v="1"/>
    <n v="261.08999999999997"/>
    <n v="404.59"/>
    <n v="20.23"/>
    <n v="20.23"/>
    <s v="BONUS_CARD"/>
    <n v="29"/>
    <n v="1"/>
    <n v="2"/>
    <n v="384.36"/>
    <n v="13130002408"/>
  </r>
  <r>
    <x v="29"/>
    <d v="1899-12-30T15:50:12"/>
    <n v="3409"/>
    <n v="13002561"/>
    <n v="13"/>
    <n v="22589"/>
    <s v="Retail Sale"/>
    <n v="18"/>
    <n v="88420"/>
    <x v="68"/>
    <s v="Katren"/>
    <s v="Novartis"/>
    <n v="1"/>
    <n v="21.11"/>
    <n v="31.96"/>
    <n v="3.2"/>
    <n v="3.2"/>
    <s v="BONUS_CARD"/>
    <n v="29"/>
    <n v="1"/>
    <n v="2"/>
    <n v="28.76"/>
    <n v="13130002409"/>
  </r>
  <r>
    <x v="26"/>
    <d v="1899-12-30T21:00:14"/>
    <n v="3410"/>
    <n v="13002561"/>
    <n v="13"/>
    <n v="22589"/>
    <s v="Retail Sale"/>
    <n v="15"/>
    <n v="34811"/>
    <x v="38"/>
    <s v="Grand Capital"/>
    <s v="Pfizer"/>
    <n v="1"/>
    <n v="470.56"/>
    <n v="748.6"/>
    <n v="37.43"/>
    <n v="37.43"/>
    <s v="BONUS_CARD"/>
    <n v="29"/>
    <n v="1"/>
    <n v="1"/>
    <n v="711.17"/>
    <n v="13130002410"/>
  </r>
  <r>
    <x v="11"/>
    <d v="1899-12-30T10:46:44"/>
    <n v="3411"/>
    <n v="13002561"/>
    <n v="13"/>
    <n v="22589"/>
    <s v="Retail Sale"/>
    <n v="18"/>
    <n v="27221"/>
    <x v="40"/>
    <s v="Pharmcomplect"/>
    <s v="KRKA"/>
    <n v="3"/>
    <n v="498.73"/>
    <n v="797.97"/>
    <n v="79.8"/>
    <n v="79.8"/>
    <s v="BONUS_CARD"/>
    <n v="29"/>
    <n v="1"/>
    <n v="1"/>
    <n v="718.17"/>
    <n v="13130002411"/>
  </r>
  <r>
    <x v="9"/>
    <d v="1899-12-30T12:36:39"/>
    <n v="3412"/>
    <n v="13002561"/>
    <n v="13"/>
    <n v="22589"/>
    <s v="Retail Sale"/>
    <n v="18"/>
    <n v="77360"/>
    <x v="0"/>
    <s v="Pharmcomplect"/>
    <s v="KRKA"/>
    <n v="2"/>
    <n v="491.35"/>
    <n v="757.9"/>
    <n v="37.9"/>
    <n v="37.9"/>
    <s v="BONUS_CARD"/>
    <n v="29"/>
    <n v="1"/>
    <n v="2"/>
    <n v="720"/>
    <n v="13130002412"/>
  </r>
  <r>
    <x v="4"/>
    <d v="1899-12-30T11:44:35"/>
    <n v="3413"/>
    <n v="13002561"/>
    <n v="13"/>
    <n v="22589"/>
    <s v="Retail Sale"/>
    <n v="15"/>
    <n v="19642"/>
    <x v="18"/>
    <s v="Grand Capital"/>
    <s v="Sanofi"/>
    <n v="3"/>
    <n v="497.85"/>
    <n v="720.85"/>
    <n v="72.09"/>
    <n v="72.09"/>
    <s v="BONUS_CARD"/>
    <n v="29"/>
    <n v="1"/>
    <n v="5"/>
    <n v="648.76"/>
    <n v="13130002413"/>
  </r>
  <r>
    <x v="30"/>
    <d v="1899-12-30T19:31:53"/>
    <n v="3414"/>
    <n v="13002561"/>
    <n v="13"/>
    <n v="22589"/>
    <s v="Retail Sale"/>
    <n v="15"/>
    <n v="31656"/>
    <x v="6"/>
    <s v="Pulse"/>
    <s v="Novartis"/>
    <n v="2"/>
    <n v="488.11"/>
    <n v="722.44"/>
    <n v="0"/>
    <n v="0"/>
    <m/>
    <n v="29"/>
    <n v="1"/>
    <n v="2"/>
    <n v="722.44"/>
    <n v="13130002414"/>
  </r>
  <r>
    <x v="2"/>
    <d v="1899-12-30T13:26:25"/>
    <n v="3415"/>
    <n v="13002561"/>
    <n v="13"/>
    <n v="22589"/>
    <s v="Retail Sale"/>
    <n v="15"/>
    <n v="49953"/>
    <x v="7"/>
    <s v="Pulse"/>
    <s v="Novartis"/>
    <n v="1"/>
    <n v="125.18"/>
    <n v="195.58"/>
    <n v="0"/>
    <n v="0"/>
    <m/>
    <n v="29"/>
    <n v="1"/>
    <n v="3"/>
    <n v="195.58"/>
    <n v="13130002415"/>
  </r>
  <r>
    <x v="22"/>
    <d v="1899-12-30T09:29:07"/>
    <n v="3416"/>
    <n v="13002561"/>
    <n v="13"/>
    <n v="22589"/>
    <s v="Retail Sale"/>
    <n v="15"/>
    <n v="75402"/>
    <x v="11"/>
    <s v="Katren"/>
    <s v="Takeda"/>
    <n v="1"/>
    <n v="42.23"/>
    <n v="65.58"/>
    <n v="6.56"/>
    <n v="6.56"/>
    <s v="BONUS_CARD"/>
    <n v="29"/>
    <n v="1"/>
    <n v="1"/>
    <n v="59.02"/>
    <n v="13130002416"/>
  </r>
  <r>
    <x v="24"/>
    <d v="1899-12-30T12:22:08"/>
    <n v="3417"/>
    <n v="13002561"/>
    <n v="13"/>
    <n v="22589"/>
    <s v="Retail Sale"/>
    <n v="15"/>
    <n v="43792"/>
    <x v="54"/>
    <s v="Pulse"/>
    <s v="Sanofi"/>
    <n v="1"/>
    <n v="317.82"/>
    <n v="474.8"/>
    <n v="0"/>
    <n v="0"/>
    <m/>
    <n v="29"/>
    <n v="1"/>
    <n v="2"/>
    <n v="474.8"/>
    <n v="13130002417"/>
  </r>
  <r>
    <x v="5"/>
    <d v="1899-12-30T12:03:35"/>
    <n v="3418"/>
    <n v="13002561"/>
    <n v="13"/>
    <n v="22589"/>
    <s v="Retail Sale"/>
    <n v="15"/>
    <n v="91725"/>
    <x v="50"/>
    <s v="Pharmcomplect"/>
    <s v="Novartis"/>
    <n v="3"/>
    <n v="288.54000000000002"/>
    <n v="362.63"/>
    <n v="36.26"/>
    <n v="36.26"/>
    <s v="BONUS_CARD"/>
    <n v="29"/>
    <n v="1"/>
    <n v="4"/>
    <n v="326.37"/>
    <n v="13130002418"/>
  </r>
  <r>
    <x v="7"/>
    <d v="1899-12-30T21:12:16"/>
    <n v="3419"/>
    <n v="13002561"/>
    <n v="13"/>
    <n v="22589"/>
    <s v="Retail Sale"/>
    <n v="15"/>
    <n v="78776"/>
    <x v="84"/>
    <s v="Pulse"/>
    <s v="Pfizer"/>
    <n v="3"/>
    <n v="328.44"/>
    <n v="551.73"/>
    <n v="55.17"/>
    <n v="55.17"/>
    <s v="BONUS_CARD"/>
    <n v="29"/>
    <n v="1"/>
    <n v="3"/>
    <n v="496.56"/>
    <n v="13130002419"/>
  </r>
  <r>
    <x v="1"/>
    <d v="1899-12-30T17:14:01"/>
    <n v="3420"/>
    <n v="13002561"/>
    <n v="13"/>
    <n v="22589"/>
    <s v="Retail Sale"/>
    <n v="15"/>
    <n v="80567"/>
    <x v="55"/>
    <s v="Pharmcomplect"/>
    <s v="Takeda"/>
    <n v="2"/>
    <n v="133.86000000000001"/>
    <n v="220.05"/>
    <n v="22.01"/>
    <n v="22.01"/>
    <s v="BONUS_CARD"/>
    <n v="29"/>
    <n v="1"/>
    <n v="4"/>
    <n v="198.04"/>
    <n v="13130002420"/>
  </r>
  <r>
    <x v="7"/>
    <d v="1899-12-30T14:59:00"/>
    <n v="3421"/>
    <n v="13002561"/>
    <n v="13"/>
    <n v="22589"/>
    <s v="Retail Sale"/>
    <n v="15"/>
    <n v="75831"/>
    <x v="85"/>
    <s v="Avesta"/>
    <s v="Pfizer"/>
    <n v="1"/>
    <n v="173.54"/>
    <n v="281.19"/>
    <n v="0"/>
    <n v="0"/>
    <m/>
    <n v="29"/>
    <n v="1"/>
    <n v="4"/>
    <n v="281.19"/>
    <n v="13130002421"/>
  </r>
  <r>
    <x v="11"/>
    <d v="1899-12-30T10:17:03"/>
    <n v="3422"/>
    <n v="13002561"/>
    <n v="13"/>
    <n v="22589"/>
    <s v="Retail Sale"/>
    <n v="15"/>
    <n v="11115"/>
    <x v="70"/>
    <s v="Pulse"/>
    <s v="KRKA"/>
    <n v="3"/>
    <n v="314.66000000000003"/>
    <n v="493.48"/>
    <n v="24.67"/>
    <n v="24.67"/>
    <s v="BONUS_CARD"/>
    <n v="29"/>
    <n v="1"/>
    <n v="3"/>
    <n v="468.81"/>
    <n v="13130002422"/>
  </r>
  <r>
    <x v="22"/>
    <d v="1899-12-30T16:53:18"/>
    <n v="3423"/>
    <n v="13002561"/>
    <n v="13"/>
    <n v="22589"/>
    <s v="Retail Sale"/>
    <n v="18"/>
    <n v="99527"/>
    <x v="26"/>
    <s v="Grand Capital"/>
    <s v="Pfizer"/>
    <n v="1"/>
    <n v="582.85"/>
    <n v="957.08"/>
    <n v="95.71"/>
    <n v="95.71"/>
    <s v="BONUS_CARD"/>
    <n v="29"/>
    <n v="1"/>
    <n v="5"/>
    <n v="861.37"/>
    <n v="13130002423"/>
  </r>
  <r>
    <x v="1"/>
    <d v="1899-12-30T12:01:16"/>
    <n v="3424"/>
    <n v="13002561"/>
    <n v="13"/>
    <n v="22589"/>
    <s v="Retail Sale"/>
    <n v="18"/>
    <n v="29784"/>
    <x v="82"/>
    <s v="Avesta"/>
    <s v="TEVA"/>
    <n v="2"/>
    <n v="64.989999999999995"/>
    <n v="105.6"/>
    <n v="0"/>
    <n v="0"/>
    <m/>
    <n v="29"/>
    <n v="1"/>
    <n v="1"/>
    <n v="105.6"/>
    <n v="13130002424"/>
  </r>
  <r>
    <x v="25"/>
    <d v="1899-12-30T19:30:24"/>
    <n v="3425"/>
    <n v="13002561"/>
    <n v="13"/>
    <n v="22589"/>
    <s v="Retail Sale"/>
    <n v="18"/>
    <n v="58049"/>
    <x v="50"/>
    <s v="Pulse"/>
    <s v="Takeda"/>
    <n v="1"/>
    <n v="252.39"/>
    <n v="335.84"/>
    <n v="16.79"/>
    <n v="16.79"/>
    <s v="BONUS_CARD"/>
    <n v="29"/>
    <n v="1"/>
    <n v="6"/>
    <n v="319.05"/>
    <n v="13130002425"/>
  </r>
  <r>
    <x v="2"/>
    <d v="1899-12-30T16:24:42"/>
    <n v="3426"/>
    <n v="13002561"/>
    <n v="13"/>
    <n v="22589"/>
    <s v="Retail Sale"/>
    <n v="18"/>
    <n v="81237"/>
    <x v="54"/>
    <s v="Pulse"/>
    <s v="Takeda"/>
    <n v="2"/>
    <n v="391.8"/>
    <n v="589.64"/>
    <n v="29.48"/>
    <n v="29.48"/>
    <s v="BONUS_CARD"/>
    <n v="29"/>
    <n v="1"/>
    <n v="5"/>
    <n v="560.16"/>
    <n v="13130002426"/>
  </r>
  <r>
    <x v="8"/>
    <d v="1899-12-30T18:38:36"/>
    <n v="3427"/>
    <n v="13002561"/>
    <n v="13"/>
    <n v="22589"/>
    <s v="Retail Sale"/>
    <n v="15"/>
    <n v="23602"/>
    <x v="38"/>
    <s v="Katren"/>
    <s v="Novartis"/>
    <n v="3"/>
    <n v="13.29"/>
    <n v="17.89"/>
    <n v="1.79"/>
    <n v="1.79"/>
    <s v="BONUS_CARD"/>
    <n v="29"/>
    <n v="1"/>
    <n v="1"/>
    <n v="16.100000000000001"/>
    <n v="13130002427"/>
  </r>
  <r>
    <x v="19"/>
    <d v="1899-12-30T16:16:06"/>
    <n v="3428"/>
    <n v="13002561"/>
    <n v="13"/>
    <n v="22589"/>
    <s v="Retail Sale"/>
    <n v="18"/>
    <n v="14722"/>
    <x v="45"/>
    <s v="Protek"/>
    <s v="KRKA"/>
    <n v="2"/>
    <n v="583.35"/>
    <n v="963.29"/>
    <n v="96.33"/>
    <n v="96.33"/>
    <s v="BONUS_CARD"/>
    <n v="29"/>
    <n v="1"/>
    <n v="1"/>
    <n v="866.96"/>
    <n v="13130002428"/>
  </r>
  <r>
    <x v="16"/>
    <d v="1899-12-30T09:24:48"/>
    <n v="3429"/>
    <n v="13002561"/>
    <n v="13"/>
    <n v="22589"/>
    <s v="Retail Sale"/>
    <n v="15"/>
    <n v="31309"/>
    <x v="35"/>
    <s v="Avesta"/>
    <s v="Dr. Reddy's"/>
    <n v="3"/>
    <n v="141.47"/>
    <n v="180.91"/>
    <n v="18.09"/>
    <n v="18.09"/>
    <s v="BONUS_CARD"/>
    <n v="29"/>
    <n v="1"/>
    <n v="5"/>
    <n v="162.82"/>
    <n v="13130002429"/>
  </r>
  <r>
    <x v="28"/>
    <d v="1899-12-30T09:12:59"/>
    <n v="3430"/>
    <n v="13002561"/>
    <n v="13"/>
    <n v="22589"/>
    <s v="Retail Sale"/>
    <n v="18"/>
    <n v="38766"/>
    <x v="14"/>
    <s v="Grand Capital"/>
    <s v="Pfizer"/>
    <n v="3"/>
    <n v="328.29"/>
    <n v="446.04"/>
    <n v="0"/>
    <n v="0"/>
    <m/>
    <n v="29"/>
    <n v="1"/>
    <n v="1"/>
    <n v="446.04"/>
    <n v="13130002430"/>
  </r>
  <r>
    <x v="24"/>
    <d v="1899-12-30T22:23:15"/>
    <n v="3431"/>
    <n v="13002561"/>
    <n v="13"/>
    <n v="22589"/>
    <s v="Retail Sale"/>
    <n v="15"/>
    <n v="35444"/>
    <x v="13"/>
    <s v="Avesta"/>
    <s v="Sanofi"/>
    <n v="3"/>
    <n v="212.51"/>
    <n v="314.69"/>
    <n v="0"/>
    <n v="0"/>
    <m/>
    <n v="29"/>
    <n v="1"/>
    <n v="2"/>
    <n v="314.69"/>
    <n v="13130002431"/>
  </r>
  <r>
    <x v="19"/>
    <d v="1899-12-30T11:37:11"/>
    <n v="3432"/>
    <n v="13002561"/>
    <n v="13"/>
    <n v="22589"/>
    <s v="Retail Sale"/>
    <n v="18"/>
    <n v="36092"/>
    <x v="47"/>
    <s v="Grand Capital"/>
    <s v="Takeda"/>
    <n v="1"/>
    <n v="135.27000000000001"/>
    <n v="226.77"/>
    <n v="0"/>
    <n v="0"/>
    <m/>
    <n v="29"/>
    <n v="1"/>
    <n v="3"/>
    <n v="226.77"/>
    <n v="13130002432"/>
  </r>
  <r>
    <x v="12"/>
    <d v="1899-12-30T17:23:19"/>
    <n v="3433"/>
    <n v="13002561"/>
    <n v="13"/>
    <n v="22589"/>
    <s v="Retail Sale"/>
    <n v="18"/>
    <n v="44668"/>
    <x v="9"/>
    <s v="Protek"/>
    <s v="Pfizer"/>
    <n v="2"/>
    <n v="206.92"/>
    <n v="264.23"/>
    <n v="13.21"/>
    <n v="13.21"/>
    <s v="BONUS_CARD"/>
    <n v="29"/>
    <n v="1"/>
    <n v="5"/>
    <n v="251.02"/>
    <n v="13130002433"/>
  </r>
  <r>
    <x v="23"/>
    <d v="1899-12-30T21:10:33"/>
    <n v="3434"/>
    <n v="13002561"/>
    <n v="13"/>
    <n v="22589"/>
    <s v="Retail Sale"/>
    <n v="18"/>
    <n v="80856"/>
    <x v="57"/>
    <s v="Katren"/>
    <s v="Takeda"/>
    <n v="2"/>
    <n v="285.25"/>
    <n v="483.54"/>
    <n v="48.35"/>
    <n v="48.35"/>
    <s v="BONUS_CARD"/>
    <n v="29"/>
    <n v="1"/>
    <n v="6"/>
    <n v="435.19"/>
    <n v="13130002434"/>
  </r>
  <r>
    <x v="1"/>
    <d v="1899-12-30T16:14:02"/>
    <n v="3435"/>
    <n v="13002561"/>
    <n v="13"/>
    <n v="22589"/>
    <s v="Retail Sale"/>
    <n v="15"/>
    <n v="70173"/>
    <x v="21"/>
    <s v="Avesta"/>
    <s v="Dr. Reddy's"/>
    <n v="2"/>
    <n v="249.81"/>
    <n v="413.41"/>
    <n v="20.67"/>
    <n v="20.67"/>
    <s v="BONUS_CARD"/>
    <n v="29"/>
    <n v="1"/>
    <n v="5"/>
    <n v="392.74"/>
    <n v="13130002435"/>
  </r>
  <r>
    <x v="2"/>
    <d v="1899-12-30T09:08:58"/>
    <n v="3436"/>
    <n v="13002561"/>
    <n v="13"/>
    <n v="22589"/>
    <s v="Retail Sale"/>
    <n v="18"/>
    <n v="26323"/>
    <x v="28"/>
    <s v="Avesta"/>
    <s v="Novartis"/>
    <n v="1"/>
    <n v="121.41"/>
    <n v="172.67"/>
    <n v="8.6300000000000008"/>
    <n v="8.6300000000000008"/>
    <s v="BONUS_CARD"/>
    <n v="29"/>
    <n v="1"/>
    <n v="5"/>
    <n v="164.04"/>
    <n v="13130002436"/>
  </r>
  <r>
    <x v="6"/>
    <d v="1899-12-30T19:09:45"/>
    <n v="3437"/>
    <n v="13002561"/>
    <n v="13"/>
    <n v="22589"/>
    <s v="Retail Sale"/>
    <n v="15"/>
    <n v="80128"/>
    <x v="13"/>
    <s v="Pharmcomplect"/>
    <s v="Takeda"/>
    <n v="2"/>
    <n v="11.78"/>
    <n v="15.34"/>
    <n v="0"/>
    <n v="0"/>
    <m/>
    <n v="29"/>
    <n v="1"/>
    <n v="2"/>
    <n v="15.34"/>
    <n v="13130002437"/>
  </r>
  <r>
    <x v="0"/>
    <d v="1899-12-30T09:42:02"/>
    <n v="3438"/>
    <n v="13002561"/>
    <n v="13"/>
    <n v="22589"/>
    <s v="Retail Sale"/>
    <n v="18"/>
    <n v="56922"/>
    <x v="77"/>
    <s v="Avesta"/>
    <s v="Bayer"/>
    <n v="3"/>
    <n v="240.59"/>
    <n v="347.7"/>
    <n v="0"/>
    <n v="0"/>
    <m/>
    <n v="29"/>
    <n v="1"/>
    <n v="2"/>
    <n v="347.7"/>
    <n v="13130002438"/>
  </r>
  <r>
    <x v="5"/>
    <d v="1899-12-30T13:08:42"/>
    <n v="3439"/>
    <n v="13002561"/>
    <n v="13"/>
    <n v="22589"/>
    <s v="Retail Sale"/>
    <n v="18"/>
    <n v="94222"/>
    <x v="55"/>
    <s v="Katren"/>
    <s v="KRKA"/>
    <n v="2"/>
    <n v="488.01"/>
    <n v="637.15"/>
    <n v="0"/>
    <n v="0"/>
    <m/>
    <n v="29"/>
    <n v="1"/>
    <n v="2"/>
    <n v="637.15"/>
    <n v="13130002439"/>
  </r>
  <r>
    <x v="14"/>
    <d v="1899-12-30T10:04:59"/>
    <n v="3440"/>
    <n v="13002561"/>
    <n v="13"/>
    <n v="22589"/>
    <s v="Retail Sale"/>
    <n v="15"/>
    <n v="64547"/>
    <x v="54"/>
    <s v="Avesta"/>
    <s v="KRKA"/>
    <n v="3"/>
    <n v="316.24"/>
    <n v="455.17"/>
    <n v="0"/>
    <n v="0"/>
    <m/>
    <n v="29"/>
    <n v="1"/>
    <n v="1"/>
    <n v="455.17"/>
    <n v="13130002440"/>
  </r>
  <r>
    <x v="3"/>
    <d v="1899-12-30T09:18:51"/>
    <n v="3441"/>
    <n v="13002561"/>
    <n v="13"/>
    <n v="22589"/>
    <s v="Retail Sale"/>
    <n v="18"/>
    <n v="43734"/>
    <x v="8"/>
    <s v="Pulse"/>
    <s v="Takeda"/>
    <n v="2"/>
    <n v="547.41999999999996"/>
    <n v="717.73"/>
    <n v="0"/>
    <n v="0"/>
    <m/>
    <n v="29"/>
    <n v="1"/>
    <n v="4"/>
    <n v="717.73"/>
    <n v="13130002441"/>
  </r>
  <r>
    <x v="11"/>
    <d v="1899-12-30T11:50:49"/>
    <n v="3442"/>
    <n v="13002561"/>
    <n v="13"/>
    <n v="22589"/>
    <s v="Retail Sale"/>
    <n v="18"/>
    <n v="23001"/>
    <x v="37"/>
    <s v="Grand Capital"/>
    <s v="Pfizer"/>
    <n v="1"/>
    <n v="190.72"/>
    <n v="280.44"/>
    <n v="0"/>
    <n v="0"/>
    <m/>
    <n v="29"/>
    <n v="1"/>
    <n v="1"/>
    <n v="280.44"/>
    <n v="13130002442"/>
  </r>
  <r>
    <x v="19"/>
    <d v="1899-12-30T16:21:42"/>
    <n v="3443"/>
    <n v="13002561"/>
    <n v="13"/>
    <n v="22589"/>
    <s v="Retail Sale"/>
    <n v="15"/>
    <n v="17153"/>
    <x v="29"/>
    <s v="Pulse"/>
    <s v="Sanofi"/>
    <n v="2"/>
    <n v="388.95"/>
    <n v="565.79999999999995"/>
    <n v="28.29"/>
    <n v="28.29"/>
    <s v="BONUS_CARD"/>
    <n v="29"/>
    <n v="1"/>
    <n v="1"/>
    <n v="537.51"/>
    <n v="13130002443"/>
  </r>
  <r>
    <x v="25"/>
    <d v="1899-12-30T20:48:20"/>
    <n v="3444"/>
    <n v="13002561"/>
    <n v="13"/>
    <n v="22589"/>
    <s v="Retail Sale"/>
    <n v="18"/>
    <n v="26892"/>
    <x v="59"/>
    <s v="Katren"/>
    <s v="Sanofi"/>
    <n v="1"/>
    <n v="22.25"/>
    <n v="29.86"/>
    <n v="1.49"/>
    <n v="1.49"/>
    <s v="BONUS_CARD"/>
    <n v="29"/>
    <n v="1"/>
    <n v="3"/>
    <n v="28.37"/>
    <n v="13130002444"/>
  </r>
  <r>
    <x v="2"/>
    <d v="1899-12-30T09:26:45"/>
    <n v="3445"/>
    <n v="13002561"/>
    <n v="13"/>
    <n v="22589"/>
    <s v="Retail Sale"/>
    <n v="18"/>
    <n v="35354"/>
    <x v="47"/>
    <s v="Grand Capital"/>
    <s v="KRKA"/>
    <n v="1"/>
    <n v="283.14"/>
    <n v="479.72"/>
    <n v="0"/>
    <n v="0"/>
    <m/>
    <n v="29"/>
    <n v="1"/>
    <n v="6"/>
    <n v="479.72"/>
    <n v="13130002445"/>
  </r>
  <r>
    <x v="24"/>
    <d v="1899-12-30T08:28:45"/>
    <n v="3446"/>
    <n v="13002561"/>
    <n v="13"/>
    <n v="22589"/>
    <s v="Retail Sale"/>
    <n v="18"/>
    <n v="90625"/>
    <x v="54"/>
    <s v="Protek"/>
    <s v="Pfizer"/>
    <n v="2"/>
    <n v="303.63"/>
    <n v="436.46"/>
    <n v="0"/>
    <n v="0"/>
    <m/>
    <n v="29"/>
    <n v="1"/>
    <n v="2"/>
    <n v="436.46"/>
    <n v="13130002446"/>
  </r>
  <r>
    <x v="21"/>
    <d v="1899-12-30T20:46:38"/>
    <n v="3447"/>
    <n v="13002561"/>
    <n v="13"/>
    <n v="22589"/>
    <s v="Retail Sale"/>
    <n v="18"/>
    <n v="66858"/>
    <x v="81"/>
    <s v="Grand Capital"/>
    <s v="Sanofi"/>
    <n v="1"/>
    <n v="118.86"/>
    <n v="199.36"/>
    <n v="9.9700000000000006"/>
    <n v="9.9700000000000006"/>
    <s v="BONUS_CARD"/>
    <n v="29"/>
    <n v="1"/>
    <n v="3"/>
    <n v="189.39"/>
    <n v="13130002447"/>
  </r>
  <r>
    <x v="15"/>
    <d v="1899-12-30T20:47:01"/>
    <n v="3448"/>
    <n v="13002561"/>
    <n v="13"/>
    <n v="22589"/>
    <s v="Retail Sale"/>
    <n v="18"/>
    <n v="95255"/>
    <x v="7"/>
    <s v="Katren"/>
    <s v="Bayer"/>
    <n v="2"/>
    <n v="233.66"/>
    <n v="356.56"/>
    <n v="17.829999999999998"/>
    <n v="17.829999999999998"/>
    <s v="BONUS_CARD"/>
    <n v="29"/>
    <n v="1"/>
    <n v="3"/>
    <n v="338.73"/>
    <n v="13130002448"/>
  </r>
  <r>
    <x v="4"/>
    <d v="1899-12-30T10:45:38"/>
    <n v="3449"/>
    <n v="13002561"/>
    <n v="13"/>
    <n v="22589"/>
    <s v="Retail Sale"/>
    <n v="18"/>
    <n v="35414"/>
    <x v="9"/>
    <s v="Katren"/>
    <s v="TEVA"/>
    <n v="2"/>
    <n v="234.97"/>
    <n v="376.76"/>
    <n v="18.84"/>
    <n v="18.84"/>
    <s v="BONUS_CARD"/>
    <n v="29"/>
    <n v="1"/>
    <n v="5"/>
    <n v="357.92"/>
    <n v="13130002449"/>
  </r>
  <r>
    <x v="18"/>
    <d v="1899-12-30T09:16:27"/>
    <n v="3450"/>
    <n v="13002561"/>
    <n v="13"/>
    <n v="22589"/>
    <s v="Retail Sale"/>
    <n v="18"/>
    <n v="89706"/>
    <x v="65"/>
    <s v="Pulse"/>
    <s v="Dr. Reddy's"/>
    <n v="1"/>
    <n v="267.8"/>
    <n v="452.82"/>
    <n v="45.28"/>
    <n v="45.28"/>
    <s v="BONUS_CARD"/>
    <n v="29"/>
    <n v="1"/>
    <n v="1"/>
    <n v="407.54"/>
    <n v="13130002450"/>
  </r>
  <r>
    <x v="17"/>
    <d v="1899-12-30T14:51:16"/>
    <n v="3451"/>
    <n v="13002561"/>
    <n v="13"/>
    <n v="22589"/>
    <s v="Retail Sale"/>
    <n v="15"/>
    <n v="43859"/>
    <x v="74"/>
    <s v="Pharmcomplect"/>
    <s v="TEVA"/>
    <n v="2"/>
    <n v="562.54999999999995"/>
    <n v="836.62"/>
    <n v="0"/>
    <n v="0"/>
    <m/>
    <n v="29"/>
    <n v="1"/>
    <n v="4"/>
    <n v="836.62"/>
    <n v="13130002451"/>
  </r>
  <r>
    <x v="19"/>
    <d v="1899-12-30T21:08:04"/>
    <n v="3452"/>
    <n v="13002561"/>
    <n v="13"/>
    <n v="22589"/>
    <s v="Retail Sale"/>
    <n v="18"/>
    <n v="89017"/>
    <x v="24"/>
    <s v="Katren"/>
    <s v="Takeda"/>
    <n v="3"/>
    <n v="39.6"/>
    <n v="51.24"/>
    <n v="2.56"/>
    <n v="2.56"/>
    <s v="BONUS_CARD"/>
    <n v="29"/>
    <n v="1"/>
    <n v="5"/>
    <n v="48.68"/>
    <n v="13130002452"/>
  </r>
  <r>
    <x v="4"/>
    <d v="1899-12-30T12:02:43"/>
    <n v="3453"/>
    <n v="13002561"/>
    <n v="13"/>
    <n v="22589"/>
    <s v="Retail Sale"/>
    <n v="15"/>
    <n v="33415"/>
    <x v="59"/>
    <s v="Pharmcomplect"/>
    <s v="Sanofi"/>
    <n v="3"/>
    <n v="407.25"/>
    <n v="676.13"/>
    <n v="0"/>
    <n v="0"/>
    <m/>
    <n v="29"/>
    <n v="1"/>
    <n v="3"/>
    <n v="676.13"/>
    <n v="13130002453"/>
  </r>
  <r>
    <x v="13"/>
    <d v="1899-12-30T19:03:00"/>
    <n v="3454"/>
    <n v="13002561"/>
    <n v="13"/>
    <n v="22589"/>
    <s v="Retail Sale"/>
    <n v="18"/>
    <n v="74624"/>
    <x v="49"/>
    <s v="Pharmcomplect"/>
    <s v="Novartis"/>
    <n v="1"/>
    <n v="386.02"/>
    <n v="602.87"/>
    <n v="0"/>
    <n v="0"/>
    <m/>
    <n v="29"/>
    <n v="1"/>
    <n v="5"/>
    <n v="602.87"/>
    <n v="13130002454"/>
  </r>
  <r>
    <x v="26"/>
    <d v="1899-12-30T09:22:12"/>
    <n v="3455"/>
    <n v="13002561"/>
    <n v="13"/>
    <n v="22589"/>
    <s v="Retail Sale"/>
    <n v="15"/>
    <n v="44266"/>
    <x v="41"/>
    <s v="Grand Capital"/>
    <s v="Dr. Reddy's"/>
    <n v="2"/>
    <n v="305.48"/>
    <n v="463.7"/>
    <n v="0"/>
    <n v="0"/>
    <m/>
    <n v="29"/>
    <n v="1"/>
    <n v="2"/>
    <n v="463.7"/>
    <n v="13130002455"/>
  </r>
  <r>
    <x v="8"/>
    <d v="1899-12-30T13:19:07"/>
    <n v="3456"/>
    <n v="13002561"/>
    <n v="13"/>
    <n v="22589"/>
    <s v="Retail Sale"/>
    <n v="15"/>
    <n v="62405"/>
    <x v="60"/>
    <s v="Protek"/>
    <s v="Dr. Reddy's"/>
    <n v="1"/>
    <n v="596.76"/>
    <n v="913.93"/>
    <n v="45.7"/>
    <n v="45.7"/>
    <s v="BONUS_CARD"/>
    <n v="29"/>
    <n v="1"/>
    <n v="2"/>
    <n v="868.23"/>
    <n v="13130002456"/>
  </r>
  <r>
    <x v="23"/>
    <d v="1899-12-30T18:42:37"/>
    <n v="3457"/>
    <n v="13002561"/>
    <n v="13"/>
    <n v="22589"/>
    <s v="Retail Sale"/>
    <n v="18"/>
    <n v="73751"/>
    <x v="76"/>
    <s v="Grand Capital"/>
    <s v="Dr. Reddy's"/>
    <n v="1"/>
    <n v="522.48"/>
    <n v="811.74"/>
    <n v="81.17"/>
    <n v="81.17"/>
    <s v="BONUS_CARD"/>
    <n v="29"/>
    <n v="1"/>
    <n v="6"/>
    <n v="730.57"/>
    <n v="13130002457"/>
  </r>
  <r>
    <x v="9"/>
    <d v="1899-12-30T08:02:07"/>
    <n v="3458"/>
    <n v="13002561"/>
    <n v="13"/>
    <n v="22589"/>
    <s v="Retail Sale"/>
    <n v="18"/>
    <n v="43711"/>
    <x v="15"/>
    <s v="Protek"/>
    <s v="Novartis"/>
    <n v="3"/>
    <n v="241.96"/>
    <n v="371"/>
    <n v="18.55"/>
    <n v="18.55"/>
    <s v="BONUS_CARD"/>
    <n v="29"/>
    <n v="1"/>
    <n v="1"/>
    <n v="352.45"/>
    <n v="13130002458"/>
  </r>
  <r>
    <x v="7"/>
    <d v="1899-12-30T12:02:16"/>
    <n v="3459"/>
    <n v="13002561"/>
    <n v="13"/>
    <n v="22589"/>
    <s v="Retail Sale"/>
    <n v="15"/>
    <n v="69413"/>
    <x v="87"/>
    <s v="Pharmcomplect"/>
    <s v="KRKA"/>
    <n v="2"/>
    <n v="589.79"/>
    <n v="936.55"/>
    <n v="46.83"/>
    <n v="46.83"/>
    <s v="BONUS_CARD"/>
    <n v="29"/>
    <n v="1"/>
    <n v="5"/>
    <n v="889.72"/>
    <n v="13130002459"/>
  </r>
  <r>
    <x v="18"/>
    <d v="1899-12-30T11:57:14"/>
    <n v="3460"/>
    <n v="13002561"/>
    <n v="13"/>
    <n v="22589"/>
    <s v="Retail Sale"/>
    <n v="18"/>
    <n v="42693"/>
    <x v="26"/>
    <s v="Katren"/>
    <s v="Dr. Reddy's"/>
    <n v="2"/>
    <n v="379.74"/>
    <n v="477.36"/>
    <n v="0"/>
    <n v="0"/>
    <m/>
    <n v="29"/>
    <n v="1"/>
    <n v="5"/>
    <n v="477.36"/>
    <n v="13130002460"/>
  </r>
  <r>
    <x v="15"/>
    <d v="1899-12-30T19:51:15"/>
    <n v="3461"/>
    <n v="13002561"/>
    <n v="13"/>
    <n v="22589"/>
    <s v="Retail Sale"/>
    <n v="15"/>
    <n v="98003"/>
    <x v="83"/>
    <s v="Protek"/>
    <s v="Sanofi"/>
    <n v="1"/>
    <n v="150.1"/>
    <n v="206.96"/>
    <n v="0"/>
    <n v="0"/>
    <m/>
    <n v="29"/>
    <n v="1"/>
    <n v="3"/>
    <n v="206.96"/>
    <n v="13130002461"/>
  </r>
  <r>
    <x v="23"/>
    <d v="1899-12-30T18:58:51"/>
    <n v="3462"/>
    <n v="13002561"/>
    <n v="13"/>
    <n v="22589"/>
    <s v="Retail Sale"/>
    <n v="15"/>
    <n v="75763"/>
    <x v="34"/>
    <s v="Pulse"/>
    <s v="Bayer"/>
    <n v="1"/>
    <n v="80.91"/>
    <n v="105.15"/>
    <n v="5.26"/>
    <n v="5.26"/>
    <s v="BONUS_CARD"/>
    <n v="29"/>
    <n v="1"/>
    <n v="3"/>
    <n v="99.89"/>
    <n v="13130002462"/>
  </r>
  <r>
    <x v="5"/>
    <d v="1899-12-30T19:09:33"/>
    <n v="3463"/>
    <n v="13002561"/>
    <n v="13"/>
    <n v="22589"/>
    <s v="Retail Sale"/>
    <n v="15"/>
    <n v="61761"/>
    <x v="4"/>
    <s v="Avesta"/>
    <s v="TEVA"/>
    <n v="1"/>
    <n v="486.63"/>
    <n v="723.68"/>
    <n v="36.18"/>
    <n v="36.18"/>
    <s v="BONUS_CARD"/>
    <n v="29"/>
    <n v="1"/>
    <n v="2"/>
    <n v="687.5"/>
    <n v="13130002463"/>
  </r>
  <r>
    <x v="18"/>
    <d v="1899-12-30T13:42:41"/>
    <n v="3464"/>
    <n v="13002561"/>
    <n v="13"/>
    <n v="22589"/>
    <s v="Retail Sale"/>
    <n v="15"/>
    <n v="14314"/>
    <x v="21"/>
    <s v="Avesta"/>
    <s v="TEVA"/>
    <n v="3"/>
    <n v="549.70000000000005"/>
    <n v="881.79"/>
    <n v="44.09"/>
    <n v="44.09"/>
    <s v="BONUS_CARD"/>
    <n v="29"/>
    <n v="1"/>
    <n v="4"/>
    <n v="837.7"/>
    <n v="13130002464"/>
  </r>
  <r>
    <x v="8"/>
    <d v="1899-12-30T10:06:24"/>
    <n v="3465"/>
    <n v="13002561"/>
    <n v="13"/>
    <n v="22589"/>
    <s v="Retail Sale"/>
    <n v="15"/>
    <n v="77315"/>
    <x v="16"/>
    <s v="Grand Capital"/>
    <s v="Novartis"/>
    <n v="1"/>
    <n v="515.97"/>
    <n v="748.49"/>
    <n v="37.42"/>
    <n v="37.42"/>
    <s v="BONUS_CARD"/>
    <n v="29"/>
    <n v="1"/>
    <n v="5"/>
    <n v="711.07"/>
    <n v="13130002465"/>
  </r>
  <r>
    <x v="21"/>
    <d v="1899-12-30T14:47:49"/>
    <n v="3466"/>
    <n v="13002561"/>
    <n v="13"/>
    <n v="22589"/>
    <s v="Retail Sale"/>
    <n v="18"/>
    <n v="91872"/>
    <x v="39"/>
    <s v="Katren"/>
    <s v="Dr. Reddy's"/>
    <n v="1"/>
    <n v="594.44000000000005"/>
    <n v="796.58"/>
    <n v="0"/>
    <n v="0"/>
    <m/>
    <n v="29"/>
    <n v="1"/>
    <n v="1"/>
    <n v="796.58"/>
    <n v="13130002466"/>
  </r>
  <r>
    <x v="29"/>
    <d v="1899-12-30T12:01:42"/>
    <n v="3467"/>
    <n v="13002561"/>
    <n v="13"/>
    <n v="22589"/>
    <s v="Retail Sale"/>
    <n v="15"/>
    <n v="51927"/>
    <x v="40"/>
    <s v="Grand Capital"/>
    <s v="Sanofi"/>
    <n v="3"/>
    <n v="305.58"/>
    <n v="510.95"/>
    <n v="0"/>
    <n v="0"/>
    <m/>
    <n v="29"/>
    <n v="1"/>
    <n v="4"/>
    <n v="510.95"/>
    <n v="13130002467"/>
  </r>
  <r>
    <x v="13"/>
    <d v="1899-12-30T20:01:33"/>
    <n v="3468"/>
    <n v="13002561"/>
    <n v="13"/>
    <n v="22589"/>
    <s v="Retail Sale"/>
    <n v="15"/>
    <n v="21018"/>
    <x v="44"/>
    <s v="Grand Capital"/>
    <s v="TEVA"/>
    <n v="1"/>
    <n v="262.3"/>
    <n v="411.22"/>
    <n v="20.56"/>
    <n v="20.56"/>
    <s v="BONUS_CARD"/>
    <n v="29"/>
    <n v="1"/>
    <n v="2"/>
    <n v="390.66"/>
    <n v="13130002468"/>
  </r>
  <r>
    <x v="23"/>
    <d v="1899-12-30T11:54:21"/>
    <n v="3469"/>
    <n v="13002561"/>
    <n v="13"/>
    <n v="22589"/>
    <s v="Retail Sale"/>
    <n v="18"/>
    <n v="16718"/>
    <x v="18"/>
    <s v="Grand Capital"/>
    <s v="Novartis"/>
    <n v="3"/>
    <n v="560.09"/>
    <n v="714.16"/>
    <n v="35.71"/>
    <n v="35.71"/>
    <s v="BONUS_CARD"/>
    <n v="29"/>
    <n v="1"/>
    <n v="2"/>
    <n v="678.45"/>
    <n v="13130002469"/>
  </r>
  <r>
    <x v="5"/>
    <d v="1899-12-30T11:01:46"/>
    <n v="3470"/>
    <n v="13002561"/>
    <n v="13"/>
    <n v="22589"/>
    <s v="Retail Sale"/>
    <n v="18"/>
    <n v="51353"/>
    <x v="7"/>
    <s v="Avesta"/>
    <s v="Bayer"/>
    <n v="2"/>
    <n v="494.75"/>
    <n v="797.77"/>
    <n v="79.78"/>
    <n v="79.78"/>
    <s v="BONUS_CARD"/>
    <n v="29"/>
    <n v="1"/>
    <n v="1"/>
    <n v="717.99"/>
    <n v="13130002470"/>
  </r>
  <r>
    <x v="16"/>
    <d v="1899-12-30T08:08:38"/>
    <n v="3471"/>
    <n v="13002561"/>
    <n v="13"/>
    <n v="22589"/>
    <s v="Retail Sale"/>
    <n v="15"/>
    <n v="29392"/>
    <x v="49"/>
    <s v="Katren"/>
    <s v="Takeda"/>
    <n v="3"/>
    <n v="129.09"/>
    <n v="182.45"/>
    <n v="0"/>
    <n v="0"/>
    <m/>
    <n v="29"/>
    <n v="1"/>
    <n v="3"/>
    <n v="182.45"/>
    <n v="13130002471"/>
  </r>
  <r>
    <x v="26"/>
    <d v="1899-12-30T13:40:59"/>
    <n v="3472"/>
    <n v="13002561"/>
    <n v="13"/>
    <n v="22589"/>
    <s v="Retail Sale"/>
    <n v="15"/>
    <n v="10250"/>
    <x v="4"/>
    <s v="Protek"/>
    <s v="Takeda"/>
    <n v="2"/>
    <n v="395.98"/>
    <n v="600.63"/>
    <n v="60.06"/>
    <n v="60.06"/>
    <s v="BONUS_CARD"/>
    <n v="29"/>
    <n v="1"/>
    <n v="3"/>
    <n v="540.57000000000005"/>
    <n v="13130002472"/>
  </r>
  <r>
    <x v="22"/>
    <d v="1899-12-30T20:18:29"/>
    <n v="3473"/>
    <n v="13002561"/>
    <n v="13"/>
    <n v="22589"/>
    <s v="Retail Sale"/>
    <n v="18"/>
    <n v="77582"/>
    <x v="37"/>
    <s v="Pulse"/>
    <s v="KRKA"/>
    <n v="2"/>
    <n v="171.42"/>
    <n v="246.54"/>
    <n v="12.33"/>
    <n v="12.33"/>
    <s v="BONUS_CARD"/>
    <n v="29"/>
    <n v="1"/>
    <n v="2"/>
    <n v="234.21"/>
    <n v="13130002473"/>
  </r>
  <r>
    <x v="9"/>
    <d v="1899-12-30T13:17:56"/>
    <n v="3474"/>
    <n v="13002561"/>
    <n v="13"/>
    <n v="22589"/>
    <s v="Retail Sale"/>
    <n v="18"/>
    <n v="77173"/>
    <x v="41"/>
    <s v="Katren"/>
    <s v="Pfizer"/>
    <n v="1"/>
    <n v="590.80999999999995"/>
    <n v="1001.41"/>
    <n v="100.14"/>
    <n v="100.14"/>
    <s v="BONUS_CARD"/>
    <n v="29"/>
    <n v="1"/>
    <n v="5"/>
    <n v="901.27"/>
    <n v="13130002474"/>
  </r>
  <r>
    <x v="30"/>
    <d v="1899-12-30T20:51:19"/>
    <n v="3475"/>
    <n v="13002561"/>
    <n v="13"/>
    <n v="22589"/>
    <s v="Retail Sale"/>
    <n v="18"/>
    <n v="54068"/>
    <x v="41"/>
    <s v="Pulse"/>
    <s v="Takeda"/>
    <n v="3"/>
    <n v="470.34"/>
    <n v="755.43"/>
    <n v="75.540000000000006"/>
    <n v="75.540000000000006"/>
    <s v="BONUS_CARD"/>
    <n v="29"/>
    <n v="1"/>
    <n v="2"/>
    <n v="679.89"/>
    <n v="13130002475"/>
  </r>
  <r>
    <x v="15"/>
    <d v="1899-12-30T19:41:45"/>
    <n v="3476"/>
    <n v="13002561"/>
    <n v="13"/>
    <n v="22589"/>
    <s v="Retail Sale"/>
    <n v="18"/>
    <n v="64885"/>
    <x v="52"/>
    <s v="Pharmcomplect"/>
    <s v="Bayer"/>
    <n v="3"/>
    <n v="211.46"/>
    <n v="295.27999999999997"/>
    <n v="0"/>
    <n v="0"/>
    <m/>
    <n v="29"/>
    <n v="1"/>
    <n v="6"/>
    <n v="295.27999999999997"/>
    <n v="13130002476"/>
  </r>
  <r>
    <x v="10"/>
    <d v="1899-12-30T14:59:59"/>
    <n v="3477"/>
    <n v="13002561"/>
    <n v="13"/>
    <n v="22589"/>
    <s v="Retail Sale"/>
    <n v="18"/>
    <n v="15336"/>
    <x v="67"/>
    <s v="Grand Capital"/>
    <s v="Sanofi"/>
    <n v="2"/>
    <n v="188.8"/>
    <n v="308.47000000000003"/>
    <n v="15.42"/>
    <n v="15.42"/>
    <s v="BONUS_CARD"/>
    <n v="29"/>
    <n v="1"/>
    <n v="2"/>
    <n v="293.05"/>
    <n v="13130002477"/>
  </r>
  <r>
    <x v="10"/>
    <d v="1899-12-30T14:57:54"/>
    <n v="3478"/>
    <n v="13002561"/>
    <n v="13"/>
    <n v="22589"/>
    <s v="Retail Sale"/>
    <n v="18"/>
    <n v="88994"/>
    <x v="30"/>
    <s v="Pulse"/>
    <s v="TEVA"/>
    <n v="3"/>
    <n v="134"/>
    <n v="177.12"/>
    <n v="8.86"/>
    <n v="8.86"/>
    <s v="BONUS_CARD"/>
    <n v="29"/>
    <n v="1"/>
    <n v="5"/>
    <n v="168.26"/>
    <n v="13130002478"/>
  </r>
  <r>
    <x v="17"/>
    <d v="1899-12-30T20:20:06"/>
    <n v="3479"/>
    <n v="13002561"/>
    <n v="13"/>
    <n v="22589"/>
    <s v="Retail Sale"/>
    <n v="15"/>
    <n v="84687"/>
    <x v="40"/>
    <s v="Katren"/>
    <s v="Dr. Reddy's"/>
    <n v="1"/>
    <n v="335.65"/>
    <n v="559.76"/>
    <n v="55.98"/>
    <n v="55.98"/>
    <s v="BONUS_CARD"/>
    <n v="29"/>
    <n v="1"/>
    <n v="6"/>
    <n v="503.78"/>
    <n v="13130002479"/>
  </r>
  <r>
    <x v="27"/>
    <d v="1899-12-30T09:40:50"/>
    <n v="3480"/>
    <n v="13002561"/>
    <n v="13"/>
    <n v="22589"/>
    <s v="Retail Sale"/>
    <n v="15"/>
    <n v="18810"/>
    <x v="20"/>
    <s v="Protek"/>
    <s v="TEVA"/>
    <n v="2"/>
    <n v="369.92"/>
    <n v="520.51"/>
    <n v="0"/>
    <n v="0"/>
    <m/>
    <n v="29"/>
    <n v="1"/>
    <n v="5"/>
    <n v="520.51"/>
    <n v="13130002480"/>
  </r>
  <r>
    <x v="16"/>
    <d v="1899-12-30T16:11:16"/>
    <n v="3481"/>
    <n v="13002561"/>
    <n v="13"/>
    <n v="22589"/>
    <s v="Retail Sale"/>
    <n v="15"/>
    <n v="52035"/>
    <x v="8"/>
    <s v="Protek"/>
    <s v="TEVA"/>
    <n v="3"/>
    <n v="22.99"/>
    <n v="36.74"/>
    <n v="1.84"/>
    <n v="1.84"/>
    <s v="BONUS_CARD"/>
    <n v="29"/>
    <n v="1"/>
    <n v="6"/>
    <n v="34.9"/>
    <n v="13130002481"/>
  </r>
  <r>
    <x v="17"/>
    <d v="1899-12-30T13:11:38"/>
    <n v="3482"/>
    <n v="13002561"/>
    <n v="13"/>
    <n v="22589"/>
    <s v="Retail Sale"/>
    <n v="15"/>
    <n v="96782"/>
    <x v="29"/>
    <s v="Katren"/>
    <s v="Dr. Reddy's"/>
    <n v="3"/>
    <n v="248.63"/>
    <n v="406.41"/>
    <n v="40.64"/>
    <n v="40.64"/>
    <s v="BONUS_CARD"/>
    <n v="29"/>
    <n v="1"/>
    <n v="2"/>
    <n v="365.77"/>
    <n v="13130002482"/>
  </r>
  <r>
    <x v="24"/>
    <d v="1899-12-30T20:56:30"/>
    <n v="3483"/>
    <n v="13002561"/>
    <n v="13"/>
    <n v="22589"/>
    <s v="Retail Sale"/>
    <n v="15"/>
    <n v="94976"/>
    <x v="59"/>
    <s v="Pharmcomplect"/>
    <s v="Bayer"/>
    <n v="1"/>
    <n v="531.59"/>
    <n v="670.17"/>
    <n v="33.51"/>
    <n v="33.51"/>
    <s v="BONUS_CARD"/>
    <n v="29"/>
    <n v="1"/>
    <n v="1"/>
    <n v="636.66"/>
    <n v="13130002483"/>
  </r>
  <r>
    <x v="17"/>
    <d v="1899-12-30T14:00:34"/>
    <n v="3484"/>
    <n v="13002561"/>
    <n v="13"/>
    <n v="22589"/>
    <s v="Retail Sale"/>
    <n v="15"/>
    <n v="99012"/>
    <x v="43"/>
    <s v="Grand Capital"/>
    <s v="Pfizer"/>
    <n v="3"/>
    <n v="260.14999999999998"/>
    <n v="362.22"/>
    <n v="18.11"/>
    <n v="18.11"/>
    <s v="BONUS_CARD"/>
    <n v="29"/>
    <n v="1"/>
    <n v="4"/>
    <n v="344.11"/>
    <n v="13130002484"/>
  </r>
  <r>
    <x v="5"/>
    <d v="1899-12-30T08:19:32"/>
    <n v="3485"/>
    <n v="13002561"/>
    <n v="13"/>
    <n v="22589"/>
    <s v="Retail Sale"/>
    <n v="18"/>
    <n v="81804"/>
    <x v="86"/>
    <s v="Avesta"/>
    <s v="KRKA"/>
    <n v="3"/>
    <n v="197.93"/>
    <n v="287.32"/>
    <n v="14.37"/>
    <n v="14.37"/>
    <s v="BONUS_CARD"/>
    <n v="29"/>
    <n v="1"/>
    <n v="5"/>
    <n v="272.95"/>
    <n v="13130002485"/>
  </r>
  <r>
    <x v="9"/>
    <d v="1899-12-30T09:50:28"/>
    <n v="3486"/>
    <n v="13002561"/>
    <n v="13"/>
    <n v="22589"/>
    <s v="Retail Sale"/>
    <n v="18"/>
    <n v="88098"/>
    <x v="16"/>
    <s v="Katren"/>
    <s v="Pfizer"/>
    <n v="3"/>
    <n v="45.19"/>
    <n v="66.12"/>
    <n v="0"/>
    <n v="0"/>
    <m/>
    <n v="29"/>
    <n v="1"/>
    <n v="1"/>
    <n v="66.12"/>
    <n v="13130002486"/>
  </r>
  <r>
    <x v="16"/>
    <d v="1899-12-30T09:24:41"/>
    <n v="3487"/>
    <n v="13002561"/>
    <n v="13"/>
    <n v="22589"/>
    <s v="Retail Sale"/>
    <n v="18"/>
    <n v="71973"/>
    <x v="55"/>
    <s v="Protek"/>
    <s v="KRKA"/>
    <n v="3"/>
    <n v="427.8"/>
    <n v="638.54999999999995"/>
    <n v="31.93"/>
    <n v="31.93"/>
    <s v="BONUS_CARD"/>
    <n v="29"/>
    <n v="1"/>
    <n v="6"/>
    <n v="606.62"/>
    <n v="13130002487"/>
  </r>
  <r>
    <x v="1"/>
    <d v="1899-12-30T16:19:02"/>
    <n v="3488"/>
    <n v="13002561"/>
    <n v="13"/>
    <n v="22589"/>
    <s v="Retail Sale"/>
    <n v="15"/>
    <n v="45362"/>
    <x v="85"/>
    <s v="Pulse"/>
    <s v="Pfizer"/>
    <n v="1"/>
    <n v="21.12"/>
    <n v="35.39"/>
    <n v="0"/>
    <n v="0"/>
    <m/>
    <n v="29"/>
    <n v="1"/>
    <n v="6"/>
    <n v="35.39"/>
    <n v="13130002488"/>
  </r>
  <r>
    <x v="23"/>
    <d v="1899-12-30T09:49:25"/>
    <n v="3489"/>
    <n v="13002561"/>
    <n v="13"/>
    <n v="22589"/>
    <s v="Retail Sale"/>
    <n v="15"/>
    <n v="59827"/>
    <x v="68"/>
    <s v="Avesta"/>
    <s v="TEVA"/>
    <n v="1"/>
    <n v="156.04"/>
    <n v="248.9"/>
    <n v="12.45"/>
    <n v="12.45"/>
    <s v="BONUS_CARD"/>
    <n v="29"/>
    <n v="1"/>
    <n v="5"/>
    <n v="236.45"/>
    <n v="13130002489"/>
  </r>
  <r>
    <x v="11"/>
    <d v="1899-12-30T11:34:01"/>
    <n v="3490"/>
    <n v="13002561"/>
    <n v="13"/>
    <n v="22589"/>
    <s v="Retail Sale"/>
    <n v="15"/>
    <n v="52079"/>
    <x v="55"/>
    <s v="Katren"/>
    <s v="Dr. Reddy's"/>
    <n v="2"/>
    <n v="488.69"/>
    <n v="613.59"/>
    <n v="0"/>
    <n v="0"/>
    <m/>
    <n v="29"/>
    <n v="1"/>
    <n v="3"/>
    <n v="613.59"/>
    <n v="13130002490"/>
  </r>
  <r>
    <x v="4"/>
    <d v="1899-12-30T17:34:21"/>
    <n v="3491"/>
    <n v="13002561"/>
    <n v="13"/>
    <n v="22589"/>
    <s v="Retail Sale"/>
    <n v="15"/>
    <n v="40344"/>
    <x v="18"/>
    <s v="Pulse"/>
    <s v="Bayer"/>
    <n v="2"/>
    <n v="416.81"/>
    <n v="694.29"/>
    <n v="0"/>
    <n v="0"/>
    <m/>
    <n v="29"/>
    <n v="1"/>
    <n v="4"/>
    <n v="694.29"/>
    <n v="13130002491"/>
  </r>
  <r>
    <x v="21"/>
    <d v="1899-12-30T22:35:24"/>
    <n v="3492"/>
    <n v="13002561"/>
    <n v="13"/>
    <n v="22589"/>
    <s v="Retail Sale"/>
    <n v="18"/>
    <n v="73647"/>
    <x v="24"/>
    <s v="Grand Capital"/>
    <s v="Pfizer"/>
    <n v="3"/>
    <n v="26.68"/>
    <n v="34.590000000000003"/>
    <n v="1.73"/>
    <n v="1.73"/>
    <s v="BONUS_CARD"/>
    <n v="29"/>
    <n v="1"/>
    <n v="2"/>
    <n v="32.86"/>
    <n v="13130002492"/>
  </r>
  <r>
    <x v="8"/>
    <d v="1899-12-30T09:30:51"/>
    <n v="3493"/>
    <n v="13002561"/>
    <n v="13"/>
    <n v="22589"/>
    <s v="Retail Sale"/>
    <n v="18"/>
    <n v="66140"/>
    <x v="40"/>
    <s v="Katren"/>
    <s v="TEVA"/>
    <n v="1"/>
    <n v="401.42"/>
    <n v="543.41999999999996"/>
    <n v="0"/>
    <n v="0"/>
    <m/>
    <n v="29"/>
    <n v="1"/>
    <n v="1"/>
    <n v="543.41999999999996"/>
    <n v="13130002493"/>
  </r>
  <r>
    <x v="11"/>
    <d v="1899-12-30T15:14:28"/>
    <n v="3494"/>
    <n v="13002561"/>
    <n v="13"/>
    <n v="22589"/>
    <s v="Retail Sale"/>
    <n v="15"/>
    <n v="63105"/>
    <x v="17"/>
    <s v="Katren"/>
    <s v="TEVA"/>
    <n v="1"/>
    <n v="149.41999999999999"/>
    <n v="245.07"/>
    <n v="12.25"/>
    <n v="12.25"/>
    <s v="BONUS_CARD"/>
    <n v="29"/>
    <n v="1"/>
    <n v="2"/>
    <n v="232.82"/>
    <n v="13130002494"/>
  </r>
  <r>
    <x v="8"/>
    <d v="1899-12-30T16:54:18"/>
    <n v="3495"/>
    <n v="13002561"/>
    <n v="13"/>
    <n v="22589"/>
    <s v="Retail Sale"/>
    <n v="15"/>
    <n v="71166"/>
    <x v="5"/>
    <s v="Pulse"/>
    <s v="Takeda"/>
    <n v="3"/>
    <n v="135.74"/>
    <n v="225.32"/>
    <n v="0"/>
    <n v="0"/>
    <m/>
    <n v="29"/>
    <n v="1"/>
    <n v="1"/>
    <n v="225.32"/>
    <n v="13130002495"/>
  </r>
  <r>
    <x v="30"/>
    <d v="1899-12-30T09:22:28"/>
    <n v="3496"/>
    <n v="13002561"/>
    <n v="13"/>
    <n v="22589"/>
    <s v="Retail Sale"/>
    <n v="18"/>
    <n v="92748"/>
    <x v="8"/>
    <s v="Katren"/>
    <s v="Takeda"/>
    <n v="2"/>
    <n v="423.01"/>
    <n v="692.27"/>
    <n v="0"/>
    <n v="0"/>
    <m/>
    <n v="29"/>
    <n v="1"/>
    <n v="4"/>
    <n v="692.27"/>
    <n v="13130002496"/>
  </r>
  <r>
    <x v="28"/>
    <d v="1899-12-30T21:21:58"/>
    <n v="3497"/>
    <n v="13002561"/>
    <n v="13"/>
    <n v="22589"/>
    <s v="Retail Sale"/>
    <n v="18"/>
    <n v="86212"/>
    <x v="14"/>
    <s v="Katren"/>
    <s v="TEVA"/>
    <n v="2"/>
    <n v="326.79000000000002"/>
    <n v="420.4"/>
    <n v="0"/>
    <n v="0"/>
    <m/>
    <n v="29"/>
    <n v="1"/>
    <n v="1"/>
    <n v="420.4"/>
    <n v="13130002497"/>
  </r>
  <r>
    <x v="11"/>
    <d v="1899-12-30T10:00:24"/>
    <n v="3498"/>
    <n v="13002561"/>
    <n v="13"/>
    <n v="22589"/>
    <s v="Retail Sale"/>
    <n v="15"/>
    <n v="55125"/>
    <x v="48"/>
    <s v="Pharmcomplect"/>
    <s v="Sanofi"/>
    <n v="3"/>
    <n v="564.21"/>
    <n v="881.03"/>
    <n v="88.1"/>
    <n v="88.1"/>
    <s v="BONUS_CARD"/>
    <n v="29"/>
    <n v="1"/>
    <n v="1"/>
    <n v="792.93"/>
    <n v="13130002498"/>
  </r>
  <r>
    <x v="15"/>
    <d v="1899-12-30T17:12:21"/>
    <n v="3499"/>
    <n v="13002561"/>
    <n v="13"/>
    <n v="22589"/>
    <s v="Retail Sale"/>
    <n v="18"/>
    <n v="44695"/>
    <x v="28"/>
    <s v="Protek"/>
    <s v="KRKA"/>
    <n v="3"/>
    <n v="105.57"/>
    <n v="169.32"/>
    <n v="0"/>
    <n v="0"/>
    <m/>
    <n v="29"/>
    <n v="1"/>
    <n v="2"/>
    <n v="169.32"/>
    <n v="13130002499"/>
  </r>
  <r>
    <x v="3"/>
    <d v="1899-12-30T10:25:58"/>
    <n v="3500"/>
    <n v="13002561"/>
    <n v="13"/>
    <n v="22589"/>
    <s v="Retail Sale"/>
    <n v="18"/>
    <n v="96809"/>
    <x v="21"/>
    <s v="Katren"/>
    <s v="KRKA"/>
    <n v="1"/>
    <n v="359.58"/>
    <n v="595.39"/>
    <n v="0"/>
    <n v="0"/>
    <m/>
    <n v="29"/>
    <n v="1"/>
    <n v="5"/>
    <n v="595.39"/>
    <n v="13130002500"/>
  </r>
  <r>
    <x v="10"/>
    <d v="1899-12-30T09:52:05"/>
    <n v="3501"/>
    <n v="13002561"/>
    <n v="13"/>
    <n v="22589"/>
    <s v="Retail Sale"/>
    <n v="15"/>
    <n v="34350"/>
    <x v="44"/>
    <s v="Grand Capital"/>
    <s v="TEVA"/>
    <n v="1"/>
    <n v="531.71"/>
    <n v="877.92"/>
    <n v="43.9"/>
    <n v="43.9"/>
    <s v="BONUS_CARD"/>
    <n v="29"/>
    <n v="1"/>
    <n v="2"/>
    <n v="834.02"/>
    <n v="13130002501"/>
  </r>
  <r>
    <x v="26"/>
    <d v="1899-12-30T08:13:52"/>
    <n v="3502"/>
    <n v="13002561"/>
    <n v="13"/>
    <n v="22589"/>
    <s v="Retail Sale"/>
    <n v="15"/>
    <n v="39136"/>
    <x v="9"/>
    <s v="Protek"/>
    <s v="Dr. Reddy's"/>
    <n v="1"/>
    <n v="533.1"/>
    <n v="789.73"/>
    <n v="39.49"/>
    <n v="39.49"/>
    <s v="BONUS_CARD"/>
    <n v="29"/>
    <n v="1"/>
    <n v="4"/>
    <n v="750.24"/>
    <n v="13130002502"/>
  </r>
  <r>
    <x v="1"/>
    <d v="1899-12-30T17:58:33"/>
    <n v="3503"/>
    <n v="13002561"/>
    <n v="13"/>
    <n v="22589"/>
    <s v="Retail Sale"/>
    <n v="18"/>
    <n v="80104"/>
    <x v="16"/>
    <s v="Grand Capital"/>
    <s v="Novartis"/>
    <n v="1"/>
    <n v="216.11"/>
    <n v="365.15"/>
    <n v="18.260000000000002"/>
    <n v="18.260000000000002"/>
    <s v="BONUS_CARD"/>
    <n v="29"/>
    <n v="1"/>
    <n v="2"/>
    <n v="346.89"/>
    <n v="13130002503"/>
  </r>
  <r>
    <x v="21"/>
    <d v="1899-12-30T09:46:04"/>
    <n v="3504"/>
    <n v="13002561"/>
    <n v="13"/>
    <n v="22589"/>
    <s v="Retail Sale"/>
    <n v="18"/>
    <n v="78423"/>
    <x v="0"/>
    <s v="Grand Capital"/>
    <s v="Takeda"/>
    <n v="3"/>
    <n v="5.52"/>
    <n v="7.97"/>
    <n v="0.4"/>
    <n v="0.4"/>
    <s v="BONUS_CARD"/>
    <n v="29"/>
    <n v="1"/>
    <n v="1"/>
    <n v="7.57"/>
    <n v="13130002504"/>
  </r>
  <r>
    <x v="30"/>
    <d v="1899-12-30T10:13:24"/>
    <n v="3505"/>
    <n v="13002561"/>
    <n v="13"/>
    <n v="22589"/>
    <s v="Retail Sale"/>
    <n v="18"/>
    <n v="91115"/>
    <x v="47"/>
    <s v="Avesta"/>
    <s v="Pfizer"/>
    <n v="2"/>
    <n v="264.89"/>
    <n v="440.9"/>
    <n v="44.09"/>
    <n v="44.09"/>
    <s v="BONUS_CARD"/>
    <n v="29"/>
    <n v="1"/>
    <n v="6"/>
    <n v="396.81"/>
    <n v="13130002505"/>
  </r>
  <r>
    <x v="7"/>
    <d v="1899-12-30T13:41:07"/>
    <n v="3506"/>
    <n v="13002561"/>
    <n v="13"/>
    <n v="22589"/>
    <s v="Retail Sale"/>
    <n v="18"/>
    <n v="81826"/>
    <x v="62"/>
    <s v="Pharmcomplect"/>
    <s v="Takeda"/>
    <n v="1"/>
    <n v="376.53"/>
    <n v="623.03"/>
    <n v="0"/>
    <n v="0"/>
    <m/>
    <n v="29"/>
    <n v="1"/>
    <n v="5"/>
    <n v="623.03"/>
    <n v="13130002506"/>
  </r>
  <r>
    <x v="12"/>
    <d v="1899-12-30T17:28:51"/>
    <n v="3507"/>
    <n v="13002561"/>
    <n v="13"/>
    <n v="22589"/>
    <s v="Retail Sale"/>
    <n v="15"/>
    <n v="23980"/>
    <x v="57"/>
    <s v="Katren"/>
    <s v="KRKA"/>
    <n v="2"/>
    <n v="486.16"/>
    <n v="792.48"/>
    <n v="39.619999999999997"/>
    <n v="39.619999999999997"/>
    <s v="BONUS_CARD"/>
    <n v="29"/>
    <n v="1"/>
    <n v="2"/>
    <n v="752.86"/>
    <n v="13130002507"/>
  </r>
  <r>
    <x v="21"/>
    <d v="1899-12-30T10:37:23"/>
    <n v="3508"/>
    <n v="13002561"/>
    <n v="13"/>
    <n v="22589"/>
    <s v="Retail Sale"/>
    <n v="18"/>
    <n v="41405"/>
    <x v="40"/>
    <s v="Pharmcomplect"/>
    <s v="Dr. Reddy's"/>
    <n v="2"/>
    <n v="517.65"/>
    <n v="738.42"/>
    <n v="0"/>
    <n v="0"/>
    <m/>
    <n v="29"/>
    <n v="1"/>
    <n v="2"/>
    <n v="738.42"/>
    <n v="13130002508"/>
  </r>
  <r>
    <x v="29"/>
    <d v="1899-12-30T17:55:33"/>
    <n v="3509"/>
    <n v="13002561"/>
    <n v="13"/>
    <n v="22589"/>
    <s v="Retail Sale"/>
    <n v="18"/>
    <n v="16882"/>
    <x v="61"/>
    <s v="Avesta"/>
    <s v="Sanofi"/>
    <n v="1"/>
    <n v="232.65"/>
    <n v="326.7"/>
    <n v="32.67"/>
    <n v="32.67"/>
    <s v="BONUS_CARD"/>
    <n v="29"/>
    <n v="1"/>
    <n v="6"/>
    <n v="294.02999999999997"/>
    <n v="13130002509"/>
  </r>
  <r>
    <x v="7"/>
    <d v="1899-12-30T12:47:18"/>
    <n v="3510"/>
    <n v="13002561"/>
    <n v="13"/>
    <n v="22589"/>
    <s v="Retail Sale"/>
    <n v="18"/>
    <n v="89349"/>
    <x v="86"/>
    <s v="Katren"/>
    <s v="Bayer"/>
    <n v="3"/>
    <n v="85.4"/>
    <n v="120.37"/>
    <n v="6.02"/>
    <n v="6.02"/>
    <s v="BONUS_CARD"/>
    <n v="29"/>
    <n v="1"/>
    <n v="4"/>
    <n v="114.35"/>
    <n v="13130002510"/>
  </r>
  <r>
    <x v="5"/>
    <d v="1899-12-30T16:27:59"/>
    <n v="3511"/>
    <n v="13002561"/>
    <n v="13"/>
    <n v="22589"/>
    <s v="Retail Sale"/>
    <n v="18"/>
    <n v="54543"/>
    <x v="64"/>
    <s v="Pulse"/>
    <s v="TEVA"/>
    <n v="2"/>
    <n v="108.86"/>
    <n v="181.87"/>
    <n v="18.190000000000001"/>
    <n v="18.190000000000001"/>
    <s v="BONUS_CARD"/>
    <n v="29"/>
    <n v="1"/>
    <n v="4"/>
    <n v="163.68"/>
    <n v="13130002511"/>
  </r>
  <r>
    <x v="15"/>
    <d v="1899-12-30T13:44:02"/>
    <n v="3512"/>
    <n v="13002561"/>
    <n v="13"/>
    <n v="22589"/>
    <s v="Retail Sale"/>
    <n v="18"/>
    <n v="84181"/>
    <x v="83"/>
    <s v="Pulse"/>
    <s v="KRKA"/>
    <n v="1"/>
    <n v="193.34"/>
    <n v="327.52"/>
    <n v="32.75"/>
    <n v="32.75"/>
    <s v="BONUS_CARD"/>
    <n v="29"/>
    <n v="1"/>
    <n v="4"/>
    <n v="294.77"/>
    <n v="13130002512"/>
  </r>
  <r>
    <x v="27"/>
    <d v="1899-12-30T12:33:53"/>
    <n v="3513"/>
    <n v="13002561"/>
    <n v="13"/>
    <n v="22589"/>
    <s v="Retail Sale"/>
    <n v="15"/>
    <n v="19143"/>
    <x v="11"/>
    <s v="Avesta"/>
    <s v="Pfizer"/>
    <n v="2"/>
    <n v="559.75"/>
    <n v="867.44"/>
    <n v="86.74"/>
    <n v="86.74"/>
    <s v="BONUS_CARD"/>
    <n v="29"/>
    <n v="1"/>
    <n v="5"/>
    <n v="780.7"/>
    <n v="13130002513"/>
  </r>
  <r>
    <x v="30"/>
    <d v="1899-12-30T13:31:54"/>
    <n v="3514"/>
    <n v="13002561"/>
    <n v="13"/>
    <n v="22589"/>
    <s v="Retail Sale"/>
    <n v="15"/>
    <n v="82907"/>
    <x v="36"/>
    <s v="Katren"/>
    <s v="Takeda"/>
    <n v="2"/>
    <n v="258.17"/>
    <n v="387.32"/>
    <n v="38.729999999999997"/>
    <n v="38.729999999999997"/>
    <s v="BONUS_CARD"/>
    <n v="29"/>
    <n v="1"/>
    <n v="3"/>
    <n v="348.59"/>
    <n v="13130002514"/>
  </r>
  <r>
    <x v="29"/>
    <d v="1899-12-30T20:46:53"/>
    <n v="3515"/>
    <n v="13002561"/>
    <n v="13"/>
    <n v="22589"/>
    <s v="Retail Sale"/>
    <n v="15"/>
    <n v="90587"/>
    <x v="3"/>
    <s v="Pulse"/>
    <s v="Takeda"/>
    <n v="1"/>
    <n v="509.51"/>
    <n v="736.01"/>
    <n v="36.799999999999997"/>
    <n v="36.799999999999997"/>
    <s v="BONUS_CARD"/>
    <n v="29"/>
    <n v="1"/>
    <n v="1"/>
    <n v="699.21"/>
    <n v="13130002515"/>
  </r>
  <r>
    <x v="0"/>
    <d v="1899-12-30T22:04:34"/>
    <n v="3516"/>
    <n v="13002561"/>
    <n v="13"/>
    <n v="22589"/>
    <s v="Retail Sale"/>
    <n v="18"/>
    <n v="82109"/>
    <x v="83"/>
    <s v="Grand Capital"/>
    <s v="TEVA"/>
    <n v="1"/>
    <n v="40.1"/>
    <n v="58.32"/>
    <n v="0"/>
    <n v="0"/>
    <m/>
    <n v="29"/>
    <n v="1"/>
    <n v="5"/>
    <n v="58.32"/>
    <n v="13130002516"/>
  </r>
  <r>
    <x v="27"/>
    <d v="1899-12-30T19:29:26"/>
    <n v="3517"/>
    <n v="13002561"/>
    <n v="13"/>
    <n v="22589"/>
    <s v="Retail Sale"/>
    <n v="18"/>
    <n v="61136"/>
    <x v="7"/>
    <s v="Avesta"/>
    <s v="Dr. Reddy's"/>
    <n v="3"/>
    <n v="522.17999999999995"/>
    <n v="816.09"/>
    <n v="81.61"/>
    <n v="81.61"/>
    <s v="BONUS_CARD"/>
    <n v="29"/>
    <n v="1"/>
    <n v="4"/>
    <n v="734.48"/>
    <n v="13130002517"/>
  </r>
  <r>
    <x v="20"/>
    <d v="1899-12-30T17:48:34"/>
    <n v="3518"/>
    <n v="13002561"/>
    <n v="13"/>
    <n v="22589"/>
    <s v="Retail Sale"/>
    <n v="15"/>
    <n v="82655"/>
    <x v="65"/>
    <s v="Grand Capital"/>
    <s v="Bayer"/>
    <n v="3"/>
    <n v="235.42"/>
    <n v="354.66"/>
    <n v="35.47"/>
    <n v="35.47"/>
    <s v="BONUS_CARD"/>
    <n v="29"/>
    <n v="1"/>
    <n v="3"/>
    <n v="319.19"/>
    <n v="13130002518"/>
  </r>
  <r>
    <x v="23"/>
    <d v="1899-12-30T09:01:25"/>
    <n v="3519"/>
    <n v="13002561"/>
    <n v="13"/>
    <n v="22589"/>
    <s v="Retail Sale"/>
    <n v="18"/>
    <n v="43309"/>
    <x v="4"/>
    <s v="Grand Capital"/>
    <s v="Takeda"/>
    <n v="3"/>
    <n v="96.06"/>
    <n v="160.29"/>
    <n v="8.01"/>
    <n v="8.01"/>
    <s v="BONUS_CARD"/>
    <n v="29"/>
    <n v="1"/>
    <n v="1"/>
    <n v="152.28"/>
    <n v="13130002519"/>
  </r>
  <r>
    <x v="22"/>
    <d v="1899-12-30T22:23:45"/>
    <n v="3520"/>
    <n v="13002561"/>
    <n v="13"/>
    <n v="22589"/>
    <s v="Retail Sale"/>
    <n v="15"/>
    <n v="86380"/>
    <x v="39"/>
    <s v="Grand Capital"/>
    <s v="KRKA"/>
    <n v="2"/>
    <n v="406"/>
    <n v="622.02"/>
    <n v="62.2"/>
    <n v="62.2"/>
    <s v="BONUS_CARD"/>
    <n v="29"/>
    <n v="1"/>
    <n v="1"/>
    <n v="559.82000000000005"/>
    <n v="13130002520"/>
  </r>
  <r>
    <x v="3"/>
    <d v="1899-12-30T13:25:47"/>
    <n v="3521"/>
    <n v="13002561"/>
    <n v="13"/>
    <n v="22589"/>
    <s v="Retail Sale"/>
    <n v="18"/>
    <n v="49358"/>
    <x v="5"/>
    <s v="Pharmcomplect"/>
    <s v="Pfizer"/>
    <n v="1"/>
    <n v="116.27"/>
    <n v="162.32"/>
    <n v="0"/>
    <n v="0"/>
    <m/>
    <n v="29"/>
    <n v="1"/>
    <n v="6"/>
    <n v="162.32"/>
    <n v="13130002521"/>
  </r>
  <r>
    <x v="0"/>
    <d v="1899-12-30T18:25:54"/>
    <n v="3522"/>
    <n v="13002561"/>
    <n v="13"/>
    <n v="22589"/>
    <s v="Retail Sale"/>
    <n v="18"/>
    <n v="54141"/>
    <x v="50"/>
    <s v="Grand Capital"/>
    <s v="Pfizer"/>
    <n v="1"/>
    <n v="62.94"/>
    <n v="102.03"/>
    <n v="10.199999999999999"/>
    <n v="10.199999999999999"/>
    <s v="BONUS_CARD"/>
    <n v="29"/>
    <n v="1"/>
    <n v="3"/>
    <n v="91.83"/>
    <n v="13130002522"/>
  </r>
  <r>
    <x v="30"/>
    <d v="1899-12-30T17:30:02"/>
    <n v="3523"/>
    <n v="13002561"/>
    <n v="13"/>
    <n v="22589"/>
    <s v="Retail Sale"/>
    <n v="18"/>
    <n v="44057"/>
    <x v="74"/>
    <s v="Grand Capital"/>
    <s v="Sanofi"/>
    <n v="1"/>
    <n v="492.75"/>
    <n v="702.01"/>
    <n v="70.2"/>
    <n v="70.2"/>
    <s v="BONUS_CARD"/>
    <n v="29"/>
    <n v="1"/>
    <n v="6"/>
    <n v="631.80999999999995"/>
    <n v="13130002523"/>
  </r>
  <r>
    <x v="19"/>
    <d v="1899-12-30T22:27:58"/>
    <n v="3524"/>
    <n v="13002561"/>
    <n v="13"/>
    <n v="22589"/>
    <s v="Retail Sale"/>
    <n v="15"/>
    <n v="32341"/>
    <x v="38"/>
    <s v="Grand Capital"/>
    <s v="Sanofi"/>
    <n v="1"/>
    <n v="501.54"/>
    <n v="723.46"/>
    <n v="0"/>
    <n v="0"/>
    <m/>
    <n v="29"/>
    <n v="1"/>
    <n v="1"/>
    <n v="723.46"/>
    <n v="13130002524"/>
  </r>
  <r>
    <x v="16"/>
    <d v="1899-12-30T15:23:31"/>
    <n v="3525"/>
    <n v="13002561"/>
    <n v="13"/>
    <n v="22589"/>
    <s v="Retail Sale"/>
    <n v="15"/>
    <n v="64275"/>
    <x v="31"/>
    <s v="Katren"/>
    <s v="Takeda"/>
    <n v="3"/>
    <n v="20.05"/>
    <n v="26.76"/>
    <n v="0"/>
    <n v="0"/>
    <m/>
    <n v="29"/>
    <n v="1"/>
    <n v="1"/>
    <n v="26.76"/>
    <n v="13130002525"/>
  </r>
  <r>
    <x v="11"/>
    <d v="1899-12-30T10:50:07"/>
    <n v="3526"/>
    <n v="13002561"/>
    <n v="13"/>
    <n v="22589"/>
    <s v="Retail Sale"/>
    <n v="18"/>
    <n v="89753"/>
    <x v="19"/>
    <s v="Avesta"/>
    <s v="Takeda"/>
    <n v="2"/>
    <n v="269.2"/>
    <n v="436.84"/>
    <n v="21.84"/>
    <n v="21.84"/>
    <s v="BONUS_CARD"/>
    <n v="29"/>
    <n v="1"/>
    <n v="4"/>
    <n v="415"/>
    <n v="13130002526"/>
  </r>
  <r>
    <x v="22"/>
    <d v="1899-12-30T13:57:39"/>
    <n v="3527"/>
    <n v="13002561"/>
    <n v="13"/>
    <n v="22589"/>
    <s v="Retail Sale"/>
    <n v="15"/>
    <n v="15414"/>
    <x v="76"/>
    <s v="Grand Capital"/>
    <s v="Takeda"/>
    <n v="3"/>
    <n v="539.05999999999995"/>
    <n v="678.58"/>
    <n v="0"/>
    <n v="0"/>
    <m/>
    <n v="29"/>
    <n v="1"/>
    <n v="1"/>
    <n v="678.58"/>
    <n v="13130002527"/>
  </r>
  <r>
    <x v="24"/>
    <d v="1899-12-30T13:10:42"/>
    <n v="3528"/>
    <n v="13002561"/>
    <n v="13"/>
    <n v="22589"/>
    <s v="Retail Sale"/>
    <n v="15"/>
    <n v="79010"/>
    <x v="79"/>
    <s v="Pulse"/>
    <s v="KRKA"/>
    <n v="1"/>
    <n v="93.4"/>
    <n v="152.82"/>
    <n v="7.64"/>
    <n v="7.64"/>
    <s v="BONUS_CARD"/>
    <n v="29"/>
    <n v="1"/>
    <n v="2"/>
    <n v="145.18"/>
    <n v="13130002528"/>
  </r>
  <r>
    <x v="12"/>
    <d v="1899-12-30T22:58:46"/>
    <n v="3529"/>
    <n v="13002561"/>
    <n v="13"/>
    <n v="22589"/>
    <s v="Retail Sale"/>
    <n v="15"/>
    <n v="37090"/>
    <x v="47"/>
    <s v="Katren"/>
    <s v="Bayer"/>
    <n v="2"/>
    <n v="465.28"/>
    <n v="682.93"/>
    <n v="0"/>
    <n v="0"/>
    <m/>
    <n v="29"/>
    <n v="1"/>
    <n v="4"/>
    <n v="682.93"/>
    <n v="13130002529"/>
  </r>
  <r>
    <x v="25"/>
    <d v="1899-12-30T16:06:18"/>
    <n v="3530"/>
    <n v="13002561"/>
    <n v="13"/>
    <n v="22589"/>
    <s v="Retail Sale"/>
    <n v="18"/>
    <n v="93300"/>
    <x v="41"/>
    <s v="Pulse"/>
    <s v="Bayer"/>
    <n v="2"/>
    <n v="266.35000000000002"/>
    <n v="344.1"/>
    <n v="17.21"/>
    <n v="17.21"/>
    <s v="BONUS_CARD"/>
    <n v="29"/>
    <n v="1"/>
    <n v="5"/>
    <n v="326.89"/>
    <n v="13130002530"/>
  </r>
  <r>
    <x v="21"/>
    <d v="1899-12-30T13:38:22"/>
    <n v="3531"/>
    <n v="13002561"/>
    <n v="13"/>
    <n v="22589"/>
    <s v="Retail Sale"/>
    <n v="18"/>
    <n v="47561"/>
    <x v="15"/>
    <s v="Pharmcomplect"/>
    <s v="Dr. Reddy's"/>
    <n v="1"/>
    <n v="189.89"/>
    <n v="252.36"/>
    <n v="12.62"/>
    <n v="12.62"/>
    <s v="BONUS_CARD"/>
    <n v="29"/>
    <n v="1"/>
    <n v="2"/>
    <n v="239.74"/>
    <n v="13130002531"/>
  </r>
  <r>
    <x v="2"/>
    <d v="1899-12-30T09:07:11"/>
    <n v="3532"/>
    <n v="13002561"/>
    <n v="13"/>
    <n v="22589"/>
    <s v="Retail Sale"/>
    <n v="18"/>
    <n v="47916"/>
    <x v="40"/>
    <s v="Katren"/>
    <s v="Sanofi"/>
    <n v="1"/>
    <n v="197.82"/>
    <n v="272.87"/>
    <n v="13.64"/>
    <n v="13.64"/>
    <s v="BONUS_CARD"/>
    <n v="29"/>
    <n v="1"/>
    <n v="5"/>
    <n v="259.23"/>
    <n v="13130002532"/>
  </r>
  <r>
    <x v="0"/>
    <d v="1899-12-30T20:03:51"/>
    <n v="3533"/>
    <n v="13002561"/>
    <n v="13"/>
    <n v="22589"/>
    <s v="Retail Sale"/>
    <n v="18"/>
    <n v="31355"/>
    <x v="3"/>
    <s v="Katren"/>
    <s v="TEVA"/>
    <n v="1"/>
    <n v="374.87"/>
    <n v="600.14"/>
    <n v="0"/>
    <n v="0"/>
    <m/>
    <n v="29"/>
    <n v="1"/>
    <n v="5"/>
    <n v="600.14"/>
    <n v="13130002533"/>
  </r>
  <r>
    <x v="5"/>
    <d v="1899-12-30T09:27:24"/>
    <n v="3534"/>
    <n v="13002561"/>
    <n v="13"/>
    <n v="22589"/>
    <s v="Retail Sale"/>
    <n v="15"/>
    <n v="36161"/>
    <x v="12"/>
    <s v="Grand Capital"/>
    <s v="TEVA"/>
    <n v="2"/>
    <n v="287.04000000000002"/>
    <n v="383.37"/>
    <n v="0"/>
    <n v="0"/>
    <m/>
    <n v="29"/>
    <n v="1"/>
    <n v="6"/>
    <n v="383.37"/>
    <n v="13130002534"/>
  </r>
  <r>
    <x v="11"/>
    <d v="1899-12-30T22:29:43"/>
    <n v="3535"/>
    <n v="13002561"/>
    <n v="13"/>
    <n v="22589"/>
    <s v="Retail Sale"/>
    <n v="18"/>
    <n v="30587"/>
    <x v="45"/>
    <s v="Avesta"/>
    <s v="Takeda"/>
    <n v="1"/>
    <n v="118.58"/>
    <n v="184.5"/>
    <n v="0"/>
    <n v="0"/>
    <m/>
    <n v="29"/>
    <n v="1"/>
    <n v="2"/>
    <n v="184.5"/>
    <n v="13130002535"/>
  </r>
  <r>
    <x v="29"/>
    <d v="1899-12-30T16:54:01"/>
    <n v="3536"/>
    <n v="13002561"/>
    <n v="13"/>
    <n v="22589"/>
    <s v="Retail Sale"/>
    <n v="15"/>
    <n v="58671"/>
    <x v="50"/>
    <s v="Pulse"/>
    <s v="KRKA"/>
    <n v="2"/>
    <n v="233.9"/>
    <n v="390.9"/>
    <n v="0"/>
    <n v="0"/>
    <m/>
    <n v="29"/>
    <n v="1"/>
    <n v="1"/>
    <n v="390.9"/>
    <n v="13130002536"/>
  </r>
  <r>
    <x v="11"/>
    <d v="1899-12-30T21:55:32"/>
    <n v="3537"/>
    <n v="13002561"/>
    <n v="13"/>
    <n v="22589"/>
    <s v="Retail Sale"/>
    <n v="18"/>
    <n v="84558"/>
    <x v="5"/>
    <s v="Grand Capital"/>
    <s v="Pfizer"/>
    <n v="3"/>
    <n v="295"/>
    <n v="371.43"/>
    <n v="18.57"/>
    <n v="18.57"/>
    <s v="BONUS_CARD"/>
    <n v="29"/>
    <n v="1"/>
    <n v="2"/>
    <n v="352.86"/>
    <n v="13130002537"/>
  </r>
  <r>
    <x v="6"/>
    <d v="1899-12-30T12:04:43"/>
    <n v="3538"/>
    <n v="13002561"/>
    <n v="13"/>
    <n v="22589"/>
    <s v="Retail Sale"/>
    <n v="18"/>
    <n v="41487"/>
    <x v="23"/>
    <s v="Pharmcomplect"/>
    <s v="TEVA"/>
    <n v="2"/>
    <n v="76.41"/>
    <n v="126.06"/>
    <n v="12.61"/>
    <n v="12.61"/>
    <s v="BONUS_CARD"/>
    <n v="29"/>
    <n v="1"/>
    <n v="1"/>
    <n v="113.45"/>
    <n v="13130002538"/>
  </r>
  <r>
    <x v="9"/>
    <d v="1899-12-30T21:09:19"/>
    <n v="3539"/>
    <n v="13002561"/>
    <n v="13"/>
    <n v="22589"/>
    <s v="Retail Sale"/>
    <n v="15"/>
    <n v="42397"/>
    <x v="67"/>
    <s v="Avesta"/>
    <s v="Pfizer"/>
    <n v="2"/>
    <n v="249.75"/>
    <n v="389.87"/>
    <n v="19.489999999999998"/>
    <n v="19.489999999999998"/>
    <s v="BONUS_CARD"/>
    <n v="29"/>
    <n v="1"/>
    <n v="4"/>
    <n v="370.38"/>
    <n v="13130002539"/>
  </r>
  <r>
    <x v="6"/>
    <d v="1899-12-30T08:30:20"/>
    <n v="3540"/>
    <n v="13002561"/>
    <n v="13"/>
    <n v="22589"/>
    <s v="Retail Sale"/>
    <n v="18"/>
    <n v="13996"/>
    <x v="8"/>
    <s v="Pulse"/>
    <s v="Novartis"/>
    <n v="2"/>
    <n v="319.02"/>
    <n v="539.21"/>
    <n v="53.92"/>
    <n v="53.92"/>
    <s v="BONUS_CARD"/>
    <n v="29"/>
    <n v="1"/>
    <n v="4"/>
    <n v="485.29"/>
    <n v="13130002540"/>
  </r>
  <r>
    <x v="17"/>
    <d v="1899-12-30T16:15:40"/>
    <n v="3541"/>
    <n v="13002561"/>
    <n v="13"/>
    <n v="22589"/>
    <s v="Retail Sale"/>
    <n v="18"/>
    <n v="99253"/>
    <x v="33"/>
    <s v="Grand Capital"/>
    <s v="Pfizer"/>
    <n v="1"/>
    <n v="214.08"/>
    <n v="355.53"/>
    <n v="0"/>
    <n v="0"/>
    <m/>
    <n v="29"/>
    <n v="1"/>
    <n v="6"/>
    <n v="355.53"/>
    <n v="13130002541"/>
  </r>
  <r>
    <x v="13"/>
    <d v="1899-12-30T11:44:47"/>
    <n v="3542"/>
    <n v="13002561"/>
    <n v="13"/>
    <n v="22589"/>
    <s v="Retail Sale"/>
    <n v="15"/>
    <n v="11930"/>
    <x v="52"/>
    <s v="Avesta"/>
    <s v="TEVA"/>
    <n v="3"/>
    <n v="163.63999999999999"/>
    <n v="229.08"/>
    <n v="0"/>
    <n v="0"/>
    <m/>
    <n v="29"/>
    <n v="1"/>
    <n v="4"/>
    <n v="229.08"/>
    <n v="13130002542"/>
  </r>
  <r>
    <x v="23"/>
    <d v="1899-12-30T22:32:36"/>
    <n v="3543"/>
    <n v="13002561"/>
    <n v="13"/>
    <n v="22589"/>
    <s v="Retail Sale"/>
    <n v="18"/>
    <n v="77078"/>
    <x v="74"/>
    <s v="Grand Capital"/>
    <s v="Bayer"/>
    <n v="3"/>
    <n v="308.43"/>
    <n v="503.46"/>
    <n v="50.35"/>
    <n v="50.35"/>
    <s v="BONUS_CARD"/>
    <n v="29"/>
    <n v="1"/>
    <n v="3"/>
    <n v="453.11"/>
    <n v="13130002543"/>
  </r>
  <r>
    <x v="15"/>
    <d v="1899-12-30T17:51:10"/>
    <n v="3544"/>
    <n v="13002561"/>
    <n v="13"/>
    <n v="22589"/>
    <s v="Retail Sale"/>
    <n v="18"/>
    <n v="81332"/>
    <x v="6"/>
    <s v="Avesta"/>
    <s v="Takeda"/>
    <n v="1"/>
    <n v="382.38"/>
    <n v="559.04999999999995"/>
    <n v="0"/>
    <n v="0"/>
    <m/>
    <n v="29"/>
    <n v="1"/>
    <n v="5"/>
    <n v="559.04999999999995"/>
    <n v="13130002544"/>
  </r>
  <r>
    <x v="28"/>
    <d v="1899-12-30T18:59:51"/>
    <n v="3545"/>
    <n v="13002561"/>
    <n v="13"/>
    <n v="22589"/>
    <s v="Retail Sale"/>
    <n v="15"/>
    <n v="33431"/>
    <x v="64"/>
    <s v="Protek"/>
    <s v="Pfizer"/>
    <n v="1"/>
    <n v="286.64999999999998"/>
    <n v="409.36"/>
    <n v="40.94"/>
    <n v="40.94"/>
    <s v="BONUS_CARD"/>
    <n v="29"/>
    <n v="1"/>
    <n v="1"/>
    <n v="368.42"/>
    <n v="13130002545"/>
  </r>
  <r>
    <x v="3"/>
    <d v="1899-12-30T10:40:31"/>
    <n v="3546"/>
    <n v="13002561"/>
    <n v="13"/>
    <n v="22589"/>
    <s v="Retail Sale"/>
    <n v="15"/>
    <n v="30902"/>
    <x v="72"/>
    <s v="Avesta"/>
    <s v="Sanofi"/>
    <n v="1"/>
    <n v="66.099999999999994"/>
    <n v="111.97"/>
    <n v="5.6"/>
    <n v="5.6"/>
    <s v="BONUS_CARD"/>
    <n v="29"/>
    <n v="1"/>
    <n v="5"/>
    <n v="106.37"/>
    <n v="13130002546"/>
  </r>
  <r>
    <x v="1"/>
    <d v="1899-12-30T08:12:40"/>
    <n v="3547"/>
    <n v="13002561"/>
    <n v="13"/>
    <n v="22589"/>
    <s v="Retail Sale"/>
    <n v="15"/>
    <n v="83395"/>
    <x v="59"/>
    <s v="Katren"/>
    <s v="Bayer"/>
    <n v="3"/>
    <n v="96.31"/>
    <n v="158.47999999999999"/>
    <n v="15.85"/>
    <n v="15.85"/>
    <s v="BONUS_CARD"/>
    <n v="29"/>
    <n v="1"/>
    <n v="1"/>
    <n v="142.63"/>
    <n v="13130002547"/>
  </r>
  <r>
    <x v="13"/>
    <d v="1899-12-30T19:34:37"/>
    <n v="3548"/>
    <n v="13002561"/>
    <n v="13"/>
    <n v="22589"/>
    <s v="Retail Sale"/>
    <n v="15"/>
    <n v="42242"/>
    <x v="80"/>
    <s v="Pharmcomplect"/>
    <s v="Takeda"/>
    <n v="3"/>
    <n v="186"/>
    <n v="243.59"/>
    <n v="12.18"/>
    <n v="12.18"/>
    <s v="BONUS_CARD"/>
    <n v="29"/>
    <n v="1"/>
    <n v="2"/>
    <n v="231.41"/>
    <n v="13130002548"/>
  </r>
  <r>
    <x v="17"/>
    <d v="1899-12-30T18:32:24"/>
    <n v="3549"/>
    <n v="13002561"/>
    <n v="13"/>
    <n v="22589"/>
    <s v="Retail Sale"/>
    <n v="15"/>
    <n v="75507"/>
    <x v="29"/>
    <s v="Katren"/>
    <s v="Takeda"/>
    <n v="2"/>
    <n v="375.32"/>
    <n v="538.42999999999995"/>
    <n v="26.92"/>
    <n v="26.92"/>
    <s v="BONUS_CARD"/>
    <n v="29"/>
    <n v="1"/>
    <n v="5"/>
    <n v="511.51"/>
    <n v="13130002549"/>
  </r>
  <r>
    <x v="22"/>
    <d v="1899-12-30T08:32:49"/>
    <n v="3550"/>
    <n v="13002561"/>
    <n v="13"/>
    <n v="22589"/>
    <s v="Retail Sale"/>
    <n v="15"/>
    <n v="52307"/>
    <x v="70"/>
    <s v="Avesta"/>
    <s v="TEVA"/>
    <n v="3"/>
    <n v="397.88"/>
    <n v="519.13"/>
    <n v="0"/>
    <n v="0"/>
    <m/>
    <n v="29"/>
    <n v="1"/>
    <n v="4"/>
    <n v="519.13"/>
    <n v="13130002550"/>
  </r>
  <r>
    <x v="4"/>
    <d v="1899-12-30T11:44:33"/>
    <n v="3551"/>
    <n v="13002561"/>
    <n v="13"/>
    <n v="22589"/>
    <s v="Retail Sale"/>
    <n v="18"/>
    <n v="33639"/>
    <x v="26"/>
    <s v="Grand Capital"/>
    <s v="Dr. Reddy's"/>
    <n v="1"/>
    <n v="297.25"/>
    <n v="488.51"/>
    <n v="48.85"/>
    <n v="48.85"/>
    <s v="BONUS_CARD"/>
    <n v="29"/>
    <n v="1"/>
    <n v="5"/>
    <n v="439.66"/>
    <n v="13130002551"/>
  </r>
  <r>
    <x v="15"/>
    <d v="1899-12-30T19:36:46"/>
    <n v="3552"/>
    <n v="13002561"/>
    <n v="13"/>
    <n v="22589"/>
    <s v="Retail Sale"/>
    <n v="18"/>
    <n v="33630"/>
    <x v="53"/>
    <s v="Protek"/>
    <s v="Novartis"/>
    <n v="2"/>
    <n v="34.450000000000003"/>
    <n v="57.2"/>
    <n v="5.72"/>
    <n v="5.72"/>
    <s v="BONUS_CARD"/>
    <n v="29"/>
    <n v="1"/>
    <n v="6"/>
    <n v="51.48"/>
    <n v="13130002552"/>
  </r>
  <r>
    <x v="17"/>
    <d v="1899-12-30T19:50:45"/>
    <n v="3553"/>
    <n v="13002561"/>
    <n v="13"/>
    <n v="22589"/>
    <s v="Retail Sale"/>
    <n v="15"/>
    <n v="93826"/>
    <x v="81"/>
    <s v="Avesta"/>
    <s v="Sanofi"/>
    <n v="1"/>
    <n v="388.55"/>
    <n v="657.49"/>
    <n v="32.869999999999997"/>
    <n v="32.869999999999997"/>
    <s v="BONUS_CARD"/>
    <n v="29"/>
    <n v="1"/>
    <n v="6"/>
    <n v="624.62"/>
    <n v="13130002553"/>
  </r>
  <r>
    <x v="3"/>
    <d v="1899-12-30T17:46:47"/>
    <n v="3554"/>
    <n v="13002561"/>
    <n v="13"/>
    <n v="22589"/>
    <s v="Retail Sale"/>
    <n v="15"/>
    <n v="62332"/>
    <x v="9"/>
    <s v="Avesta"/>
    <s v="Bayer"/>
    <n v="2"/>
    <n v="547.85"/>
    <n v="798.17"/>
    <n v="39.909999999999997"/>
    <n v="39.909999999999997"/>
    <s v="BONUS_CARD"/>
    <n v="29"/>
    <n v="1"/>
    <n v="3"/>
    <n v="758.26"/>
    <n v="13130002554"/>
  </r>
  <r>
    <x v="29"/>
    <d v="1899-12-30T11:38:09"/>
    <n v="3555"/>
    <n v="13002561"/>
    <n v="13"/>
    <n v="22589"/>
    <s v="Retail Sale"/>
    <n v="15"/>
    <n v="20683"/>
    <x v="74"/>
    <s v="Pulse"/>
    <s v="Novartis"/>
    <n v="2"/>
    <n v="478.05"/>
    <n v="680.02"/>
    <n v="0"/>
    <n v="0"/>
    <m/>
    <n v="29"/>
    <n v="1"/>
    <n v="1"/>
    <n v="680.02"/>
    <n v="13130002555"/>
  </r>
  <r>
    <x v="24"/>
    <d v="1899-12-30T15:26:46"/>
    <n v="3556"/>
    <n v="13002561"/>
    <n v="13"/>
    <n v="22589"/>
    <s v="Retail Sale"/>
    <n v="15"/>
    <n v="81377"/>
    <x v="44"/>
    <s v="Pharmcomplect"/>
    <s v="KRKA"/>
    <n v="2"/>
    <n v="374.2"/>
    <n v="632.76"/>
    <n v="0"/>
    <n v="0"/>
    <m/>
    <n v="29"/>
    <n v="1"/>
    <n v="5"/>
    <n v="632.76"/>
    <n v="13130002556"/>
  </r>
  <r>
    <x v="6"/>
    <d v="1899-12-30T08:53:29"/>
    <n v="3557"/>
    <n v="13002561"/>
    <n v="13"/>
    <n v="22589"/>
    <s v="Retail Sale"/>
    <n v="18"/>
    <n v="93024"/>
    <x v="44"/>
    <s v="Katren"/>
    <s v="Dr. Reddy's"/>
    <n v="1"/>
    <n v="401.34"/>
    <n v="612.15"/>
    <n v="0"/>
    <n v="0"/>
    <m/>
    <n v="29"/>
    <n v="1"/>
    <n v="1"/>
    <n v="612.15"/>
    <n v="13130002557"/>
  </r>
  <r>
    <x v="16"/>
    <d v="1899-12-30T11:50:10"/>
    <n v="3558"/>
    <n v="13002561"/>
    <n v="13"/>
    <n v="22589"/>
    <s v="Retail Sale"/>
    <n v="15"/>
    <n v="71468"/>
    <x v="21"/>
    <s v="Pharmcomplect"/>
    <s v="Dr. Reddy's"/>
    <n v="3"/>
    <n v="159.33000000000001"/>
    <n v="251.18"/>
    <n v="0"/>
    <n v="0"/>
    <m/>
    <n v="29"/>
    <n v="1"/>
    <n v="1"/>
    <n v="251.18"/>
    <n v="13130002558"/>
  </r>
  <r>
    <x v="25"/>
    <d v="1899-12-30T12:45:34"/>
    <n v="3559"/>
    <n v="13002561"/>
    <n v="13"/>
    <n v="22589"/>
    <s v="Retail Sale"/>
    <n v="15"/>
    <n v="84049"/>
    <x v="55"/>
    <s v="Katren"/>
    <s v="Novartis"/>
    <n v="1"/>
    <n v="473.97"/>
    <n v="795.81"/>
    <n v="0"/>
    <n v="0"/>
    <m/>
    <n v="29"/>
    <n v="1"/>
    <n v="5"/>
    <n v="795.81"/>
    <n v="13130002559"/>
  </r>
  <r>
    <x v="25"/>
    <d v="1899-12-30T15:55:26"/>
    <n v="3560"/>
    <n v="13002561"/>
    <n v="13"/>
    <n v="22589"/>
    <s v="Retail Sale"/>
    <n v="15"/>
    <n v="90571"/>
    <x v="69"/>
    <s v="Pulse"/>
    <s v="TEVA"/>
    <n v="2"/>
    <n v="222.03"/>
    <n v="372.19"/>
    <n v="18.61"/>
    <n v="18.61"/>
    <s v="BONUS_CARD"/>
    <n v="29"/>
    <n v="1"/>
    <n v="1"/>
    <n v="353.58"/>
    <n v="13130002560"/>
  </r>
  <r>
    <x v="21"/>
    <d v="1899-12-30T10:44:05"/>
    <n v="3561"/>
    <n v="13002561"/>
    <n v="13"/>
    <n v="22589"/>
    <s v="Retail Sale"/>
    <n v="15"/>
    <n v="86362"/>
    <x v="19"/>
    <s v="Pulse"/>
    <s v="KRKA"/>
    <n v="2"/>
    <n v="81.92"/>
    <n v="117.23"/>
    <n v="5.86"/>
    <n v="5.86"/>
    <s v="BONUS_CARD"/>
    <n v="29"/>
    <n v="1"/>
    <n v="4"/>
    <n v="111.37"/>
    <n v="13130002561"/>
  </r>
  <r>
    <x v="19"/>
    <d v="1899-12-30T14:51:39"/>
    <n v="3562"/>
    <n v="13002561"/>
    <n v="13"/>
    <n v="22589"/>
    <s v="Retail Sale"/>
    <n v="15"/>
    <n v="52519"/>
    <x v="15"/>
    <s v="Protek"/>
    <s v="KRKA"/>
    <n v="1"/>
    <n v="226.92"/>
    <n v="323.22000000000003"/>
    <n v="0"/>
    <n v="0"/>
    <m/>
    <n v="29"/>
    <n v="1"/>
    <n v="2"/>
    <n v="323.22000000000003"/>
    <n v="13130002562"/>
  </r>
  <r>
    <x v="0"/>
    <d v="1899-12-30T08:31:35"/>
    <n v="3563"/>
    <n v="13002561"/>
    <n v="13"/>
    <n v="22589"/>
    <s v="Retail Sale"/>
    <n v="15"/>
    <n v="78258"/>
    <x v="46"/>
    <s v="Grand Capital"/>
    <s v="Bayer"/>
    <n v="2"/>
    <n v="164.18"/>
    <n v="251.17"/>
    <n v="12.56"/>
    <n v="12.56"/>
    <s v="BONUS_CARD"/>
    <n v="29"/>
    <n v="1"/>
    <n v="1"/>
    <n v="238.61"/>
    <n v="13130002563"/>
  </r>
  <r>
    <x v="16"/>
    <d v="1899-12-30T14:59:11"/>
    <n v="3564"/>
    <n v="13002561"/>
    <n v="13"/>
    <n v="22589"/>
    <s v="Retail Sale"/>
    <n v="15"/>
    <n v="95280"/>
    <x v="75"/>
    <s v="Pharmcomplect"/>
    <s v="Sanofi"/>
    <n v="1"/>
    <n v="210.41"/>
    <n v="285.42"/>
    <n v="14.27"/>
    <n v="14.27"/>
    <s v="BONUS_CARD"/>
    <n v="29"/>
    <n v="1"/>
    <n v="3"/>
    <n v="271.14999999999998"/>
    <n v="13130002564"/>
  </r>
  <r>
    <x v="12"/>
    <d v="1899-12-30T10:53:56"/>
    <n v="3565"/>
    <n v="13002561"/>
    <n v="13"/>
    <n v="22589"/>
    <s v="Retail Sale"/>
    <n v="15"/>
    <n v="92287"/>
    <x v="54"/>
    <s v="Pharmcomplect"/>
    <s v="KRKA"/>
    <n v="2"/>
    <n v="362.11"/>
    <n v="548.33000000000004"/>
    <n v="27.42"/>
    <n v="27.42"/>
    <s v="BONUS_CARD"/>
    <n v="29"/>
    <n v="1"/>
    <n v="3"/>
    <n v="520.91"/>
    <n v="13130002565"/>
  </r>
  <r>
    <x v="11"/>
    <d v="1899-12-30T13:45:49"/>
    <n v="3566"/>
    <n v="13002561"/>
    <n v="13"/>
    <n v="22589"/>
    <s v="Retail Sale"/>
    <n v="15"/>
    <n v="15663"/>
    <x v="67"/>
    <s v="Avesta"/>
    <s v="TEVA"/>
    <n v="2"/>
    <n v="244.74"/>
    <n v="322.05"/>
    <n v="32.21"/>
    <n v="32.21"/>
    <s v="BONUS_CARD"/>
    <n v="29"/>
    <n v="1"/>
    <n v="2"/>
    <n v="289.83999999999997"/>
    <n v="13130002566"/>
  </r>
  <r>
    <x v="1"/>
    <d v="1899-12-30T22:17:15"/>
    <n v="3567"/>
    <n v="13002561"/>
    <n v="13"/>
    <n v="22589"/>
    <s v="Retail Sale"/>
    <n v="18"/>
    <n v="55877"/>
    <x v="71"/>
    <s v="Grand Capital"/>
    <s v="Bayer"/>
    <n v="2"/>
    <n v="397.01"/>
    <n v="577.38"/>
    <n v="28.87"/>
    <n v="28.87"/>
    <s v="BONUS_CARD"/>
    <n v="29"/>
    <n v="1"/>
    <n v="6"/>
    <n v="548.51"/>
    <n v="13130002567"/>
  </r>
  <r>
    <x v="16"/>
    <d v="1899-12-30T13:32:28"/>
    <n v="3568"/>
    <n v="13002561"/>
    <n v="13"/>
    <n v="22589"/>
    <s v="Retail Sale"/>
    <n v="15"/>
    <n v="42558"/>
    <x v="74"/>
    <s v="Pharmcomplect"/>
    <s v="Takeda"/>
    <n v="1"/>
    <n v="358.46"/>
    <n v="541.64"/>
    <n v="0"/>
    <n v="0"/>
    <m/>
    <n v="29"/>
    <n v="1"/>
    <n v="5"/>
    <n v="541.64"/>
    <n v="13130002568"/>
  </r>
  <r>
    <x v="28"/>
    <d v="1899-12-30T09:04:52"/>
    <n v="3569"/>
    <n v="13002561"/>
    <n v="13"/>
    <n v="22589"/>
    <s v="Retail Sale"/>
    <n v="18"/>
    <n v="87244"/>
    <x v="7"/>
    <s v="Pharmcomplect"/>
    <s v="Dr. Reddy's"/>
    <n v="1"/>
    <n v="207.32"/>
    <n v="342.25"/>
    <n v="34.229999999999997"/>
    <n v="34.229999999999997"/>
    <s v="BONUS_CARD"/>
    <n v="29"/>
    <n v="1"/>
    <n v="3"/>
    <n v="308.02"/>
    <n v="13130002569"/>
  </r>
  <r>
    <x v="13"/>
    <d v="1899-12-30T18:46:53"/>
    <n v="3570"/>
    <n v="13002561"/>
    <n v="13"/>
    <n v="22589"/>
    <s v="Retail Sale"/>
    <n v="15"/>
    <n v="88412"/>
    <x v="42"/>
    <s v="Pulse"/>
    <s v="Pfizer"/>
    <n v="3"/>
    <n v="61.09"/>
    <n v="84.37"/>
    <n v="0"/>
    <n v="0"/>
    <m/>
    <n v="29"/>
    <n v="1"/>
    <n v="4"/>
    <n v="84.37"/>
    <n v="13130002570"/>
  </r>
  <r>
    <x v="6"/>
    <d v="1899-12-30T13:36:34"/>
    <n v="3571"/>
    <n v="13002561"/>
    <n v="13"/>
    <n v="22589"/>
    <s v="Retail Sale"/>
    <n v="18"/>
    <n v="52210"/>
    <x v="2"/>
    <s v="Avesta"/>
    <s v="Novartis"/>
    <n v="2"/>
    <n v="132.94"/>
    <n v="195.07"/>
    <n v="9.75"/>
    <n v="9.75"/>
    <s v="BONUS_CARD"/>
    <n v="29"/>
    <n v="1"/>
    <n v="1"/>
    <n v="185.32"/>
    <n v="13130002571"/>
  </r>
  <r>
    <x v="7"/>
    <d v="1899-12-30T19:58:33"/>
    <n v="3572"/>
    <n v="13002561"/>
    <n v="13"/>
    <n v="22589"/>
    <s v="Retail Sale"/>
    <n v="15"/>
    <n v="63287"/>
    <x v="71"/>
    <s v="Grand Capital"/>
    <s v="Takeda"/>
    <n v="3"/>
    <n v="401.92"/>
    <n v="608.38"/>
    <n v="30.42"/>
    <n v="30.42"/>
    <s v="BONUS_CARD"/>
    <n v="29"/>
    <n v="1"/>
    <n v="6"/>
    <n v="577.96"/>
    <n v="13130002572"/>
  </r>
  <r>
    <x v="14"/>
    <d v="1899-12-30T17:30:54"/>
    <n v="3573"/>
    <n v="13002561"/>
    <n v="13"/>
    <n v="22589"/>
    <s v="Retail Sale"/>
    <n v="18"/>
    <n v="53041"/>
    <x v="54"/>
    <s v="Pharmcomplect"/>
    <s v="Novartis"/>
    <n v="2"/>
    <n v="74.37"/>
    <n v="99.81"/>
    <n v="0"/>
    <n v="0"/>
    <m/>
    <n v="29"/>
    <n v="1"/>
    <n v="1"/>
    <n v="99.81"/>
    <n v="13130002573"/>
  </r>
  <r>
    <x v="9"/>
    <d v="1899-12-30T19:02:22"/>
    <n v="3574"/>
    <n v="13002561"/>
    <n v="13"/>
    <n v="22589"/>
    <s v="Retail Sale"/>
    <n v="15"/>
    <n v="51974"/>
    <x v="13"/>
    <s v="Katren"/>
    <s v="TEVA"/>
    <n v="1"/>
    <n v="16"/>
    <n v="25.65"/>
    <n v="0"/>
    <n v="0"/>
    <m/>
    <n v="29"/>
    <n v="1"/>
    <n v="5"/>
    <n v="25.65"/>
    <n v="13130002574"/>
  </r>
  <r>
    <x v="11"/>
    <d v="1899-12-30T08:16:04"/>
    <n v="3575"/>
    <n v="13002561"/>
    <n v="13"/>
    <n v="22589"/>
    <s v="Retail Sale"/>
    <n v="15"/>
    <n v="84767"/>
    <x v="17"/>
    <s v="Avesta"/>
    <s v="Pfizer"/>
    <n v="2"/>
    <n v="477.21"/>
    <n v="798.78"/>
    <n v="0"/>
    <n v="0"/>
    <m/>
    <n v="29"/>
    <n v="1"/>
    <n v="2"/>
    <n v="798.78"/>
    <n v="13130002575"/>
  </r>
  <r>
    <x v="1"/>
    <d v="1899-12-30T10:17:27"/>
    <n v="3576"/>
    <n v="13002561"/>
    <n v="13"/>
    <n v="22589"/>
    <s v="Retail Sale"/>
    <n v="18"/>
    <n v="55794"/>
    <x v="44"/>
    <s v="Pulse"/>
    <s v="Pfizer"/>
    <n v="3"/>
    <n v="91.51"/>
    <n v="131.03"/>
    <n v="13.1"/>
    <n v="13.1"/>
    <s v="BONUS_CARD"/>
    <n v="29"/>
    <n v="1"/>
    <n v="4"/>
    <n v="117.93"/>
    <n v="13130002576"/>
  </r>
  <r>
    <x v="4"/>
    <d v="1899-12-30T21:43:02"/>
    <n v="3577"/>
    <n v="13002561"/>
    <n v="13"/>
    <n v="22589"/>
    <s v="Retail Sale"/>
    <n v="15"/>
    <n v="92204"/>
    <x v="60"/>
    <s v="Avesta"/>
    <s v="Takeda"/>
    <n v="3"/>
    <n v="34.64"/>
    <n v="47.18"/>
    <n v="0"/>
    <n v="0"/>
    <m/>
    <n v="29"/>
    <n v="1"/>
    <n v="6"/>
    <n v="47.18"/>
    <n v="13130002577"/>
  </r>
  <r>
    <x v="5"/>
    <d v="1899-12-30T16:02:49"/>
    <n v="3578"/>
    <n v="13002561"/>
    <n v="13"/>
    <n v="22589"/>
    <s v="Retail Sale"/>
    <n v="18"/>
    <n v="36450"/>
    <x v="68"/>
    <s v="Pulse"/>
    <s v="KRKA"/>
    <n v="3"/>
    <n v="350.26"/>
    <n v="533.16999999999996"/>
    <n v="0"/>
    <n v="0"/>
    <m/>
    <n v="29"/>
    <n v="1"/>
    <n v="4"/>
    <n v="533.16999999999996"/>
    <n v="13130002578"/>
  </r>
  <r>
    <x v="8"/>
    <d v="1899-12-30T10:17:45"/>
    <n v="3579"/>
    <n v="13002561"/>
    <n v="13"/>
    <n v="22589"/>
    <s v="Retail Sale"/>
    <n v="15"/>
    <n v="16587"/>
    <x v="44"/>
    <s v="Avesta"/>
    <s v="Sanofi"/>
    <n v="1"/>
    <n v="135.53"/>
    <n v="212"/>
    <n v="0"/>
    <n v="0"/>
    <m/>
    <n v="29"/>
    <n v="1"/>
    <n v="1"/>
    <n v="212"/>
    <n v="13130002579"/>
  </r>
  <r>
    <x v="12"/>
    <d v="1899-12-30T20:28:56"/>
    <n v="3580"/>
    <n v="13002561"/>
    <n v="13"/>
    <n v="22589"/>
    <s v="Retail Sale"/>
    <n v="18"/>
    <n v="81889"/>
    <x v="8"/>
    <s v="Avesta"/>
    <s v="Bayer"/>
    <n v="3"/>
    <n v="434.1"/>
    <n v="721.02"/>
    <n v="72.099999999999994"/>
    <n v="72.099999999999994"/>
    <s v="BONUS_CARD"/>
    <n v="29"/>
    <n v="1"/>
    <n v="6"/>
    <n v="648.91999999999996"/>
    <n v="13130002580"/>
  </r>
  <r>
    <x v="6"/>
    <d v="1899-12-30T10:55:46"/>
    <n v="3581"/>
    <n v="13002561"/>
    <n v="13"/>
    <n v="22589"/>
    <s v="Retail Sale"/>
    <n v="15"/>
    <n v="27197"/>
    <x v="49"/>
    <s v="Avesta"/>
    <s v="TEVA"/>
    <n v="3"/>
    <n v="215.68"/>
    <n v="332.17"/>
    <n v="33.22"/>
    <n v="33.22"/>
    <s v="BONUS_CARD"/>
    <n v="29"/>
    <n v="1"/>
    <n v="2"/>
    <n v="298.95"/>
    <n v="13130002581"/>
  </r>
  <r>
    <x v="3"/>
    <d v="1899-12-30T18:45:54"/>
    <n v="3582"/>
    <n v="13002561"/>
    <n v="13"/>
    <n v="22589"/>
    <s v="Retail Sale"/>
    <n v="15"/>
    <n v="37147"/>
    <x v="12"/>
    <s v="Pharmcomplect"/>
    <s v="Sanofi"/>
    <n v="3"/>
    <n v="513.28"/>
    <n v="791.92"/>
    <n v="79.19"/>
    <n v="79.19"/>
    <s v="BONUS_CARD"/>
    <n v="29"/>
    <n v="1"/>
    <n v="5"/>
    <n v="712.73"/>
    <n v="13130002582"/>
  </r>
  <r>
    <x v="19"/>
    <d v="1899-12-30T18:59:34"/>
    <n v="3583"/>
    <n v="13002561"/>
    <n v="13"/>
    <n v="22589"/>
    <s v="Retail Sale"/>
    <n v="15"/>
    <n v="73393"/>
    <x v="2"/>
    <s v="Pharmcomplect"/>
    <s v="Sanofi"/>
    <n v="2"/>
    <n v="123.14"/>
    <n v="193.6"/>
    <n v="19.36"/>
    <n v="19.36"/>
    <s v="BONUS_CARD"/>
    <n v="29"/>
    <n v="1"/>
    <n v="4"/>
    <n v="174.24"/>
    <n v="13130002583"/>
  </r>
  <r>
    <x v="9"/>
    <d v="1899-12-30T18:54:28"/>
    <n v="3584"/>
    <n v="13002561"/>
    <n v="13"/>
    <n v="22589"/>
    <s v="Retail Sale"/>
    <n v="18"/>
    <n v="16556"/>
    <x v="68"/>
    <s v="Katren"/>
    <s v="Pfizer"/>
    <n v="2"/>
    <n v="6.15"/>
    <n v="8.68"/>
    <n v="0.43"/>
    <n v="0.43"/>
    <s v="BONUS_CARD"/>
    <n v="29"/>
    <n v="1"/>
    <n v="6"/>
    <n v="8.25"/>
    <n v="13130002584"/>
  </r>
  <r>
    <x v="8"/>
    <d v="1899-12-30T09:56:56"/>
    <n v="3585"/>
    <n v="13002561"/>
    <n v="13"/>
    <n v="22589"/>
    <s v="Retail Sale"/>
    <n v="18"/>
    <n v="47986"/>
    <x v="49"/>
    <s v="Pharmcomplect"/>
    <s v="Bayer"/>
    <n v="1"/>
    <n v="330.12"/>
    <n v="525.53"/>
    <n v="52.55"/>
    <n v="52.55"/>
    <s v="BONUS_CARD"/>
    <n v="29"/>
    <n v="1"/>
    <n v="6"/>
    <n v="472.98"/>
    <n v="13130002585"/>
  </r>
  <r>
    <x v="14"/>
    <d v="1899-12-30T20:46:50"/>
    <n v="3586"/>
    <n v="13002561"/>
    <n v="13"/>
    <n v="22589"/>
    <s v="Retail Sale"/>
    <n v="18"/>
    <n v="17909"/>
    <x v="68"/>
    <s v="Katren"/>
    <s v="TEVA"/>
    <n v="2"/>
    <n v="462.85"/>
    <n v="755.93"/>
    <n v="0"/>
    <n v="0"/>
    <m/>
    <n v="29"/>
    <n v="1"/>
    <n v="1"/>
    <n v="755.93"/>
    <n v="13130002586"/>
  </r>
  <r>
    <x v="18"/>
    <d v="1899-12-30T21:46:20"/>
    <n v="3587"/>
    <n v="13002561"/>
    <n v="13"/>
    <n v="22589"/>
    <s v="Retail Sale"/>
    <n v="18"/>
    <n v="81154"/>
    <x v="30"/>
    <s v="Pulse"/>
    <s v="Takeda"/>
    <n v="1"/>
    <n v="11.79"/>
    <n v="17.34"/>
    <n v="1.73"/>
    <n v="1.73"/>
    <s v="BONUS_CARD"/>
    <n v="29"/>
    <n v="1"/>
    <n v="3"/>
    <n v="15.61"/>
    <n v="13130002587"/>
  </r>
  <r>
    <x v="25"/>
    <d v="1899-12-30T08:15:46"/>
    <n v="3588"/>
    <n v="13002561"/>
    <n v="13"/>
    <n v="22589"/>
    <s v="Retail Sale"/>
    <n v="15"/>
    <n v="26311"/>
    <x v="7"/>
    <s v="Grand Capital"/>
    <s v="Dr. Reddy's"/>
    <n v="3"/>
    <n v="30.88"/>
    <n v="45"/>
    <n v="0"/>
    <n v="0"/>
    <m/>
    <n v="29"/>
    <n v="1"/>
    <n v="5"/>
    <n v="45"/>
    <n v="13130002588"/>
  </r>
  <r>
    <x v="12"/>
    <d v="1899-12-30T13:47:32"/>
    <n v="3589"/>
    <n v="13002561"/>
    <n v="13"/>
    <n v="22589"/>
    <s v="Retail Sale"/>
    <n v="15"/>
    <n v="43051"/>
    <x v="37"/>
    <s v="Pharmcomplect"/>
    <s v="Pfizer"/>
    <n v="1"/>
    <n v="297.58999999999997"/>
    <n v="501.62"/>
    <n v="25.08"/>
    <n v="25.08"/>
    <s v="BONUS_CARD"/>
    <n v="29"/>
    <n v="1"/>
    <n v="6"/>
    <n v="476.54"/>
    <n v="13130002589"/>
  </r>
  <r>
    <x v="25"/>
    <d v="1899-12-30T21:04:20"/>
    <n v="3590"/>
    <n v="13002561"/>
    <n v="13"/>
    <n v="22589"/>
    <s v="Retail Sale"/>
    <n v="15"/>
    <n v="15745"/>
    <x v="54"/>
    <s v="Avesta"/>
    <s v="Takeda"/>
    <n v="1"/>
    <n v="46.12"/>
    <n v="74.47"/>
    <n v="0"/>
    <n v="0"/>
    <m/>
    <n v="29"/>
    <n v="1"/>
    <n v="4"/>
    <n v="74.47"/>
    <n v="13130002590"/>
  </r>
  <r>
    <x v="12"/>
    <d v="1899-12-30T15:43:59"/>
    <n v="3591"/>
    <n v="13002561"/>
    <n v="13"/>
    <n v="22589"/>
    <s v="Retail Sale"/>
    <n v="15"/>
    <n v="79569"/>
    <x v="39"/>
    <s v="Protek"/>
    <s v="Sanofi"/>
    <n v="3"/>
    <n v="348.65"/>
    <n v="476.25"/>
    <n v="23.81"/>
    <n v="23.81"/>
    <s v="BONUS_CARD"/>
    <n v="29"/>
    <n v="1"/>
    <n v="4"/>
    <n v="452.44"/>
    <n v="13130002591"/>
  </r>
  <r>
    <x v="8"/>
    <d v="1899-12-30T15:31:26"/>
    <n v="3592"/>
    <n v="13002561"/>
    <n v="13"/>
    <n v="22589"/>
    <s v="Retail Sale"/>
    <n v="15"/>
    <n v="54599"/>
    <x v="29"/>
    <s v="Protek"/>
    <s v="Dr. Reddy's"/>
    <n v="1"/>
    <n v="286.14999999999998"/>
    <n v="439.16"/>
    <n v="0"/>
    <n v="0"/>
    <m/>
    <n v="29"/>
    <n v="1"/>
    <n v="6"/>
    <n v="439.16"/>
    <n v="13130002592"/>
  </r>
  <r>
    <x v="5"/>
    <d v="1899-12-30T21:57:19"/>
    <n v="3593"/>
    <n v="13002561"/>
    <n v="13"/>
    <n v="22589"/>
    <s v="Retail Sale"/>
    <n v="18"/>
    <n v="15642"/>
    <x v="26"/>
    <s v="Katren"/>
    <s v="TEVA"/>
    <n v="2"/>
    <n v="213.87"/>
    <n v="320.60000000000002"/>
    <n v="32.06"/>
    <n v="32.06"/>
    <s v="BONUS_CARD"/>
    <n v="29"/>
    <n v="1"/>
    <n v="3"/>
    <n v="288.54000000000002"/>
    <n v="13130002593"/>
  </r>
  <r>
    <x v="3"/>
    <d v="1899-12-30T13:04:23"/>
    <n v="3594"/>
    <n v="13002561"/>
    <n v="13"/>
    <n v="22589"/>
    <s v="Retail Sale"/>
    <n v="15"/>
    <n v="22836"/>
    <x v="33"/>
    <s v="Avesta"/>
    <s v="KRKA"/>
    <n v="2"/>
    <n v="461.26"/>
    <n v="588.04"/>
    <n v="0"/>
    <n v="0"/>
    <m/>
    <n v="29"/>
    <n v="1"/>
    <n v="1"/>
    <n v="588.04"/>
    <n v="13130002594"/>
  </r>
  <r>
    <x v="21"/>
    <d v="1899-12-30T13:00:45"/>
    <n v="3595"/>
    <n v="13002561"/>
    <n v="13"/>
    <n v="22589"/>
    <s v="Retail Sale"/>
    <n v="15"/>
    <n v="11106"/>
    <x v="57"/>
    <s v="Avesta"/>
    <s v="Takeda"/>
    <n v="2"/>
    <n v="191.32"/>
    <n v="303.77"/>
    <n v="15.19"/>
    <n v="15.19"/>
    <s v="BONUS_CARD"/>
    <n v="29"/>
    <n v="1"/>
    <n v="6"/>
    <n v="288.58"/>
    <n v="13130002595"/>
  </r>
  <r>
    <x v="29"/>
    <d v="1899-12-30T09:33:15"/>
    <n v="3596"/>
    <n v="13002561"/>
    <n v="13"/>
    <n v="22589"/>
    <s v="Retail Sale"/>
    <n v="18"/>
    <n v="69196"/>
    <x v="45"/>
    <s v="Pharmcomplect"/>
    <s v="Sanofi"/>
    <n v="1"/>
    <n v="523.89"/>
    <n v="828.62"/>
    <n v="41.43"/>
    <n v="41.43"/>
    <s v="BONUS_CARD"/>
    <n v="29"/>
    <n v="1"/>
    <n v="6"/>
    <n v="787.19"/>
    <n v="13130002596"/>
  </r>
  <r>
    <x v="11"/>
    <d v="1899-12-30T08:45:44"/>
    <n v="3597"/>
    <n v="13002561"/>
    <n v="13"/>
    <n v="22589"/>
    <s v="Retail Sale"/>
    <n v="15"/>
    <n v="86405"/>
    <x v="78"/>
    <s v="Pharmcomplect"/>
    <s v="Dr. Reddy's"/>
    <n v="2"/>
    <n v="106.48"/>
    <n v="156.49"/>
    <n v="15.65"/>
    <n v="15.65"/>
    <s v="BONUS_CARD"/>
    <n v="29"/>
    <n v="1"/>
    <n v="5"/>
    <n v="140.84"/>
    <n v="13130002597"/>
  </r>
  <r>
    <x v="10"/>
    <d v="1899-12-30T21:30:34"/>
    <n v="3598"/>
    <n v="13002561"/>
    <n v="13"/>
    <n v="22589"/>
    <s v="Retail Sale"/>
    <n v="15"/>
    <n v="34214"/>
    <x v="40"/>
    <s v="Grand Capital"/>
    <s v="Dr. Reddy's"/>
    <n v="1"/>
    <n v="481.76"/>
    <n v="796.21"/>
    <n v="0"/>
    <n v="0"/>
    <m/>
    <n v="29"/>
    <n v="1"/>
    <n v="2"/>
    <n v="796.21"/>
    <n v="13130002598"/>
  </r>
  <r>
    <x v="23"/>
    <d v="1899-12-30T18:38:11"/>
    <n v="3599"/>
    <n v="13002561"/>
    <n v="13"/>
    <n v="22589"/>
    <s v="Retail Sale"/>
    <n v="15"/>
    <n v="16358"/>
    <x v="15"/>
    <s v="Katren"/>
    <s v="Sanofi"/>
    <n v="3"/>
    <n v="223.65"/>
    <n v="298.87"/>
    <n v="29.89"/>
    <n v="29.89"/>
    <s v="BONUS_CARD"/>
    <n v="29"/>
    <n v="1"/>
    <n v="1"/>
    <n v="268.98"/>
    <n v="13130002599"/>
  </r>
  <r>
    <x v="28"/>
    <d v="1899-12-30T14:02:49"/>
    <n v="3600"/>
    <n v="13002561"/>
    <n v="13"/>
    <n v="22589"/>
    <s v="Retail Sale"/>
    <n v="15"/>
    <n v="82453"/>
    <x v="11"/>
    <s v="Pharmcomplect"/>
    <s v="Bayer"/>
    <n v="2"/>
    <n v="276.93"/>
    <n v="426.36"/>
    <n v="21.32"/>
    <n v="21.32"/>
    <s v="BONUS_CARD"/>
    <n v="29"/>
    <n v="1"/>
    <n v="4"/>
    <n v="405.04"/>
    <n v="13130002600"/>
  </r>
  <r>
    <x v="28"/>
    <d v="1899-12-30T21:17:26"/>
    <n v="3601"/>
    <n v="13002561"/>
    <n v="13"/>
    <n v="22589"/>
    <s v="Retail Sale"/>
    <n v="18"/>
    <n v="50710"/>
    <x v="27"/>
    <s v="Grand Capital"/>
    <s v="Pfizer"/>
    <n v="3"/>
    <n v="513.05999999999995"/>
    <n v="650.19000000000005"/>
    <n v="32.51"/>
    <n v="32.51"/>
    <s v="BONUS_CARD"/>
    <n v="29"/>
    <n v="1"/>
    <n v="1"/>
    <n v="617.67999999999995"/>
    <n v="13130002601"/>
  </r>
  <r>
    <x v="10"/>
    <d v="1899-12-30T19:25:50"/>
    <n v="3602"/>
    <n v="13002561"/>
    <n v="13"/>
    <n v="22589"/>
    <s v="Retail Sale"/>
    <n v="18"/>
    <n v="93841"/>
    <x v="59"/>
    <s v="Pharmcomplect"/>
    <s v="KRKA"/>
    <n v="2"/>
    <n v="275.38"/>
    <n v="464.49"/>
    <n v="23.22"/>
    <n v="23.22"/>
    <s v="BONUS_CARD"/>
    <n v="29"/>
    <n v="1"/>
    <n v="4"/>
    <n v="441.27"/>
    <n v="13130002602"/>
  </r>
  <r>
    <x v="23"/>
    <d v="1899-12-30T17:01:50"/>
    <n v="3603"/>
    <n v="13002561"/>
    <n v="13"/>
    <n v="22589"/>
    <s v="Retail Sale"/>
    <n v="18"/>
    <n v="65178"/>
    <x v="59"/>
    <s v="Katren"/>
    <s v="TEVA"/>
    <n v="3"/>
    <n v="539.35"/>
    <n v="812.63"/>
    <n v="81.260000000000005"/>
    <n v="81.260000000000005"/>
    <s v="BONUS_CARD"/>
    <n v="29"/>
    <n v="1"/>
    <n v="3"/>
    <n v="731.37"/>
    <n v="13130002603"/>
  </r>
  <r>
    <x v="20"/>
    <d v="1899-12-30T20:22:55"/>
    <n v="3604"/>
    <n v="13002561"/>
    <n v="13"/>
    <n v="22589"/>
    <s v="Retail Sale"/>
    <n v="18"/>
    <n v="26976"/>
    <x v="7"/>
    <s v="Grand Capital"/>
    <s v="KRKA"/>
    <n v="3"/>
    <n v="506.9"/>
    <n v="728.1"/>
    <n v="72.81"/>
    <n v="72.81"/>
    <s v="BONUS_CARD"/>
    <n v="29"/>
    <n v="1"/>
    <n v="1"/>
    <n v="655.29"/>
    <n v="13130002604"/>
  </r>
  <r>
    <x v="6"/>
    <d v="1899-12-30T13:03:32"/>
    <n v="3605"/>
    <n v="13002561"/>
    <n v="13"/>
    <n v="22589"/>
    <s v="Retail Sale"/>
    <n v="18"/>
    <n v="77622"/>
    <x v="39"/>
    <s v="Katren"/>
    <s v="KRKA"/>
    <n v="3"/>
    <n v="373.29"/>
    <n v="508.92"/>
    <n v="0"/>
    <n v="0"/>
    <m/>
    <n v="29"/>
    <n v="1"/>
    <n v="5"/>
    <n v="508.92"/>
    <n v="13130002605"/>
  </r>
  <r>
    <x v="11"/>
    <d v="1899-12-30T09:34:41"/>
    <n v="3606"/>
    <n v="13002561"/>
    <n v="13"/>
    <n v="22589"/>
    <s v="Retail Sale"/>
    <n v="18"/>
    <n v="51004"/>
    <x v="77"/>
    <s v="Pulse"/>
    <s v="Novartis"/>
    <n v="3"/>
    <n v="328.32"/>
    <n v="430.64"/>
    <n v="43.06"/>
    <n v="43.06"/>
    <s v="BONUS_CARD"/>
    <n v="29"/>
    <n v="1"/>
    <n v="4"/>
    <n v="387.58"/>
    <n v="13130002606"/>
  </r>
  <r>
    <x v="17"/>
    <d v="1899-12-30T11:44:29"/>
    <n v="3607"/>
    <n v="13002561"/>
    <n v="13"/>
    <n v="22589"/>
    <s v="Retail Sale"/>
    <n v="18"/>
    <n v="52715"/>
    <x v="58"/>
    <s v="Katren"/>
    <s v="Takeda"/>
    <n v="1"/>
    <n v="485.57"/>
    <n v="761.55"/>
    <n v="76.16"/>
    <n v="76.16"/>
    <s v="BONUS_CARD"/>
    <n v="29"/>
    <n v="1"/>
    <n v="6"/>
    <n v="685.39"/>
    <n v="13130002607"/>
  </r>
  <r>
    <x v="4"/>
    <d v="1899-12-30T08:14:20"/>
    <n v="3608"/>
    <n v="13002561"/>
    <n v="13"/>
    <n v="22589"/>
    <s v="Retail Sale"/>
    <n v="18"/>
    <n v="94060"/>
    <x v="34"/>
    <s v="Pharmcomplect"/>
    <s v="Sanofi"/>
    <n v="3"/>
    <n v="251.04"/>
    <n v="378.88"/>
    <n v="18.940000000000001"/>
    <n v="18.940000000000001"/>
    <s v="BONUS_CARD"/>
    <n v="29"/>
    <n v="1"/>
    <n v="3"/>
    <n v="359.94"/>
    <n v="13130002608"/>
  </r>
  <r>
    <x v="28"/>
    <d v="1899-12-30T11:47:13"/>
    <n v="3609"/>
    <n v="13002561"/>
    <n v="13"/>
    <n v="22589"/>
    <s v="Retail Sale"/>
    <n v="15"/>
    <n v="93806"/>
    <x v="71"/>
    <s v="Pharmcomplect"/>
    <s v="Takeda"/>
    <n v="3"/>
    <n v="460.9"/>
    <n v="729.74"/>
    <n v="0"/>
    <n v="0"/>
    <m/>
    <n v="29"/>
    <n v="1"/>
    <n v="6"/>
    <n v="729.74"/>
    <n v="13130002609"/>
  </r>
  <r>
    <x v="12"/>
    <d v="1899-12-30T11:04:00"/>
    <n v="3610"/>
    <n v="13002561"/>
    <n v="13"/>
    <n v="22589"/>
    <s v="Retail Sale"/>
    <n v="18"/>
    <n v="17021"/>
    <x v="37"/>
    <s v="Avesta"/>
    <s v="Novartis"/>
    <n v="1"/>
    <n v="313.60000000000002"/>
    <n v="452.54"/>
    <n v="22.63"/>
    <n v="22.63"/>
    <s v="BONUS_CARD"/>
    <n v="29"/>
    <n v="1"/>
    <n v="1"/>
    <n v="429.91"/>
    <n v="13130002610"/>
  </r>
  <r>
    <x v="22"/>
    <d v="1899-12-30T14:27:23"/>
    <n v="3611"/>
    <n v="13002561"/>
    <n v="13"/>
    <n v="22589"/>
    <s v="Retail Sale"/>
    <n v="15"/>
    <n v="99628"/>
    <x v="56"/>
    <s v="Avesta"/>
    <s v="KRKA"/>
    <n v="1"/>
    <n v="115.78"/>
    <n v="169.14"/>
    <n v="0"/>
    <n v="0"/>
    <m/>
    <n v="29"/>
    <n v="1"/>
    <n v="4"/>
    <n v="169.14"/>
    <n v="13130002611"/>
  </r>
  <r>
    <x v="23"/>
    <d v="1899-12-30T14:19:13"/>
    <n v="3612"/>
    <n v="13002561"/>
    <n v="13"/>
    <n v="22589"/>
    <s v="Retail Sale"/>
    <n v="18"/>
    <n v="53124"/>
    <x v="18"/>
    <s v="Pulse"/>
    <s v="TEVA"/>
    <n v="2"/>
    <n v="89.8"/>
    <n v="120.74"/>
    <n v="6.04"/>
    <n v="6.04"/>
    <s v="BONUS_CARD"/>
    <n v="29"/>
    <n v="1"/>
    <n v="2"/>
    <n v="114.7"/>
    <n v="13130002612"/>
  </r>
  <r>
    <x v="0"/>
    <d v="1899-12-30T15:40:57"/>
    <n v="3613"/>
    <n v="13002561"/>
    <n v="13"/>
    <n v="22589"/>
    <s v="Retail Sale"/>
    <n v="15"/>
    <n v="76807"/>
    <x v="42"/>
    <s v="Katren"/>
    <s v="TEVA"/>
    <n v="3"/>
    <n v="370.87"/>
    <n v="511.92"/>
    <n v="51.19"/>
    <n v="51.19"/>
    <s v="BONUS_CARD"/>
    <n v="29"/>
    <n v="1"/>
    <n v="2"/>
    <n v="460.73"/>
    <n v="13130002613"/>
  </r>
  <r>
    <x v="5"/>
    <d v="1899-12-30T19:33:13"/>
    <n v="3614"/>
    <n v="13002561"/>
    <n v="13"/>
    <n v="22589"/>
    <s v="Retail Sale"/>
    <n v="18"/>
    <n v="17919"/>
    <x v="14"/>
    <s v="Avesta"/>
    <s v="Pfizer"/>
    <n v="2"/>
    <n v="543.09"/>
    <n v="901.78"/>
    <n v="90.18"/>
    <n v="90.18"/>
    <s v="BONUS_CARD"/>
    <n v="29"/>
    <n v="1"/>
    <n v="5"/>
    <n v="811.6"/>
    <n v="13130002614"/>
  </r>
  <r>
    <x v="0"/>
    <d v="1899-12-30T14:26:42"/>
    <n v="3615"/>
    <n v="13002561"/>
    <n v="13"/>
    <n v="22589"/>
    <s v="Retail Sale"/>
    <n v="15"/>
    <n v="86324"/>
    <x v="21"/>
    <s v="Katren"/>
    <s v="Dr. Reddy's"/>
    <n v="2"/>
    <n v="301.23"/>
    <n v="461.57"/>
    <n v="0"/>
    <n v="0"/>
    <m/>
    <n v="29"/>
    <n v="1"/>
    <n v="5"/>
    <n v="461.57"/>
    <n v="13130002615"/>
  </r>
  <r>
    <x v="3"/>
    <d v="1899-12-30T11:43:44"/>
    <n v="3616"/>
    <n v="13002561"/>
    <n v="13"/>
    <n v="22589"/>
    <s v="Retail Sale"/>
    <n v="15"/>
    <n v="20177"/>
    <x v="44"/>
    <s v="Protek"/>
    <s v="Bayer"/>
    <n v="1"/>
    <n v="55.98"/>
    <n v="70.3"/>
    <n v="3.52"/>
    <n v="3.52"/>
    <s v="BONUS_CARD"/>
    <n v="29"/>
    <n v="1"/>
    <n v="6"/>
    <n v="66.78"/>
    <n v="13130002616"/>
  </r>
  <r>
    <x v="8"/>
    <d v="1899-12-30T11:17:55"/>
    <n v="3617"/>
    <n v="13002561"/>
    <n v="13"/>
    <n v="22589"/>
    <s v="Retail Sale"/>
    <n v="18"/>
    <n v="64212"/>
    <x v="43"/>
    <s v="Protek"/>
    <s v="Bayer"/>
    <n v="1"/>
    <n v="12.6"/>
    <n v="16.63"/>
    <n v="1.66"/>
    <n v="1.66"/>
    <s v="BONUS_CARD"/>
    <n v="29"/>
    <n v="1"/>
    <n v="5"/>
    <n v="14.97"/>
    <n v="13130002617"/>
  </r>
  <r>
    <x v="19"/>
    <d v="1899-12-30T21:59:36"/>
    <n v="3618"/>
    <n v="13002561"/>
    <n v="13"/>
    <n v="22589"/>
    <s v="Retail Sale"/>
    <n v="15"/>
    <n v="15684"/>
    <x v="52"/>
    <s v="Pulse"/>
    <s v="TEVA"/>
    <n v="2"/>
    <n v="343.74"/>
    <n v="516.6"/>
    <n v="51.66"/>
    <n v="51.66"/>
    <s v="BONUS_CARD"/>
    <n v="29"/>
    <n v="1"/>
    <n v="2"/>
    <n v="464.94"/>
    <n v="13130002618"/>
  </r>
  <r>
    <x v="14"/>
    <d v="1899-12-30T22:21:47"/>
    <n v="3619"/>
    <n v="13002561"/>
    <n v="13"/>
    <n v="22589"/>
    <s v="Retail Sale"/>
    <n v="15"/>
    <n v="52406"/>
    <x v="60"/>
    <s v="Pulse"/>
    <s v="Pfizer"/>
    <n v="1"/>
    <n v="265.5"/>
    <n v="439.58"/>
    <n v="0"/>
    <n v="0"/>
    <m/>
    <n v="29"/>
    <n v="1"/>
    <n v="5"/>
    <n v="439.58"/>
    <n v="13130002619"/>
  </r>
  <r>
    <x v="2"/>
    <d v="1899-12-30T09:05:39"/>
    <n v="3620"/>
    <n v="13002561"/>
    <n v="13"/>
    <n v="22589"/>
    <s v="Retail Sale"/>
    <n v="15"/>
    <n v="42168"/>
    <x v="75"/>
    <s v="Pulse"/>
    <s v="Sanofi"/>
    <n v="2"/>
    <n v="112.55"/>
    <n v="165.96"/>
    <n v="16.600000000000001"/>
    <n v="16.600000000000001"/>
    <s v="BONUS_CARD"/>
    <n v="29"/>
    <n v="1"/>
    <n v="5"/>
    <n v="149.36000000000001"/>
    <n v="13130002620"/>
  </r>
  <r>
    <x v="14"/>
    <d v="1899-12-30T15:04:37"/>
    <n v="3621"/>
    <n v="13002561"/>
    <n v="13"/>
    <n v="22589"/>
    <s v="Retail Sale"/>
    <n v="18"/>
    <n v="99071"/>
    <x v="59"/>
    <s v="Avesta"/>
    <s v="KRKA"/>
    <n v="1"/>
    <n v="501.96"/>
    <n v="787.51"/>
    <n v="0"/>
    <n v="0"/>
    <m/>
    <n v="29"/>
    <n v="1"/>
    <n v="3"/>
    <n v="787.51"/>
    <n v="13130002621"/>
  </r>
  <r>
    <x v="4"/>
    <d v="1899-12-30T21:28:31"/>
    <n v="3622"/>
    <n v="13002561"/>
    <n v="13"/>
    <n v="22589"/>
    <s v="Retail Sale"/>
    <n v="15"/>
    <n v="44719"/>
    <x v="88"/>
    <s v="Pharmcomplect"/>
    <s v="Sanofi"/>
    <n v="1"/>
    <n v="276.95999999999998"/>
    <n v="427.65"/>
    <n v="42.77"/>
    <n v="42.77"/>
    <s v="BONUS_CARD"/>
    <n v="29"/>
    <n v="1"/>
    <n v="4"/>
    <n v="384.88"/>
    <n v="13130002622"/>
  </r>
  <r>
    <x v="26"/>
    <d v="1899-12-30T19:46:46"/>
    <n v="3623"/>
    <n v="13002561"/>
    <n v="13"/>
    <n v="22589"/>
    <s v="Retail Sale"/>
    <n v="15"/>
    <n v="22759"/>
    <x v="78"/>
    <s v="Pharmcomplect"/>
    <s v="Sanofi"/>
    <n v="1"/>
    <n v="68.08"/>
    <n v="109.96"/>
    <n v="5.5"/>
    <n v="5.5"/>
    <s v="BONUS_CARD"/>
    <n v="29"/>
    <n v="1"/>
    <n v="1"/>
    <n v="104.46"/>
    <n v="13130002623"/>
  </r>
  <r>
    <x v="28"/>
    <d v="1899-12-30T08:29:36"/>
    <n v="3624"/>
    <n v="13002561"/>
    <n v="13"/>
    <n v="22589"/>
    <s v="Retail Sale"/>
    <n v="18"/>
    <n v="84086"/>
    <x v="69"/>
    <s v="Katren"/>
    <s v="Takeda"/>
    <n v="2"/>
    <n v="387.16"/>
    <n v="583.23"/>
    <n v="58.32"/>
    <n v="58.32"/>
    <s v="BONUS_CARD"/>
    <n v="29"/>
    <n v="1"/>
    <n v="4"/>
    <n v="524.91"/>
    <n v="13130002624"/>
  </r>
  <r>
    <x v="13"/>
    <d v="1899-12-30T13:35:20"/>
    <n v="3625"/>
    <n v="13002561"/>
    <n v="13"/>
    <n v="22589"/>
    <s v="Retail Sale"/>
    <n v="15"/>
    <n v="90105"/>
    <x v="76"/>
    <s v="Pharmcomplect"/>
    <s v="KRKA"/>
    <n v="1"/>
    <n v="413.62"/>
    <n v="546.55999999999995"/>
    <n v="0"/>
    <n v="0"/>
    <m/>
    <n v="29"/>
    <n v="1"/>
    <n v="3"/>
    <n v="546.55999999999995"/>
    <n v="13130002625"/>
  </r>
  <r>
    <x v="24"/>
    <d v="1899-12-30T10:03:55"/>
    <n v="3626"/>
    <n v="13002561"/>
    <n v="13"/>
    <n v="22589"/>
    <s v="Retail Sale"/>
    <n v="15"/>
    <n v="55012"/>
    <x v="74"/>
    <s v="Pharmcomplect"/>
    <s v="TEVA"/>
    <n v="1"/>
    <n v="217.35"/>
    <n v="368.08"/>
    <n v="0"/>
    <n v="0"/>
    <m/>
    <n v="29"/>
    <n v="1"/>
    <n v="4"/>
    <n v="368.08"/>
    <n v="13130002626"/>
  </r>
  <r>
    <x v="25"/>
    <d v="1899-12-30T10:13:59"/>
    <n v="3627"/>
    <n v="13002561"/>
    <n v="13"/>
    <n v="22589"/>
    <s v="Retail Sale"/>
    <n v="18"/>
    <n v="64031"/>
    <x v="76"/>
    <s v="Pulse"/>
    <s v="Dr. Reddy's"/>
    <n v="3"/>
    <n v="231.64"/>
    <n v="336.28"/>
    <n v="33.630000000000003"/>
    <n v="33.630000000000003"/>
    <s v="BONUS_CARD"/>
    <n v="29"/>
    <n v="1"/>
    <n v="2"/>
    <n v="302.64999999999998"/>
    <n v="13130002627"/>
  </r>
  <r>
    <x v="17"/>
    <d v="1899-12-30T15:47:44"/>
    <n v="3628"/>
    <n v="13002561"/>
    <n v="13"/>
    <n v="22589"/>
    <s v="Retail Sale"/>
    <n v="15"/>
    <n v="75160"/>
    <x v="26"/>
    <s v="Katren"/>
    <s v="TEVA"/>
    <n v="2"/>
    <n v="392.49"/>
    <n v="508.87"/>
    <n v="25.44"/>
    <n v="25.44"/>
    <s v="BONUS_CARD"/>
    <n v="29"/>
    <n v="1"/>
    <n v="6"/>
    <n v="483.43"/>
    <n v="13130002628"/>
  </r>
  <r>
    <x v="1"/>
    <d v="1899-12-30T20:14:38"/>
    <n v="3629"/>
    <n v="13002561"/>
    <n v="13"/>
    <n v="22589"/>
    <s v="Retail Sale"/>
    <n v="18"/>
    <n v="16058"/>
    <x v="17"/>
    <s v="Katren"/>
    <s v="Pfizer"/>
    <n v="1"/>
    <n v="428.33"/>
    <n v="680.06"/>
    <n v="68.010000000000005"/>
    <n v="68.010000000000005"/>
    <s v="BONUS_CARD"/>
    <n v="29"/>
    <n v="1"/>
    <n v="5"/>
    <n v="612.04999999999995"/>
    <n v="13130002629"/>
  </r>
  <r>
    <x v="3"/>
    <d v="1899-12-30T12:51:31"/>
    <n v="3630"/>
    <n v="13002561"/>
    <n v="13"/>
    <n v="22589"/>
    <s v="Retail Sale"/>
    <n v="18"/>
    <n v="88048"/>
    <x v="1"/>
    <s v="Grand Capital"/>
    <s v="Pfizer"/>
    <n v="1"/>
    <n v="386.59"/>
    <n v="600.74"/>
    <n v="30.04"/>
    <n v="30.04"/>
    <s v="BONUS_CARD"/>
    <n v="29"/>
    <n v="1"/>
    <n v="5"/>
    <n v="570.70000000000005"/>
    <n v="13130002630"/>
  </r>
  <r>
    <x v="4"/>
    <d v="1899-12-30T20:53:54"/>
    <n v="3631"/>
    <n v="13002561"/>
    <n v="13"/>
    <n v="22589"/>
    <s v="Retail Sale"/>
    <n v="18"/>
    <n v="85229"/>
    <x v="76"/>
    <s v="Grand Capital"/>
    <s v="Novartis"/>
    <n v="1"/>
    <n v="194.91"/>
    <n v="311.58"/>
    <n v="31.16"/>
    <n v="31.16"/>
    <s v="BONUS_CARD"/>
    <n v="29"/>
    <n v="1"/>
    <n v="3"/>
    <n v="280.42"/>
    <n v="13130002631"/>
  </r>
  <r>
    <x v="19"/>
    <d v="1899-12-30T21:47:51"/>
    <n v="3632"/>
    <n v="13002561"/>
    <n v="13"/>
    <n v="22589"/>
    <s v="Retail Sale"/>
    <n v="18"/>
    <n v="68746"/>
    <x v="43"/>
    <s v="Grand Capital"/>
    <s v="Pfizer"/>
    <n v="1"/>
    <n v="417.38"/>
    <n v="694.89"/>
    <n v="34.74"/>
    <n v="34.74"/>
    <s v="BONUS_CARD"/>
    <n v="29"/>
    <n v="1"/>
    <n v="6"/>
    <n v="660.15"/>
    <n v="13130002632"/>
  </r>
  <r>
    <x v="21"/>
    <d v="1899-12-30T12:57:38"/>
    <n v="3633"/>
    <n v="13002561"/>
    <n v="13"/>
    <n v="22589"/>
    <s v="Retail Sale"/>
    <n v="18"/>
    <n v="82966"/>
    <x v="5"/>
    <s v="Katren"/>
    <s v="Sanofi"/>
    <n v="2"/>
    <n v="212.28"/>
    <n v="286.70999999999998"/>
    <n v="14.34"/>
    <n v="14.34"/>
    <s v="BONUS_CARD"/>
    <n v="29"/>
    <n v="1"/>
    <n v="6"/>
    <n v="272.37"/>
    <n v="13130002633"/>
  </r>
  <r>
    <x v="23"/>
    <d v="1899-12-30T08:07:14"/>
    <n v="3634"/>
    <n v="13002561"/>
    <n v="13"/>
    <n v="22589"/>
    <s v="Retail Sale"/>
    <n v="15"/>
    <n v="41613"/>
    <x v="27"/>
    <s v="Grand Capital"/>
    <s v="Dr. Reddy's"/>
    <n v="2"/>
    <n v="557.74"/>
    <n v="726.23"/>
    <n v="72.62"/>
    <n v="72.62"/>
    <s v="BONUS_CARD"/>
    <n v="29"/>
    <n v="1"/>
    <n v="6"/>
    <n v="653.61"/>
    <n v="13130002634"/>
  </r>
  <r>
    <x v="14"/>
    <d v="1899-12-30T19:41:37"/>
    <n v="3635"/>
    <n v="13002561"/>
    <n v="13"/>
    <n v="22589"/>
    <s v="Retail Sale"/>
    <n v="15"/>
    <n v="27079"/>
    <x v="45"/>
    <s v="Protek"/>
    <s v="TEVA"/>
    <n v="1"/>
    <n v="472.18"/>
    <n v="765.97"/>
    <n v="76.599999999999994"/>
    <n v="76.599999999999994"/>
    <s v="BONUS_CARD"/>
    <n v="29"/>
    <n v="1"/>
    <n v="6"/>
    <n v="689.37"/>
    <n v="13130002635"/>
  </r>
  <r>
    <x v="18"/>
    <d v="1899-12-30T18:47:37"/>
    <n v="3636"/>
    <n v="13002561"/>
    <n v="13"/>
    <n v="22589"/>
    <s v="Retail Sale"/>
    <n v="15"/>
    <n v="86986"/>
    <x v="48"/>
    <s v="Avesta"/>
    <s v="KRKA"/>
    <n v="2"/>
    <n v="155.26"/>
    <n v="243.58"/>
    <n v="24.36"/>
    <n v="24.36"/>
    <s v="BONUS_CARD"/>
    <n v="29"/>
    <n v="1"/>
    <n v="4"/>
    <n v="219.22"/>
    <n v="13130002636"/>
  </r>
  <r>
    <x v="4"/>
    <d v="1899-12-30T14:38:32"/>
    <n v="3637"/>
    <n v="13002561"/>
    <n v="13"/>
    <n v="22589"/>
    <s v="Retail Sale"/>
    <n v="18"/>
    <n v="88511"/>
    <x v="57"/>
    <s v="Katren"/>
    <s v="Dr. Reddy's"/>
    <n v="2"/>
    <n v="211.93"/>
    <n v="276.87"/>
    <n v="27.69"/>
    <n v="27.69"/>
    <s v="BONUS_CARD"/>
    <n v="29"/>
    <n v="1"/>
    <n v="1"/>
    <n v="249.18"/>
    <n v="13130002637"/>
  </r>
  <r>
    <x v="19"/>
    <d v="1899-12-30T21:32:47"/>
    <n v="3638"/>
    <n v="13002561"/>
    <n v="13"/>
    <n v="22589"/>
    <s v="Retail Sale"/>
    <n v="15"/>
    <n v="73886"/>
    <x v="55"/>
    <s v="Pulse"/>
    <s v="TEVA"/>
    <n v="3"/>
    <n v="591.98"/>
    <n v="975.4"/>
    <n v="48.77"/>
    <n v="48.77"/>
    <s v="BONUS_CARD"/>
    <n v="29"/>
    <n v="1"/>
    <n v="6"/>
    <n v="926.63"/>
    <n v="13130002638"/>
  </r>
  <r>
    <x v="15"/>
    <d v="1899-12-30T12:45:54"/>
    <n v="3639"/>
    <n v="13002561"/>
    <n v="13"/>
    <n v="22589"/>
    <s v="Retail Sale"/>
    <n v="15"/>
    <n v="98570"/>
    <x v="47"/>
    <s v="Grand Capital"/>
    <s v="Pfizer"/>
    <n v="2"/>
    <n v="84.26"/>
    <n v="139.37"/>
    <n v="6.97"/>
    <n v="6.97"/>
    <s v="BONUS_CARD"/>
    <n v="29"/>
    <n v="1"/>
    <n v="4"/>
    <n v="132.4"/>
    <n v="13130002639"/>
  </r>
  <r>
    <x v="30"/>
    <d v="1899-12-30T08:42:31"/>
    <n v="3640"/>
    <n v="13002561"/>
    <n v="13"/>
    <n v="22589"/>
    <s v="Retail Sale"/>
    <n v="18"/>
    <n v="42419"/>
    <x v="0"/>
    <s v="Grand Capital"/>
    <s v="KRKA"/>
    <n v="2"/>
    <n v="102.44"/>
    <n v="169.9"/>
    <n v="8.5"/>
    <n v="8.5"/>
    <s v="BONUS_CARD"/>
    <n v="29"/>
    <n v="1"/>
    <n v="3"/>
    <n v="161.4"/>
    <n v="13130002640"/>
  </r>
  <r>
    <x v="17"/>
    <d v="1899-12-30T11:18:43"/>
    <n v="3641"/>
    <n v="13002561"/>
    <n v="13"/>
    <n v="22589"/>
    <s v="Retail Sale"/>
    <n v="18"/>
    <n v="66590"/>
    <x v="69"/>
    <s v="Pulse"/>
    <s v="Takeda"/>
    <n v="1"/>
    <n v="274.64"/>
    <n v="444.3"/>
    <n v="0"/>
    <n v="0"/>
    <m/>
    <n v="29"/>
    <n v="1"/>
    <n v="1"/>
    <n v="444.3"/>
    <n v="13130002641"/>
  </r>
  <r>
    <x v="13"/>
    <d v="1899-12-30T19:18:11"/>
    <n v="3642"/>
    <n v="13002561"/>
    <n v="13"/>
    <n v="22589"/>
    <s v="Retail Sale"/>
    <n v="18"/>
    <n v="71270"/>
    <x v="11"/>
    <s v="Pulse"/>
    <s v="Dr. Reddy's"/>
    <n v="2"/>
    <n v="76.89"/>
    <n v="115.48"/>
    <n v="11.55"/>
    <n v="11.55"/>
    <s v="BONUS_CARD"/>
    <n v="29"/>
    <n v="1"/>
    <n v="4"/>
    <n v="103.93"/>
    <n v="13130002642"/>
  </r>
  <r>
    <x v="1"/>
    <d v="1899-12-30T10:24:03"/>
    <n v="3643"/>
    <n v="13002561"/>
    <n v="13"/>
    <n v="22589"/>
    <s v="Retail Sale"/>
    <n v="15"/>
    <n v="83172"/>
    <x v="55"/>
    <s v="Pulse"/>
    <s v="TEVA"/>
    <n v="1"/>
    <n v="51"/>
    <n v="68.25"/>
    <n v="3.41"/>
    <n v="3.41"/>
    <s v="BONUS_CARD"/>
    <n v="29"/>
    <n v="1"/>
    <n v="3"/>
    <n v="64.84"/>
    <n v="13130002643"/>
  </r>
  <r>
    <x v="4"/>
    <d v="1899-12-30T11:05:27"/>
    <n v="3644"/>
    <n v="13002561"/>
    <n v="13"/>
    <n v="22589"/>
    <s v="Retail Sale"/>
    <n v="18"/>
    <n v="28589"/>
    <x v="63"/>
    <s v="Grand Capital"/>
    <s v="Novartis"/>
    <n v="1"/>
    <n v="313.25"/>
    <n v="413.13"/>
    <n v="20.66"/>
    <n v="20.66"/>
    <s v="BONUS_CARD"/>
    <n v="29"/>
    <n v="1"/>
    <n v="5"/>
    <n v="392.47"/>
    <n v="13130002644"/>
  </r>
  <r>
    <x v="14"/>
    <d v="1899-12-30T21:30:13"/>
    <n v="3645"/>
    <n v="13002561"/>
    <n v="13"/>
    <n v="22589"/>
    <s v="Retail Sale"/>
    <n v="15"/>
    <n v="16102"/>
    <x v="39"/>
    <s v="Pharmcomplect"/>
    <s v="Novartis"/>
    <n v="3"/>
    <n v="51.38"/>
    <n v="66.959999999999994"/>
    <n v="0"/>
    <n v="0"/>
    <m/>
    <n v="29"/>
    <n v="1"/>
    <n v="1"/>
    <n v="66.959999999999994"/>
    <n v="13130002645"/>
  </r>
  <r>
    <x v="9"/>
    <d v="1899-12-30T10:50:20"/>
    <n v="3646"/>
    <n v="13002561"/>
    <n v="13"/>
    <n v="22589"/>
    <s v="Retail Sale"/>
    <n v="15"/>
    <n v="56011"/>
    <x v="14"/>
    <s v="Avesta"/>
    <s v="KRKA"/>
    <n v="2"/>
    <n v="530.59"/>
    <n v="772.26"/>
    <n v="0"/>
    <n v="0"/>
    <m/>
    <n v="29"/>
    <n v="1"/>
    <n v="1"/>
    <n v="772.26"/>
    <n v="13130002646"/>
  </r>
  <r>
    <x v="9"/>
    <d v="1899-12-30T17:56:27"/>
    <n v="3647"/>
    <n v="13002561"/>
    <n v="13"/>
    <n v="22589"/>
    <s v="Retail Sale"/>
    <n v="18"/>
    <n v="98328"/>
    <x v="57"/>
    <s v="Protek"/>
    <s v="Sanofi"/>
    <n v="1"/>
    <n v="274.82"/>
    <n v="347.37"/>
    <n v="0"/>
    <n v="0"/>
    <m/>
    <n v="29"/>
    <n v="1"/>
    <n v="6"/>
    <n v="347.37"/>
    <n v="13130002647"/>
  </r>
  <r>
    <x v="9"/>
    <d v="1899-12-30T10:10:26"/>
    <n v="3648"/>
    <n v="13002561"/>
    <n v="13"/>
    <n v="22589"/>
    <s v="Retail Sale"/>
    <n v="15"/>
    <n v="70857"/>
    <x v="31"/>
    <s v="Pulse"/>
    <s v="Dr. Reddy's"/>
    <n v="1"/>
    <n v="571.71"/>
    <n v="820.09"/>
    <n v="0"/>
    <n v="0"/>
    <m/>
    <n v="29"/>
    <n v="1"/>
    <n v="2"/>
    <n v="820.09"/>
    <n v="13130002648"/>
  </r>
  <r>
    <x v="20"/>
    <d v="1899-12-30T20:52:23"/>
    <n v="3649"/>
    <n v="13002561"/>
    <n v="13"/>
    <n v="22589"/>
    <s v="Retail Sale"/>
    <n v="18"/>
    <n v="54718"/>
    <x v="25"/>
    <s v="Grand Capital"/>
    <s v="Dr. Reddy's"/>
    <n v="1"/>
    <n v="530.97"/>
    <n v="702.13"/>
    <n v="70.209999999999994"/>
    <n v="70.209999999999994"/>
    <s v="BONUS_CARD"/>
    <n v="29"/>
    <n v="1"/>
    <n v="6"/>
    <n v="631.91999999999996"/>
    <n v="13130002649"/>
  </r>
  <r>
    <x v="20"/>
    <d v="1899-12-30T16:44:55"/>
    <n v="3650"/>
    <n v="13002561"/>
    <n v="13"/>
    <n v="22589"/>
    <s v="Retail Sale"/>
    <n v="15"/>
    <n v="63291"/>
    <x v="27"/>
    <s v="Protek"/>
    <s v="KRKA"/>
    <n v="2"/>
    <n v="443.74"/>
    <n v="575.09"/>
    <n v="57.51"/>
    <n v="57.51"/>
    <s v="BONUS_CARD"/>
    <n v="29"/>
    <n v="1"/>
    <n v="3"/>
    <n v="517.58000000000004"/>
    <n v="13130002650"/>
  </r>
  <r>
    <x v="1"/>
    <d v="1899-12-30T21:46:50"/>
    <n v="3651"/>
    <n v="13002561"/>
    <n v="13"/>
    <n v="22589"/>
    <s v="Retail Sale"/>
    <n v="18"/>
    <n v="80239"/>
    <x v="70"/>
    <s v="Katren"/>
    <s v="Pfizer"/>
    <n v="1"/>
    <n v="445.94"/>
    <n v="744.9"/>
    <n v="0"/>
    <n v="0"/>
    <m/>
    <n v="29"/>
    <n v="1"/>
    <n v="2"/>
    <n v="744.9"/>
    <n v="13130002651"/>
  </r>
  <r>
    <x v="30"/>
    <d v="1899-12-30T18:41:54"/>
    <n v="3652"/>
    <n v="13002561"/>
    <n v="13"/>
    <n v="22589"/>
    <s v="Retail Sale"/>
    <n v="18"/>
    <n v="64646"/>
    <x v="0"/>
    <s v="Katren"/>
    <s v="Bayer"/>
    <n v="1"/>
    <n v="470.31"/>
    <n v="641.51"/>
    <n v="32.08"/>
    <n v="32.08"/>
    <s v="BONUS_CARD"/>
    <n v="29"/>
    <n v="1"/>
    <n v="2"/>
    <n v="609.42999999999995"/>
    <n v="13130002652"/>
  </r>
  <r>
    <x v="24"/>
    <d v="1899-12-30T20:58:04"/>
    <n v="3653"/>
    <n v="13002561"/>
    <n v="13"/>
    <n v="22589"/>
    <s v="Retail Sale"/>
    <n v="15"/>
    <n v="57609"/>
    <x v="59"/>
    <s v="Protek"/>
    <s v="Sanofi"/>
    <n v="2"/>
    <n v="191.67"/>
    <n v="287.69"/>
    <n v="14.38"/>
    <n v="14.38"/>
    <s v="BONUS_CARD"/>
    <n v="29"/>
    <n v="1"/>
    <n v="3"/>
    <n v="273.31"/>
    <n v="13130002653"/>
  </r>
  <r>
    <x v="22"/>
    <d v="1899-12-30T19:08:58"/>
    <n v="3654"/>
    <n v="13002561"/>
    <n v="13"/>
    <n v="22589"/>
    <s v="Retail Sale"/>
    <n v="18"/>
    <n v="42377"/>
    <x v="34"/>
    <s v="Katren"/>
    <s v="TEVA"/>
    <n v="3"/>
    <n v="288.3"/>
    <n v="394.64"/>
    <n v="0"/>
    <n v="0"/>
    <m/>
    <n v="29"/>
    <n v="1"/>
    <n v="2"/>
    <n v="394.64"/>
    <n v="13130002654"/>
  </r>
  <r>
    <x v="8"/>
    <d v="1899-12-30T11:40:18"/>
    <n v="3655"/>
    <n v="13002561"/>
    <n v="13"/>
    <n v="22589"/>
    <s v="Retail Sale"/>
    <n v="18"/>
    <n v="61382"/>
    <x v="53"/>
    <s v="Protek"/>
    <s v="Pfizer"/>
    <n v="1"/>
    <n v="546.77"/>
    <n v="739.69"/>
    <n v="73.97"/>
    <n v="73.97"/>
    <s v="BONUS_CARD"/>
    <n v="29"/>
    <n v="1"/>
    <n v="3"/>
    <n v="665.72"/>
    <n v="13130002655"/>
  </r>
  <r>
    <x v="13"/>
    <d v="1899-12-30T11:59:57"/>
    <n v="3656"/>
    <n v="13002561"/>
    <n v="13"/>
    <n v="22589"/>
    <s v="Retail Sale"/>
    <n v="18"/>
    <n v="74622"/>
    <x v="73"/>
    <s v="Pharmcomplect"/>
    <s v="TEVA"/>
    <n v="2"/>
    <n v="93.94"/>
    <n v="130.37"/>
    <n v="13.04"/>
    <n v="13.04"/>
    <s v="BONUS_CARD"/>
    <n v="29"/>
    <n v="1"/>
    <n v="3"/>
    <n v="117.33"/>
    <n v="13130002656"/>
  </r>
  <r>
    <x v="23"/>
    <d v="1899-12-30T17:33:07"/>
    <n v="3657"/>
    <n v="13002561"/>
    <n v="13"/>
    <n v="22589"/>
    <s v="Retail Sale"/>
    <n v="15"/>
    <n v="16375"/>
    <x v="89"/>
    <s v="Avesta"/>
    <s v="Takeda"/>
    <n v="1"/>
    <n v="335.43"/>
    <n v="533.73"/>
    <n v="53.37"/>
    <n v="53.37"/>
    <s v="BONUS_CARD"/>
    <n v="29"/>
    <n v="1"/>
    <n v="5"/>
    <n v="480.36"/>
    <n v="13130002657"/>
  </r>
  <r>
    <x v="16"/>
    <d v="1899-12-30T13:18:42"/>
    <n v="3658"/>
    <n v="13002561"/>
    <n v="13"/>
    <n v="22589"/>
    <s v="Retail Sale"/>
    <n v="15"/>
    <n v="19966"/>
    <x v="41"/>
    <s v="Katren"/>
    <s v="Takeda"/>
    <n v="3"/>
    <n v="411.92"/>
    <n v="517.20000000000005"/>
    <n v="0"/>
    <n v="0"/>
    <m/>
    <n v="29"/>
    <n v="1"/>
    <n v="6"/>
    <n v="517.20000000000005"/>
    <n v="13130002658"/>
  </r>
  <r>
    <x v="15"/>
    <d v="1899-12-30T19:15:57"/>
    <n v="3659"/>
    <n v="13002561"/>
    <n v="13"/>
    <n v="22589"/>
    <s v="Retail Sale"/>
    <n v="15"/>
    <n v="61331"/>
    <x v="1"/>
    <s v="Protek"/>
    <s v="KRKA"/>
    <n v="3"/>
    <n v="364.63"/>
    <n v="543.41999999999996"/>
    <n v="0"/>
    <n v="0"/>
    <m/>
    <n v="29"/>
    <n v="1"/>
    <n v="6"/>
    <n v="543.41999999999996"/>
    <n v="13130002659"/>
  </r>
  <r>
    <x v="13"/>
    <d v="1899-12-30T20:30:22"/>
    <n v="3660"/>
    <n v="13002561"/>
    <n v="13"/>
    <n v="22589"/>
    <s v="Retail Sale"/>
    <n v="15"/>
    <n v="18243"/>
    <x v="79"/>
    <s v="Avesta"/>
    <s v="TEVA"/>
    <n v="2"/>
    <n v="239.16"/>
    <n v="386.47"/>
    <n v="38.65"/>
    <n v="38.65"/>
    <s v="BONUS_CARD"/>
    <n v="29"/>
    <n v="1"/>
    <n v="3"/>
    <n v="347.82"/>
    <n v="13130002660"/>
  </r>
  <r>
    <x v="9"/>
    <d v="1899-12-30T19:05:14"/>
    <n v="3661"/>
    <n v="13002561"/>
    <n v="13"/>
    <n v="22589"/>
    <s v="Retail Sale"/>
    <n v="18"/>
    <n v="78110"/>
    <x v="73"/>
    <s v="Protek"/>
    <s v="TEVA"/>
    <n v="3"/>
    <n v="273.35000000000002"/>
    <n v="368.98"/>
    <n v="36.9"/>
    <n v="36.9"/>
    <s v="BONUS_CARD"/>
    <n v="29"/>
    <n v="1"/>
    <n v="2"/>
    <n v="332.08"/>
    <n v="13130002661"/>
  </r>
  <r>
    <x v="2"/>
    <d v="1899-12-30T12:48:51"/>
    <n v="3662"/>
    <n v="13002561"/>
    <n v="13"/>
    <n v="22589"/>
    <s v="Retail Sale"/>
    <n v="18"/>
    <n v="34970"/>
    <x v="79"/>
    <s v="Pharmcomplect"/>
    <s v="Bayer"/>
    <n v="1"/>
    <n v="359.02"/>
    <n v="526.35"/>
    <n v="0"/>
    <n v="0"/>
    <m/>
    <n v="29"/>
    <n v="1"/>
    <n v="5"/>
    <n v="526.35"/>
    <n v="13130002662"/>
  </r>
  <r>
    <x v="29"/>
    <d v="1899-12-30T09:13:51"/>
    <n v="3663"/>
    <n v="13002561"/>
    <n v="13"/>
    <n v="22589"/>
    <s v="Retail Sale"/>
    <n v="18"/>
    <n v="83652"/>
    <x v="17"/>
    <s v="Protek"/>
    <s v="Novartis"/>
    <n v="3"/>
    <n v="121.83"/>
    <n v="166.18"/>
    <n v="16.62"/>
    <n v="16.62"/>
    <s v="BONUS_CARD"/>
    <n v="29"/>
    <n v="1"/>
    <n v="4"/>
    <n v="149.56"/>
    <n v="13130002663"/>
  </r>
  <r>
    <x v="4"/>
    <d v="1899-12-30T19:07:13"/>
    <n v="3664"/>
    <n v="13002561"/>
    <n v="13"/>
    <n v="22589"/>
    <s v="Retail Sale"/>
    <n v="18"/>
    <n v="92739"/>
    <x v="63"/>
    <s v="Pharmcomplect"/>
    <s v="Sanofi"/>
    <n v="1"/>
    <n v="232.29"/>
    <n v="321.42"/>
    <n v="16.07"/>
    <n v="16.07"/>
    <s v="BONUS_CARD"/>
    <n v="29"/>
    <n v="1"/>
    <n v="4"/>
    <n v="305.35000000000002"/>
    <n v="13130002664"/>
  </r>
  <r>
    <x v="13"/>
    <d v="1899-12-30T18:04:11"/>
    <n v="3665"/>
    <n v="13002561"/>
    <n v="13"/>
    <n v="22589"/>
    <s v="Retail Sale"/>
    <n v="15"/>
    <n v="95124"/>
    <x v="37"/>
    <s v="Pulse"/>
    <s v="Novartis"/>
    <n v="2"/>
    <n v="382.2"/>
    <n v="589.53"/>
    <n v="58.95"/>
    <n v="58.95"/>
    <s v="BONUS_CARD"/>
    <n v="29"/>
    <n v="1"/>
    <n v="3"/>
    <n v="530.58000000000004"/>
    <n v="13130002665"/>
  </r>
  <r>
    <x v="17"/>
    <d v="1899-12-30T21:14:07"/>
    <n v="3666"/>
    <n v="13002561"/>
    <n v="13"/>
    <n v="22589"/>
    <s v="Retail Sale"/>
    <n v="18"/>
    <n v="79066"/>
    <x v="67"/>
    <s v="Protek"/>
    <s v="Bayer"/>
    <n v="1"/>
    <n v="389.11"/>
    <n v="534.79"/>
    <n v="0"/>
    <n v="0"/>
    <m/>
    <n v="29"/>
    <n v="1"/>
    <n v="3"/>
    <n v="534.79"/>
    <n v="13130002666"/>
  </r>
  <r>
    <x v="12"/>
    <d v="1899-12-30T20:02:48"/>
    <n v="3667"/>
    <n v="13002561"/>
    <n v="13"/>
    <n v="22589"/>
    <s v="Retail Sale"/>
    <n v="15"/>
    <n v="28552"/>
    <x v="74"/>
    <s v="Grand Capital"/>
    <s v="Takeda"/>
    <n v="1"/>
    <n v="29.12"/>
    <n v="43.25"/>
    <n v="2.16"/>
    <n v="2.16"/>
    <s v="BONUS_CARD"/>
    <n v="29"/>
    <n v="1"/>
    <n v="1"/>
    <n v="41.09"/>
    <n v="13130002667"/>
  </r>
  <r>
    <x v="0"/>
    <d v="1899-12-30T19:38:43"/>
    <n v="3668"/>
    <n v="13002561"/>
    <n v="13"/>
    <n v="22589"/>
    <s v="Retail Sale"/>
    <n v="15"/>
    <n v="14509"/>
    <x v="51"/>
    <s v="Protek"/>
    <s v="TEVA"/>
    <n v="1"/>
    <n v="6.61"/>
    <n v="10.56"/>
    <n v="0.53"/>
    <n v="0.53"/>
    <s v="BONUS_CARD"/>
    <n v="29"/>
    <n v="1"/>
    <n v="4"/>
    <n v="10.029999999999999"/>
    <n v="13130002668"/>
  </r>
  <r>
    <x v="19"/>
    <d v="1899-12-30T15:21:44"/>
    <n v="3669"/>
    <n v="13002561"/>
    <n v="13"/>
    <n v="22589"/>
    <s v="Retail Sale"/>
    <n v="18"/>
    <n v="27724"/>
    <x v="54"/>
    <s v="Protek"/>
    <s v="Novartis"/>
    <n v="3"/>
    <n v="365.29"/>
    <n v="607.73"/>
    <n v="0"/>
    <n v="0"/>
    <m/>
    <n v="29"/>
    <n v="1"/>
    <n v="4"/>
    <n v="607.73"/>
    <n v="13130002669"/>
  </r>
  <r>
    <x v="0"/>
    <d v="1899-12-30T09:28:22"/>
    <n v="3670"/>
    <n v="13002561"/>
    <n v="13"/>
    <n v="22589"/>
    <s v="Retail Sale"/>
    <n v="15"/>
    <n v="55219"/>
    <x v="81"/>
    <s v="Grand Capital"/>
    <s v="KRKA"/>
    <n v="2"/>
    <n v="460.48"/>
    <n v="751.18"/>
    <n v="37.56"/>
    <n v="37.56"/>
    <s v="BONUS_CARD"/>
    <n v="29"/>
    <n v="1"/>
    <n v="2"/>
    <n v="713.62"/>
    <n v="13130002670"/>
  </r>
  <r>
    <x v="8"/>
    <d v="1899-12-30T09:46:38"/>
    <n v="3671"/>
    <n v="13002561"/>
    <n v="13"/>
    <n v="22589"/>
    <s v="Retail Sale"/>
    <n v="18"/>
    <n v="29871"/>
    <x v="41"/>
    <s v="Grand Capital"/>
    <s v="TEVA"/>
    <n v="2"/>
    <n v="236.1"/>
    <n v="361.2"/>
    <n v="18.059999999999999"/>
    <n v="18.059999999999999"/>
    <s v="BONUS_CARD"/>
    <n v="29"/>
    <n v="1"/>
    <n v="3"/>
    <n v="343.14"/>
    <n v="13130002671"/>
  </r>
  <r>
    <x v="4"/>
    <d v="1899-12-30T14:10:01"/>
    <n v="3672"/>
    <n v="13002561"/>
    <n v="13"/>
    <n v="22589"/>
    <s v="Retail Sale"/>
    <n v="15"/>
    <n v="74884"/>
    <x v="19"/>
    <s v="Katren"/>
    <s v="KRKA"/>
    <n v="2"/>
    <n v="295.70999999999998"/>
    <n v="460.43"/>
    <n v="0"/>
    <n v="0"/>
    <m/>
    <n v="29"/>
    <n v="1"/>
    <n v="6"/>
    <n v="460.43"/>
    <n v="13130002672"/>
  </r>
  <r>
    <x v="13"/>
    <d v="1899-12-30T22:05:15"/>
    <n v="3673"/>
    <n v="13002561"/>
    <n v="13"/>
    <n v="22589"/>
    <s v="Retail Sale"/>
    <n v="18"/>
    <n v="85913"/>
    <x v="55"/>
    <s v="Protek"/>
    <s v="Dr. Reddy's"/>
    <n v="2"/>
    <n v="290.95999999999998"/>
    <n v="463.13"/>
    <n v="23.16"/>
    <n v="23.16"/>
    <s v="BONUS_CARD"/>
    <n v="29"/>
    <n v="1"/>
    <n v="1"/>
    <n v="439.97"/>
    <n v="13130002673"/>
  </r>
  <r>
    <x v="23"/>
    <d v="1899-12-30T12:05:39"/>
    <n v="3674"/>
    <n v="13002561"/>
    <n v="13"/>
    <n v="22589"/>
    <s v="Retail Sale"/>
    <n v="15"/>
    <n v="47373"/>
    <x v="3"/>
    <s v="Grand Capital"/>
    <s v="Novartis"/>
    <n v="3"/>
    <n v="173.96"/>
    <n v="276.54000000000002"/>
    <n v="0"/>
    <n v="0"/>
    <m/>
    <n v="29"/>
    <n v="1"/>
    <n v="4"/>
    <n v="276.54000000000002"/>
    <n v="13130002674"/>
  </r>
  <r>
    <x v="29"/>
    <d v="1899-12-30T08:39:22"/>
    <n v="3675"/>
    <n v="13002561"/>
    <n v="13"/>
    <n v="22589"/>
    <s v="Retail Sale"/>
    <n v="15"/>
    <n v="69928"/>
    <x v="16"/>
    <s v="Grand Capital"/>
    <s v="Novartis"/>
    <n v="3"/>
    <n v="556.1"/>
    <n v="708.21"/>
    <n v="0"/>
    <n v="0"/>
    <m/>
    <n v="29"/>
    <n v="1"/>
    <n v="1"/>
    <n v="708.21"/>
    <n v="13130002675"/>
  </r>
  <r>
    <x v="24"/>
    <d v="1899-12-30T09:39:50"/>
    <n v="3676"/>
    <n v="13002561"/>
    <n v="13"/>
    <n v="22589"/>
    <s v="Retail Sale"/>
    <n v="15"/>
    <n v="23408"/>
    <x v="51"/>
    <s v="Pharmcomplect"/>
    <s v="Dr. Reddy's"/>
    <n v="3"/>
    <n v="569.44000000000005"/>
    <n v="952.05"/>
    <n v="47.6"/>
    <n v="47.6"/>
    <s v="BONUS_CARD"/>
    <n v="29"/>
    <n v="1"/>
    <n v="1"/>
    <n v="904.45"/>
    <n v="13130002676"/>
  </r>
  <r>
    <x v="22"/>
    <d v="1899-12-30T20:40:45"/>
    <n v="3677"/>
    <n v="13002561"/>
    <n v="13"/>
    <n v="22589"/>
    <s v="Retail Sale"/>
    <n v="15"/>
    <n v="41729"/>
    <x v="62"/>
    <s v="Grand Capital"/>
    <s v="Bayer"/>
    <n v="3"/>
    <n v="258.36"/>
    <n v="418.76"/>
    <n v="0"/>
    <n v="0"/>
    <m/>
    <n v="29"/>
    <n v="1"/>
    <n v="2"/>
    <n v="418.76"/>
    <n v="13130002677"/>
  </r>
  <r>
    <x v="3"/>
    <d v="1899-12-30T10:15:26"/>
    <n v="3678"/>
    <n v="13002561"/>
    <n v="13"/>
    <n v="22589"/>
    <s v="Retail Sale"/>
    <n v="18"/>
    <n v="50606"/>
    <x v="21"/>
    <s v="Katren"/>
    <s v="Bayer"/>
    <n v="3"/>
    <n v="192.17"/>
    <n v="242.62"/>
    <n v="12.13"/>
    <n v="12.13"/>
    <s v="BONUS_CARD"/>
    <n v="29"/>
    <n v="1"/>
    <n v="6"/>
    <n v="230.49"/>
    <n v="13130002678"/>
  </r>
  <r>
    <x v="2"/>
    <d v="1899-12-30T22:29:27"/>
    <n v="3679"/>
    <n v="13002561"/>
    <n v="13"/>
    <n v="22589"/>
    <s v="Retail Sale"/>
    <n v="15"/>
    <n v="48879"/>
    <x v="8"/>
    <s v="Pharmcomplect"/>
    <s v="Sanofi"/>
    <n v="2"/>
    <n v="375.72"/>
    <n v="571.32000000000005"/>
    <n v="0"/>
    <n v="0"/>
    <m/>
    <n v="29"/>
    <n v="1"/>
    <n v="1"/>
    <n v="571.32000000000005"/>
    <n v="13130002679"/>
  </r>
  <r>
    <x v="17"/>
    <d v="1899-12-30T22:01:43"/>
    <n v="3680"/>
    <n v="13002561"/>
    <n v="13"/>
    <n v="22589"/>
    <s v="Retail Sale"/>
    <n v="18"/>
    <n v="89199"/>
    <x v="16"/>
    <s v="Pulse"/>
    <s v="Bayer"/>
    <n v="2"/>
    <n v="76.64"/>
    <n v="128.81"/>
    <n v="6.44"/>
    <n v="6.44"/>
    <s v="BONUS_CARD"/>
    <n v="29"/>
    <n v="1"/>
    <n v="4"/>
    <n v="122.37"/>
    <n v="13130002680"/>
  </r>
  <r>
    <x v="30"/>
    <d v="1899-12-30T21:50:46"/>
    <n v="3681"/>
    <n v="13002561"/>
    <n v="13"/>
    <n v="22589"/>
    <s v="Retail Sale"/>
    <n v="15"/>
    <n v="74455"/>
    <x v="61"/>
    <s v="Pulse"/>
    <s v="Sanofi"/>
    <n v="3"/>
    <n v="72.5"/>
    <n v="118.53"/>
    <n v="5.93"/>
    <n v="5.93"/>
    <s v="BONUS_CARD"/>
    <n v="29"/>
    <n v="1"/>
    <n v="5"/>
    <n v="112.6"/>
    <n v="13130002681"/>
  </r>
  <r>
    <x v="27"/>
    <d v="1899-12-30T17:24:25"/>
    <n v="3682"/>
    <n v="13002561"/>
    <n v="13"/>
    <n v="22589"/>
    <s v="Retail Sale"/>
    <n v="15"/>
    <n v="26425"/>
    <x v="29"/>
    <s v="Pulse"/>
    <s v="TEVA"/>
    <n v="3"/>
    <n v="258.20999999999998"/>
    <n v="438.54"/>
    <n v="43.85"/>
    <n v="43.85"/>
    <s v="BONUS_CARD"/>
    <n v="29"/>
    <n v="1"/>
    <n v="1"/>
    <n v="394.69"/>
    <n v="13130002682"/>
  </r>
  <r>
    <x v="3"/>
    <d v="1899-12-30T22:55:58"/>
    <n v="3683"/>
    <n v="13002561"/>
    <n v="13"/>
    <n v="22589"/>
    <s v="Retail Sale"/>
    <n v="18"/>
    <n v="33963"/>
    <x v="19"/>
    <s v="Katren"/>
    <s v="Dr. Reddy's"/>
    <n v="2"/>
    <n v="273.68"/>
    <n v="439.27"/>
    <n v="21.96"/>
    <n v="21.96"/>
    <s v="BONUS_CARD"/>
    <n v="29"/>
    <n v="1"/>
    <n v="3"/>
    <n v="417.31"/>
    <n v="13130002683"/>
  </r>
  <r>
    <x v="17"/>
    <d v="1899-12-30T11:46:38"/>
    <n v="3684"/>
    <n v="13002561"/>
    <n v="13"/>
    <n v="22589"/>
    <s v="Retail Sale"/>
    <n v="15"/>
    <n v="81056"/>
    <x v="69"/>
    <s v="Avesta"/>
    <s v="KRKA"/>
    <n v="2"/>
    <n v="503.14"/>
    <n v="804.53"/>
    <n v="40.229999999999997"/>
    <n v="40.229999999999997"/>
    <s v="BONUS_CARD"/>
    <n v="29"/>
    <n v="1"/>
    <n v="4"/>
    <n v="764.3"/>
    <n v="13130002684"/>
  </r>
  <r>
    <x v="2"/>
    <d v="1899-12-30T22:20:54"/>
    <n v="3685"/>
    <n v="13002561"/>
    <n v="13"/>
    <n v="22589"/>
    <s v="Retail Sale"/>
    <n v="15"/>
    <n v="91642"/>
    <x v="42"/>
    <s v="Protek"/>
    <s v="KRKA"/>
    <n v="2"/>
    <n v="216.03"/>
    <n v="320.02999999999997"/>
    <n v="0"/>
    <n v="0"/>
    <m/>
    <n v="29"/>
    <n v="1"/>
    <n v="2"/>
    <n v="320.02999999999997"/>
    <n v="13130002685"/>
  </r>
  <r>
    <x v="11"/>
    <d v="1899-12-30T10:51:23"/>
    <n v="3686"/>
    <n v="13002561"/>
    <n v="13"/>
    <n v="22589"/>
    <s v="Retail Sale"/>
    <n v="18"/>
    <n v="44902"/>
    <x v="63"/>
    <s v="Protek"/>
    <s v="TEVA"/>
    <n v="1"/>
    <n v="416.35"/>
    <n v="535.66999999999996"/>
    <n v="0"/>
    <n v="0"/>
    <m/>
    <n v="29"/>
    <n v="1"/>
    <n v="2"/>
    <n v="535.66999999999996"/>
    <n v="13130002686"/>
  </r>
  <r>
    <x v="14"/>
    <d v="1899-12-30T15:22:53"/>
    <n v="3687"/>
    <n v="13002561"/>
    <n v="13"/>
    <n v="22589"/>
    <s v="Retail Sale"/>
    <n v="15"/>
    <n v="51913"/>
    <x v="31"/>
    <s v="Pharmcomplect"/>
    <s v="TEVA"/>
    <n v="3"/>
    <n v="158.72"/>
    <n v="242.14"/>
    <n v="0"/>
    <n v="0"/>
    <m/>
    <n v="29"/>
    <n v="1"/>
    <n v="5"/>
    <n v="242.14"/>
    <n v="13130002687"/>
  </r>
  <r>
    <x v="6"/>
    <d v="1899-12-30T17:29:50"/>
    <n v="3688"/>
    <n v="13002561"/>
    <n v="13"/>
    <n v="22589"/>
    <s v="Retail Sale"/>
    <n v="15"/>
    <n v="26337"/>
    <x v="80"/>
    <s v="Katren"/>
    <s v="Novartis"/>
    <n v="1"/>
    <n v="519.83000000000004"/>
    <n v="651"/>
    <n v="32.549999999999997"/>
    <n v="32.549999999999997"/>
    <s v="BONUS_CARD"/>
    <n v="29"/>
    <n v="1"/>
    <n v="3"/>
    <n v="618.45000000000005"/>
    <n v="13130002688"/>
  </r>
  <r>
    <x v="18"/>
    <d v="1899-12-30T10:22:38"/>
    <n v="3689"/>
    <n v="13002561"/>
    <n v="13"/>
    <n v="22589"/>
    <s v="Retail Sale"/>
    <n v="15"/>
    <n v="91577"/>
    <x v="16"/>
    <s v="Protek"/>
    <s v="Sanofi"/>
    <n v="2"/>
    <n v="190.03"/>
    <n v="265.51"/>
    <n v="26.55"/>
    <n v="26.55"/>
    <s v="BONUS_CARD"/>
    <n v="29"/>
    <n v="1"/>
    <n v="3"/>
    <n v="238.96"/>
    <n v="13130002689"/>
  </r>
  <r>
    <x v="22"/>
    <d v="1899-12-30T17:13:43"/>
    <n v="3690"/>
    <n v="13002561"/>
    <n v="13"/>
    <n v="22589"/>
    <s v="Retail Sale"/>
    <n v="18"/>
    <n v="83570"/>
    <x v="65"/>
    <s v="Pharmcomplect"/>
    <s v="Dr. Reddy's"/>
    <n v="2"/>
    <n v="209.34"/>
    <n v="269.04000000000002"/>
    <n v="13.45"/>
    <n v="13.45"/>
    <s v="BONUS_CARD"/>
    <n v="29"/>
    <n v="1"/>
    <n v="3"/>
    <n v="255.59"/>
    <n v="13130002690"/>
  </r>
  <r>
    <x v="7"/>
    <d v="1899-12-30T19:37:35"/>
    <n v="3691"/>
    <n v="13002561"/>
    <n v="13"/>
    <n v="22589"/>
    <s v="Retail Sale"/>
    <n v="18"/>
    <n v="25352"/>
    <x v="29"/>
    <s v="Katren"/>
    <s v="TEVA"/>
    <n v="3"/>
    <n v="449.72"/>
    <n v="738.64"/>
    <n v="36.93"/>
    <n v="36.93"/>
    <s v="BONUS_CARD"/>
    <n v="29"/>
    <n v="1"/>
    <n v="2"/>
    <n v="701.71"/>
    <n v="13130002691"/>
  </r>
  <r>
    <x v="13"/>
    <d v="1899-12-30T08:03:20"/>
    <n v="3692"/>
    <n v="13002561"/>
    <n v="13"/>
    <n v="22589"/>
    <s v="Retail Sale"/>
    <n v="18"/>
    <n v="69523"/>
    <x v="40"/>
    <s v="Katren"/>
    <s v="TEVA"/>
    <n v="2"/>
    <n v="538.91"/>
    <n v="869.27"/>
    <n v="86.93"/>
    <n v="86.93"/>
    <s v="BONUS_CARD"/>
    <n v="29"/>
    <n v="1"/>
    <n v="5"/>
    <n v="782.34"/>
    <n v="13130002692"/>
  </r>
  <r>
    <x v="3"/>
    <d v="1899-12-30T16:44:56"/>
    <n v="3693"/>
    <n v="13002561"/>
    <n v="13"/>
    <n v="22589"/>
    <s v="Retail Sale"/>
    <n v="18"/>
    <n v="40230"/>
    <x v="82"/>
    <s v="Pharmcomplect"/>
    <s v="Bayer"/>
    <n v="2"/>
    <n v="206.75"/>
    <n v="279.32"/>
    <n v="0"/>
    <n v="0"/>
    <m/>
    <n v="29"/>
    <n v="1"/>
    <n v="5"/>
    <n v="279.32"/>
    <n v="13130002693"/>
  </r>
  <r>
    <x v="20"/>
    <d v="1899-12-30T18:57:42"/>
    <n v="3694"/>
    <n v="13002561"/>
    <n v="13"/>
    <n v="22589"/>
    <s v="Retail Sale"/>
    <n v="18"/>
    <n v="31815"/>
    <x v="47"/>
    <s v="Pulse"/>
    <s v="Novartis"/>
    <n v="1"/>
    <n v="305.61"/>
    <n v="433.34"/>
    <n v="21.67"/>
    <n v="21.67"/>
    <s v="BONUS_CARD"/>
    <n v="29"/>
    <n v="1"/>
    <n v="2"/>
    <n v="411.67"/>
    <n v="13130002694"/>
  </r>
  <r>
    <x v="28"/>
    <d v="1899-12-30T16:52:31"/>
    <n v="3695"/>
    <n v="13002561"/>
    <n v="13"/>
    <n v="22589"/>
    <s v="Retail Sale"/>
    <n v="18"/>
    <n v="77747"/>
    <x v="12"/>
    <s v="Pharmcomplect"/>
    <s v="Sanofi"/>
    <n v="3"/>
    <n v="234.13"/>
    <n v="364.69"/>
    <n v="0"/>
    <n v="0"/>
    <m/>
    <n v="29"/>
    <n v="1"/>
    <n v="4"/>
    <n v="364.69"/>
    <n v="13130002695"/>
  </r>
  <r>
    <x v="25"/>
    <d v="1899-12-30T08:40:26"/>
    <n v="3696"/>
    <n v="13002561"/>
    <n v="13"/>
    <n v="22589"/>
    <s v="Retail Sale"/>
    <n v="18"/>
    <n v="47659"/>
    <x v="44"/>
    <s v="Protek"/>
    <s v="Novartis"/>
    <n v="2"/>
    <n v="594.42999999999995"/>
    <n v="939.72"/>
    <n v="93.97"/>
    <n v="93.97"/>
    <s v="BONUS_CARD"/>
    <n v="29"/>
    <n v="1"/>
    <n v="5"/>
    <n v="845.75"/>
    <n v="13130002696"/>
  </r>
  <r>
    <x v="0"/>
    <d v="1899-12-30T19:07:46"/>
    <n v="3697"/>
    <n v="13002561"/>
    <n v="13"/>
    <n v="22589"/>
    <s v="Retail Sale"/>
    <n v="18"/>
    <n v="49083"/>
    <x v="63"/>
    <s v="Pharmcomplect"/>
    <s v="Pfizer"/>
    <n v="3"/>
    <n v="412.78"/>
    <n v="639.42999999999995"/>
    <n v="0"/>
    <n v="0"/>
    <m/>
    <n v="29"/>
    <n v="1"/>
    <n v="1"/>
    <n v="639.42999999999995"/>
    <n v="13130002697"/>
  </r>
  <r>
    <x v="26"/>
    <d v="1899-12-30T20:07:10"/>
    <n v="3698"/>
    <n v="13002561"/>
    <n v="13"/>
    <n v="22589"/>
    <s v="Retail Sale"/>
    <n v="18"/>
    <n v="46325"/>
    <x v="9"/>
    <s v="Pulse"/>
    <s v="Dr. Reddy's"/>
    <n v="2"/>
    <n v="187.29"/>
    <n v="248.65"/>
    <n v="0"/>
    <n v="0"/>
    <m/>
    <n v="29"/>
    <n v="1"/>
    <n v="5"/>
    <n v="248.65"/>
    <n v="13130002698"/>
  </r>
  <r>
    <x v="11"/>
    <d v="1899-12-30T19:58:30"/>
    <n v="3699"/>
    <n v="13002561"/>
    <n v="13"/>
    <n v="22589"/>
    <s v="Retail Sale"/>
    <n v="18"/>
    <n v="78761"/>
    <x v="28"/>
    <s v="Pharmcomplect"/>
    <s v="Bayer"/>
    <n v="3"/>
    <n v="345.94"/>
    <n v="464.48"/>
    <n v="46.45"/>
    <n v="46.45"/>
    <s v="BONUS_CARD"/>
    <n v="29"/>
    <n v="1"/>
    <n v="3"/>
    <n v="418.03"/>
    <n v="13130002699"/>
  </r>
  <r>
    <x v="17"/>
    <d v="1899-12-30T17:45:43"/>
    <n v="3700"/>
    <n v="13002561"/>
    <n v="13"/>
    <n v="22589"/>
    <s v="Retail Sale"/>
    <n v="18"/>
    <n v="67763"/>
    <x v="57"/>
    <s v="Grand Capital"/>
    <s v="Bayer"/>
    <n v="3"/>
    <n v="532.76"/>
    <n v="792.32"/>
    <n v="0"/>
    <n v="0"/>
    <m/>
    <n v="29"/>
    <n v="1"/>
    <n v="2"/>
    <n v="792.32"/>
    <n v="13130002700"/>
  </r>
  <r>
    <x v="27"/>
    <d v="1899-12-30T18:08:01"/>
    <n v="3701"/>
    <n v="13002561"/>
    <n v="13"/>
    <n v="22589"/>
    <s v="Retail Sale"/>
    <n v="18"/>
    <n v="29377"/>
    <x v="39"/>
    <s v="Avesta"/>
    <s v="Pfizer"/>
    <n v="2"/>
    <n v="517.22"/>
    <n v="823.75"/>
    <n v="82.38"/>
    <n v="82.38"/>
    <s v="BONUS_CARD"/>
    <n v="29"/>
    <n v="1"/>
    <n v="3"/>
    <n v="741.37"/>
    <n v="13130002701"/>
  </r>
  <r>
    <x v="17"/>
    <d v="1899-12-30T21:37:09"/>
    <n v="3702"/>
    <n v="13002561"/>
    <n v="13"/>
    <n v="22589"/>
    <s v="Retail Sale"/>
    <n v="15"/>
    <n v="74936"/>
    <x v="4"/>
    <s v="Grand Capital"/>
    <s v="Novartis"/>
    <n v="1"/>
    <n v="449.46"/>
    <n v="732.05"/>
    <n v="36.6"/>
    <n v="36.6"/>
    <s v="BONUS_CARD"/>
    <n v="29"/>
    <n v="1"/>
    <n v="4"/>
    <n v="695.45"/>
    <n v="13130002702"/>
  </r>
  <r>
    <x v="4"/>
    <d v="1899-12-30T15:56:49"/>
    <n v="3703"/>
    <n v="13002561"/>
    <n v="13"/>
    <n v="22589"/>
    <s v="Retail Sale"/>
    <n v="18"/>
    <n v="51436"/>
    <x v="41"/>
    <s v="Grand Capital"/>
    <s v="KRKA"/>
    <n v="2"/>
    <n v="200.45"/>
    <n v="317.39999999999998"/>
    <n v="0"/>
    <n v="0"/>
    <m/>
    <n v="29"/>
    <n v="1"/>
    <n v="2"/>
    <n v="317.39999999999998"/>
    <n v="13130002703"/>
  </r>
  <r>
    <x v="6"/>
    <d v="1899-12-30T15:57:25"/>
    <n v="3704"/>
    <n v="13002561"/>
    <n v="13"/>
    <n v="22589"/>
    <s v="Retail Sale"/>
    <n v="18"/>
    <n v="56710"/>
    <x v="24"/>
    <s v="Avesta"/>
    <s v="KRKA"/>
    <n v="3"/>
    <n v="82.72"/>
    <n v="116.47"/>
    <n v="5.82"/>
    <n v="5.82"/>
    <s v="BONUS_CARD"/>
    <n v="29"/>
    <n v="1"/>
    <n v="4"/>
    <n v="110.65"/>
    <n v="13130002704"/>
  </r>
  <r>
    <x v="16"/>
    <d v="1899-12-30T16:29:54"/>
    <n v="3705"/>
    <n v="13002561"/>
    <n v="13"/>
    <n v="22589"/>
    <s v="Retail Sale"/>
    <n v="15"/>
    <n v="38334"/>
    <x v="62"/>
    <s v="Grand Capital"/>
    <s v="TEVA"/>
    <n v="2"/>
    <n v="191.53"/>
    <n v="250.86"/>
    <n v="0"/>
    <n v="0"/>
    <m/>
    <n v="29"/>
    <n v="1"/>
    <n v="2"/>
    <n v="250.86"/>
    <n v="13130002705"/>
  </r>
  <r>
    <x v="11"/>
    <d v="1899-12-30T11:49:16"/>
    <n v="3706"/>
    <n v="13002561"/>
    <n v="13"/>
    <n v="22589"/>
    <s v="Retail Sale"/>
    <n v="15"/>
    <n v="24611"/>
    <x v="16"/>
    <s v="Protek"/>
    <s v="Sanofi"/>
    <n v="1"/>
    <n v="127.38"/>
    <n v="203.54"/>
    <n v="10.18"/>
    <n v="10.18"/>
    <s v="BONUS_CARD"/>
    <n v="29"/>
    <n v="1"/>
    <n v="5"/>
    <n v="193.36"/>
    <n v="13130002706"/>
  </r>
  <r>
    <x v="27"/>
    <d v="1899-12-30T17:46:27"/>
    <n v="3707"/>
    <n v="13002561"/>
    <n v="13"/>
    <n v="22589"/>
    <s v="Retail Sale"/>
    <n v="15"/>
    <n v="62661"/>
    <x v="57"/>
    <s v="Avesta"/>
    <s v="Takeda"/>
    <n v="2"/>
    <n v="400.99"/>
    <n v="506.86"/>
    <n v="0"/>
    <n v="0"/>
    <m/>
    <n v="29"/>
    <n v="1"/>
    <n v="3"/>
    <n v="506.86"/>
    <n v="13130002707"/>
  </r>
  <r>
    <x v="14"/>
    <d v="1899-12-30T19:03:36"/>
    <n v="3708"/>
    <n v="13002561"/>
    <n v="13"/>
    <n v="22589"/>
    <s v="Retail Sale"/>
    <n v="15"/>
    <n v="57974"/>
    <x v="24"/>
    <s v="Pulse"/>
    <s v="Novartis"/>
    <n v="1"/>
    <n v="232.24"/>
    <n v="373.6"/>
    <n v="37.36"/>
    <n v="37.36"/>
    <s v="BONUS_CARD"/>
    <n v="29"/>
    <n v="1"/>
    <n v="1"/>
    <n v="336.24"/>
    <n v="13130002708"/>
  </r>
  <r>
    <x v="17"/>
    <d v="1899-12-30T09:55:19"/>
    <n v="3709"/>
    <n v="13002561"/>
    <n v="13"/>
    <n v="22589"/>
    <s v="Retail Sale"/>
    <n v="15"/>
    <n v="71660"/>
    <x v="76"/>
    <s v="Avesta"/>
    <s v="Bayer"/>
    <n v="3"/>
    <n v="153.41999999999999"/>
    <n v="253.13"/>
    <n v="25.31"/>
    <n v="25.31"/>
    <s v="BONUS_CARD"/>
    <n v="29"/>
    <n v="1"/>
    <n v="3"/>
    <n v="227.82"/>
    <n v="13130002709"/>
  </r>
  <r>
    <x v="7"/>
    <d v="1899-12-30T22:05:24"/>
    <n v="3710"/>
    <n v="13002561"/>
    <n v="13"/>
    <n v="22589"/>
    <s v="Retail Sale"/>
    <n v="18"/>
    <n v="84647"/>
    <x v="56"/>
    <s v="Avesta"/>
    <s v="Takeda"/>
    <n v="1"/>
    <n v="488.4"/>
    <n v="702.05"/>
    <n v="0"/>
    <n v="0"/>
    <m/>
    <n v="29"/>
    <n v="1"/>
    <n v="1"/>
    <n v="702.05"/>
    <n v="13130002710"/>
  </r>
  <r>
    <x v="6"/>
    <d v="1899-12-30T11:20:30"/>
    <n v="3711"/>
    <n v="13002561"/>
    <n v="13"/>
    <n v="22589"/>
    <s v="Retail Sale"/>
    <n v="18"/>
    <n v="95935"/>
    <x v="68"/>
    <s v="Avesta"/>
    <s v="KRKA"/>
    <n v="1"/>
    <n v="359.9"/>
    <n v="533.46"/>
    <n v="0"/>
    <n v="0"/>
    <m/>
    <n v="29"/>
    <n v="1"/>
    <n v="4"/>
    <n v="533.46"/>
    <n v="13130002711"/>
  </r>
  <r>
    <x v="25"/>
    <d v="1899-12-30T18:33:01"/>
    <n v="3712"/>
    <n v="13002561"/>
    <n v="13"/>
    <n v="22589"/>
    <s v="Retail Sale"/>
    <n v="18"/>
    <n v="44946"/>
    <x v="33"/>
    <s v="Grand Capital"/>
    <s v="KRKA"/>
    <n v="3"/>
    <n v="98.98"/>
    <n v="129.38"/>
    <n v="12.94"/>
    <n v="12.94"/>
    <s v="BONUS_CARD"/>
    <n v="29"/>
    <n v="1"/>
    <n v="2"/>
    <n v="116.44"/>
    <n v="13130002712"/>
  </r>
  <r>
    <x v="10"/>
    <d v="1899-12-30T13:08:13"/>
    <n v="3713"/>
    <n v="13002561"/>
    <n v="13"/>
    <n v="22589"/>
    <s v="Retail Sale"/>
    <n v="18"/>
    <n v="72251"/>
    <x v="60"/>
    <s v="Pharmcomplect"/>
    <s v="Dr. Reddy's"/>
    <n v="1"/>
    <n v="512.54"/>
    <n v="669.35"/>
    <n v="0"/>
    <n v="0"/>
    <m/>
    <n v="29"/>
    <n v="1"/>
    <n v="5"/>
    <n v="669.35"/>
    <n v="13130002713"/>
  </r>
  <r>
    <x v="18"/>
    <d v="1899-12-30T10:14:00"/>
    <n v="3714"/>
    <n v="13002561"/>
    <n v="13"/>
    <n v="22589"/>
    <s v="Retail Sale"/>
    <n v="18"/>
    <n v="83923"/>
    <x v="71"/>
    <s v="Avesta"/>
    <s v="Takeda"/>
    <n v="1"/>
    <n v="561.9"/>
    <n v="896.47"/>
    <n v="89.65"/>
    <n v="89.65"/>
    <s v="BONUS_CARD"/>
    <n v="29"/>
    <n v="1"/>
    <n v="1"/>
    <n v="806.82"/>
    <n v="13130002714"/>
  </r>
  <r>
    <x v="19"/>
    <d v="1899-12-30T08:51:58"/>
    <n v="3715"/>
    <n v="13002561"/>
    <n v="13"/>
    <n v="22589"/>
    <s v="Retail Sale"/>
    <n v="18"/>
    <n v="21143"/>
    <x v="3"/>
    <s v="Avesta"/>
    <s v="Pfizer"/>
    <n v="2"/>
    <n v="491.16"/>
    <n v="651.82000000000005"/>
    <n v="0"/>
    <n v="0"/>
    <m/>
    <n v="29"/>
    <n v="1"/>
    <n v="4"/>
    <n v="651.82000000000005"/>
    <n v="13130002715"/>
  </r>
  <r>
    <x v="25"/>
    <d v="1899-12-30T12:51:16"/>
    <n v="3716"/>
    <n v="13002561"/>
    <n v="13"/>
    <n v="22589"/>
    <s v="Retail Sale"/>
    <n v="18"/>
    <n v="74447"/>
    <x v="88"/>
    <s v="Avesta"/>
    <s v="TEVA"/>
    <n v="2"/>
    <n v="57.71"/>
    <n v="74.75"/>
    <n v="0"/>
    <n v="0"/>
    <m/>
    <n v="29"/>
    <n v="1"/>
    <n v="6"/>
    <n v="74.75"/>
    <n v="13130002716"/>
  </r>
  <r>
    <x v="21"/>
    <d v="1899-12-30T20:15:36"/>
    <n v="3717"/>
    <n v="13002561"/>
    <n v="13"/>
    <n v="22589"/>
    <s v="Retail Sale"/>
    <n v="15"/>
    <n v="43892"/>
    <x v="73"/>
    <s v="Grand Capital"/>
    <s v="Sanofi"/>
    <n v="1"/>
    <n v="381.26"/>
    <n v="565.34"/>
    <n v="28.27"/>
    <n v="28.27"/>
    <s v="BONUS_CARD"/>
    <n v="29"/>
    <n v="1"/>
    <n v="3"/>
    <n v="537.07000000000005"/>
    <n v="13130002717"/>
  </r>
  <r>
    <x v="20"/>
    <d v="1899-12-30T11:35:38"/>
    <n v="3718"/>
    <n v="13002561"/>
    <n v="13"/>
    <n v="22589"/>
    <s v="Retail Sale"/>
    <n v="18"/>
    <n v="56599"/>
    <x v="36"/>
    <s v="Avesta"/>
    <s v="Sanofi"/>
    <n v="3"/>
    <n v="139.35"/>
    <n v="194.61"/>
    <n v="9.73"/>
    <n v="9.73"/>
    <s v="BONUS_CARD"/>
    <n v="29"/>
    <n v="1"/>
    <n v="5"/>
    <n v="184.88"/>
    <n v="13130002718"/>
  </r>
  <r>
    <x v="23"/>
    <d v="1899-12-30T12:39:59"/>
    <n v="3719"/>
    <n v="13002561"/>
    <n v="13"/>
    <n v="22589"/>
    <s v="Retail Sale"/>
    <n v="15"/>
    <n v="77281"/>
    <x v="77"/>
    <s v="Pharmcomplect"/>
    <s v="Dr. Reddy's"/>
    <n v="3"/>
    <n v="10.36"/>
    <n v="16.61"/>
    <n v="0.83"/>
    <n v="0.83"/>
    <s v="BONUS_CARD"/>
    <n v="29"/>
    <n v="1"/>
    <n v="6"/>
    <n v="15.78"/>
    <n v="13130002719"/>
  </r>
  <r>
    <x v="11"/>
    <d v="1899-12-30T21:21:58"/>
    <n v="3720"/>
    <n v="13002561"/>
    <n v="13"/>
    <n v="22589"/>
    <s v="Retail Sale"/>
    <n v="15"/>
    <n v="30996"/>
    <x v="20"/>
    <s v="Katren"/>
    <s v="TEVA"/>
    <n v="1"/>
    <n v="473.13"/>
    <n v="727.79"/>
    <n v="72.78"/>
    <n v="72.78"/>
    <s v="BONUS_CARD"/>
    <n v="29"/>
    <n v="1"/>
    <n v="1"/>
    <n v="655.01"/>
    <n v="13130002720"/>
  </r>
  <r>
    <x v="18"/>
    <d v="1899-12-30T19:05:06"/>
    <n v="3721"/>
    <n v="13002561"/>
    <n v="13"/>
    <n v="22589"/>
    <s v="Retail Sale"/>
    <n v="15"/>
    <n v="96408"/>
    <x v="63"/>
    <s v="Pharmcomplect"/>
    <s v="Bayer"/>
    <n v="2"/>
    <n v="88.94"/>
    <n v="144.02000000000001"/>
    <n v="7.2"/>
    <n v="7.2"/>
    <s v="BONUS_CARD"/>
    <n v="29"/>
    <n v="1"/>
    <n v="3"/>
    <n v="136.82"/>
    <n v="13130002721"/>
  </r>
  <r>
    <x v="1"/>
    <d v="1899-12-30T17:47:20"/>
    <n v="3722"/>
    <n v="13002561"/>
    <n v="13"/>
    <n v="22589"/>
    <s v="Retail Sale"/>
    <n v="18"/>
    <n v="53674"/>
    <x v="30"/>
    <s v="Katren"/>
    <s v="Bayer"/>
    <n v="2"/>
    <n v="281.63"/>
    <n v="416.54"/>
    <n v="41.65"/>
    <n v="41.65"/>
    <s v="BONUS_CARD"/>
    <n v="29"/>
    <n v="1"/>
    <n v="5"/>
    <n v="374.89"/>
    <n v="13130002722"/>
  </r>
  <r>
    <x v="0"/>
    <d v="1899-12-30T08:21:26"/>
    <n v="3723"/>
    <n v="13002561"/>
    <n v="13"/>
    <n v="22589"/>
    <s v="Retail Sale"/>
    <n v="18"/>
    <n v="11471"/>
    <x v="46"/>
    <s v="Protek"/>
    <s v="Bayer"/>
    <n v="2"/>
    <n v="51.78"/>
    <n v="87.13"/>
    <n v="4.3600000000000003"/>
    <n v="4.3600000000000003"/>
    <s v="BONUS_CARD"/>
    <n v="29"/>
    <n v="1"/>
    <n v="2"/>
    <n v="82.77"/>
    <n v="13130002723"/>
  </r>
  <r>
    <x v="24"/>
    <d v="1899-12-30T10:18:34"/>
    <n v="3724"/>
    <n v="13002561"/>
    <n v="13"/>
    <n v="22589"/>
    <s v="Retail Sale"/>
    <n v="18"/>
    <n v="13654"/>
    <x v="76"/>
    <s v="Protek"/>
    <s v="Pfizer"/>
    <n v="3"/>
    <n v="522.87"/>
    <n v="845.96"/>
    <n v="42.3"/>
    <n v="42.3"/>
    <s v="BONUS_CARD"/>
    <n v="29"/>
    <n v="1"/>
    <n v="1"/>
    <n v="803.66"/>
    <n v="13130002724"/>
  </r>
  <r>
    <x v="25"/>
    <d v="1899-12-30T11:39:44"/>
    <n v="3725"/>
    <n v="13002561"/>
    <n v="13"/>
    <n v="22589"/>
    <s v="Retail Sale"/>
    <n v="18"/>
    <n v="87462"/>
    <x v="80"/>
    <s v="Pulse"/>
    <s v="Dr. Reddy's"/>
    <n v="1"/>
    <n v="157.47"/>
    <n v="202.95"/>
    <n v="20.3"/>
    <n v="20.3"/>
    <s v="BONUS_CARD"/>
    <n v="29"/>
    <n v="1"/>
    <n v="3"/>
    <n v="182.65"/>
    <n v="13130002725"/>
  </r>
  <r>
    <x v="0"/>
    <d v="1899-12-30T09:41:51"/>
    <n v="3726"/>
    <n v="13002561"/>
    <n v="13"/>
    <n v="22589"/>
    <s v="Retail Sale"/>
    <n v="18"/>
    <n v="23302"/>
    <x v="41"/>
    <s v="Katren"/>
    <s v="Takeda"/>
    <n v="3"/>
    <n v="97.63"/>
    <n v="136.94"/>
    <n v="0"/>
    <n v="0"/>
    <m/>
    <n v="29"/>
    <n v="1"/>
    <n v="3"/>
    <n v="136.94"/>
    <n v="13130002726"/>
  </r>
  <r>
    <x v="7"/>
    <d v="1899-12-30T17:59:41"/>
    <n v="3727"/>
    <n v="13002561"/>
    <n v="13"/>
    <n v="22589"/>
    <s v="Retail Sale"/>
    <n v="18"/>
    <n v="20333"/>
    <x v="79"/>
    <s v="Pulse"/>
    <s v="KRKA"/>
    <n v="3"/>
    <n v="273.92"/>
    <n v="376.78"/>
    <n v="37.68"/>
    <n v="37.68"/>
    <s v="BONUS_CARD"/>
    <n v="29"/>
    <n v="1"/>
    <n v="2"/>
    <n v="339.1"/>
    <n v="13130002727"/>
  </r>
  <r>
    <x v="9"/>
    <d v="1899-12-30T15:59:18"/>
    <n v="3728"/>
    <n v="13002561"/>
    <n v="13"/>
    <n v="22589"/>
    <s v="Retail Sale"/>
    <n v="18"/>
    <n v="17511"/>
    <x v="26"/>
    <s v="Grand Capital"/>
    <s v="Novartis"/>
    <n v="1"/>
    <n v="324.52"/>
    <n v="525.82000000000005"/>
    <n v="26.29"/>
    <n v="26.29"/>
    <s v="BONUS_CARD"/>
    <n v="29"/>
    <n v="1"/>
    <n v="1"/>
    <n v="499.53"/>
    <n v="13130002728"/>
  </r>
  <r>
    <x v="0"/>
    <d v="1899-12-30T19:57:04"/>
    <n v="3729"/>
    <n v="13002561"/>
    <n v="13"/>
    <n v="22589"/>
    <s v="Retail Sale"/>
    <n v="15"/>
    <n v="76494"/>
    <x v="40"/>
    <s v="Avesta"/>
    <s v="Sanofi"/>
    <n v="3"/>
    <n v="81.62"/>
    <n v="120.37"/>
    <n v="0"/>
    <n v="0"/>
    <m/>
    <n v="29"/>
    <n v="1"/>
    <n v="6"/>
    <n v="120.37"/>
    <n v="13130002729"/>
  </r>
  <r>
    <x v="23"/>
    <d v="1899-12-30T10:59:36"/>
    <n v="3730"/>
    <n v="13002561"/>
    <n v="13"/>
    <n v="22589"/>
    <s v="Retail Sale"/>
    <n v="15"/>
    <n v="81425"/>
    <x v="44"/>
    <s v="Katren"/>
    <s v="Sanofi"/>
    <n v="2"/>
    <n v="458.63"/>
    <n v="766.62"/>
    <n v="0"/>
    <n v="0"/>
    <m/>
    <n v="29"/>
    <n v="1"/>
    <n v="4"/>
    <n v="766.62"/>
    <n v="13130002730"/>
  </r>
  <r>
    <x v="1"/>
    <d v="1899-12-30T08:16:41"/>
    <n v="3731"/>
    <n v="13002561"/>
    <n v="13"/>
    <n v="22589"/>
    <s v="Retail Sale"/>
    <n v="15"/>
    <n v="60256"/>
    <x v="76"/>
    <s v="Katren"/>
    <s v="KRKA"/>
    <n v="3"/>
    <n v="8.48"/>
    <n v="11.03"/>
    <n v="0.55000000000000004"/>
    <n v="0.55000000000000004"/>
    <s v="BONUS_CARD"/>
    <n v="29"/>
    <n v="1"/>
    <n v="5"/>
    <n v="10.48"/>
    <n v="13130002731"/>
  </r>
  <r>
    <x v="13"/>
    <d v="1899-12-30T21:08:45"/>
    <n v="3732"/>
    <n v="13002561"/>
    <n v="13"/>
    <n v="22589"/>
    <s v="Retail Sale"/>
    <n v="18"/>
    <n v="90362"/>
    <x v="1"/>
    <s v="Pharmcomplect"/>
    <s v="Dr. Reddy's"/>
    <n v="2"/>
    <n v="271.58999999999997"/>
    <n v="423.14"/>
    <n v="42.31"/>
    <n v="42.31"/>
    <s v="BONUS_CARD"/>
    <n v="29"/>
    <n v="1"/>
    <n v="5"/>
    <n v="380.83"/>
    <n v="13130002732"/>
  </r>
  <r>
    <x v="11"/>
    <d v="1899-12-30T21:39:34"/>
    <n v="3733"/>
    <n v="13002561"/>
    <n v="13"/>
    <n v="22589"/>
    <s v="Retail Sale"/>
    <n v="15"/>
    <n v="62439"/>
    <x v="2"/>
    <s v="Protek"/>
    <s v="Sanofi"/>
    <n v="3"/>
    <n v="274.11"/>
    <n v="450.28"/>
    <n v="0"/>
    <n v="0"/>
    <m/>
    <n v="29"/>
    <n v="1"/>
    <n v="5"/>
    <n v="450.28"/>
    <n v="13130002733"/>
  </r>
  <r>
    <x v="15"/>
    <d v="1899-12-30T17:57:24"/>
    <n v="3734"/>
    <n v="13002561"/>
    <n v="13"/>
    <n v="22589"/>
    <s v="Retail Sale"/>
    <n v="18"/>
    <n v="80789"/>
    <x v="35"/>
    <s v="Avesta"/>
    <s v="TEVA"/>
    <n v="3"/>
    <n v="116.29"/>
    <n v="166.27"/>
    <n v="16.63"/>
    <n v="16.63"/>
    <s v="BONUS_CARD"/>
    <n v="29"/>
    <n v="1"/>
    <n v="4"/>
    <n v="149.63999999999999"/>
    <n v="13130002734"/>
  </r>
  <r>
    <x v="24"/>
    <d v="1899-12-30T11:46:31"/>
    <n v="3735"/>
    <n v="13002561"/>
    <n v="13"/>
    <n v="22589"/>
    <s v="Retail Sale"/>
    <n v="15"/>
    <n v="10466"/>
    <x v="41"/>
    <s v="Grand Capital"/>
    <s v="Bayer"/>
    <n v="2"/>
    <n v="441.8"/>
    <n v="643.41"/>
    <n v="64.34"/>
    <n v="64.34"/>
    <s v="BONUS_CARD"/>
    <n v="29"/>
    <n v="1"/>
    <n v="4"/>
    <n v="579.07000000000005"/>
    <n v="13130002735"/>
  </r>
  <r>
    <x v="4"/>
    <d v="1899-12-30T13:37:12"/>
    <n v="3736"/>
    <n v="13002561"/>
    <n v="13"/>
    <n v="22589"/>
    <s v="Retail Sale"/>
    <n v="15"/>
    <n v="98518"/>
    <x v="50"/>
    <s v="Grand Capital"/>
    <s v="TEVA"/>
    <n v="3"/>
    <n v="582.22"/>
    <n v="838.73"/>
    <n v="0"/>
    <n v="0"/>
    <m/>
    <n v="29"/>
    <n v="1"/>
    <n v="3"/>
    <n v="838.73"/>
    <n v="13130002736"/>
  </r>
  <r>
    <x v="25"/>
    <d v="1899-12-30T16:13:38"/>
    <n v="3737"/>
    <n v="13002561"/>
    <n v="13"/>
    <n v="22589"/>
    <s v="Retail Sale"/>
    <n v="15"/>
    <n v="51683"/>
    <x v="57"/>
    <s v="Grand Capital"/>
    <s v="Takeda"/>
    <n v="3"/>
    <n v="344.14"/>
    <n v="489.23"/>
    <n v="0"/>
    <n v="0"/>
    <m/>
    <n v="29"/>
    <n v="1"/>
    <n v="6"/>
    <n v="489.23"/>
    <n v="13130002737"/>
  </r>
  <r>
    <x v="1"/>
    <d v="1899-12-30T20:08:52"/>
    <n v="3738"/>
    <n v="13002561"/>
    <n v="13"/>
    <n v="22589"/>
    <s v="Retail Sale"/>
    <n v="15"/>
    <n v="34591"/>
    <x v="88"/>
    <s v="Avesta"/>
    <s v="Novartis"/>
    <n v="3"/>
    <n v="399.33"/>
    <n v="525.9"/>
    <n v="52.59"/>
    <n v="52.59"/>
    <s v="BONUS_CARD"/>
    <n v="29"/>
    <n v="1"/>
    <n v="1"/>
    <n v="473.31"/>
    <n v="13130002738"/>
  </r>
  <r>
    <x v="12"/>
    <d v="1899-12-30T09:04:28"/>
    <n v="3739"/>
    <n v="13002561"/>
    <n v="13"/>
    <n v="22589"/>
    <s v="Retail Sale"/>
    <n v="18"/>
    <n v="11383"/>
    <x v="15"/>
    <s v="Grand Capital"/>
    <s v="TEVA"/>
    <n v="2"/>
    <n v="258.36"/>
    <n v="404.59"/>
    <n v="20.23"/>
    <n v="20.23"/>
    <s v="BONUS_CARD"/>
    <n v="29"/>
    <n v="1"/>
    <n v="2"/>
    <n v="384.36"/>
    <n v="13130002739"/>
  </r>
  <r>
    <x v="16"/>
    <d v="1899-12-30T14:39:44"/>
    <n v="3740"/>
    <n v="13002561"/>
    <n v="13"/>
    <n v="22589"/>
    <s v="Retail Sale"/>
    <n v="15"/>
    <n v="81689"/>
    <x v="13"/>
    <s v="Protek"/>
    <s v="KRKA"/>
    <n v="2"/>
    <n v="590.79999999999995"/>
    <n v="852.33"/>
    <n v="42.62"/>
    <n v="42.62"/>
    <s v="BONUS_CARD"/>
    <n v="29"/>
    <n v="1"/>
    <n v="1"/>
    <n v="809.71"/>
    <n v="13130002740"/>
  </r>
  <r>
    <x v="0"/>
    <d v="1899-12-30T13:42:57"/>
    <n v="3741"/>
    <n v="13002561"/>
    <n v="13"/>
    <n v="22589"/>
    <s v="Retail Sale"/>
    <n v="18"/>
    <n v="85561"/>
    <x v="45"/>
    <s v="Pharmcomplect"/>
    <s v="TEVA"/>
    <n v="3"/>
    <n v="350.37"/>
    <n v="555.69000000000005"/>
    <n v="0"/>
    <n v="0"/>
    <m/>
    <n v="29"/>
    <n v="1"/>
    <n v="4"/>
    <n v="555.69000000000005"/>
    <n v="13130002741"/>
  </r>
  <r>
    <x v="11"/>
    <d v="1899-12-30T09:26:39"/>
    <n v="3742"/>
    <n v="13002561"/>
    <n v="13"/>
    <n v="22589"/>
    <s v="Retail Sale"/>
    <n v="15"/>
    <n v="21067"/>
    <x v="81"/>
    <s v="Pulse"/>
    <s v="Novartis"/>
    <n v="1"/>
    <n v="141.54"/>
    <n v="203.37"/>
    <n v="20.34"/>
    <n v="20.34"/>
    <s v="BONUS_CARD"/>
    <n v="29"/>
    <n v="1"/>
    <n v="3"/>
    <n v="183.03"/>
    <n v="13130002742"/>
  </r>
  <r>
    <x v="22"/>
    <d v="1899-12-30T14:51:39"/>
    <n v="3743"/>
    <n v="13002561"/>
    <n v="13"/>
    <n v="22589"/>
    <s v="Retail Sale"/>
    <n v="15"/>
    <n v="23362"/>
    <x v="84"/>
    <s v="Avesta"/>
    <s v="Pfizer"/>
    <n v="3"/>
    <n v="532.45000000000005"/>
    <n v="699.91"/>
    <n v="35"/>
    <n v="35"/>
    <s v="BONUS_CARD"/>
    <n v="29"/>
    <n v="1"/>
    <n v="1"/>
    <n v="664.91"/>
    <n v="13130002743"/>
  </r>
  <r>
    <x v="30"/>
    <d v="1899-12-30T16:21:38"/>
    <n v="3744"/>
    <n v="13002561"/>
    <n v="13"/>
    <n v="22589"/>
    <s v="Retail Sale"/>
    <n v="15"/>
    <n v="91366"/>
    <x v="72"/>
    <s v="Grand Capital"/>
    <s v="Takeda"/>
    <n v="1"/>
    <n v="452.76"/>
    <n v="574.12"/>
    <n v="0"/>
    <n v="0"/>
    <m/>
    <n v="29"/>
    <n v="1"/>
    <n v="5"/>
    <n v="574.12"/>
    <n v="13130002744"/>
  </r>
  <r>
    <x v="30"/>
    <d v="1899-12-30T14:06:46"/>
    <n v="3745"/>
    <n v="13002561"/>
    <n v="13"/>
    <n v="22589"/>
    <s v="Retail Sale"/>
    <n v="18"/>
    <n v="89337"/>
    <x v="10"/>
    <s v="Grand Capital"/>
    <s v="Bayer"/>
    <n v="2"/>
    <n v="588.78"/>
    <n v="770.59"/>
    <n v="77.06"/>
    <n v="77.06"/>
    <s v="BONUS_CARD"/>
    <n v="29"/>
    <n v="1"/>
    <n v="4"/>
    <n v="693.53"/>
    <n v="13130002745"/>
  </r>
  <r>
    <x v="26"/>
    <d v="1899-12-30T08:37:20"/>
    <n v="3746"/>
    <n v="13002561"/>
    <n v="13"/>
    <n v="22589"/>
    <s v="Retail Sale"/>
    <n v="18"/>
    <n v="16328"/>
    <x v="44"/>
    <s v="Grand Capital"/>
    <s v="Sanofi"/>
    <n v="2"/>
    <n v="201.29"/>
    <n v="270.2"/>
    <n v="0"/>
    <n v="0"/>
    <m/>
    <n v="29"/>
    <n v="1"/>
    <n v="2"/>
    <n v="270.2"/>
    <n v="13130002746"/>
  </r>
  <r>
    <x v="26"/>
    <d v="1899-12-30T20:34:15"/>
    <n v="3747"/>
    <n v="13002561"/>
    <n v="13"/>
    <n v="22589"/>
    <s v="Retail Sale"/>
    <n v="18"/>
    <n v="69527"/>
    <x v="36"/>
    <s v="Pulse"/>
    <s v="Takeda"/>
    <n v="1"/>
    <n v="316.23"/>
    <n v="452.67"/>
    <n v="45.27"/>
    <n v="45.27"/>
    <s v="BONUS_CARD"/>
    <n v="29"/>
    <n v="1"/>
    <n v="1"/>
    <n v="407.4"/>
    <n v="13130002747"/>
  </r>
  <r>
    <x v="23"/>
    <d v="1899-12-30T12:16:04"/>
    <n v="3748"/>
    <n v="13002561"/>
    <n v="13"/>
    <n v="22589"/>
    <s v="Retail Sale"/>
    <n v="15"/>
    <n v="26713"/>
    <x v="26"/>
    <s v="Pharmcomplect"/>
    <s v="KRKA"/>
    <n v="3"/>
    <n v="445.33"/>
    <n v="613.54999999999995"/>
    <n v="30.68"/>
    <n v="30.68"/>
    <s v="BONUS_CARD"/>
    <n v="29"/>
    <n v="1"/>
    <n v="5"/>
    <n v="582.87"/>
    <n v="13130002748"/>
  </r>
  <r>
    <x v="13"/>
    <d v="1899-12-30T17:11:50"/>
    <n v="3749"/>
    <n v="13002561"/>
    <n v="13"/>
    <n v="22589"/>
    <s v="Retail Sale"/>
    <n v="15"/>
    <n v="65496"/>
    <x v="20"/>
    <s v="Katren"/>
    <s v="Pfizer"/>
    <n v="1"/>
    <n v="307.62"/>
    <n v="388.51"/>
    <n v="19.43"/>
    <n v="19.43"/>
    <s v="BONUS_CARD"/>
    <n v="29"/>
    <n v="1"/>
    <n v="6"/>
    <n v="369.08"/>
    <n v="13130002749"/>
  </r>
  <r>
    <x v="6"/>
    <d v="1899-12-30T12:18:01"/>
    <n v="3750"/>
    <n v="13002561"/>
    <n v="13"/>
    <n v="22589"/>
    <s v="Retail Sale"/>
    <n v="18"/>
    <n v="76002"/>
    <x v="76"/>
    <s v="Avesta"/>
    <s v="Sanofi"/>
    <n v="2"/>
    <n v="144.81"/>
    <n v="244.78"/>
    <n v="12.24"/>
    <n v="12.24"/>
    <s v="BONUS_CARD"/>
    <n v="29"/>
    <n v="1"/>
    <n v="6"/>
    <n v="232.54"/>
    <n v="13130002750"/>
  </r>
  <r>
    <x v="6"/>
    <d v="1899-12-30T11:01:22"/>
    <n v="3751"/>
    <n v="13002561"/>
    <n v="13"/>
    <n v="22589"/>
    <s v="Retail Sale"/>
    <n v="18"/>
    <n v="22147"/>
    <x v="41"/>
    <s v="Protek"/>
    <s v="Takeda"/>
    <n v="1"/>
    <n v="23.53"/>
    <n v="35.5"/>
    <n v="0"/>
    <n v="0"/>
    <m/>
    <n v="29"/>
    <n v="1"/>
    <n v="4"/>
    <n v="35.5"/>
    <n v="13130002751"/>
  </r>
  <r>
    <x v="12"/>
    <d v="1899-12-30T12:41:07"/>
    <n v="3752"/>
    <n v="13002561"/>
    <n v="13"/>
    <n v="22589"/>
    <s v="Retail Sale"/>
    <n v="18"/>
    <n v="74227"/>
    <x v="40"/>
    <s v="Protek"/>
    <s v="Bayer"/>
    <n v="2"/>
    <n v="471.29"/>
    <n v="767.5"/>
    <n v="76.75"/>
    <n v="76.75"/>
    <s v="BONUS_CARD"/>
    <n v="29"/>
    <n v="1"/>
    <n v="6"/>
    <n v="690.75"/>
    <n v="13130002752"/>
  </r>
  <r>
    <x v="0"/>
    <d v="1899-12-30T15:48:58"/>
    <n v="3753"/>
    <n v="13002561"/>
    <n v="13"/>
    <n v="22589"/>
    <s v="Retail Sale"/>
    <n v="18"/>
    <n v="81148"/>
    <x v="84"/>
    <s v="Pharmcomplect"/>
    <s v="Dr. Reddy's"/>
    <n v="3"/>
    <n v="263.36"/>
    <n v="436.2"/>
    <n v="0"/>
    <n v="0"/>
    <m/>
    <n v="29"/>
    <n v="1"/>
    <n v="4"/>
    <n v="436.2"/>
    <n v="13130002753"/>
  </r>
  <r>
    <x v="17"/>
    <d v="1899-12-30T18:39:01"/>
    <n v="3754"/>
    <n v="13002561"/>
    <n v="13"/>
    <n v="22589"/>
    <s v="Retail Sale"/>
    <n v="18"/>
    <n v="24780"/>
    <x v="57"/>
    <s v="Pulse"/>
    <s v="Takeda"/>
    <n v="1"/>
    <n v="90.7"/>
    <n v="149.97999999999999"/>
    <n v="7.5"/>
    <n v="7.5"/>
    <s v="BONUS_CARD"/>
    <n v="29"/>
    <n v="1"/>
    <n v="6"/>
    <n v="142.47999999999999"/>
    <n v="13130002754"/>
  </r>
  <r>
    <x v="24"/>
    <d v="1899-12-30T22:33:03"/>
    <n v="3755"/>
    <n v="13002561"/>
    <n v="13"/>
    <n v="22589"/>
    <s v="Retail Sale"/>
    <n v="18"/>
    <n v="20052"/>
    <x v="33"/>
    <s v="Katren"/>
    <s v="Novartis"/>
    <n v="2"/>
    <n v="7.19"/>
    <n v="10.23"/>
    <n v="1.02"/>
    <n v="1.02"/>
    <s v="BONUS_CARD"/>
    <n v="29"/>
    <n v="1"/>
    <n v="1"/>
    <n v="9.2100000000000009"/>
    <n v="13130002755"/>
  </r>
  <r>
    <x v="24"/>
    <d v="1899-12-30T09:56:43"/>
    <n v="3756"/>
    <n v="13002561"/>
    <n v="13"/>
    <n v="22589"/>
    <s v="Retail Sale"/>
    <n v="18"/>
    <n v="44845"/>
    <x v="33"/>
    <s v="Pharmcomplect"/>
    <s v="Takeda"/>
    <n v="3"/>
    <n v="489.13"/>
    <n v="733.94"/>
    <n v="73.39"/>
    <n v="73.39"/>
    <s v="BONUS_CARD"/>
    <n v="29"/>
    <n v="1"/>
    <n v="6"/>
    <n v="660.55"/>
    <n v="13130002756"/>
  </r>
  <r>
    <x v="0"/>
    <d v="1899-12-30T08:52:01"/>
    <n v="3757"/>
    <n v="13002561"/>
    <n v="13"/>
    <n v="22589"/>
    <s v="Retail Sale"/>
    <n v="15"/>
    <n v="78287"/>
    <x v="87"/>
    <s v="Grand Capital"/>
    <s v="KRKA"/>
    <n v="1"/>
    <n v="385.45"/>
    <n v="523.89"/>
    <n v="0"/>
    <n v="0"/>
    <m/>
    <n v="29"/>
    <n v="1"/>
    <n v="2"/>
    <n v="523.89"/>
    <n v="13130002757"/>
  </r>
  <r>
    <x v="17"/>
    <d v="1899-12-30T21:15:51"/>
    <n v="3758"/>
    <n v="13002561"/>
    <n v="13"/>
    <n v="22589"/>
    <s v="Retail Sale"/>
    <n v="15"/>
    <n v="34670"/>
    <x v="31"/>
    <s v="Grand Capital"/>
    <s v="Bayer"/>
    <n v="3"/>
    <n v="116.91"/>
    <n v="150.71"/>
    <n v="7.54"/>
    <n v="7.54"/>
    <s v="BONUS_CARD"/>
    <n v="29"/>
    <n v="1"/>
    <n v="2"/>
    <n v="143.16999999999999"/>
    <n v="13130002758"/>
  </r>
  <r>
    <x v="19"/>
    <d v="1899-12-30T16:04:53"/>
    <n v="3759"/>
    <n v="13002561"/>
    <n v="13"/>
    <n v="22589"/>
    <s v="Retail Sale"/>
    <n v="15"/>
    <n v="38307"/>
    <x v="28"/>
    <s v="Avesta"/>
    <s v="Novartis"/>
    <n v="3"/>
    <n v="482.78"/>
    <n v="683.08"/>
    <n v="34.15"/>
    <n v="34.15"/>
    <s v="BONUS_CARD"/>
    <n v="29"/>
    <n v="1"/>
    <n v="1"/>
    <n v="648.92999999999995"/>
    <n v="13130002759"/>
  </r>
  <r>
    <x v="20"/>
    <d v="1899-12-30T10:07:32"/>
    <n v="3760"/>
    <n v="13002561"/>
    <n v="13"/>
    <n v="22589"/>
    <s v="Retail Sale"/>
    <n v="18"/>
    <n v="22979"/>
    <x v="4"/>
    <s v="Katren"/>
    <s v="Bayer"/>
    <n v="1"/>
    <n v="164.47"/>
    <n v="266.14"/>
    <n v="0"/>
    <n v="0"/>
    <m/>
    <n v="29"/>
    <n v="1"/>
    <n v="3"/>
    <n v="266.14"/>
    <n v="13130002760"/>
  </r>
  <r>
    <x v="22"/>
    <d v="1899-12-30T08:29:51"/>
    <n v="3761"/>
    <n v="13002561"/>
    <n v="13"/>
    <n v="22589"/>
    <s v="Retail Sale"/>
    <n v="15"/>
    <n v="52088"/>
    <x v="71"/>
    <s v="Grand Capital"/>
    <s v="Takeda"/>
    <n v="1"/>
    <n v="248.42"/>
    <n v="351.87"/>
    <n v="35.19"/>
    <n v="35.19"/>
    <s v="BONUS_CARD"/>
    <n v="29"/>
    <n v="1"/>
    <n v="2"/>
    <n v="316.68"/>
    <n v="13130002761"/>
  </r>
  <r>
    <x v="9"/>
    <d v="1899-12-30T22:01:24"/>
    <n v="3762"/>
    <n v="13002561"/>
    <n v="13"/>
    <n v="22589"/>
    <s v="Retail Sale"/>
    <n v="15"/>
    <n v="19348"/>
    <x v="67"/>
    <s v="Pharmcomplect"/>
    <s v="TEVA"/>
    <n v="1"/>
    <n v="574.36"/>
    <n v="731.07"/>
    <n v="36.549999999999997"/>
    <n v="36.549999999999997"/>
    <s v="BONUS_CARD"/>
    <n v="29"/>
    <n v="1"/>
    <n v="5"/>
    <n v="694.52"/>
    <n v="13130002762"/>
  </r>
  <r>
    <x v="23"/>
    <d v="1899-12-30T09:04:14"/>
    <n v="3763"/>
    <n v="13002561"/>
    <n v="13"/>
    <n v="22589"/>
    <s v="Retail Sale"/>
    <n v="18"/>
    <n v="20938"/>
    <x v="37"/>
    <s v="Katren"/>
    <s v="Takeda"/>
    <n v="3"/>
    <n v="175.32"/>
    <n v="294.55"/>
    <n v="0"/>
    <n v="0"/>
    <m/>
    <n v="29"/>
    <n v="1"/>
    <n v="6"/>
    <n v="294.55"/>
    <n v="13130002763"/>
  </r>
  <r>
    <x v="27"/>
    <d v="1899-12-30T20:56:28"/>
    <n v="3764"/>
    <n v="13002561"/>
    <n v="13"/>
    <n v="22589"/>
    <s v="Retail Sale"/>
    <n v="15"/>
    <n v="55824"/>
    <x v="61"/>
    <s v="Grand Capital"/>
    <s v="Novartis"/>
    <n v="3"/>
    <n v="199.99"/>
    <n v="318.32"/>
    <n v="31.83"/>
    <n v="31.83"/>
    <s v="BONUS_CARD"/>
    <n v="29"/>
    <n v="1"/>
    <n v="1"/>
    <n v="286.49"/>
    <n v="13130002764"/>
  </r>
  <r>
    <x v="2"/>
    <d v="1899-12-30T11:18:33"/>
    <n v="3765"/>
    <n v="13002561"/>
    <n v="13"/>
    <n v="22589"/>
    <s v="Retail Sale"/>
    <n v="18"/>
    <n v="93290"/>
    <x v="55"/>
    <s v="Katren"/>
    <s v="Sanofi"/>
    <n v="1"/>
    <n v="171.62"/>
    <n v="230.5"/>
    <n v="11.53"/>
    <n v="11.53"/>
    <s v="BONUS_CARD"/>
    <n v="29"/>
    <n v="1"/>
    <n v="4"/>
    <n v="218.97"/>
    <n v="13130002765"/>
  </r>
  <r>
    <x v="25"/>
    <d v="1899-12-30T12:14:02"/>
    <n v="3766"/>
    <n v="13002561"/>
    <n v="13"/>
    <n v="22589"/>
    <s v="Retail Sale"/>
    <n v="15"/>
    <n v="51267"/>
    <x v="83"/>
    <s v="Grand Capital"/>
    <s v="Dr. Reddy's"/>
    <n v="3"/>
    <n v="545.5"/>
    <n v="883.36"/>
    <n v="0"/>
    <n v="0"/>
    <m/>
    <n v="29"/>
    <n v="1"/>
    <n v="2"/>
    <n v="883.36"/>
    <n v="13130002766"/>
  </r>
  <r>
    <x v="25"/>
    <d v="1899-12-30T12:02:05"/>
    <n v="3767"/>
    <n v="13002561"/>
    <n v="13"/>
    <n v="22589"/>
    <s v="Retail Sale"/>
    <n v="15"/>
    <n v="50003"/>
    <x v="60"/>
    <s v="Protek"/>
    <s v="KRKA"/>
    <n v="2"/>
    <n v="60.88"/>
    <n v="79"/>
    <n v="3.95"/>
    <n v="3.95"/>
    <s v="BONUS_CARD"/>
    <n v="29"/>
    <n v="1"/>
    <n v="4"/>
    <n v="75.05"/>
    <n v="13130002767"/>
  </r>
  <r>
    <x v="29"/>
    <d v="1899-12-30T09:11:28"/>
    <n v="3768"/>
    <n v="13002561"/>
    <n v="13"/>
    <n v="22589"/>
    <s v="Retail Sale"/>
    <n v="15"/>
    <n v="83339"/>
    <x v="10"/>
    <s v="Pharmcomplect"/>
    <s v="Pfizer"/>
    <n v="2"/>
    <n v="547.28"/>
    <n v="923.42"/>
    <n v="92.34"/>
    <n v="92.34"/>
    <s v="BONUS_CARD"/>
    <n v="29"/>
    <n v="1"/>
    <n v="2"/>
    <n v="831.08"/>
    <n v="13130002768"/>
  </r>
  <r>
    <x v="30"/>
    <d v="1899-12-30T21:09:20"/>
    <n v="3769"/>
    <n v="13002561"/>
    <n v="13"/>
    <n v="22589"/>
    <s v="Retail Sale"/>
    <n v="15"/>
    <n v="11379"/>
    <x v="18"/>
    <s v="Protek"/>
    <s v="Takeda"/>
    <n v="3"/>
    <n v="576.66999999999996"/>
    <n v="945.85"/>
    <n v="94.59"/>
    <n v="94.59"/>
    <s v="BONUS_CARD"/>
    <n v="29"/>
    <n v="1"/>
    <n v="2"/>
    <n v="851.26"/>
    <n v="13130002769"/>
  </r>
  <r>
    <x v="20"/>
    <d v="1899-12-30T15:26:53"/>
    <n v="3770"/>
    <n v="13002561"/>
    <n v="13"/>
    <n v="22589"/>
    <s v="Retail Sale"/>
    <n v="15"/>
    <n v="69968"/>
    <x v="16"/>
    <s v="Pulse"/>
    <s v="KRKA"/>
    <n v="3"/>
    <n v="488.92"/>
    <n v="616.91"/>
    <n v="30.85"/>
    <n v="30.85"/>
    <s v="BONUS_CARD"/>
    <n v="29"/>
    <n v="1"/>
    <n v="1"/>
    <n v="586.05999999999995"/>
    <n v="13130002770"/>
  </r>
  <r>
    <x v="28"/>
    <d v="1899-12-30T21:05:36"/>
    <n v="3771"/>
    <n v="13002561"/>
    <n v="13"/>
    <n v="22589"/>
    <s v="Retail Sale"/>
    <n v="18"/>
    <n v="20224"/>
    <x v="23"/>
    <s v="Pharmcomplect"/>
    <s v="TEVA"/>
    <n v="1"/>
    <n v="459.15"/>
    <n v="626.08000000000004"/>
    <n v="31.3"/>
    <n v="31.3"/>
    <s v="BONUS_CARD"/>
    <n v="29"/>
    <n v="1"/>
    <n v="3"/>
    <n v="594.78"/>
    <n v="13130002771"/>
  </r>
  <r>
    <x v="9"/>
    <d v="1899-12-30T14:25:35"/>
    <n v="3772"/>
    <n v="13002561"/>
    <n v="13"/>
    <n v="22589"/>
    <s v="Retail Sale"/>
    <n v="18"/>
    <n v="18745"/>
    <x v="83"/>
    <s v="Katren"/>
    <s v="Novartis"/>
    <n v="3"/>
    <n v="520.66999999999996"/>
    <n v="690.61"/>
    <n v="0"/>
    <n v="0"/>
    <m/>
    <n v="29"/>
    <n v="1"/>
    <n v="4"/>
    <n v="690.61"/>
    <n v="13130002772"/>
  </r>
  <r>
    <x v="19"/>
    <d v="1899-12-30T12:35:04"/>
    <n v="3773"/>
    <n v="13002561"/>
    <n v="13"/>
    <n v="22589"/>
    <s v="Retail Sale"/>
    <n v="15"/>
    <n v="39419"/>
    <x v="85"/>
    <s v="Protek"/>
    <s v="Takeda"/>
    <n v="3"/>
    <n v="336.17"/>
    <n v="518.78"/>
    <n v="51.88"/>
    <n v="51.88"/>
    <s v="BONUS_CARD"/>
    <n v="29"/>
    <n v="1"/>
    <n v="6"/>
    <n v="466.9"/>
    <n v="13130002773"/>
  </r>
  <r>
    <x v="2"/>
    <d v="1899-12-30T21:21:58"/>
    <n v="3774"/>
    <n v="13002561"/>
    <n v="13"/>
    <n v="22589"/>
    <s v="Retail Sale"/>
    <n v="15"/>
    <n v="10445"/>
    <x v="19"/>
    <s v="Protek"/>
    <s v="Takeda"/>
    <n v="3"/>
    <n v="449.53"/>
    <n v="575.66999999999996"/>
    <n v="0"/>
    <n v="0"/>
    <m/>
    <n v="29"/>
    <n v="1"/>
    <n v="5"/>
    <n v="575.66999999999996"/>
    <n v="13130002774"/>
  </r>
  <r>
    <x v="6"/>
    <d v="1899-12-30T19:27:04"/>
    <n v="3775"/>
    <n v="13002561"/>
    <n v="13"/>
    <n v="22589"/>
    <s v="Retail Sale"/>
    <n v="18"/>
    <n v="65439"/>
    <x v="73"/>
    <s v="Katren"/>
    <s v="Novartis"/>
    <n v="1"/>
    <n v="434.48"/>
    <n v="723.01"/>
    <n v="36.15"/>
    <n v="36.15"/>
    <s v="BONUS_CARD"/>
    <n v="29"/>
    <n v="1"/>
    <n v="1"/>
    <n v="686.86"/>
    <n v="13130002775"/>
  </r>
  <r>
    <x v="14"/>
    <d v="1899-12-30T18:12:17"/>
    <n v="3776"/>
    <n v="13002561"/>
    <n v="13"/>
    <n v="22589"/>
    <s v="Retail Sale"/>
    <n v="15"/>
    <n v="61107"/>
    <x v="17"/>
    <s v="Pulse"/>
    <s v="KRKA"/>
    <n v="1"/>
    <n v="460.03"/>
    <n v="776.69"/>
    <n v="0"/>
    <n v="0"/>
    <m/>
    <n v="29"/>
    <n v="1"/>
    <n v="2"/>
    <n v="776.69"/>
    <n v="13130002776"/>
  </r>
  <r>
    <x v="24"/>
    <d v="1899-12-30T15:38:20"/>
    <n v="3777"/>
    <n v="13002561"/>
    <n v="13"/>
    <n v="22589"/>
    <s v="Retail Sale"/>
    <n v="15"/>
    <n v="21038"/>
    <x v="41"/>
    <s v="Pharmcomplect"/>
    <s v="Sanofi"/>
    <n v="2"/>
    <n v="241.63"/>
    <n v="349.28"/>
    <n v="0"/>
    <n v="0"/>
    <m/>
    <n v="29"/>
    <n v="1"/>
    <n v="2"/>
    <n v="349.28"/>
    <n v="13130002777"/>
  </r>
  <r>
    <x v="15"/>
    <d v="1899-12-30T14:58:36"/>
    <n v="3778"/>
    <n v="13002561"/>
    <n v="13"/>
    <n v="22589"/>
    <s v="Retail Sale"/>
    <n v="18"/>
    <n v="27020"/>
    <x v="23"/>
    <s v="Protek"/>
    <s v="Dr. Reddy's"/>
    <n v="1"/>
    <n v="87.3"/>
    <n v="121.36"/>
    <n v="12.14"/>
    <n v="12.14"/>
    <s v="BONUS_CARD"/>
    <n v="29"/>
    <n v="1"/>
    <n v="6"/>
    <n v="109.22"/>
    <n v="13130002778"/>
  </r>
  <r>
    <x v="28"/>
    <d v="1899-12-30T22:47:00"/>
    <n v="3779"/>
    <n v="13002561"/>
    <n v="13"/>
    <n v="22589"/>
    <s v="Retail Sale"/>
    <n v="18"/>
    <n v="75281"/>
    <x v="58"/>
    <s v="Pulse"/>
    <s v="KRKA"/>
    <n v="3"/>
    <n v="217.33"/>
    <n v="309.87"/>
    <n v="0"/>
    <n v="0"/>
    <m/>
    <n v="29"/>
    <n v="1"/>
    <n v="4"/>
    <n v="309.87"/>
    <n v="13130002779"/>
  </r>
  <r>
    <x v="9"/>
    <d v="1899-12-30T21:58:48"/>
    <n v="3780"/>
    <n v="13002561"/>
    <n v="13"/>
    <n v="22589"/>
    <s v="Retail Sale"/>
    <n v="18"/>
    <n v="68459"/>
    <x v="8"/>
    <s v="Katren"/>
    <s v="Dr. Reddy's"/>
    <n v="2"/>
    <n v="107.61"/>
    <n v="140.76"/>
    <n v="0"/>
    <n v="0"/>
    <m/>
    <n v="29"/>
    <n v="1"/>
    <n v="3"/>
    <n v="140.76"/>
    <n v="13130002780"/>
  </r>
  <r>
    <x v="25"/>
    <d v="1899-12-30T14:22:27"/>
    <n v="3781"/>
    <n v="13002561"/>
    <n v="13"/>
    <n v="22589"/>
    <s v="Retail Sale"/>
    <n v="18"/>
    <n v="60510"/>
    <x v="79"/>
    <s v="Protek"/>
    <s v="Novartis"/>
    <n v="3"/>
    <n v="108.47"/>
    <n v="138.38999999999999"/>
    <n v="0"/>
    <n v="0"/>
    <m/>
    <n v="29"/>
    <n v="1"/>
    <n v="4"/>
    <n v="138.38999999999999"/>
    <n v="13130002781"/>
  </r>
  <r>
    <x v="2"/>
    <d v="1899-12-30T16:39:59"/>
    <n v="3782"/>
    <n v="13002561"/>
    <n v="13"/>
    <n v="22589"/>
    <s v="Retail Sale"/>
    <n v="15"/>
    <n v="69082"/>
    <x v="88"/>
    <s v="Protek"/>
    <s v="Pfizer"/>
    <n v="3"/>
    <n v="99.03"/>
    <n v="151.07"/>
    <n v="0"/>
    <n v="0"/>
    <m/>
    <n v="29"/>
    <n v="1"/>
    <n v="3"/>
    <n v="151.07"/>
    <n v="13130002782"/>
  </r>
  <r>
    <x v="25"/>
    <d v="1899-12-30T15:11:58"/>
    <n v="3783"/>
    <n v="13002561"/>
    <n v="13"/>
    <n v="22589"/>
    <s v="Retail Sale"/>
    <n v="18"/>
    <n v="19523"/>
    <x v="49"/>
    <s v="Pulse"/>
    <s v="Novartis"/>
    <n v="1"/>
    <n v="488.37"/>
    <n v="766.34"/>
    <n v="76.63"/>
    <n v="76.63"/>
    <s v="BONUS_CARD"/>
    <n v="29"/>
    <n v="1"/>
    <n v="4"/>
    <n v="689.71"/>
    <n v="13130002783"/>
  </r>
  <r>
    <x v="14"/>
    <d v="1899-12-30T19:36:27"/>
    <n v="3784"/>
    <n v="13002561"/>
    <n v="13"/>
    <n v="22589"/>
    <s v="Retail Sale"/>
    <n v="18"/>
    <n v="40689"/>
    <x v="11"/>
    <s v="Protek"/>
    <s v="Pfizer"/>
    <n v="2"/>
    <n v="402.87"/>
    <n v="667.51"/>
    <n v="0"/>
    <n v="0"/>
    <m/>
    <n v="29"/>
    <n v="1"/>
    <n v="3"/>
    <n v="667.51"/>
    <n v="13130002784"/>
  </r>
  <r>
    <x v="23"/>
    <d v="1899-12-30T12:10:39"/>
    <n v="3785"/>
    <n v="13002561"/>
    <n v="13"/>
    <n v="22589"/>
    <s v="Retail Sale"/>
    <n v="18"/>
    <n v="26748"/>
    <x v="74"/>
    <s v="Avesta"/>
    <s v="KRKA"/>
    <n v="1"/>
    <n v="129.93"/>
    <n v="169.29"/>
    <n v="8.4600000000000009"/>
    <n v="8.4600000000000009"/>
    <s v="BONUS_CARD"/>
    <n v="29"/>
    <n v="1"/>
    <n v="5"/>
    <n v="160.83000000000001"/>
    <n v="13130002785"/>
  </r>
  <r>
    <x v="22"/>
    <d v="1899-12-30T11:24:34"/>
    <n v="3786"/>
    <n v="13002561"/>
    <n v="13"/>
    <n v="22589"/>
    <s v="Retail Sale"/>
    <n v="15"/>
    <n v="73691"/>
    <x v="11"/>
    <s v="Pulse"/>
    <s v="Dr. Reddy's"/>
    <n v="3"/>
    <n v="65.08"/>
    <n v="99.25"/>
    <n v="9.93"/>
    <n v="9.93"/>
    <s v="BONUS_CARD"/>
    <n v="29"/>
    <n v="1"/>
    <n v="1"/>
    <n v="89.32"/>
    <n v="13130002786"/>
  </r>
  <r>
    <x v="30"/>
    <d v="1899-12-30T19:58:34"/>
    <n v="3787"/>
    <n v="13002561"/>
    <n v="13"/>
    <n v="22589"/>
    <s v="Retail Sale"/>
    <n v="18"/>
    <n v="54219"/>
    <x v="44"/>
    <s v="Avesta"/>
    <s v="Bayer"/>
    <n v="1"/>
    <n v="144.58000000000001"/>
    <n v="189.9"/>
    <n v="9.5"/>
    <n v="9.5"/>
    <s v="BONUS_CARD"/>
    <n v="29"/>
    <n v="1"/>
    <n v="6"/>
    <n v="180.4"/>
    <n v="13130002787"/>
  </r>
  <r>
    <x v="13"/>
    <d v="1899-12-30T21:05:58"/>
    <n v="3788"/>
    <n v="13002561"/>
    <n v="13"/>
    <n v="22589"/>
    <s v="Retail Sale"/>
    <n v="18"/>
    <n v="67406"/>
    <x v="81"/>
    <s v="Protek"/>
    <s v="Novartis"/>
    <n v="3"/>
    <n v="222.77"/>
    <n v="373.37"/>
    <n v="37.340000000000003"/>
    <n v="37.340000000000003"/>
    <s v="BONUS_CARD"/>
    <n v="29"/>
    <n v="1"/>
    <n v="3"/>
    <n v="336.03"/>
    <n v="13130002788"/>
  </r>
  <r>
    <x v="16"/>
    <d v="1899-12-30T17:17:10"/>
    <n v="3789"/>
    <n v="13002561"/>
    <n v="13"/>
    <n v="22589"/>
    <s v="Retail Sale"/>
    <n v="15"/>
    <n v="64508"/>
    <x v="12"/>
    <s v="Grand Capital"/>
    <s v="Novartis"/>
    <n v="1"/>
    <n v="158.63999999999999"/>
    <n v="198.94"/>
    <n v="9.9499999999999993"/>
    <n v="9.9499999999999993"/>
    <s v="BONUS_CARD"/>
    <n v="29"/>
    <n v="1"/>
    <n v="3"/>
    <n v="188.99"/>
    <n v="13130002789"/>
  </r>
  <r>
    <x v="25"/>
    <d v="1899-12-30T22:57:22"/>
    <n v="3790"/>
    <n v="13002561"/>
    <n v="13"/>
    <n v="22589"/>
    <s v="Retail Sale"/>
    <n v="18"/>
    <n v="18025"/>
    <x v="89"/>
    <s v="Pulse"/>
    <s v="Sanofi"/>
    <n v="1"/>
    <n v="374.76"/>
    <n v="562.05999999999995"/>
    <n v="56.21"/>
    <n v="56.21"/>
    <s v="BONUS_CARD"/>
    <n v="29"/>
    <n v="1"/>
    <n v="1"/>
    <n v="505.85"/>
    <n v="13130002790"/>
  </r>
  <r>
    <x v="3"/>
    <d v="1899-12-30T16:26:00"/>
    <n v="3791"/>
    <n v="13002561"/>
    <n v="13"/>
    <n v="22589"/>
    <s v="Retail Sale"/>
    <n v="15"/>
    <n v="14055"/>
    <x v="23"/>
    <s v="Grand Capital"/>
    <s v="TEVA"/>
    <n v="1"/>
    <n v="538"/>
    <n v="709.05"/>
    <n v="0"/>
    <n v="0"/>
    <m/>
    <n v="29"/>
    <n v="1"/>
    <n v="3"/>
    <n v="709.05"/>
    <n v="13130002791"/>
  </r>
  <r>
    <x v="23"/>
    <d v="1899-12-30T12:05:31"/>
    <n v="3792"/>
    <n v="13002561"/>
    <n v="13"/>
    <n v="22589"/>
    <s v="Retail Sale"/>
    <n v="15"/>
    <n v="61934"/>
    <x v="11"/>
    <s v="Grand Capital"/>
    <s v="Sanofi"/>
    <n v="2"/>
    <n v="37.11"/>
    <n v="61.05"/>
    <n v="6.11"/>
    <n v="6.11"/>
    <s v="BONUS_CARD"/>
    <n v="29"/>
    <n v="1"/>
    <n v="2"/>
    <n v="54.94"/>
    <n v="13130002792"/>
  </r>
  <r>
    <x v="4"/>
    <d v="1899-12-30T14:35:22"/>
    <n v="3793"/>
    <n v="13002561"/>
    <n v="13"/>
    <n v="22589"/>
    <s v="Retail Sale"/>
    <n v="18"/>
    <n v="69673"/>
    <x v="4"/>
    <s v="Avesta"/>
    <s v="Sanofi"/>
    <n v="2"/>
    <n v="427.69"/>
    <n v="667.71"/>
    <n v="33.39"/>
    <n v="33.39"/>
    <s v="BONUS_CARD"/>
    <n v="29"/>
    <n v="1"/>
    <n v="5"/>
    <n v="634.32000000000005"/>
    <n v="13130002793"/>
  </r>
  <r>
    <x v="27"/>
    <d v="1899-12-30T16:11:35"/>
    <n v="3794"/>
    <n v="13002561"/>
    <n v="13"/>
    <n v="22589"/>
    <s v="Retail Sale"/>
    <n v="15"/>
    <n v="43993"/>
    <x v="1"/>
    <s v="Grand Capital"/>
    <s v="TEVA"/>
    <n v="1"/>
    <n v="129.02000000000001"/>
    <n v="174.33"/>
    <n v="17.43"/>
    <n v="17.43"/>
    <s v="BONUS_CARD"/>
    <n v="29"/>
    <n v="1"/>
    <n v="5"/>
    <n v="156.9"/>
    <n v="13130002794"/>
  </r>
  <r>
    <x v="9"/>
    <d v="1899-12-30T20:05:47"/>
    <n v="3795"/>
    <n v="13002561"/>
    <n v="13"/>
    <n v="22589"/>
    <s v="Retail Sale"/>
    <n v="18"/>
    <n v="58294"/>
    <x v="37"/>
    <s v="Pharmcomplect"/>
    <s v="Novartis"/>
    <n v="3"/>
    <n v="456.25"/>
    <n v="678.77"/>
    <n v="33.94"/>
    <n v="33.94"/>
    <s v="BONUS_CARD"/>
    <n v="29"/>
    <n v="1"/>
    <n v="1"/>
    <n v="644.83000000000004"/>
    <n v="13130002795"/>
  </r>
  <r>
    <x v="19"/>
    <d v="1899-12-30T17:14:41"/>
    <n v="3796"/>
    <n v="13002561"/>
    <n v="13"/>
    <n v="22589"/>
    <s v="Retail Sale"/>
    <n v="18"/>
    <n v="69679"/>
    <x v="42"/>
    <s v="Avesta"/>
    <s v="Novartis"/>
    <n v="3"/>
    <n v="394.47"/>
    <n v="547.67999999999995"/>
    <n v="27.38"/>
    <n v="27.38"/>
    <s v="BONUS_CARD"/>
    <n v="29"/>
    <n v="1"/>
    <n v="4"/>
    <n v="520.29999999999995"/>
    <n v="13130002796"/>
  </r>
  <r>
    <x v="27"/>
    <d v="1899-12-30T22:34:15"/>
    <n v="3797"/>
    <n v="13002561"/>
    <n v="13"/>
    <n v="22589"/>
    <s v="Retail Sale"/>
    <n v="15"/>
    <n v="35673"/>
    <x v="6"/>
    <s v="Pharmcomplect"/>
    <s v="KRKA"/>
    <n v="1"/>
    <n v="138.74"/>
    <n v="196.56"/>
    <n v="9.83"/>
    <n v="9.83"/>
    <s v="BONUS_CARD"/>
    <n v="29"/>
    <n v="1"/>
    <n v="5"/>
    <n v="186.73"/>
    <n v="13130002797"/>
  </r>
  <r>
    <x v="18"/>
    <d v="1899-12-30T14:46:37"/>
    <n v="3798"/>
    <n v="13002561"/>
    <n v="13"/>
    <n v="22589"/>
    <s v="Retail Sale"/>
    <n v="18"/>
    <n v="93378"/>
    <x v="14"/>
    <s v="Protek"/>
    <s v="TEVA"/>
    <n v="2"/>
    <n v="209.47"/>
    <n v="307.14"/>
    <n v="15.36"/>
    <n v="15.36"/>
    <s v="BONUS_CARD"/>
    <n v="29"/>
    <n v="1"/>
    <n v="4"/>
    <n v="291.77999999999997"/>
    <n v="13130002798"/>
  </r>
  <r>
    <x v="14"/>
    <d v="1899-12-30T09:01:40"/>
    <n v="3799"/>
    <n v="13002561"/>
    <n v="13"/>
    <n v="22589"/>
    <s v="Retail Sale"/>
    <n v="18"/>
    <n v="20876"/>
    <x v="47"/>
    <s v="Pharmcomplect"/>
    <s v="TEVA"/>
    <n v="2"/>
    <n v="447.5"/>
    <n v="564.94000000000005"/>
    <n v="56.49"/>
    <n v="56.49"/>
    <s v="BONUS_CARD"/>
    <n v="29"/>
    <n v="1"/>
    <n v="2"/>
    <n v="508.45"/>
    <n v="13130002799"/>
  </r>
  <r>
    <x v="19"/>
    <d v="1899-12-30T13:17:39"/>
    <n v="3800"/>
    <n v="13002561"/>
    <n v="13"/>
    <n v="22589"/>
    <s v="Retail Sale"/>
    <n v="18"/>
    <n v="31870"/>
    <x v="34"/>
    <s v="Pulse"/>
    <s v="TEVA"/>
    <n v="2"/>
    <n v="106.63"/>
    <n v="166.94"/>
    <n v="16.690000000000001"/>
    <n v="16.690000000000001"/>
    <s v="BONUS_CARD"/>
    <n v="29"/>
    <n v="1"/>
    <n v="6"/>
    <n v="150.25"/>
    <n v="13130002800"/>
  </r>
  <r>
    <x v="17"/>
    <d v="1899-12-30T12:22:41"/>
    <n v="3801"/>
    <n v="13002561"/>
    <n v="13"/>
    <n v="22589"/>
    <s v="Retail Sale"/>
    <n v="18"/>
    <n v="46393"/>
    <x v="52"/>
    <s v="Pharmcomplect"/>
    <s v="Sanofi"/>
    <n v="1"/>
    <n v="67.599999999999994"/>
    <n v="97.94"/>
    <n v="0"/>
    <n v="0"/>
    <m/>
    <n v="29"/>
    <n v="1"/>
    <n v="1"/>
    <n v="97.94"/>
    <n v="13130002801"/>
  </r>
  <r>
    <x v="20"/>
    <d v="1899-12-30T09:28:51"/>
    <n v="3802"/>
    <n v="13002561"/>
    <n v="13"/>
    <n v="22589"/>
    <s v="Retail Sale"/>
    <n v="18"/>
    <n v="13531"/>
    <x v="72"/>
    <s v="Avesta"/>
    <s v="TEVA"/>
    <n v="1"/>
    <n v="105.12"/>
    <n v="163.18"/>
    <n v="0"/>
    <n v="0"/>
    <m/>
    <n v="29"/>
    <n v="1"/>
    <n v="3"/>
    <n v="163.18"/>
    <n v="13130002802"/>
  </r>
  <r>
    <x v="27"/>
    <d v="1899-12-30T09:31:15"/>
    <n v="3803"/>
    <n v="13002561"/>
    <n v="13"/>
    <n v="22589"/>
    <s v="Retail Sale"/>
    <n v="15"/>
    <n v="96397"/>
    <x v="10"/>
    <s v="Avesta"/>
    <s v="Dr. Reddy's"/>
    <n v="1"/>
    <n v="139.62"/>
    <n v="224.31"/>
    <n v="22.43"/>
    <n v="22.43"/>
    <s v="BONUS_CARD"/>
    <n v="29"/>
    <n v="1"/>
    <n v="1"/>
    <n v="201.88"/>
    <n v="13130002803"/>
  </r>
  <r>
    <x v="22"/>
    <d v="1899-12-30T09:20:22"/>
    <n v="3804"/>
    <n v="13002561"/>
    <n v="13"/>
    <n v="22589"/>
    <s v="Retail Sale"/>
    <n v="15"/>
    <n v="49002"/>
    <x v="27"/>
    <s v="Pulse"/>
    <s v="Takeda"/>
    <n v="3"/>
    <n v="300.79000000000002"/>
    <n v="432.43"/>
    <n v="43.24"/>
    <n v="43.24"/>
    <s v="BONUS_CARD"/>
    <n v="29"/>
    <n v="1"/>
    <n v="3"/>
    <n v="389.19"/>
    <n v="13130002804"/>
  </r>
  <r>
    <x v="0"/>
    <d v="1899-12-30T19:23:14"/>
    <n v="3805"/>
    <n v="13002561"/>
    <n v="13"/>
    <n v="22589"/>
    <s v="Retail Sale"/>
    <n v="15"/>
    <n v="48146"/>
    <x v="86"/>
    <s v="Avesta"/>
    <s v="Novartis"/>
    <n v="2"/>
    <n v="564.78"/>
    <n v="938.75"/>
    <n v="46.94"/>
    <n v="46.94"/>
    <s v="BONUS_CARD"/>
    <n v="29"/>
    <n v="1"/>
    <n v="3"/>
    <n v="891.81"/>
    <n v="13130002805"/>
  </r>
  <r>
    <x v="11"/>
    <d v="1899-12-30T22:15:36"/>
    <n v="3806"/>
    <n v="13002561"/>
    <n v="13"/>
    <n v="22589"/>
    <s v="Retail Sale"/>
    <n v="15"/>
    <n v="73909"/>
    <x v="86"/>
    <s v="Pulse"/>
    <s v="Sanofi"/>
    <n v="3"/>
    <n v="252.62"/>
    <n v="320.69"/>
    <n v="32.07"/>
    <n v="32.07"/>
    <s v="BONUS_CARD"/>
    <n v="29"/>
    <n v="1"/>
    <n v="1"/>
    <n v="288.62"/>
    <n v="13130002806"/>
  </r>
  <r>
    <x v="24"/>
    <d v="1899-12-30T08:23:00"/>
    <n v="3807"/>
    <n v="13002561"/>
    <n v="13"/>
    <n v="22589"/>
    <s v="Retail Sale"/>
    <n v="18"/>
    <n v="39609"/>
    <x v="45"/>
    <s v="Avesta"/>
    <s v="TEVA"/>
    <n v="2"/>
    <n v="147.28"/>
    <n v="239.52"/>
    <n v="23.95"/>
    <n v="23.95"/>
    <s v="BONUS_CARD"/>
    <n v="29"/>
    <n v="1"/>
    <n v="6"/>
    <n v="215.57"/>
    <n v="13130002807"/>
  </r>
  <r>
    <x v="1"/>
    <d v="1899-12-30T19:54:51"/>
    <n v="3808"/>
    <n v="13002561"/>
    <n v="13"/>
    <n v="22589"/>
    <s v="Retail Sale"/>
    <n v="18"/>
    <n v="81173"/>
    <x v="39"/>
    <s v="Pharmcomplect"/>
    <s v="KRKA"/>
    <n v="1"/>
    <n v="324.32"/>
    <n v="416.4"/>
    <n v="0"/>
    <n v="0"/>
    <m/>
    <n v="29"/>
    <n v="1"/>
    <n v="1"/>
    <n v="416.4"/>
    <n v="13130002808"/>
  </r>
  <r>
    <x v="7"/>
    <d v="1899-12-30T21:00:36"/>
    <n v="3809"/>
    <n v="13002561"/>
    <n v="13"/>
    <n v="22589"/>
    <s v="Retail Sale"/>
    <n v="15"/>
    <n v="51519"/>
    <x v="21"/>
    <s v="Protek"/>
    <s v="KRKA"/>
    <n v="1"/>
    <n v="251.26"/>
    <n v="327.02"/>
    <n v="0"/>
    <n v="0"/>
    <m/>
    <n v="29"/>
    <n v="1"/>
    <n v="3"/>
    <n v="327.02"/>
    <n v="13130002809"/>
  </r>
  <r>
    <x v="1"/>
    <d v="1899-12-30T17:19:13"/>
    <n v="3810"/>
    <n v="13002561"/>
    <n v="13"/>
    <n v="22589"/>
    <s v="Retail Sale"/>
    <n v="15"/>
    <n v="44011"/>
    <x v="11"/>
    <s v="Protek"/>
    <s v="KRKA"/>
    <n v="1"/>
    <n v="559.52"/>
    <n v="825.57"/>
    <n v="82.56"/>
    <n v="82.56"/>
    <s v="BONUS_CARD"/>
    <n v="29"/>
    <n v="1"/>
    <n v="1"/>
    <n v="743.01"/>
    <n v="13130002810"/>
  </r>
  <r>
    <x v="30"/>
    <d v="1899-12-30T11:03:32"/>
    <n v="3811"/>
    <n v="13002561"/>
    <n v="13"/>
    <n v="22589"/>
    <s v="Retail Sale"/>
    <n v="15"/>
    <n v="32721"/>
    <x v="82"/>
    <s v="Avesta"/>
    <s v="Novartis"/>
    <n v="2"/>
    <n v="475.02"/>
    <n v="603.15"/>
    <n v="0"/>
    <n v="0"/>
    <m/>
    <n v="29"/>
    <n v="1"/>
    <n v="2"/>
    <n v="603.15"/>
    <n v="13130002811"/>
  </r>
  <r>
    <x v="29"/>
    <d v="1899-12-30T15:31:00"/>
    <n v="3812"/>
    <n v="13002561"/>
    <n v="13"/>
    <n v="22589"/>
    <s v="Retail Sale"/>
    <n v="15"/>
    <n v="66421"/>
    <x v="21"/>
    <s v="Grand Capital"/>
    <s v="Takeda"/>
    <n v="3"/>
    <n v="504.61"/>
    <n v="839.79"/>
    <n v="41.99"/>
    <n v="41.99"/>
    <s v="BONUS_CARD"/>
    <n v="29"/>
    <n v="1"/>
    <n v="1"/>
    <n v="797.8"/>
    <n v="13130002812"/>
  </r>
  <r>
    <x v="21"/>
    <d v="1899-12-30T10:15:22"/>
    <n v="3813"/>
    <n v="13002561"/>
    <n v="13"/>
    <n v="22589"/>
    <s v="Retail Sale"/>
    <n v="18"/>
    <n v="30421"/>
    <x v="23"/>
    <s v="Katren"/>
    <s v="Pfizer"/>
    <n v="2"/>
    <n v="136.61000000000001"/>
    <n v="172.12"/>
    <n v="0"/>
    <n v="0"/>
    <m/>
    <n v="29"/>
    <n v="1"/>
    <n v="1"/>
    <n v="172.12"/>
    <n v="13130002813"/>
  </r>
  <r>
    <x v="17"/>
    <d v="1899-12-30T11:32:36"/>
    <n v="3814"/>
    <n v="13002561"/>
    <n v="13"/>
    <n v="22589"/>
    <s v="Retail Sale"/>
    <n v="15"/>
    <n v="20036"/>
    <x v="63"/>
    <s v="Grand Capital"/>
    <s v="Dr. Reddy's"/>
    <n v="3"/>
    <n v="97.71"/>
    <n v="162.38"/>
    <n v="0"/>
    <n v="0"/>
    <m/>
    <n v="29"/>
    <n v="1"/>
    <n v="2"/>
    <n v="162.38"/>
    <n v="13130002814"/>
  </r>
  <r>
    <x v="20"/>
    <d v="1899-12-30T10:19:49"/>
    <n v="3815"/>
    <n v="13002561"/>
    <n v="13"/>
    <n v="22589"/>
    <s v="Retail Sale"/>
    <n v="18"/>
    <n v="49539"/>
    <x v="3"/>
    <s v="Protek"/>
    <s v="Pfizer"/>
    <n v="3"/>
    <n v="136.35"/>
    <n v="182.44"/>
    <n v="18.239999999999998"/>
    <n v="18.239999999999998"/>
    <s v="BONUS_CARD"/>
    <n v="29"/>
    <n v="1"/>
    <n v="6"/>
    <n v="164.2"/>
    <n v="13130002815"/>
  </r>
  <r>
    <x v="8"/>
    <d v="1899-12-30T21:52:38"/>
    <n v="3816"/>
    <n v="13002561"/>
    <n v="13"/>
    <n v="22589"/>
    <s v="Retail Sale"/>
    <n v="18"/>
    <n v="64209"/>
    <x v="86"/>
    <s v="Pharmcomplect"/>
    <s v="Pfizer"/>
    <n v="2"/>
    <n v="563.6"/>
    <n v="717.05"/>
    <n v="0"/>
    <n v="0"/>
    <m/>
    <n v="29"/>
    <n v="1"/>
    <n v="2"/>
    <n v="717.05"/>
    <n v="13130002816"/>
  </r>
  <r>
    <x v="11"/>
    <d v="1899-12-30T22:30:30"/>
    <n v="3817"/>
    <n v="13002561"/>
    <n v="13"/>
    <n v="22589"/>
    <s v="Retail Sale"/>
    <n v="18"/>
    <n v="19721"/>
    <x v="37"/>
    <s v="Katren"/>
    <s v="TEVA"/>
    <n v="3"/>
    <n v="219.21"/>
    <n v="366.22"/>
    <n v="0"/>
    <n v="0"/>
    <m/>
    <n v="29"/>
    <n v="1"/>
    <n v="6"/>
    <n v="366.22"/>
    <n v="13130002817"/>
  </r>
  <r>
    <x v="15"/>
    <d v="1899-12-30T20:40:29"/>
    <n v="3818"/>
    <n v="13002561"/>
    <n v="13"/>
    <n v="22589"/>
    <s v="Retail Sale"/>
    <n v="15"/>
    <n v="20976"/>
    <x v="12"/>
    <s v="Katren"/>
    <s v="Pfizer"/>
    <n v="2"/>
    <n v="565.30999999999995"/>
    <n v="823.92"/>
    <n v="0"/>
    <n v="0"/>
    <m/>
    <n v="29"/>
    <n v="1"/>
    <n v="6"/>
    <n v="823.92"/>
    <n v="13130002818"/>
  </r>
  <r>
    <x v="27"/>
    <d v="1899-12-30T15:24:45"/>
    <n v="3819"/>
    <n v="13002561"/>
    <n v="13"/>
    <n v="22589"/>
    <s v="Retail Sale"/>
    <n v="15"/>
    <n v="16672"/>
    <x v="27"/>
    <s v="Pharmcomplect"/>
    <s v="KRKA"/>
    <n v="2"/>
    <n v="257.7"/>
    <n v="333.38"/>
    <n v="0"/>
    <n v="0"/>
    <m/>
    <n v="29"/>
    <n v="1"/>
    <n v="4"/>
    <n v="333.38"/>
    <n v="13130002819"/>
  </r>
  <r>
    <x v="11"/>
    <d v="1899-12-30T12:51:37"/>
    <n v="3820"/>
    <n v="13002561"/>
    <n v="13"/>
    <n v="22589"/>
    <s v="Retail Sale"/>
    <n v="15"/>
    <n v="32320"/>
    <x v="42"/>
    <s v="Pulse"/>
    <s v="KRKA"/>
    <n v="1"/>
    <n v="459.82"/>
    <n v="645.33000000000004"/>
    <n v="64.53"/>
    <n v="64.53"/>
    <s v="BONUS_CARD"/>
    <n v="29"/>
    <n v="1"/>
    <n v="1"/>
    <n v="580.79999999999995"/>
    <n v="13130002820"/>
  </r>
  <r>
    <x v="9"/>
    <d v="1899-12-30T08:36:40"/>
    <n v="3821"/>
    <n v="13002561"/>
    <n v="13"/>
    <n v="22589"/>
    <s v="Retail Sale"/>
    <n v="15"/>
    <n v="75029"/>
    <x v="25"/>
    <s v="Grand Capital"/>
    <s v="TEVA"/>
    <n v="3"/>
    <n v="255.84"/>
    <n v="389.42"/>
    <n v="19.47"/>
    <n v="19.47"/>
    <s v="BONUS_CARD"/>
    <n v="29"/>
    <n v="1"/>
    <n v="4"/>
    <n v="369.95"/>
    <n v="13130002821"/>
  </r>
  <r>
    <x v="10"/>
    <d v="1899-12-30T11:58:07"/>
    <n v="3822"/>
    <n v="13002561"/>
    <n v="13"/>
    <n v="22589"/>
    <s v="Retail Sale"/>
    <n v="18"/>
    <n v="45929"/>
    <x v="69"/>
    <s v="Katren"/>
    <s v="Bayer"/>
    <n v="3"/>
    <n v="55.84"/>
    <n v="78.010000000000005"/>
    <n v="0"/>
    <n v="0"/>
    <m/>
    <n v="29"/>
    <n v="1"/>
    <n v="3"/>
    <n v="78.010000000000005"/>
    <n v="13130002822"/>
  </r>
  <r>
    <x v="12"/>
    <d v="1899-12-30T10:54:57"/>
    <n v="3823"/>
    <n v="13002561"/>
    <n v="13"/>
    <n v="22589"/>
    <s v="Retail Sale"/>
    <n v="15"/>
    <n v="18038"/>
    <x v="50"/>
    <s v="Protek"/>
    <s v="Pfizer"/>
    <n v="3"/>
    <n v="139.15"/>
    <n v="182.81"/>
    <n v="9.14"/>
    <n v="9.14"/>
    <s v="BONUS_CARD"/>
    <n v="29"/>
    <n v="1"/>
    <n v="2"/>
    <n v="173.67"/>
    <n v="13130002823"/>
  </r>
  <r>
    <x v="24"/>
    <d v="1899-12-30T11:39:25"/>
    <n v="3824"/>
    <n v="13002561"/>
    <n v="13"/>
    <n v="22589"/>
    <s v="Retail Sale"/>
    <n v="18"/>
    <n v="85943"/>
    <x v="38"/>
    <s v="Grand Capital"/>
    <s v="Novartis"/>
    <n v="3"/>
    <n v="266.92"/>
    <n v="441.87"/>
    <n v="22.09"/>
    <n v="22.09"/>
    <s v="BONUS_CARD"/>
    <n v="29"/>
    <n v="1"/>
    <n v="5"/>
    <n v="419.78"/>
    <n v="13130002824"/>
  </r>
  <r>
    <x v="30"/>
    <d v="1899-12-30T08:28:33"/>
    <n v="3825"/>
    <n v="13002561"/>
    <n v="13"/>
    <n v="22589"/>
    <s v="Retail Sale"/>
    <n v="15"/>
    <n v="27920"/>
    <x v="55"/>
    <s v="Protek"/>
    <s v="Dr. Reddy's"/>
    <n v="2"/>
    <n v="347.72"/>
    <n v="530.20000000000005"/>
    <n v="0"/>
    <n v="0"/>
    <m/>
    <n v="29"/>
    <n v="1"/>
    <n v="2"/>
    <n v="530.20000000000005"/>
    <n v="13130002825"/>
  </r>
  <r>
    <x v="20"/>
    <d v="1899-12-30T16:33:21"/>
    <n v="3826"/>
    <n v="13002561"/>
    <n v="13"/>
    <n v="22589"/>
    <s v="Retail Sale"/>
    <n v="15"/>
    <n v="98698"/>
    <x v="35"/>
    <s v="Pharmcomplect"/>
    <s v="KRKA"/>
    <n v="2"/>
    <n v="48.71"/>
    <n v="72.88"/>
    <n v="0"/>
    <n v="0"/>
    <m/>
    <n v="29"/>
    <n v="1"/>
    <n v="1"/>
    <n v="72.88"/>
    <n v="13130002826"/>
  </r>
  <r>
    <x v="20"/>
    <d v="1899-12-30T21:39:19"/>
    <n v="3827"/>
    <n v="13002561"/>
    <n v="13"/>
    <n v="22589"/>
    <s v="Retail Sale"/>
    <n v="18"/>
    <n v="44753"/>
    <x v="79"/>
    <s v="Pharmcomplect"/>
    <s v="Sanofi"/>
    <n v="2"/>
    <n v="20.61"/>
    <n v="27.82"/>
    <n v="2.78"/>
    <n v="2.78"/>
    <s v="BONUS_CARD"/>
    <n v="29"/>
    <n v="1"/>
    <n v="1"/>
    <n v="25.04"/>
    <n v="13130002827"/>
  </r>
  <r>
    <x v="19"/>
    <d v="1899-12-30T14:08:22"/>
    <n v="3828"/>
    <n v="13002561"/>
    <n v="13"/>
    <n v="22589"/>
    <s v="Retail Sale"/>
    <n v="15"/>
    <n v="34963"/>
    <x v="60"/>
    <s v="Pharmcomplect"/>
    <s v="KRKA"/>
    <n v="2"/>
    <n v="36.94"/>
    <n v="58.95"/>
    <n v="5.9"/>
    <n v="5.9"/>
    <s v="BONUS_CARD"/>
    <n v="29"/>
    <n v="1"/>
    <n v="3"/>
    <n v="53.05"/>
    <n v="13130002828"/>
  </r>
  <r>
    <x v="3"/>
    <d v="1899-12-30T08:50:21"/>
    <n v="3829"/>
    <n v="13002561"/>
    <n v="13"/>
    <n v="22589"/>
    <s v="Retail Sale"/>
    <n v="15"/>
    <n v="69909"/>
    <x v="57"/>
    <s v="Pharmcomplect"/>
    <s v="Dr. Reddy's"/>
    <n v="3"/>
    <n v="542.51"/>
    <n v="849.28"/>
    <n v="0"/>
    <n v="0"/>
    <m/>
    <n v="29"/>
    <n v="1"/>
    <n v="1"/>
    <n v="849.28"/>
    <n v="13130002829"/>
  </r>
  <r>
    <x v="8"/>
    <d v="1899-12-30T10:17:16"/>
    <n v="3830"/>
    <n v="13002561"/>
    <n v="13"/>
    <n v="22589"/>
    <s v="Retail Sale"/>
    <n v="18"/>
    <n v="29004"/>
    <x v="13"/>
    <s v="Pharmcomplect"/>
    <s v="KRKA"/>
    <n v="3"/>
    <n v="568.58000000000004"/>
    <n v="836.21"/>
    <n v="41.81"/>
    <n v="41.81"/>
    <s v="BONUS_CARD"/>
    <n v="29"/>
    <n v="1"/>
    <n v="1"/>
    <n v="794.4"/>
    <n v="13130002830"/>
  </r>
  <r>
    <x v="10"/>
    <d v="1899-12-30T13:24:03"/>
    <n v="3831"/>
    <n v="13002561"/>
    <n v="13"/>
    <n v="22589"/>
    <s v="Retail Sale"/>
    <n v="15"/>
    <n v="40709"/>
    <x v="44"/>
    <s v="Katren"/>
    <s v="Takeda"/>
    <n v="1"/>
    <n v="512.66999999999996"/>
    <n v="814.09"/>
    <n v="40.700000000000003"/>
    <n v="40.700000000000003"/>
    <s v="BONUS_CARD"/>
    <n v="29"/>
    <n v="1"/>
    <n v="2"/>
    <n v="773.39"/>
    <n v="13130002831"/>
  </r>
  <r>
    <x v="30"/>
    <d v="1899-12-30T20:52:50"/>
    <n v="3832"/>
    <n v="13002561"/>
    <n v="13"/>
    <n v="22589"/>
    <s v="Retail Sale"/>
    <n v="18"/>
    <n v="24230"/>
    <x v="45"/>
    <s v="Avesta"/>
    <s v="Pfizer"/>
    <n v="3"/>
    <n v="9.44"/>
    <n v="13.89"/>
    <n v="0"/>
    <n v="0"/>
    <m/>
    <n v="29"/>
    <n v="1"/>
    <n v="4"/>
    <n v="13.89"/>
    <n v="13130002832"/>
  </r>
  <r>
    <x v="16"/>
    <d v="1899-12-30T21:52:16"/>
    <n v="3833"/>
    <n v="13002561"/>
    <n v="13"/>
    <n v="22589"/>
    <s v="Retail Sale"/>
    <n v="18"/>
    <n v="44624"/>
    <x v="26"/>
    <s v="Pharmcomplect"/>
    <s v="TEVA"/>
    <n v="1"/>
    <n v="246.75"/>
    <n v="409.88"/>
    <n v="20.49"/>
    <n v="20.49"/>
    <s v="BONUS_CARD"/>
    <n v="29"/>
    <n v="1"/>
    <n v="4"/>
    <n v="389.39"/>
    <n v="13130002833"/>
  </r>
  <r>
    <x v="7"/>
    <d v="1899-12-30T17:38:47"/>
    <n v="3834"/>
    <n v="13002561"/>
    <n v="13"/>
    <n v="22589"/>
    <s v="Retail Sale"/>
    <n v="18"/>
    <n v="22862"/>
    <x v="13"/>
    <s v="Avesta"/>
    <s v="Novartis"/>
    <n v="1"/>
    <n v="329.52"/>
    <n v="550.86"/>
    <n v="55.09"/>
    <n v="55.09"/>
    <s v="BONUS_CARD"/>
    <n v="29"/>
    <n v="1"/>
    <n v="6"/>
    <n v="495.77"/>
    <n v="13130002834"/>
  </r>
  <r>
    <x v="2"/>
    <d v="1899-12-30T10:59:16"/>
    <n v="3835"/>
    <n v="13002561"/>
    <n v="13"/>
    <n v="22589"/>
    <s v="Retail Sale"/>
    <n v="15"/>
    <n v="99012"/>
    <x v="48"/>
    <s v="Pharmcomplect"/>
    <s v="Sanofi"/>
    <n v="3"/>
    <n v="220.93"/>
    <n v="319.68"/>
    <n v="0"/>
    <n v="0"/>
    <m/>
    <n v="29"/>
    <n v="1"/>
    <n v="6"/>
    <n v="319.68"/>
    <n v="13130002835"/>
  </r>
  <r>
    <x v="5"/>
    <d v="1899-12-30T19:39:27"/>
    <n v="3836"/>
    <n v="13002561"/>
    <n v="13"/>
    <n v="22589"/>
    <s v="Retail Sale"/>
    <n v="15"/>
    <n v="44117"/>
    <x v="11"/>
    <s v="Katren"/>
    <s v="Sanofi"/>
    <n v="3"/>
    <n v="534.66999999999996"/>
    <n v="695.34"/>
    <n v="0"/>
    <n v="0"/>
    <m/>
    <n v="29"/>
    <n v="1"/>
    <n v="1"/>
    <n v="695.34"/>
    <n v="13130002836"/>
  </r>
  <r>
    <x v="2"/>
    <d v="1899-12-30T18:03:08"/>
    <n v="3837"/>
    <n v="13002561"/>
    <n v="13"/>
    <n v="22589"/>
    <s v="Retail Sale"/>
    <n v="15"/>
    <n v="48341"/>
    <x v="89"/>
    <s v="Pharmcomplect"/>
    <s v="KRKA"/>
    <n v="2"/>
    <n v="166.52"/>
    <n v="260.33999999999997"/>
    <n v="0"/>
    <n v="0"/>
    <m/>
    <n v="29"/>
    <n v="1"/>
    <n v="4"/>
    <n v="260.33999999999997"/>
    <n v="13130002837"/>
  </r>
  <r>
    <x v="13"/>
    <d v="1899-12-30T08:38:29"/>
    <n v="3838"/>
    <n v="13002561"/>
    <n v="13"/>
    <n v="22589"/>
    <s v="Retail Sale"/>
    <n v="15"/>
    <n v="74568"/>
    <x v="35"/>
    <s v="Katren"/>
    <s v="Bayer"/>
    <n v="3"/>
    <n v="84.79"/>
    <n v="142.30000000000001"/>
    <n v="14.23"/>
    <n v="14.23"/>
    <s v="BONUS_CARD"/>
    <n v="29"/>
    <n v="1"/>
    <n v="2"/>
    <n v="128.07"/>
    <n v="13130002838"/>
  </r>
  <r>
    <x v="21"/>
    <d v="1899-12-30T21:54:26"/>
    <n v="3839"/>
    <n v="13002561"/>
    <n v="13"/>
    <n v="22589"/>
    <s v="Retail Sale"/>
    <n v="15"/>
    <n v="15954"/>
    <x v="7"/>
    <s v="Protek"/>
    <s v="Dr. Reddy's"/>
    <n v="1"/>
    <n v="52.17"/>
    <n v="83.94"/>
    <n v="4.2"/>
    <n v="4.2"/>
    <s v="BONUS_CARD"/>
    <n v="29"/>
    <n v="1"/>
    <n v="5"/>
    <n v="79.739999999999995"/>
    <n v="13130002839"/>
  </r>
  <r>
    <x v="5"/>
    <d v="1899-12-30T12:44:48"/>
    <n v="3840"/>
    <n v="13002561"/>
    <n v="13"/>
    <n v="22589"/>
    <s v="Retail Sale"/>
    <n v="15"/>
    <n v="18111"/>
    <x v="47"/>
    <s v="Katren"/>
    <s v="Novartis"/>
    <n v="1"/>
    <n v="516.57000000000005"/>
    <n v="767.16"/>
    <n v="38.36"/>
    <n v="38.36"/>
    <s v="BONUS_CARD"/>
    <n v="29"/>
    <n v="1"/>
    <n v="6"/>
    <n v="728.8"/>
    <n v="13130002840"/>
  </r>
  <r>
    <x v="11"/>
    <d v="1899-12-30T20:42:19"/>
    <n v="3841"/>
    <n v="13002561"/>
    <n v="13"/>
    <n v="22589"/>
    <s v="Retail Sale"/>
    <n v="18"/>
    <n v="45004"/>
    <x v="9"/>
    <s v="Pulse"/>
    <s v="Dr. Reddy's"/>
    <n v="3"/>
    <n v="44.01"/>
    <n v="74.28"/>
    <n v="0"/>
    <n v="0"/>
    <m/>
    <n v="29"/>
    <n v="1"/>
    <n v="6"/>
    <n v="74.28"/>
    <n v="13130002841"/>
  </r>
  <r>
    <x v="30"/>
    <d v="1899-12-30T09:20:45"/>
    <n v="3842"/>
    <n v="13002561"/>
    <n v="13"/>
    <n v="22589"/>
    <s v="Retail Sale"/>
    <n v="18"/>
    <n v="50746"/>
    <x v="44"/>
    <s v="Grand Capital"/>
    <s v="TEVA"/>
    <n v="2"/>
    <n v="152.72"/>
    <n v="214.38"/>
    <n v="21.44"/>
    <n v="21.44"/>
    <s v="BONUS_CARD"/>
    <n v="29"/>
    <n v="1"/>
    <n v="3"/>
    <n v="192.94"/>
    <n v="13130002842"/>
  </r>
  <r>
    <x v="22"/>
    <d v="1899-12-30T21:52:28"/>
    <n v="3843"/>
    <n v="13002561"/>
    <n v="13"/>
    <n v="22589"/>
    <s v="Retail Sale"/>
    <n v="18"/>
    <n v="35872"/>
    <x v="7"/>
    <s v="Pulse"/>
    <s v="Pfizer"/>
    <n v="3"/>
    <n v="537.08000000000004"/>
    <n v="842.57"/>
    <n v="42.13"/>
    <n v="42.13"/>
    <s v="BONUS_CARD"/>
    <n v="29"/>
    <n v="1"/>
    <n v="5"/>
    <n v="800.44"/>
    <n v="13130002843"/>
  </r>
  <r>
    <x v="30"/>
    <d v="1899-12-30T08:37:19"/>
    <n v="3844"/>
    <n v="13002561"/>
    <n v="13"/>
    <n v="22589"/>
    <s v="Retail Sale"/>
    <n v="18"/>
    <n v="31659"/>
    <x v="43"/>
    <s v="Katren"/>
    <s v="Pfizer"/>
    <n v="1"/>
    <n v="305.54000000000002"/>
    <n v="451.19"/>
    <n v="45.12"/>
    <n v="45.12"/>
    <s v="BONUS_CARD"/>
    <n v="29"/>
    <n v="1"/>
    <n v="6"/>
    <n v="406.07"/>
    <n v="13130002844"/>
  </r>
  <r>
    <x v="4"/>
    <d v="1899-12-30T19:33:39"/>
    <n v="3845"/>
    <n v="13002561"/>
    <n v="13"/>
    <n v="22589"/>
    <s v="Retail Sale"/>
    <n v="18"/>
    <n v="50244"/>
    <x v="69"/>
    <s v="Pharmcomplect"/>
    <s v="Pfizer"/>
    <n v="1"/>
    <n v="360.75"/>
    <n v="529.24"/>
    <n v="0"/>
    <n v="0"/>
    <m/>
    <n v="29"/>
    <n v="1"/>
    <n v="2"/>
    <n v="529.24"/>
    <n v="13130002845"/>
  </r>
  <r>
    <x v="8"/>
    <d v="1899-12-30T14:24:40"/>
    <n v="3846"/>
    <n v="13002561"/>
    <n v="13"/>
    <n v="22589"/>
    <s v="Retail Sale"/>
    <n v="18"/>
    <n v="71349"/>
    <x v="3"/>
    <s v="Katren"/>
    <s v="Sanofi"/>
    <n v="3"/>
    <n v="458.39"/>
    <n v="633.23"/>
    <n v="0"/>
    <n v="0"/>
    <m/>
    <n v="29"/>
    <n v="1"/>
    <n v="3"/>
    <n v="633.23"/>
    <n v="13130002846"/>
  </r>
  <r>
    <x v="18"/>
    <d v="1899-12-30T16:51:48"/>
    <n v="3847"/>
    <n v="13002561"/>
    <n v="13"/>
    <n v="22589"/>
    <s v="Retail Sale"/>
    <n v="15"/>
    <n v="14431"/>
    <x v="51"/>
    <s v="Katren"/>
    <s v="Takeda"/>
    <n v="2"/>
    <n v="512.76"/>
    <n v="644.23"/>
    <n v="32.21"/>
    <n v="32.21"/>
    <s v="BONUS_CARD"/>
    <n v="29"/>
    <n v="1"/>
    <n v="5"/>
    <n v="612.02"/>
    <n v="13130002847"/>
  </r>
  <r>
    <x v="3"/>
    <d v="1899-12-30T19:46:06"/>
    <n v="3848"/>
    <n v="13002561"/>
    <n v="13"/>
    <n v="22589"/>
    <s v="Retail Sale"/>
    <n v="15"/>
    <n v="71840"/>
    <x v="30"/>
    <s v="Pharmcomplect"/>
    <s v="Novartis"/>
    <n v="3"/>
    <n v="68.400000000000006"/>
    <n v="107.14"/>
    <n v="0"/>
    <n v="0"/>
    <m/>
    <n v="29"/>
    <n v="1"/>
    <n v="1"/>
    <n v="107.14"/>
    <n v="13130002848"/>
  </r>
  <r>
    <x v="26"/>
    <d v="1899-12-30T10:05:12"/>
    <n v="3849"/>
    <n v="13002561"/>
    <n v="13"/>
    <n v="22589"/>
    <s v="Retail Sale"/>
    <n v="15"/>
    <n v="47651"/>
    <x v="0"/>
    <s v="Katren"/>
    <s v="Bayer"/>
    <n v="1"/>
    <n v="471.73"/>
    <n v="758.54"/>
    <n v="37.93"/>
    <n v="37.93"/>
    <s v="BONUS_CARD"/>
    <n v="29"/>
    <n v="1"/>
    <n v="3"/>
    <n v="720.61"/>
    <n v="13130002849"/>
  </r>
  <r>
    <x v="11"/>
    <d v="1899-12-30T12:32:06"/>
    <n v="3850"/>
    <n v="13002561"/>
    <n v="13"/>
    <n v="22589"/>
    <s v="Retail Sale"/>
    <n v="15"/>
    <n v="54790"/>
    <x v="81"/>
    <s v="Pulse"/>
    <s v="KRKA"/>
    <n v="2"/>
    <n v="106.74"/>
    <n v="141.91999999999999"/>
    <n v="14.19"/>
    <n v="14.19"/>
    <s v="BONUS_CARD"/>
    <n v="29"/>
    <n v="1"/>
    <n v="3"/>
    <n v="127.73"/>
    <n v="13130002850"/>
  </r>
  <r>
    <x v="26"/>
    <d v="1899-12-30T18:28:55"/>
    <n v="3851"/>
    <n v="13002561"/>
    <n v="13"/>
    <n v="22589"/>
    <s v="Retail Sale"/>
    <n v="15"/>
    <n v="23929"/>
    <x v="66"/>
    <s v="Protek"/>
    <s v="Novartis"/>
    <n v="1"/>
    <n v="25.17"/>
    <n v="36.97"/>
    <n v="0"/>
    <n v="0"/>
    <m/>
    <n v="29"/>
    <n v="1"/>
    <n v="6"/>
    <n v="36.97"/>
    <n v="13130002851"/>
  </r>
  <r>
    <x v="2"/>
    <d v="1899-12-30T11:15:59"/>
    <n v="3852"/>
    <n v="13002561"/>
    <n v="13"/>
    <n v="22589"/>
    <s v="Retail Sale"/>
    <n v="18"/>
    <n v="42831"/>
    <x v="49"/>
    <s v="Avesta"/>
    <s v="Takeda"/>
    <n v="2"/>
    <n v="477.65"/>
    <n v="758.11"/>
    <n v="37.909999999999997"/>
    <n v="37.909999999999997"/>
    <s v="BONUS_CARD"/>
    <n v="29"/>
    <n v="1"/>
    <n v="6"/>
    <n v="720.2"/>
    <n v="13130002852"/>
  </r>
  <r>
    <x v="9"/>
    <d v="1899-12-30T15:48:09"/>
    <n v="3853"/>
    <n v="13002561"/>
    <n v="13"/>
    <n v="22589"/>
    <s v="Retail Sale"/>
    <n v="15"/>
    <n v="32713"/>
    <x v="45"/>
    <s v="Pharmcomplect"/>
    <s v="TEVA"/>
    <n v="2"/>
    <n v="483.82"/>
    <n v="822.22"/>
    <n v="82.22"/>
    <n v="82.22"/>
    <s v="BONUS_CARD"/>
    <n v="29"/>
    <n v="1"/>
    <n v="2"/>
    <n v="740"/>
    <n v="13130002853"/>
  </r>
  <r>
    <x v="9"/>
    <d v="1899-12-30T18:46:56"/>
    <n v="3854"/>
    <n v="13002561"/>
    <n v="13"/>
    <n v="22589"/>
    <s v="Retail Sale"/>
    <n v="18"/>
    <n v="16792"/>
    <x v="38"/>
    <s v="Grand Capital"/>
    <s v="Bayer"/>
    <n v="3"/>
    <n v="519.14"/>
    <n v="771.57"/>
    <n v="0"/>
    <n v="0"/>
    <m/>
    <n v="29"/>
    <n v="1"/>
    <n v="1"/>
    <n v="771.57"/>
    <n v="13130002854"/>
  </r>
  <r>
    <x v="3"/>
    <d v="1899-12-30T14:08:13"/>
    <n v="3855"/>
    <n v="13002561"/>
    <n v="13"/>
    <n v="22589"/>
    <s v="Retail Sale"/>
    <n v="18"/>
    <n v="29854"/>
    <x v="63"/>
    <s v="Pharmcomplect"/>
    <s v="Sanofi"/>
    <n v="1"/>
    <n v="538.83000000000004"/>
    <n v="873.52"/>
    <n v="43.68"/>
    <n v="43.68"/>
    <s v="BONUS_CARD"/>
    <n v="29"/>
    <n v="1"/>
    <n v="2"/>
    <n v="829.84"/>
    <n v="13130002855"/>
  </r>
  <r>
    <x v="27"/>
    <d v="1899-12-30T12:52:38"/>
    <n v="3856"/>
    <n v="13002561"/>
    <n v="13"/>
    <n v="22589"/>
    <s v="Retail Sale"/>
    <n v="15"/>
    <n v="74364"/>
    <x v="86"/>
    <s v="Katren"/>
    <s v="Sanofi"/>
    <n v="3"/>
    <n v="6.07"/>
    <n v="9.1300000000000008"/>
    <n v="0.46"/>
    <n v="0.46"/>
    <s v="BONUS_CARD"/>
    <n v="29"/>
    <n v="1"/>
    <n v="4"/>
    <n v="8.67"/>
    <n v="13130002856"/>
  </r>
  <r>
    <x v="19"/>
    <d v="1899-12-30T08:57:26"/>
    <n v="3857"/>
    <n v="13002561"/>
    <n v="13"/>
    <n v="22589"/>
    <s v="Retail Sale"/>
    <n v="15"/>
    <n v="79016"/>
    <x v="60"/>
    <s v="Pharmcomplect"/>
    <s v="Novartis"/>
    <n v="2"/>
    <n v="75.14"/>
    <n v="127.12"/>
    <n v="6.36"/>
    <n v="6.36"/>
    <s v="BONUS_CARD"/>
    <n v="29"/>
    <n v="1"/>
    <n v="6"/>
    <n v="120.76"/>
    <n v="13130002857"/>
  </r>
  <r>
    <x v="24"/>
    <d v="1899-12-30T14:17:09"/>
    <n v="3858"/>
    <n v="13002561"/>
    <n v="13"/>
    <n v="22589"/>
    <s v="Retail Sale"/>
    <n v="15"/>
    <n v="37075"/>
    <x v="37"/>
    <s v="Protek"/>
    <s v="Takeda"/>
    <n v="2"/>
    <n v="309.99"/>
    <n v="449.66"/>
    <n v="0"/>
    <n v="0"/>
    <m/>
    <n v="29"/>
    <n v="1"/>
    <n v="2"/>
    <n v="449.66"/>
    <n v="13130002858"/>
  </r>
  <r>
    <x v="4"/>
    <d v="1899-12-30T13:28:13"/>
    <n v="3859"/>
    <n v="13002561"/>
    <n v="13"/>
    <n v="22589"/>
    <s v="Retail Sale"/>
    <n v="15"/>
    <n v="62052"/>
    <x v="34"/>
    <s v="Katren"/>
    <s v="Sanofi"/>
    <n v="1"/>
    <n v="527.86"/>
    <n v="666.86"/>
    <n v="33.340000000000003"/>
    <n v="33.340000000000003"/>
    <s v="BONUS_CARD"/>
    <n v="29"/>
    <n v="1"/>
    <n v="3"/>
    <n v="633.52"/>
    <n v="13130002859"/>
  </r>
  <r>
    <x v="25"/>
    <d v="1899-12-30T21:45:55"/>
    <n v="3860"/>
    <n v="13002561"/>
    <n v="13"/>
    <n v="22589"/>
    <s v="Retail Sale"/>
    <n v="18"/>
    <n v="78483"/>
    <x v="57"/>
    <s v="Avesta"/>
    <s v="KRKA"/>
    <n v="2"/>
    <n v="151.99"/>
    <n v="202.14"/>
    <n v="10.11"/>
    <n v="10.11"/>
    <s v="BONUS_CARD"/>
    <n v="29"/>
    <n v="1"/>
    <n v="4"/>
    <n v="192.03"/>
    <n v="13130002860"/>
  </r>
  <r>
    <x v="15"/>
    <d v="1899-12-30T22:55:31"/>
    <n v="3861"/>
    <n v="13002561"/>
    <n v="13"/>
    <n v="22589"/>
    <s v="Retail Sale"/>
    <n v="18"/>
    <n v="19877"/>
    <x v="37"/>
    <s v="Pharmcomplect"/>
    <s v="TEVA"/>
    <n v="1"/>
    <n v="545.30999999999995"/>
    <n v="822.8"/>
    <n v="41.14"/>
    <n v="41.14"/>
    <s v="BONUS_CARD"/>
    <n v="29"/>
    <n v="1"/>
    <n v="1"/>
    <n v="781.66"/>
    <n v="13130002861"/>
  </r>
  <r>
    <x v="14"/>
    <d v="1899-12-30T09:06:31"/>
    <n v="3862"/>
    <n v="13002561"/>
    <n v="13"/>
    <n v="22589"/>
    <s v="Retail Sale"/>
    <n v="18"/>
    <n v="34117"/>
    <x v="46"/>
    <s v="Protek"/>
    <s v="Takeda"/>
    <n v="2"/>
    <n v="133.88"/>
    <n v="216.14"/>
    <n v="10.81"/>
    <n v="10.81"/>
    <s v="BONUS_CARD"/>
    <n v="29"/>
    <n v="1"/>
    <n v="1"/>
    <n v="205.33"/>
    <n v="13130002862"/>
  </r>
  <r>
    <x v="26"/>
    <d v="1899-12-30T14:19:00"/>
    <n v="3863"/>
    <n v="13002561"/>
    <n v="13"/>
    <n v="22589"/>
    <s v="Retail Sale"/>
    <n v="18"/>
    <n v="32131"/>
    <x v="40"/>
    <s v="Grand Capital"/>
    <s v="KRKA"/>
    <n v="3"/>
    <n v="465.22"/>
    <n v="681.56"/>
    <n v="68.16"/>
    <n v="68.16"/>
    <s v="BONUS_CARD"/>
    <n v="29"/>
    <n v="1"/>
    <n v="1"/>
    <n v="613.4"/>
    <n v="13130002863"/>
  </r>
  <r>
    <x v="25"/>
    <d v="1899-12-30T11:43:47"/>
    <n v="3864"/>
    <n v="13002561"/>
    <n v="13"/>
    <n v="22589"/>
    <s v="Retail Sale"/>
    <n v="18"/>
    <n v="73695"/>
    <x v="13"/>
    <s v="Avesta"/>
    <s v="KRKA"/>
    <n v="2"/>
    <n v="398.67"/>
    <n v="550.36"/>
    <n v="27.52"/>
    <n v="27.52"/>
    <s v="BONUS_CARD"/>
    <n v="29"/>
    <n v="1"/>
    <n v="5"/>
    <n v="522.84"/>
    <n v="13130002864"/>
  </r>
  <r>
    <x v="20"/>
    <d v="1899-12-30T20:02:51"/>
    <n v="3865"/>
    <n v="13002561"/>
    <n v="13"/>
    <n v="22589"/>
    <s v="Retail Sale"/>
    <n v="15"/>
    <n v="67208"/>
    <x v="61"/>
    <s v="Avesta"/>
    <s v="Sanofi"/>
    <n v="1"/>
    <n v="156.27000000000001"/>
    <n v="212.19"/>
    <n v="10.61"/>
    <n v="10.61"/>
    <s v="BONUS_CARD"/>
    <n v="29"/>
    <n v="1"/>
    <n v="4"/>
    <n v="201.58"/>
    <n v="13130002865"/>
  </r>
  <r>
    <x v="30"/>
    <d v="1899-12-30T08:06:19"/>
    <n v="3866"/>
    <n v="13002561"/>
    <n v="13"/>
    <n v="22589"/>
    <s v="Retail Sale"/>
    <n v="15"/>
    <n v="11697"/>
    <x v="40"/>
    <s v="Pulse"/>
    <s v="Dr. Reddy's"/>
    <n v="2"/>
    <n v="508.12"/>
    <n v="842.64"/>
    <n v="84.26"/>
    <n v="84.26"/>
    <s v="BONUS_CARD"/>
    <n v="29"/>
    <n v="1"/>
    <n v="4"/>
    <n v="758.38"/>
    <n v="13130002866"/>
  </r>
  <r>
    <x v="28"/>
    <d v="1899-12-30T11:05:47"/>
    <n v="3867"/>
    <n v="13002561"/>
    <n v="13"/>
    <n v="22589"/>
    <s v="Retail Sale"/>
    <n v="18"/>
    <n v="23588"/>
    <x v="59"/>
    <s v="Pulse"/>
    <s v="Dr. Reddy's"/>
    <n v="3"/>
    <n v="113.28"/>
    <n v="144.91"/>
    <n v="7.25"/>
    <n v="7.25"/>
    <s v="BONUS_CARD"/>
    <n v="29"/>
    <n v="1"/>
    <n v="3"/>
    <n v="137.66"/>
    <n v="13130002867"/>
  </r>
  <r>
    <x v="18"/>
    <d v="1899-12-30T11:39:47"/>
    <n v="3868"/>
    <n v="13002561"/>
    <n v="13"/>
    <n v="22589"/>
    <s v="Retail Sale"/>
    <n v="15"/>
    <n v="70788"/>
    <x v="74"/>
    <s v="Pulse"/>
    <s v="Sanofi"/>
    <n v="1"/>
    <n v="407.82"/>
    <n v="565.84"/>
    <n v="56.58"/>
    <n v="56.58"/>
    <s v="BONUS_CARD"/>
    <n v="29"/>
    <n v="1"/>
    <n v="6"/>
    <n v="509.26"/>
    <n v="13130002868"/>
  </r>
  <r>
    <x v="28"/>
    <d v="1899-12-30T11:40:27"/>
    <n v="3869"/>
    <n v="13002561"/>
    <n v="13"/>
    <n v="22589"/>
    <s v="Retail Sale"/>
    <n v="15"/>
    <n v="37471"/>
    <x v="62"/>
    <s v="Protek"/>
    <s v="KRKA"/>
    <n v="2"/>
    <n v="163.85"/>
    <n v="217.71"/>
    <n v="21.77"/>
    <n v="21.77"/>
    <s v="BONUS_CARD"/>
    <n v="29"/>
    <n v="1"/>
    <n v="1"/>
    <n v="195.94"/>
    <n v="13130002869"/>
  </r>
  <r>
    <x v="14"/>
    <d v="1899-12-30T21:52:21"/>
    <n v="3870"/>
    <n v="13002561"/>
    <n v="13"/>
    <n v="22589"/>
    <s v="Retail Sale"/>
    <n v="15"/>
    <n v="29161"/>
    <x v="53"/>
    <s v="Avesta"/>
    <s v="Dr. Reddy's"/>
    <n v="1"/>
    <n v="46.9"/>
    <n v="70.81"/>
    <n v="0"/>
    <n v="0"/>
    <m/>
    <n v="29"/>
    <n v="1"/>
    <n v="5"/>
    <n v="70.81"/>
    <n v="13130002870"/>
  </r>
  <r>
    <x v="14"/>
    <d v="1899-12-30T10:55:56"/>
    <n v="3871"/>
    <n v="13002561"/>
    <n v="13"/>
    <n v="22589"/>
    <s v="Retail Sale"/>
    <n v="18"/>
    <n v="92094"/>
    <x v="61"/>
    <s v="Pulse"/>
    <s v="Sanofi"/>
    <n v="1"/>
    <n v="49.75"/>
    <n v="70.64"/>
    <n v="0"/>
    <n v="0"/>
    <m/>
    <n v="29"/>
    <n v="1"/>
    <n v="3"/>
    <n v="70.64"/>
    <n v="13130002871"/>
  </r>
  <r>
    <x v="16"/>
    <d v="1899-12-30T09:26:09"/>
    <n v="3872"/>
    <n v="13002561"/>
    <n v="13"/>
    <n v="22589"/>
    <s v="Retail Sale"/>
    <n v="15"/>
    <n v="43765"/>
    <x v="14"/>
    <s v="Grand Capital"/>
    <s v="Takeda"/>
    <n v="3"/>
    <n v="505.52"/>
    <n v="806.49"/>
    <n v="80.650000000000006"/>
    <n v="80.650000000000006"/>
    <s v="BONUS_CARD"/>
    <n v="29"/>
    <n v="1"/>
    <n v="5"/>
    <n v="725.84"/>
    <n v="13130002872"/>
  </r>
  <r>
    <x v="14"/>
    <d v="1899-12-30T09:01:01"/>
    <n v="3873"/>
    <n v="13002561"/>
    <n v="13"/>
    <n v="22589"/>
    <s v="Retail Sale"/>
    <n v="15"/>
    <n v="42308"/>
    <x v="6"/>
    <s v="Avesta"/>
    <s v="Pfizer"/>
    <n v="1"/>
    <n v="384.94"/>
    <n v="550.11"/>
    <n v="55.01"/>
    <n v="55.01"/>
    <s v="BONUS_CARD"/>
    <n v="29"/>
    <n v="1"/>
    <n v="5"/>
    <n v="495.1"/>
    <n v="13130002873"/>
  </r>
  <r>
    <x v="4"/>
    <d v="1899-12-30T08:21:24"/>
    <n v="3874"/>
    <n v="13002561"/>
    <n v="13"/>
    <n v="22589"/>
    <s v="Retail Sale"/>
    <n v="18"/>
    <n v="79619"/>
    <x v="62"/>
    <s v="Pharmcomplect"/>
    <s v="Takeda"/>
    <n v="1"/>
    <n v="346.47"/>
    <n v="439.8"/>
    <n v="43.98"/>
    <n v="43.98"/>
    <s v="BONUS_CARD"/>
    <n v="29"/>
    <n v="1"/>
    <n v="1"/>
    <n v="395.82"/>
    <n v="13130002874"/>
  </r>
  <r>
    <x v="0"/>
    <d v="1899-12-30T13:40:05"/>
    <n v="3875"/>
    <n v="13002561"/>
    <n v="13"/>
    <n v="22589"/>
    <s v="Retail Sale"/>
    <n v="15"/>
    <n v="81443"/>
    <x v="79"/>
    <s v="Avesta"/>
    <s v="Sanofi"/>
    <n v="2"/>
    <n v="311.64"/>
    <n v="509.24"/>
    <n v="25.46"/>
    <n v="25.46"/>
    <s v="BONUS_CARD"/>
    <n v="29"/>
    <n v="1"/>
    <n v="4"/>
    <n v="483.78"/>
    <n v="13130002875"/>
  </r>
  <r>
    <x v="23"/>
    <d v="1899-12-30T08:33:36"/>
    <n v="3876"/>
    <n v="13002561"/>
    <n v="13"/>
    <n v="22589"/>
    <s v="Retail Sale"/>
    <n v="18"/>
    <n v="76823"/>
    <x v="75"/>
    <s v="Grand Capital"/>
    <s v="Takeda"/>
    <n v="2"/>
    <n v="94.04"/>
    <n v="127.64"/>
    <n v="0"/>
    <n v="0"/>
    <m/>
    <n v="29"/>
    <n v="1"/>
    <n v="5"/>
    <n v="127.64"/>
    <n v="13130002876"/>
  </r>
  <r>
    <x v="5"/>
    <d v="1899-12-30T18:12:00"/>
    <n v="3877"/>
    <n v="13002561"/>
    <n v="13"/>
    <n v="22589"/>
    <s v="Retail Sale"/>
    <n v="15"/>
    <n v="69144"/>
    <x v="18"/>
    <s v="Grand Capital"/>
    <s v="Sanofi"/>
    <n v="1"/>
    <n v="595.19000000000005"/>
    <n v="802.54"/>
    <n v="40.130000000000003"/>
    <n v="40.130000000000003"/>
    <s v="BONUS_CARD"/>
    <n v="29"/>
    <n v="1"/>
    <n v="3"/>
    <n v="762.41"/>
    <n v="13130002877"/>
  </r>
  <r>
    <x v="14"/>
    <d v="1899-12-30T16:17:03"/>
    <n v="3878"/>
    <n v="13002561"/>
    <n v="13"/>
    <n v="22589"/>
    <s v="Retail Sale"/>
    <n v="15"/>
    <n v="15357"/>
    <x v="70"/>
    <s v="Pulse"/>
    <s v="Novartis"/>
    <n v="3"/>
    <n v="592.80999999999995"/>
    <n v="910.73"/>
    <n v="0"/>
    <n v="0"/>
    <m/>
    <n v="29"/>
    <n v="1"/>
    <n v="3"/>
    <n v="910.73"/>
    <n v="13130002878"/>
  </r>
  <r>
    <x v="15"/>
    <d v="1899-12-30T18:22:05"/>
    <n v="3879"/>
    <n v="13002561"/>
    <n v="13"/>
    <n v="22589"/>
    <s v="Retail Sale"/>
    <n v="15"/>
    <n v="63318"/>
    <x v="49"/>
    <s v="Pharmcomplect"/>
    <s v="Novartis"/>
    <n v="2"/>
    <n v="236.04"/>
    <n v="375.54"/>
    <n v="0"/>
    <n v="0"/>
    <m/>
    <n v="29"/>
    <n v="1"/>
    <n v="6"/>
    <n v="375.54"/>
    <n v="13130002879"/>
  </r>
  <r>
    <x v="2"/>
    <d v="1899-12-30T17:03:52"/>
    <n v="3880"/>
    <n v="13002561"/>
    <n v="13"/>
    <n v="22589"/>
    <s v="Retail Sale"/>
    <n v="18"/>
    <n v="86978"/>
    <x v="15"/>
    <s v="Protek"/>
    <s v="Pfizer"/>
    <n v="1"/>
    <n v="174.55"/>
    <n v="236.36"/>
    <n v="23.64"/>
    <n v="23.64"/>
    <s v="BONUS_CARD"/>
    <n v="29"/>
    <n v="1"/>
    <n v="1"/>
    <n v="212.72"/>
    <n v="13130002880"/>
  </r>
  <r>
    <x v="9"/>
    <d v="1899-12-30T12:42:54"/>
    <n v="3881"/>
    <n v="13002561"/>
    <n v="13"/>
    <n v="22589"/>
    <s v="Retail Sale"/>
    <n v="15"/>
    <n v="31229"/>
    <x v="6"/>
    <s v="Avesta"/>
    <s v="Takeda"/>
    <n v="1"/>
    <n v="140.38"/>
    <n v="227.14"/>
    <n v="22.71"/>
    <n v="22.71"/>
    <s v="BONUS_CARD"/>
    <n v="29"/>
    <n v="1"/>
    <n v="6"/>
    <n v="204.43"/>
    <n v="13130002881"/>
  </r>
  <r>
    <x v="16"/>
    <d v="1899-12-30T19:00:20"/>
    <n v="3882"/>
    <n v="13002561"/>
    <n v="13"/>
    <n v="22589"/>
    <s v="Retail Sale"/>
    <n v="15"/>
    <n v="45542"/>
    <x v="18"/>
    <s v="Protek"/>
    <s v="Pfizer"/>
    <n v="1"/>
    <n v="579.22"/>
    <n v="849.41"/>
    <n v="84.94"/>
    <n v="84.94"/>
    <s v="BONUS_CARD"/>
    <n v="29"/>
    <n v="1"/>
    <n v="3"/>
    <n v="764.47"/>
    <n v="13130002882"/>
  </r>
  <r>
    <x v="2"/>
    <d v="1899-12-30T09:02:33"/>
    <n v="3883"/>
    <n v="13002561"/>
    <n v="13"/>
    <n v="22589"/>
    <s v="Retail Sale"/>
    <n v="18"/>
    <n v="63804"/>
    <x v="44"/>
    <s v="Avesta"/>
    <s v="Dr. Reddy's"/>
    <n v="1"/>
    <n v="118.99"/>
    <n v="164.99"/>
    <n v="8.25"/>
    <n v="8.25"/>
    <s v="BONUS_CARD"/>
    <n v="29"/>
    <n v="1"/>
    <n v="4"/>
    <n v="156.74"/>
    <n v="13130002883"/>
  </r>
  <r>
    <x v="30"/>
    <d v="1899-12-30T17:38:31"/>
    <n v="3884"/>
    <n v="13002561"/>
    <n v="13"/>
    <n v="22589"/>
    <s v="Retail Sale"/>
    <n v="18"/>
    <n v="15614"/>
    <x v="61"/>
    <s v="Protek"/>
    <s v="Sanofi"/>
    <n v="1"/>
    <n v="209.79"/>
    <n v="341.18"/>
    <n v="34.119999999999997"/>
    <n v="34.119999999999997"/>
    <s v="BONUS_CARD"/>
    <n v="29"/>
    <n v="1"/>
    <n v="4"/>
    <n v="307.06"/>
    <n v="13130002884"/>
  </r>
  <r>
    <x v="25"/>
    <d v="1899-12-30T14:04:24"/>
    <n v="3885"/>
    <n v="13002561"/>
    <n v="13"/>
    <n v="22589"/>
    <s v="Retail Sale"/>
    <n v="18"/>
    <n v="46786"/>
    <x v="50"/>
    <s v="Pulse"/>
    <s v="TEVA"/>
    <n v="2"/>
    <n v="138.29"/>
    <n v="222.07"/>
    <n v="11.1"/>
    <n v="11.1"/>
    <s v="BONUS_CARD"/>
    <n v="29"/>
    <n v="1"/>
    <n v="6"/>
    <n v="210.97"/>
    <n v="13130002885"/>
  </r>
  <r>
    <x v="15"/>
    <d v="1899-12-30T09:53:02"/>
    <n v="3886"/>
    <n v="13002561"/>
    <n v="13"/>
    <n v="22589"/>
    <s v="Retail Sale"/>
    <n v="15"/>
    <n v="68043"/>
    <x v="27"/>
    <s v="Pharmcomplect"/>
    <s v="Sanofi"/>
    <n v="3"/>
    <n v="66.53"/>
    <n v="105.86"/>
    <n v="10.59"/>
    <n v="10.59"/>
    <s v="BONUS_CARD"/>
    <n v="29"/>
    <n v="1"/>
    <n v="1"/>
    <n v="95.27"/>
    <n v="13130002886"/>
  </r>
  <r>
    <x v="23"/>
    <d v="1899-12-30T12:12:14"/>
    <n v="3887"/>
    <n v="13002561"/>
    <n v="13"/>
    <n v="22589"/>
    <s v="Retail Sale"/>
    <n v="15"/>
    <n v="69390"/>
    <x v="34"/>
    <s v="Katren"/>
    <s v="Takeda"/>
    <n v="1"/>
    <n v="274.5"/>
    <n v="360.67"/>
    <n v="18.03"/>
    <n v="18.03"/>
    <s v="BONUS_CARD"/>
    <n v="29"/>
    <n v="1"/>
    <n v="2"/>
    <n v="342.64"/>
    <n v="13130002887"/>
  </r>
  <r>
    <x v="12"/>
    <d v="1899-12-30T09:05:37"/>
    <n v="3888"/>
    <n v="13002561"/>
    <n v="13"/>
    <n v="22589"/>
    <s v="Retail Sale"/>
    <n v="15"/>
    <n v="99444"/>
    <x v="44"/>
    <s v="Protek"/>
    <s v="TEVA"/>
    <n v="2"/>
    <n v="327.64"/>
    <n v="489.65"/>
    <n v="48.97"/>
    <n v="48.97"/>
    <s v="BONUS_CARD"/>
    <n v="29"/>
    <n v="1"/>
    <n v="4"/>
    <n v="440.68"/>
    <n v="13130002888"/>
  </r>
  <r>
    <x v="30"/>
    <d v="1899-12-30T08:48:16"/>
    <n v="3889"/>
    <n v="13002561"/>
    <n v="13"/>
    <n v="22589"/>
    <s v="Retail Sale"/>
    <n v="15"/>
    <n v="31214"/>
    <x v="29"/>
    <s v="Grand Capital"/>
    <s v="Bayer"/>
    <n v="2"/>
    <n v="53.11"/>
    <n v="69.010000000000005"/>
    <n v="0"/>
    <n v="0"/>
    <m/>
    <n v="29"/>
    <n v="1"/>
    <n v="2"/>
    <n v="69.010000000000005"/>
    <n v="13130002889"/>
  </r>
  <r>
    <x v="5"/>
    <d v="1899-12-30T09:18:42"/>
    <n v="3890"/>
    <n v="13002561"/>
    <n v="13"/>
    <n v="22589"/>
    <s v="Retail Sale"/>
    <n v="18"/>
    <n v="93413"/>
    <x v="22"/>
    <s v="Pharmcomplect"/>
    <s v="Pfizer"/>
    <n v="3"/>
    <n v="552.77"/>
    <n v="715.15"/>
    <n v="71.52"/>
    <n v="71.52"/>
    <s v="BONUS_CARD"/>
    <n v="29"/>
    <n v="1"/>
    <n v="3"/>
    <n v="643.63"/>
    <n v="13130002890"/>
  </r>
  <r>
    <x v="8"/>
    <d v="1899-12-30T22:53:15"/>
    <n v="3891"/>
    <n v="13002561"/>
    <n v="13"/>
    <n v="22589"/>
    <s v="Retail Sale"/>
    <n v="15"/>
    <n v="13096"/>
    <x v="71"/>
    <s v="Protek"/>
    <s v="Bayer"/>
    <n v="3"/>
    <n v="220.6"/>
    <n v="318.05"/>
    <n v="0"/>
    <n v="0"/>
    <m/>
    <n v="29"/>
    <n v="1"/>
    <n v="3"/>
    <n v="318.05"/>
    <n v="13130002891"/>
  </r>
  <r>
    <x v="11"/>
    <d v="1899-12-30T15:51:53"/>
    <n v="3892"/>
    <n v="13002561"/>
    <n v="13"/>
    <n v="22589"/>
    <s v="Retail Sale"/>
    <n v="15"/>
    <n v="83306"/>
    <x v="38"/>
    <s v="Protek"/>
    <s v="Sanofi"/>
    <n v="1"/>
    <n v="241.54"/>
    <n v="396.71"/>
    <n v="0"/>
    <n v="0"/>
    <m/>
    <n v="29"/>
    <n v="1"/>
    <n v="6"/>
    <n v="396.71"/>
    <n v="13130002892"/>
  </r>
  <r>
    <x v="12"/>
    <d v="1899-12-30T14:32:42"/>
    <n v="3893"/>
    <n v="13002561"/>
    <n v="13"/>
    <n v="22589"/>
    <s v="Retail Sale"/>
    <n v="18"/>
    <n v="88046"/>
    <x v="31"/>
    <s v="Protek"/>
    <s v="TEVA"/>
    <n v="1"/>
    <n v="334.1"/>
    <n v="495.82"/>
    <n v="24.79"/>
    <n v="24.79"/>
    <s v="BONUS_CARD"/>
    <n v="29"/>
    <n v="1"/>
    <n v="4"/>
    <n v="471.03"/>
    <n v="13130002893"/>
  </r>
  <r>
    <x v="12"/>
    <d v="1899-12-30T13:42:23"/>
    <n v="3894"/>
    <n v="13002561"/>
    <n v="13"/>
    <n v="22589"/>
    <s v="Retail Sale"/>
    <n v="18"/>
    <n v="92571"/>
    <x v="68"/>
    <s v="Protek"/>
    <s v="Dr. Reddy's"/>
    <n v="3"/>
    <n v="265.39999999999998"/>
    <n v="440.19"/>
    <n v="44.02"/>
    <n v="44.02"/>
    <s v="BONUS_CARD"/>
    <n v="29"/>
    <n v="1"/>
    <n v="2"/>
    <n v="396.17"/>
    <n v="13130002894"/>
  </r>
  <r>
    <x v="26"/>
    <d v="1899-12-30T20:11:15"/>
    <n v="3895"/>
    <n v="13002561"/>
    <n v="13"/>
    <n v="22589"/>
    <s v="Retail Sale"/>
    <n v="18"/>
    <n v="50475"/>
    <x v="32"/>
    <s v="Pulse"/>
    <s v="Takeda"/>
    <n v="1"/>
    <n v="154.29"/>
    <n v="204.59"/>
    <n v="20.46"/>
    <n v="20.46"/>
    <s v="BONUS_CARD"/>
    <n v="29"/>
    <n v="1"/>
    <n v="5"/>
    <n v="184.13"/>
    <n v="13130002895"/>
  </r>
  <r>
    <x v="9"/>
    <d v="1899-12-30T15:40:45"/>
    <n v="3896"/>
    <n v="13002561"/>
    <n v="13"/>
    <n v="22589"/>
    <s v="Retail Sale"/>
    <n v="18"/>
    <n v="50364"/>
    <x v="15"/>
    <s v="Pharmcomplect"/>
    <s v="Novartis"/>
    <n v="3"/>
    <n v="282.83999999999997"/>
    <n v="438.89"/>
    <n v="21.94"/>
    <n v="21.94"/>
    <s v="BONUS_CARD"/>
    <n v="29"/>
    <n v="1"/>
    <n v="2"/>
    <n v="416.95"/>
    <n v="13130002896"/>
  </r>
  <r>
    <x v="29"/>
    <d v="1899-12-30T10:42:06"/>
    <n v="3897"/>
    <n v="13002561"/>
    <n v="13"/>
    <n v="22589"/>
    <s v="Retail Sale"/>
    <n v="15"/>
    <n v="55758"/>
    <x v="9"/>
    <s v="Avesta"/>
    <s v="Novartis"/>
    <n v="1"/>
    <n v="293.52"/>
    <n v="385.39"/>
    <n v="19.27"/>
    <n v="19.27"/>
    <s v="BONUS_CARD"/>
    <n v="29"/>
    <n v="1"/>
    <n v="1"/>
    <n v="366.12"/>
    <n v="13130002897"/>
  </r>
  <r>
    <x v="20"/>
    <d v="1899-12-30T09:08:46"/>
    <n v="3898"/>
    <n v="13002561"/>
    <n v="13"/>
    <n v="22589"/>
    <s v="Retail Sale"/>
    <n v="15"/>
    <n v="39779"/>
    <x v="24"/>
    <s v="Katren"/>
    <s v="Sanofi"/>
    <n v="1"/>
    <n v="241.67"/>
    <n v="319.39"/>
    <n v="0"/>
    <n v="0"/>
    <m/>
    <n v="29"/>
    <n v="1"/>
    <n v="3"/>
    <n v="319.39"/>
    <n v="13130002898"/>
  </r>
  <r>
    <x v="17"/>
    <d v="1899-12-30T14:18:14"/>
    <n v="3899"/>
    <n v="13002561"/>
    <n v="13"/>
    <n v="22589"/>
    <s v="Retail Sale"/>
    <n v="18"/>
    <n v="17589"/>
    <x v="38"/>
    <s v="Protek"/>
    <s v="Pfizer"/>
    <n v="2"/>
    <n v="373.91"/>
    <n v="488.33"/>
    <n v="48.83"/>
    <n v="48.83"/>
    <s v="BONUS_CARD"/>
    <n v="29"/>
    <n v="1"/>
    <n v="5"/>
    <n v="439.5"/>
    <n v="13130002899"/>
  </r>
  <r>
    <x v="17"/>
    <d v="1899-12-30T22:31:04"/>
    <n v="3900"/>
    <n v="13002561"/>
    <n v="13"/>
    <n v="22589"/>
    <s v="Retail Sale"/>
    <n v="18"/>
    <n v="85521"/>
    <x v="3"/>
    <s v="Pharmcomplect"/>
    <s v="Bayer"/>
    <n v="3"/>
    <n v="360.2"/>
    <n v="451.4"/>
    <n v="45.14"/>
    <n v="45.14"/>
    <s v="BONUS_CARD"/>
    <n v="29"/>
    <n v="1"/>
    <n v="6"/>
    <n v="406.26"/>
    <n v="13130002900"/>
  </r>
  <r>
    <x v="0"/>
    <d v="1899-12-30T10:19:05"/>
    <n v="3901"/>
    <n v="13002561"/>
    <n v="13"/>
    <n v="22589"/>
    <s v="Retail Sale"/>
    <n v="15"/>
    <n v="62937"/>
    <x v="46"/>
    <s v="Avesta"/>
    <s v="Sanofi"/>
    <n v="3"/>
    <n v="170.4"/>
    <n v="236.22"/>
    <n v="0"/>
    <n v="0"/>
    <m/>
    <n v="29"/>
    <n v="1"/>
    <n v="1"/>
    <n v="236.22"/>
    <n v="13130002901"/>
  </r>
  <r>
    <x v="18"/>
    <d v="1899-12-30T09:03:54"/>
    <n v="3902"/>
    <n v="13002561"/>
    <n v="13"/>
    <n v="22589"/>
    <s v="Retail Sale"/>
    <n v="15"/>
    <n v="61966"/>
    <x v="35"/>
    <s v="Protek"/>
    <s v="Pfizer"/>
    <n v="2"/>
    <n v="40.42"/>
    <n v="54.77"/>
    <n v="5.48"/>
    <n v="5.48"/>
    <s v="BONUS_CARD"/>
    <n v="29"/>
    <n v="1"/>
    <n v="2"/>
    <n v="49.29"/>
    <n v="13130002902"/>
  </r>
  <r>
    <x v="12"/>
    <d v="1899-12-30T18:00:15"/>
    <n v="3903"/>
    <n v="13002561"/>
    <n v="13"/>
    <n v="22589"/>
    <s v="Retail Sale"/>
    <n v="18"/>
    <n v="97298"/>
    <x v="50"/>
    <s v="Avesta"/>
    <s v="Dr. Reddy's"/>
    <n v="1"/>
    <n v="400.24"/>
    <n v="514.24"/>
    <n v="51.42"/>
    <n v="51.42"/>
    <s v="BONUS_CARD"/>
    <n v="29"/>
    <n v="1"/>
    <n v="3"/>
    <n v="462.82"/>
    <n v="13130002903"/>
  </r>
  <r>
    <x v="0"/>
    <d v="1899-12-30T14:08:33"/>
    <n v="3904"/>
    <n v="13002561"/>
    <n v="13"/>
    <n v="22589"/>
    <s v="Retail Sale"/>
    <n v="18"/>
    <n v="28845"/>
    <x v="28"/>
    <s v="Pulse"/>
    <s v="Pfizer"/>
    <n v="1"/>
    <n v="15.6"/>
    <n v="22.94"/>
    <n v="1.1499999999999999"/>
    <n v="1.1499999999999999"/>
    <s v="BONUS_CARD"/>
    <n v="29"/>
    <n v="1"/>
    <n v="4"/>
    <n v="21.79"/>
    <n v="13130002904"/>
  </r>
  <r>
    <x v="0"/>
    <d v="1899-12-30T19:47:49"/>
    <n v="3905"/>
    <n v="13002561"/>
    <n v="13"/>
    <n v="22589"/>
    <s v="Retail Sale"/>
    <n v="15"/>
    <n v="72462"/>
    <x v="70"/>
    <s v="Pharmcomplect"/>
    <s v="TEVA"/>
    <n v="1"/>
    <n v="293.36"/>
    <n v="442.43"/>
    <n v="0"/>
    <n v="0"/>
    <m/>
    <n v="29"/>
    <n v="1"/>
    <n v="3"/>
    <n v="442.43"/>
    <n v="13130002905"/>
  </r>
  <r>
    <x v="10"/>
    <d v="1899-12-30T10:15:36"/>
    <n v="3906"/>
    <n v="13002561"/>
    <n v="13"/>
    <n v="22589"/>
    <s v="Retail Sale"/>
    <n v="18"/>
    <n v="75382"/>
    <x v="50"/>
    <s v="Avesta"/>
    <s v="Takeda"/>
    <n v="1"/>
    <n v="309.36"/>
    <n v="427.99"/>
    <n v="0"/>
    <n v="0"/>
    <m/>
    <n v="29"/>
    <n v="1"/>
    <n v="1"/>
    <n v="427.99"/>
    <n v="13130002906"/>
  </r>
  <r>
    <x v="0"/>
    <d v="1899-12-30T08:17:59"/>
    <n v="3907"/>
    <n v="13002561"/>
    <n v="13"/>
    <n v="22589"/>
    <s v="Retail Sale"/>
    <n v="18"/>
    <n v="65404"/>
    <x v="28"/>
    <s v="Katren"/>
    <s v="Dr. Reddy's"/>
    <n v="2"/>
    <n v="95.83"/>
    <n v="143.97"/>
    <n v="14.4"/>
    <n v="14.4"/>
    <s v="BONUS_CARD"/>
    <n v="29"/>
    <n v="1"/>
    <n v="6"/>
    <n v="129.57"/>
    <n v="13130002907"/>
  </r>
  <r>
    <x v="18"/>
    <d v="1899-12-30T17:41:58"/>
    <n v="3908"/>
    <n v="13002561"/>
    <n v="13"/>
    <n v="22589"/>
    <s v="Retail Sale"/>
    <n v="18"/>
    <n v="54567"/>
    <x v="38"/>
    <s v="Pharmcomplect"/>
    <s v="Dr. Reddy's"/>
    <n v="2"/>
    <n v="175.83"/>
    <n v="272.58"/>
    <n v="13.63"/>
    <n v="13.63"/>
    <s v="BONUS_CARD"/>
    <n v="29"/>
    <n v="1"/>
    <n v="1"/>
    <n v="258.95"/>
    <n v="13130002908"/>
  </r>
  <r>
    <x v="19"/>
    <d v="1899-12-30T09:22:53"/>
    <n v="3909"/>
    <n v="13002561"/>
    <n v="13"/>
    <n v="22589"/>
    <s v="Retail Sale"/>
    <n v="15"/>
    <n v="76480"/>
    <x v="55"/>
    <s v="Pulse"/>
    <s v="Sanofi"/>
    <n v="2"/>
    <n v="546.35"/>
    <n v="855.78"/>
    <n v="0"/>
    <n v="0"/>
    <m/>
    <n v="29"/>
    <n v="1"/>
    <n v="4"/>
    <n v="855.78"/>
    <n v="13130002909"/>
  </r>
  <r>
    <x v="17"/>
    <d v="1899-12-30T20:26:33"/>
    <n v="3910"/>
    <n v="13002561"/>
    <n v="13"/>
    <n v="22589"/>
    <s v="Retail Sale"/>
    <n v="15"/>
    <n v="25761"/>
    <x v="21"/>
    <s v="Pharmcomplect"/>
    <s v="Pfizer"/>
    <n v="3"/>
    <n v="136.74"/>
    <n v="184.81"/>
    <n v="9.24"/>
    <n v="9.24"/>
    <s v="BONUS_CARD"/>
    <n v="29"/>
    <n v="1"/>
    <n v="3"/>
    <n v="175.57"/>
    <n v="13130002910"/>
  </r>
  <r>
    <x v="25"/>
    <d v="1899-12-30T13:08:38"/>
    <n v="3911"/>
    <n v="13002561"/>
    <n v="13"/>
    <n v="22589"/>
    <s v="Retail Sale"/>
    <n v="18"/>
    <n v="47189"/>
    <x v="44"/>
    <s v="Protek"/>
    <s v="Takeda"/>
    <n v="3"/>
    <n v="450.46"/>
    <n v="705.56"/>
    <n v="70.56"/>
    <n v="70.56"/>
    <s v="BONUS_CARD"/>
    <n v="29"/>
    <n v="1"/>
    <n v="2"/>
    <n v="635"/>
    <n v="13130002911"/>
  </r>
  <r>
    <x v="3"/>
    <d v="1899-12-30T13:48:14"/>
    <n v="3912"/>
    <n v="13002561"/>
    <n v="13"/>
    <n v="22589"/>
    <s v="Retail Sale"/>
    <n v="18"/>
    <n v="19939"/>
    <x v="28"/>
    <s v="Protek"/>
    <s v="Bayer"/>
    <n v="2"/>
    <n v="432.39"/>
    <n v="541.83000000000004"/>
    <n v="54.18"/>
    <n v="54.18"/>
    <s v="BONUS_CARD"/>
    <n v="29"/>
    <n v="1"/>
    <n v="6"/>
    <n v="487.65"/>
    <n v="13130002912"/>
  </r>
  <r>
    <x v="7"/>
    <d v="1899-12-30T11:24:58"/>
    <n v="3913"/>
    <n v="13002561"/>
    <n v="13"/>
    <n v="22589"/>
    <s v="Retail Sale"/>
    <n v="15"/>
    <n v="28501"/>
    <x v="87"/>
    <s v="Avesta"/>
    <s v="Pfizer"/>
    <n v="1"/>
    <n v="139.21"/>
    <n v="221.85"/>
    <n v="11.09"/>
    <n v="11.09"/>
    <s v="BONUS_CARD"/>
    <n v="29"/>
    <n v="1"/>
    <n v="4"/>
    <n v="210.76"/>
    <n v="13130002913"/>
  </r>
  <r>
    <x v="15"/>
    <d v="1899-12-30T16:11:46"/>
    <n v="3914"/>
    <n v="13002561"/>
    <n v="13"/>
    <n v="22589"/>
    <s v="Retail Sale"/>
    <n v="15"/>
    <n v="85607"/>
    <x v="32"/>
    <s v="Pulse"/>
    <s v="TEVA"/>
    <n v="3"/>
    <n v="551.25"/>
    <n v="748.19"/>
    <n v="74.819999999999993"/>
    <n v="74.819999999999993"/>
    <s v="BONUS_CARD"/>
    <n v="29"/>
    <n v="1"/>
    <n v="6"/>
    <n v="673.37"/>
    <n v="13130002914"/>
  </r>
  <r>
    <x v="0"/>
    <d v="1899-12-30T18:47:19"/>
    <n v="3915"/>
    <n v="13002561"/>
    <n v="13"/>
    <n v="22589"/>
    <s v="Retail Sale"/>
    <n v="15"/>
    <n v="76849"/>
    <x v="25"/>
    <s v="Grand Capital"/>
    <s v="KRKA"/>
    <n v="3"/>
    <n v="178.01"/>
    <n v="256.32"/>
    <n v="12.82"/>
    <n v="12.82"/>
    <s v="BONUS_CARD"/>
    <n v="29"/>
    <n v="1"/>
    <n v="3"/>
    <n v="243.5"/>
    <n v="13130002915"/>
  </r>
  <r>
    <x v="3"/>
    <d v="1899-12-30T21:03:53"/>
    <n v="3916"/>
    <n v="13002561"/>
    <n v="13"/>
    <n v="22589"/>
    <s v="Retail Sale"/>
    <n v="15"/>
    <n v="38872"/>
    <x v="11"/>
    <s v="Pharmcomplect"/>
    <s v="TEVA"/>
    <n v="2"/>
    <n v="392.91"/>
    <n v="638.67999999999995"/>
    <n v="0"/>
    <n v="0"/>
    <m/>
    <n v="29"/>
    <n v="1"/>
    <n v="1"/>
    <n v="638.67999999999995"/>
    <n v="13130002916"/>
  </r>
  <r>
    <x v="0"/>
    <d v="1899-12-30T22:03:17"/>
    <n v="3917"/>
    <n v="13002561"/>
    <n v="13"/>
    <n v="22589"/>
    <s v="Retail Sale"/>
    <n v="15"/>
    <n v="46423"/>
    <x v="63"/>
    <s v="Protek"/>
    <s v="Takeda"/>
    <n v="3"/>
    <n v="62.86"/>
    <n v="87.98"/>
    <n v="0"/>
    <n v="0"/>
    <m/>
    <n v="29"/>
    <n v="1"/>
    <n v="2"/>
    <n v="87.98"/>
    <n v="13130002917"/>
  </r>
  <r>
    <x v="16"/>
    <d v="1899-12-30T08:04:43"/>
    <n v="3918"/>
    <n v="13002561"/>
    <n v="13"/>
    <n v="22589"/>
    <s v="Retail Sale"/>
    <n v="18"/>
    <n v="24136"/>
    <x v="33"/>
    <s v="Pharmcomplect"/>
    <s v="Bayer"/>
    <n v="2"/>
    <n v="495.04"/>
    <n v="727.91"/>
    <n v="72.790000000000006"/>
    <n v="72.790000000000006"/>
    <s v="BONUS_CARD"/>
    <n v="29"/>
    <n v="1"/>
    <n v="1"/>
    <n v="655.12"/>
    <n v="13130002918"/>
  </r>
  <r>
    <x v="25"/>
    <d v="1899-12-30T11:58:07"/>
    <n v="3919"/>
    <n v="13002561"/>
    <n v="13"/>
    <n v="22589"/>
    <s v="Retail Sale"/>
    <n v="15"/>
    <n v="76818"/>
    <x v="68"/>
    <s v="Katren"/>
    <s v="Sanofi"/>
    <n v="1"/>
    <n v="267.51"/>
    <n v="344.55"/>
    <n v="17.23"/>
    <n v="17.23"/>
    <s v="BONUS_CARD"/>
    <n v="29"/>
    <n v="1"/>
    <n v="1"/>
    <n v="327.32"/>
    <n v="13130002919"/>
  </r>
  <r>
    <x v="8"/>
    <d v="1899-12-30T16:07:54"/>
    <n v="3920"/>
    <n v="13002561"/>
    <n v="13"/>
    <n v="22589"/>
    <s v="Retail Sale"/>
    <n v="15"/>
    <n v="64668"/>
    <x v="40"/>
    <s v="Avesta"/>
    <s v="KRKA"/>
    <n v="2"/>
    <n v="217.46"/>
    <n v="317.27"/>
    <n v="31.73"/>
    <n v="31.73"/>
    <s v="BONUS_CARD"/>
    <n v="29"/>
    <n v="1"/>
    <n v="6"/>
    <n v="285.54000000000002"/>
    <n v="13130002920"/>
  </r>
  <r>
    <x v="18"/>
    <d v="1899-12-30T17:02:11"/>
    <n v="3921"/>
    <n v="13002561"/>
    <n v="13"/>
    <n v="22589"/>
    <s v="Retail Sale"/>
    <n v="18"/>
    <n v="39178"/>
    <x v="29"/>
    <s v="Pulse"/>
    <s v="Sanofi"/>
    <n v="2"/>
    <n v="342.52"/>
    <n v="489.09"/>
    <n v="0"/>
    <n v="0"/>
    <m/>
    <n v="29"/>
    <n v="1"/>
    <n v="3"/>
    <n v="489.09"/>
    <n v="13130002921"/>
  </r>
  <r>
    <x v="5"/>
    <d v="1899-12-30T13:33:59"/>
    <n v="3922"/>
    <n v="13002561"/>
    <n v="13"/>
    <n v="22589"/>
    <s v="Retail Sale"/>
    <n v="15"/>
    <n v="66688"/>
    <x v="86"/>
    <s v="Pulse"/>
    <s v="Sanofi"/>
    <n v="1"/>
    <n v="454.12"/>
    <n v="707.25"/>
    <n v="0"/>
    <n v="0"/>
    <m/>
    <n v="29"/>
    <n v="1"/>
    <n v="4"/>
    <n v="707.25"/>
    <n v="13130002922"/>
  </r>
  <r>
    <x v="15"/>
    <d v="1899-12-30T17:08:09"/>
    <n v="3923"/>
    <n v="13002561"/>
    <n v="13"/>
    <n v="22589"/>
    <s v="Retail Sale"/>
    <n v="15"/>
    <n v="75243"/>
    <x v="84"/>
    <s v="Avesta"/>
    <s v="Takeda"/>
    <n v="3"/>
    <n v="39.83"/>
    <n v="55.62"/>
    <n v="0"/>
    <n v="0"/>
    <m/>
    <n v="29"/>
    <n v="1"/>
    <n v="3"/>
    <n v="55.62"/>
    <n v="13130002923"/>
  </r>
  <r>
    <x v="23"/>
    <d v="1899-12-30T13:06:26"/>
    <n v="3924"/>
    <n v="13002561"/>
    <n v="13"/>
    <n v="22589"/>
    <s v="Retail Sale"/>
    <n v="15"/>
    <n v="58534"/>
    <x v="39"/>
    <s v="Avesta"/>
    <s v="Dr. Reddy's"/>
    <n v="2"/>
    <n v="38.89"/>
    <n v="53.44"/>
    <n v="0"/>
    <n v="0"/>
    <m/>
    <n v="29"/>
    <n v="1"/>
    <n v="4"/>
    <n v="53.44"/>
    <n v="13130002924"/>
  </r>
  <r>
    <x v="9"/>
    <d v="1899-12-30T14:32:47"/>
    <n v="3925"/>
    <n v="13002561"/>
    <n v="13"/>
    <n v="22589"/>
    <s v="Retail Sale"/>
    <n v="18"/>
    <n v="92142"/>
    <x v="59"/>
    <s v="Pharmcomplect"/>
    <s v="KRKA"/>
    <n v="3"/>
    <n v="392.67"/>
    <n v="622.99"/>
    <n v="31.15"/>
    <n v="31.15"/>
    <s v="BONUS_CARD"/>
    <n v="29"/>
    <n v="1"/>
    <n v="4"/>
    <n v="591.84"/>
    <n v="13130002925"/>
  </r>
  <r>
    <x v="28"/>
    <d v="1899-12-30T11:25:28"/>
    <n v="3926"/>
    <n v="13002561"/>
    <n v="13"/>
    <n v="22589"/>
    <s v="Retail Sale"/>
    <n v="15"/>
    <n v="52472"/>
    <x v="68"/>
    <s v="Protek"/>
    <s v="Takeda"/>
    <n v="2"/>
    <n v="322.56"/>
    <n v="492.15"/>
    <n v="0"/>
    <n v="0"/>
    <m/>
    <n v="29"/>
    <n v="1"/>
    <n v="6"/>
    <n v="492.15"/>
    <n v="13130002926"/>
  </r>
  <r>
    <x v="24"/>
    <d v="1899-12-30T15:33:00"/>
    <n v="3927"/>
    <n v="13002561"/>
    <n v="13"/>
    <n v="22589"/>
    <s v="Retail Sale"/>
    <n v="18"/>
    <n v="10300"/>
    <x v="33"/>
    <s v="Grand Capital"/>
    <s v="Novartis"/>
    <n v="1"/>
    <n v="571.29"/>
    <n v="800.32"/>
    <n v="40.020000000000003"/>
    <n v="40.020000000000003"/>
    <s v="BONUS_CARD"/>
    <n v="29"/>
    <n v="1"/>
    <n v="6"/>
    <n v="760.3"/>
    <n v="13130002927"/>
  </r>
  <r>
    <x v="28"/>
    <d v="1899-12-30T21:54:27"/>
    <n v="3928"/>
    <n v="13002561"/>
    <n v="13"/>
    <n v="22589"/>
    <s v="Retail Sale"/>
    <n v="18"/>
    <n v="24683"/>
    <x v="2"/>
    <s v="Protek"/>
    <s v="Takeda"/>
    <n v="3"/>
    <n v="15.26"/>
    <n v="20.100000000000001"/>
    <n v="1.01"/>
    <n v="1.01"/>
    <s v="BONUS_CARD"/>
    <n v="29"/>
    <n v="1"/>
    <n v="3"/>
    <n v="19.09"/>
    <n v="13130002928"/>
  </r>
  <r>
    <x v="7"/>
    <d v="1899-12-30T14:22:22"/>
    <n v="3929"/>
    <n v="13002561"/>
    <n v="13"/>
    <n v="22589"/>
    <s v="Retail Sale"/>
    <n v="18"/>
    <n v="16405"/>
    <x v="46"/>
    <s v="Grand Capital"/>
    <s v="Sanofi"/>
    <n v="1"/>
    <n v="20.83"/>
    <n v="26.26"/>
    <n v="1.31"/>
    <n v="1.31"/>
    <s v="BONUS_CARD"/>
    <n v="29"/>
    <n v="1"/>
    <n v="6"/>
    <n v="24.95"/>
    <n v="13130002929"/>
  </r>
  <r>
    <x v="17"/>
    <d v="1899-12-30T15:41:49"/>
    <n v="3930"/>
    <n v="13002561"/>
    <n v="13"/>
    <n v="22589"/>
    <s v="Retail Sale"/>
    <n v="18"/>
    <n v="73761"/>
    <x v="38"/>
    <s v="Pulse"/>
    <s v="Bayer"/>
    <n v="2"/>
    <n v="408.54"/>
    <n v="612.48"/>
    <n v="0"/>
    <n v="0"/>
    <m/>
    <n v="29"/>
    <n v="1"/>
    <n v="5"/>
    <n v="612.48"/>
    <n v="13130002930"/>
  </r>
  <r>
    <x v="12"/>
    <d v="1899-12-30T13:04:06"/>
    <n v="3931"/>
    <n v="13002561"/>
    <n v="13"/>
    <n v="22589"/>
    <s v="Retail Sale"/>
    <n v="15"/>
    <n v="16753"/>
    <x v="5"/>
    <s v="Katren"/>
    <s v="Pfizer"/>
    <n v="3"/>
    <n v="79.13"/>
    <n v="130.19999999999999"/>
    <n v="13.02"/>
    <n v="13.02"/>
    <s v="BONUS_CARD"/>
    <n v="29"/>
    <n v="1"/>
    <n v="6"/>
    <n v="117.18"/>
    <n v="13130002931"/>
  </r>
  <r>
    <x v="16"/>
    <d v="1899-12-30T22:12:40"/>
    <n v="3932"/>
    <n v="13002561"/>
    <n v="13"/>
    <n v="22589"/>
    <s v="Retail Sale"/>
    <n v="15"/>
    <n v="99192"/>
    <x v="84"/>
    <s v="Pharmcomplect"/>
    <s v="Novartis"/>
    <n v="3"/>
    <n v="456.14"/>
    <n v="592.4"/>
    <n v="29.62"/>
    <n v="29.62"/>
    <s v="BONUS_CARD"/>
    <n v="29"/>
    <n v="1"/>
    <n v="4"/>
    <n v="562.78"/>
    <n v="13130002932"/>
  </r>
  <r>
    <x v="17"/>
    <d v="1899-12-30T22:34:41"/>
    <n v="3933"/>
    <n v="13002561"/>
    <n v="13"/>
    <n v="22589"/>
    <s v="Retail Sale"/>
    <n v="18"/>
    <n v="16823"/>
    <x v="18"/>
    <s v="Pulse"/>
    <s v="Dr. Reddy's"/>
    <n v="3"/>
    <n v="249.01"/>
    <n v="328.34"/>
    <n v="32.83"/>
    <n v="32.83"/>
    <s v="BONUS_CARD"/>
    <n v="29"/>
    <n v="1"/>
    <n v="6"/>
    <n v="295.51"/>
    <n v="13130002933"/>
  </r>
  <r>
    <x v="27"/>
    <d v="1899-12-30T22:06:43"/>
    <n v="3934"/>
    <n v="13002561"/>
    <n v="13"/>
    <n v="22589"/>
    <s v="Retail Sale"/>
    <n v="18"/>
    <n v="64529"/>
    <x v="43"/>
    <s v="Pharmcomplect"/>
    <s v="Novartis"/>
    <n v="3"/>
    <n v="323.75"/>
    <n v="459.51"/>
    <n v="45.95"/>
    <n v="45.95"/>
    <s v="BONUS_CARD"/>
    <n v="29"/>
    <n v="1"/>
    <n v="2"/>
    <n v="413.56"/>
    <n v="13130002934"/>
  </r>
  <r>
    <x v="7"/>
    <d v="1899-12-30T14:17:30"/>
    <n v="3935"/>
    <n v="13002561"/>
    <n v="13"/>
    <n v="22589"/>
    <s v="Retail Sale"/>
    <n v="15"/>
    <n v="76001"/>
    <x v="24"/>
    <s v="Pharmcomplect"/>
    <s v="Novartis"/>
    <n v="3"/>
    <n v="139.09"/>
    <n v="198.4"/>
    <n v="19.84"/>
    <n v="19.84"/>
    <s v="BONUS_CARD"/>
    <n v="29"/>
    <n v="1"/>
    <n v="2"/>
    <n v="178.56"/>
    <n v="13130002935"/>
  </r>
  <r>
    <x v="6"/>
    <d v="1899-12-30T14:10:00"/>
    <n v="3936"/>
    <n v="13002561"/>
    <n v="13"/>
    <n v="22589"/>
    <s v="Retail Sale"/>
    <n v="15"/>
    <n v="79040"/>
    <x v="62"/>
    <s v="Avesta"/>
    <s v="Sanofi"/>
    <n v="2"/>
    <n v="280.02999999999997"/>
    <n v="417.57"/>
    <n v="41.76"/>
    <n v="41.76"/>
    <s v="BONUS_CARD"/>
    <n v="29"/>
    <n v="1"/>
    <n v="4"/>
    <n v="375.81"/>
    <n v="13130002936"/>
  </r>
  <r>
    <x v="1"/>
    <d v="1899-12-30T20:21:44"/>
    <n v="3937"/>
    <n v="13002561"/>
    <n v="13"/>
    <n v="22589"/>
    <s v="Retail Sale"/>
    <n v="15"/>
    <n v="39249"/>
    <x v="80"/>
    <s v="Grand Capital"/>
    <s v="Sanofi"/>
    <n v="2"/>
    <n v="70.150000000000006"/>
    <n v="114.58"/>
    <n v="11.46"/>
    <n v="11.46"/>
    <s v="BONUS_CARD"/>
    <n v="29"/>
    <n v="1"/>
    <n v="1"/>
    <n v="103.12"/>
    <n v="13130002937"/>
  </r>
  <r>
    <x v="2"/>
    <d v="1899-12-30T11:34:18"/>
    <n v="3938"/>
    <n v="13002561"/>
    <n v="13"/>
    <n v="22589"/>
    <s v="Retail Sale"/>
    <n v="18"/>
    <n v="25169"/>
    <x v="51"/>
    <s v="Pharmcomplect"/>
    <s v="Sanofi"/>
    <n v="3"/>
    <n v="525.87"/>
    <n v="669.85"/>
    <n v="33.49"/>
    <n v="33.49"/>
    <s v="BONUS_CARD"/>
    <n v="29"/>
    <n v="1"/>
    <n v="5"/>
    <n v="636.36"/>
    <n v="13130002938"/>
  </r>
  <r>
    <x v="2"/>
    <d v="1899-12-30T08:11:36"/>
    <n v="3939"/>
    <n v="13002561"/>
    <n v="13"/>
    <n v="22589"/>
    <s v="Retail Sale"/>
    <n v="18"/>
    <n v="75573"/>
    <x v="35"/>
    <s v="Protek"/>
    <s v="Bayer"/>
    <n v="3"/>
    <n v="166.51"/>
    <n v="281.81"/>
    <n v="28.18"/>
    <n v="28.18"/>
    <s v="BONUS_CARD"/>
    <n v="29"/>
    <n v="1"/>
    <n v="2"/>
    <n v="253.63"/>
    <n v="13130002939"/>
  </r>
  <r>
    <x v="17"/>
    <d v="1899-12-30T09:44:22"/>
    <n v="3940"/>
    <n v="13002561"/>
    <n v="13"/>
    <n v="22589"/>
    <s v="Retail Sale"/>
    <n v="15"/>
    <n v="18140"/>
    <x v="34"/>
    <s v="Protek"/>
    <s v="Bayer"/>
    <n v="1"/>
    <n v="243.49"/>
    <n v="326.02"/>
    <n v="32.6"/>
    <n v="32.6"/>
    <s v="BONUS_CARD"/>
    <n v="29"/>
    <n v="1"/>
    <n v="5"/>
    <n v="293.42"/>
    <n v="13130002940"/>
  </r>
  <r>
    <x v="30"/>
    <d v="1899-12-30T19:19:44"/>
    <n v="3941"/>
    <n v="13002561"/>
    <n v="13"/>
    <n v="22589"/>
    <s v="Retail Sale"/>
    <n v="15"/>
    <n v="31468"/>
    <x v="65"/>
    <s v="Pulse"/>
    <s v="KRKA"/>
    <n v="3"/>
    <n v="343.97"/>
    <n v="567.84"/>
    <n v="28.39"/>
    <n v="28.39"/>
    <s v="BONUS_CARD"/>
    <n v="29"/>
    <n v="1"/>
    <n v="3"/>
    <n v="539.45000000000005"/>
    <n v="13130002941"/>
  </r>
  <r>
    <x v="6"/>
    <d v="1899-12-30T21:20:57"/>
    <n v="3942"/>
    <n v="13002561"/>
    <n v="13"/>
    <n v="22589"/>
    <s v="Retail Sale"/>
    <n v="18"/>
    <n v="11151"/>
    <x v="15"/>
    <s v="Avesta"/>
    <s v="TEVA"/>
    <n v="3"/>
    <n v="328.26"/>
    <n v="480.04"/>
    <n v="0"/>
    <n v="0"/>
    <m/>
    <n v="29"/>
    <n v="1"/>
    <n v="2"/>
    <n v="480.04"/>
    <n v="13130002942"/>
  </r>
  <r>
    <x v="17"/>
    <d v="1899-12-30T22:07:56"/>
    <n v="3943"/>
    <n v="13002561"/>
    <n v="13"/>
    <n v="22589"/>
    <s v="Retail Sale"/>
    <n v="18"/>
    <n v="11149"/>
    <x v="30"/>
    <s v="Pharmcomplect"/>
    <s v="TEVA"/>
    <n v="2"/>
    <n v="300.13"/>
    <n v="445.94"/>
    <n v="22.3"/>
    <n v="22.3"/>
    <s v="BONUS_CARD"/>
    <n v="29"/>
    <n v="1"/>
    <n v="2"/>
    <n v="423.64"/>
    <n v="13130002943"/>
  </r>
  <r>
    <x v="14"/>
    <d v="1899-12-30T22:49:35"/>
    <n v="3944"/>
    <n v="13002561"/>
    <n v="13"/>
    <n v="22589"/>
    <s v="Retail Sale"/>
    <n v="15"/>
    <n v="23506"/>
    <x v="42"/>
    <s v="Katren"/>
    <s v="Sanofi"/>
    <n v="1"/>
    <n v="592.6"/>
    <n v="852.41"/>
    <n v="42.62"/>
    <n v="42.62"/>
    <s v="BONUS_CARD"/>
    <n v="29"/>
    <n v="1"/>
    <n v="2"/>
    <n v="809.79"/>
    <n v="13130002944"/>
  </r>
  <r>
    <x v="22"/>
    <d v="1899-12-30T11:44:19"/>
    <n v="3945"/>
    <n v="13002561"/>
    <n v="13"/>
    <n v="22589"/>
    <s v="Retail Sale"/>
    <n v="18"/>
    <n v="67776"/>
    <x v="40"/>
    <s v="Pharmcomplect"/>
    <s v="KRKA"/>
    <n v="2"/>
    <n v="503.14"/>
    <n v="790.07"/>
    <n v="0"/>
    <n v="0"/>
    <m/>
    <n v="29"/>
    <n v="1"/>
    <n v="3"/>
    <n v="790.07"/>
    <n v="13130002945"/>
  </r>
  <r>
    <x v="18"/>
    <d v="1899-12-30T22:42:44"/>
    <n v="3946"/>
    <n v="13002561"/>
    <n v="13"/>
    <n v="22589"/>
    <s v="Retail Sale"/>
    <n v="18"/>
    <n v="65611"/>
    <x v="51"/>
    <s v="Pharmcomplect"/>
    <s v="KRKA"/>
    <n v="1"/>
    <n v="539.91999999999996"/>
    <n v="872.65"/>
    <n v="0"/>
    <n v="0"/>
    <m/>
    <n v="29"/>
    <n v="1"/>
    <n v="5"/>
    <n v="872.65"/>
    <n v="13130002946"/>
  </r>
  <r>
    <x v="1"/>
    <d v="1899-12-30T10:43:05"/>
    <n v="3947"/>
    <n v="13002561"/>
    <n v="13"/>
    <n v="22589"/>
    <s v="Retail Sale"/>
    <n v="15"/>
    <n v="42028"/>
    <x v="2"/>
    <s v="Avesta"/>
    <s v="Pfizer"/>
    <n v="1"/>
    <n v="248.22"/>
    <n v="336.04"/>
    <n v="33.6"/>
    <n v="33.6"/>
    <s v="BONUS_CARD"/>
    <n v="29"/>
    <n v="1"/>
    <n v="4"/>
    <n v="302.44"/>
    <n v="13130002947"/>
  </r>
  <r>
    <x v="18"/>
    <d v="1899-12-30T14:43:11"/>
    <n v="3948"/>
    <n v="13002561"/>
    <n v="13"/>
    <n v="22589"/>
    <s v="Retail Sale"/>
    <n v="18"/>
    <n v="49044"/>
    <x v="24"/>
    <s v="Pharmcomplect"/>
    <s v="Dr. Reddy's"/>
    <n v="1"/>
    <n v="555.24"/>
    <n v="822.93"/>
    <n v="82.29"/>
    <n v="82.29"/>
    <s v="BONUS_CARD"/>
    <n v="29"/>
    <n v="1"/>
    <n v="1"/>
    <n v="740.64"/>
    <n v="13130002948"/>
  </r>
  <r>
    <x v="25"/>
    <d v="1899-12-30T09:52:45"/>
    <n v="3949"/>
    <n v="13002561"/>
    <n v="13"/>
    <n v="22589"/>
    <s v="Retail Sale"/>
    <n v="18"/>
    <n v="12018"/>
    <x v="48"/>
    <s v="Katren"/>
    <s v="Novartis"/>
    <n v="1"/>
    <n v="581.30999999999995"/>
    <n v="770.76"/>
    <n v="0"/>
    <n v="0"/>
    <m/>
    <n v="29"/>
    <n v="1"/>
    <n v="4"/>
    <n v="770.76"/>
    <n v="13130002949"/>
  </r>
  <r>
    <x v="25"/>
    <d v="1899-12-30T19:09:58"/>
    <n v="3950"/>
    <n v="13002561"/>
    <n v="13"/>
    <n v="22589"/>
    <s v="Retail Sale"/>
    <n v="15"/>
    <n v="10616"/>
    <x v="59"/>
    <s v="Avesta"/>
    <s v="Pfizer"/>
    <n v="3"/>
    <n v="385.38"/>
    <n v="580.38"/>
    <n v="29.02"/>
    <n v="29.02"/>
    <s v="BONUS_CARD"/>
    <n v="29"/>
    <n v="1"/>
    <n v="6"/>
    <n v="551.36"/>
    <n v="13130002950"/>
  </r>
  <r>
    <x v="15"/>
    <d v="1899-12-30T08:12:34"/>
    <n v="3951"/>
    <n v="13002561"/>
    <n v="13"/>
    <n v="22589"/>
    <s v="Retail Sale"/>
    <n v="15"/>
    <n v="94192"/>
    <x v="79"/>
    <s v="Protek"/>
    <s v="TEVA"/>
    <n v="2"/>
    <n v="294.02999999999997"/>
    <n v="412.52"/>
    <n v="41.25"/>
    <n v="41.25"/>
    <s v="BONUS_CARD"/>
    <n v="29"/>
    <n v="1"/>
    <n v="5"/>
    <n v="371.27"/>
    <n v="13130002951"/>
  </r>
  <r>
    <x v="26"/>
    <d v="1899-12-30T17:27:08"/>
    <n v="3952"/>
    <n v="13002561"/>
    <n v="13"/>
    <n v="22589"/>
    <s v="Retail Sale"/>
    <n v="18"/>
    <n v="38100"/>
    <x v="70"/>
    <s v="Protek"/>
    <s v="TEVA"/>
    <n v="3"/>
    <n v="518.59"/>
    <n v="702.28"/>
    <n v="0"/>
    <n v="0"/>
    <m/>
    <n v="29"/>
    <n v="1"/>
    <n v="3"/>
    <n v="702.28"/>
    <n v="13130002952"/>
  </r>
  <r>
    <x v="8"/>
    <d v="1899-12-30T17:52:21"/>
    <n v="3953"/>
    <n v="13002561"/>
    <n v="13"/>
    <n v="22589"/>
    <s v="Retail Sale"/>
    <n v="15"/>
    <n v="33150"/>
    <x v="58"/>
    <s v="Katren"/>
    <s v="Pfizer"/>
    <n v="1"/>
    <n v="262.41000000000003"/>
    <n v="364.99"/>
    <n v="36.5"/>
    <n v="36.5"/>
    <s v="BONUS_CARD"/>
    <n v="29"/>
    <n v="1"/>
    <n v="5"/>
    <n v="328.49"/>
    <n v="13130002953"/>
  </r>
  <r>
    <x v="12"/>
    <d v="1899-12-30T18:27:46"/>
    <n v="3954"/>
    <n v="13002561"/>
    <n v="13"/>
    <n v="22589"/>
    <s v="Retail Sale"/>
    <n v="15"/>
    <n v="36183"/>
    <x v="31"/>
    <s v="Protek"/>
    <s v="Novartis"/>
    <n v="1"/>
    <n v="495.18"/>
    <n v="766.02"/>
    <n v="38.299999999999997"/>
    <n v="38.299999999999997"/>
    <s v="BONUS_CARD"/>
    <n v="29"/>
    <n v="1"/>
    <n v="6"/>
    <n v="727.72"/>
    <n v="13130002954"/>
  </r>
  <r>
    <x v="8"/>
    <d v="1899-12-30T12:47:49"/>
    <n v="3955"/>
    <n v="13002561"/>
    <n v="13"/>
    <n v="22589"/>
    <s v="Retail Sale"/>
    <n v="15"/>
    <n v="34795"/>
    <x v="35"/>
    <s v="Katren"/>
    <s v="Novartis"/>
    <n v="2"/>
    <n v="165.48"/>
    <n v="231.98"/>
    <n v="23.2"/>
    <n v="23.2"/>
    <s v="BONUS_CARD"/>
    <n v="29"/>
    <n v="1"/>
    <n v="3"/>
    <n v="208.78"/>
    <n v="13130002955"/>
  </r>
  <r>
    <x v="5"/>
    <d v="1899-12-30T12:54:58"/>
    <n v="3956"/>
    <n v="13002561"/>
    <n v="13"/>
    <n v="22589"/>
    <s v="Retail Sale"/>
    <n v="18"/>
    <n v="39747"/>
    <x v="58"/>
    <s v="Protek"/>
    <s v="Sanofi"/>
    <n v="2"/>
    <n v="184.92"/>
    <n v="232.34"/>
    <n v="0"/>
    <n v="0"/>
    <m/>
    <n v="29"/>
    <n v="1"/>
    <n v="4"/>
    <n v="232.34"/>
    <n v="13130002956"/>
  </r>
  <r>
    <x v="27"/>
    <d v="1899-12-30T22:03:53"/>
    <n v="3957"/>
    <n v="13002561"/>
    <n v="13"/>
    <n v="22589"/>
    <s v="Retail Sale"/>
    <n v="18"/>
    <n v="68291"/>
    <x v="38"/>
    <s v="Katren"/>
    <s v="Sanofi"/>
    <n v="3"/>
    <n v="121.48"/>
    <n v="182.11"/>
    <n v="0"/>
    <n v="0"/>
    <m/>
    <n v="29"/>
    <n v="1"/>
    <n v="4"/>
    <n v="182.11"/>
    <n v="13130002957"/>
  </r>
  <r>
    <x v="0"/>
    <d v="1899-12-30T13:07:36"/>
    <n v="3958"/>
    <n v="13002561"/>
    <n v="13"/>
    <n v="22589"/>
    <s v="Retail Sale"/>
    <n v="18"/>
    <n v="13168"/>
    <x v="71"/>
    <s v="Pharmcomplect"/>
    <s v="Dr. Reddy's"/>
    <n v="2"/>
    <n v="225.29"/>
    <n v="304.19"/>
    <n v="0"/>
    <n v="0"/>
    <m/>
    <n v="29"/>
    <n v="1"/>
    <n v="1"/>
    <n v="304.19"/>
    <n v="13130002958"/>
  </r>
  <r>
    <x v="0"/>
    <d v="1899-12-30T20:20:37"/>
    <n v="3959"/>
    <n v="13002561"/>
    <n v="13"/>
    <n v="22589"/>
    <s v="Retail Sale"/>
    <n v="18"/>
    <n v="23147"/>
    <x v="62"/>
    <s v="Protek"/>
    <s v="Sanofi"/>
    <n v="2"/>
    <n v="107.57"/>
    <n v="179.76"/>
    <n v="0"/>
    <n v="0"/>
    <m/>
    <n v="29"/>
    <n v="1"/>
    <n v="1"/>
    <n v="179.76"/>
    <n v="13130002959"/>
  </r>
  <r>
    <x v="15"/>
    <d v="1899-12-30T15:54:09"/>
    <n v="3960"/>
    <n v="13002561"/>
    <n v="13"/>
    <n v="22589"/>
    <s v="Retail Sale"/>
    <n v="15"/>
    <n v="20501"/>
    <x v="41"/>
    <s v="Protek"/>
    <s v="Dr. Reddy's"/>
    <n v="1"/>
    <n v="502.89"/>
    <n v="766.07"/>
    <n v="0"/>
    <n v="0"/>
    <m/>
    <n v="29"/>
    <n v="1"/>
    <n v="1"/>
    <n v="766.07"/>
    <n v="13130002960"/>
  </r>
  <r>
    <x v="20"/>
    <d v="1899-12-30T14:23:42"/>
    <n v="3961"/>
    <n v="13002561"/>
    <n v="13"/>
    <n v="22589"/>
    <s v="Retail Sale"/>
    <n v="15"/>
    <n v="43094"/>
    <x v="47"/>
    <s v="Pulse"/>
    <s v="Novartis"/>
    <n v="1"/>
    <n v="47.07"/>
    <n v="74.650000000000006"/>
    <n v="3.73"/>
    <n v="3.73"/>
    <s v="BONUS_CARD"/>
    <n v="29"/>
    <n v="1"/>
    <n v="6"/>
    <n v="70.92"/>
    <n v="13130002961"/>
  </r>
  <r>
    <x v="13"/>
    <d v="1899-12-30T09:51:29"/>
    <n v="3962"/>
    <n v="13002561"/>
    <n v="13"/>
    <n v="22589"/>
    <s v="Retail Sale"/>
    <n v="15"/>
    <n v="88582"/>
    <x v="34"/>
    <s v="Pulse"/>
    <s v="Pfizer"/>
    <n v="2"/>
    <n v="114.73"/>
    <n v="155.75"/>
    <n v="15.58"/>
    <n v="15.58"/>
    <s v="BONUS_CARD"/>
    <n v="29"/>
    <n v="1"/>
    <n v="1"/>
    <n v="140.16999999999999"/>
    <n v="13130002962"/>
  </r>
  <r>
    <x v="1"/>
    <d v="1899-12-30T17:00:41"/>
    <n v="3963"/>
    <n v="13002561"/>
    <n v="13"/>
    <n v="22589"/>
    <s v="Retail Sale"/>
    <n v="15"/>
    <n v="95150"/>
    <x v="53"/>
    <s v="Avesta"/>
    <s v="Sanofi"/>
    <n v="2"/>
    <n v="385.97"/>
    <n v="652.58000000000004"/>
    <n v="0"/>
    <n v="0"/>
    <m/>
    <n v="29"/>
    <n v="1"/>
    <n v="6"/>
    <n v="652.58000000000004"/>
    <n v="13130002963"/>
  </r>
  <r>
    <x v="27"/>
    <d v="1899-12-30T18:38:59"/>
    <n v="3964"/>
    <n v="13002561"/>
    <n v="13"/>
    <n v="22589"/>
    <s v="Retail Sale"/>
    <n v="15"/>
    <n v="39158"/>
    <x v="63"/>
    <s v="Grand Capital"/>
    <s v="Takeda"/>
    <n v="3"/>
    <n v="281.91000000000003"/>
    <n v="356.31"/>
    <n v="17.82"/>
    <n v="17.82"/>
    <s v="BONUS_CARD"/>
    <n v="29"/>
    <n v="1"/>
    <n v="3"/>
    <n v="338.49"/>
    <n v="13130002964"/>
  </r>
  <r>
    <x v="16"/>
    <d v="1899-12-30T16:13:55"/>
    <n v="3965"/>
    <n v="13002561"/>
    <n v="13"/>
    <n v="22589"/>
    <s v="Retail Sale"/>
    <n v="15"/>
    <n v="66267"/>
    <x v="82"/>
    <s v="Grand Capital"/>
    <s v="Dr. Reddy's"/>
    <n v="1"/>
    <n v="182.11"/>
    <n v="303.64999999999998"/>
    <n v="30.36"/>
    <n v="30.36"/>
    <s v="BONUS_CARD"/>
    <n v="29"/>
    <n v="1"/>
    <n v="3"/>
    <n v="273.29000000000002"/>
    <n v="13130002965"/>
  </r>
  <r>
    <x v="8"/>
    <d v="1899-12-30T14:06:39"/>
    <n v="3966"/>
    <n v="13002561"/>
    <n v="13"/>
    <n v="22589"/>
    <s v="Retail Sale"/>
    <n v="18"/>
    <n v="32858"/>
    <x v="58"/>
    <s v="Protek"/>
    <s v="KRKA"/>
    <n v="3"/>
    <n v="26.52"/>
    <n v="43.18"/>
    <n v="4.32"/>
    <n v="4.32"/>
    <s v="BONUS_CARD"/>
    <n v="29"/>
    <n v="1"/>
    <n v="1"/>
    <n v="38.86"/>
    <n v="13130002966"/>
  </r>
  <r>
    <x v="1"/>
    <d v="1899-12-30T11:27:40"/>
    <n v="3967"/>
    <n v="13002561"/>
    <n v="13"/>
    <n v="22589"/>
    <s v="Retail Sale"/>
    <n v="18"/>
    <n v="25067"/>
    <x v="64"/>
    <s v="Katren"/>
    <s v="Takeda"/>
    <n v="3"/>
    <n v="83.66"/>
    <n v="113.09"/>
    <n v="11.31"/>
    <n v="11.31"/>
    <s v="BONUS_CARD"/>
    <n v="29"/>
    <n v="1"/>
    <n v="6"/>
    <n v="101.78"/>
    <n v="13130002967"/>
  </r>
  <r>
    <x v="21"/>
    <d v="1899-12-30T15:10:23"/>
    <n v="3968"/>
    <n v="13002561"/>
    <n v="13"/>
    <n v="22589"/>
    <s v="Retail Sale"/>
    <n v="15"/>
    <n v="65683"/>
    <x v="58"/>
    <s v="Protek"/>
    <s v="Dr. Reddy's"/>
    <n v="1"/>
    <n v="282.08"/>
    <n v="424.56"/>
    <n v="21.23"/>
    <n v="21.23"/>
    <s v="BONUS_CARD"/>
    <n v="29"/>
    <n v="1"/>
    <n v="6"/>
    <n v="403.33"/>
    <n v="13130002968"/>
  </r>
  <r>
    <x v="20"/>
    <d v="1899-12-30T19:28:45"/>
    <n v="3969"/>
    <n v="13002561"/>
    <n v="13"/>
    <n v="22589"/>
    <s v="Retail Sale"/>
    <n v="15"/>
    <n v="54571"/>
    <x v="72"/>
    <s v="Katren"/>
    <s v="Takeda"/>
    <n v="3"/>
    <n v="514.12"/>
    <n v="697.49"/>
    <n v="69.75"/>
    <n v="69.75"/>
    <s v="BONUS_CARD"/>
    <n v="29"/>
    <n v="1"/>
    <n v="5"/>
    <n v="627.74"/>
    <n v="13130002969"/>
  </r>
  <r>
    <x v="13"/>
    <d v="1899-12-30T12:24:48"/>
    <n v="3970"/>
    <n v="13002561"/>
    <n v="13"/>
    <n v="22589"/>
    <s v="Retail Sale"/>
    <n v="15"/>
    <n v="99010"/>
    <x v="89"/>
    <s v="Grand Capital"/>
    <s v="TEVA"/>
    <n v="1"/>
    <n v="254.64"/>
    <n v="418.39"/>
    <n v="20.92"/>
    <n v="20.92"/>
    <s v="BONUS_CARD"/>
    <n v="29"/>
    <n v="1"/>
    <n v="2"/>
    <n v="397.47"/>
    <n v="13130002970"/>
  </r>
  <r>
    <x v="3"/>
    <d v="1899-12-30T12:56:40"/>
    <n v="3971"/>
    <n v="13002561"/>
    <n v="13"/>
    <n v="22589"/>
    <s v="Retail Sale"/>
    <n v="18"/>
    <n v="94477"/>
    <x v="69"/>
    <s v="Grand Capital"/>
    <s v="Dr. Reddy's"/>
    <n v="2"/>
    <n v="257.69"/>
    <n v="347.75"/>
    <n v="17.39"/>
    <n v="17.39"/>
    <s v="BONUS_CARD"/>
    <n v="29"/>
    <n v="1"/>
    <n v="6"/>
    <n v="330.36"/>
    <n v="13130002971"/>
  </r>
  <r>
    <x v="4"/>
    <d v="1899-12-30T13:10:24"/>
    <n v="3972"/>
    <n v="13002561"/>
    <n v="13"/>
    <n v="22589"/>
    <s v="Retail Sale"/>
    <n v="18"/>
    <n v="93801"/>
    <x v="59"/>
    <s v="Pulse"/>
    <s v="Novartis"/>
    <n v="2"/>
    <n v="86.5"/>
    <n v="115.25"/>
    <n v="5.76"/>
    <n v="5.76"/>
    <s v="BONUS_CARD"/>
    <n v="29"/>
    <n v="1"/>
    <n v="5"/>
    <n v="109.49"/>
    <n v="13130002972"/>
  </r>
  <r>
    <x v="29"/>
    <d v="1899-12-30T10:30:24"/>
    <n v="3973"/>
    <n v="13002561"/>
    <n v="13"/>
    <n v="22589"/>
    <s v="Retail Sale"/>
    <n v="18"/>
    <n v="22220"/>
    <x v="3"/>
    <s v="Pulse"/>
    <s v="Pfizer"/>
    <n v="3"/>
    <n v="558.66"/>
    <n v="781.64"/>
    <n v="78.16"/>
    <n v="78.16"/>
    <s v="BONUS_CARD"/>
    <n v="29"/>
    <n v="1"/>
    <n v="1"/>
    <n v="703.48"/>
    <n v="13130002973"/>
  </r>
  <r>
    <x v="30"/>
    <d v="1899-12-30T16:37:50"/>
    <n v="3974"/>
    <n v="13002561"/>
    <n v="13"/>
    <n v="22589"/>
    <s v="Retail Sale"/>
    <n v="15"/>
    <n v="92022"/>
    <x v="19"/>
    <s v="Protek"/>
    <s v="KRKA"/>
    <n v="1"/>
    <n v="492.9"/>
    <n v="823.61"/>
    <n v="41.18"/>
    <n v="41.18"/>
    <s v="BONUS_CARD"/>
    <n v="29"/>
    <n v="1"/>
    <n v="4"/>
    <n v="782.43"/>
    <n v="13130002974"/>
  </r>
  <r>
    <x v="24"/>
    <d v="1899-12-30T12:52:33"/>
    <n v="3975"/>
    <n v="13002561"/>
    <n v="13"/>
    <n v="22589"/>
    <s v="Retail Sale"/>
    <n v="18"/>
    <n v="82390"/>
    <x v="0"/>
    <s v="Avesta"/>
    <s v="Dr. Reddy's"/>
    <n v="1"/>
    <n v="66.91"/>
    <n v="102.76"/>
    <n v="0"/>
    <n v="0"/>
    <m/>
    <n v="29"/>
    <n v="1"/>
    <n v="6"/>
    <n v="102.76"/>
    <n v="13130002975"/>
  </r>
  <r>
    <x v="8"/>
    <d v="1899-12-30T14:53:31"/>
    <n v="3976"/>
    <n v="13002561"/>
    <n v="13"/>
    <n v="22589"/>
    <s v="Retail Sale"/>
    <n v="15"/>
    <n v="17738"/>
    <x v="30"/>
    <s v="Grand Capital"/>
    <s v="Novartis"/>
    <n v="2"/>
    <n v="581.57000000000005"/>
    <n v="730.35"/>
    <n v="0"/>
    <n v="0"/>
    <m/>
    <n v="29"/>
    <n v="1"/>
    <n v="3"/>
    <n v="730.35"/>
    <n v="13130002976"/>
  </r>
  <r>
    <x v="22"/>
    <d v="1899-12-30T20:59:07"/>
    <n v="3977"/>
    <n v="13002561"/>
    <n v="13"/>
    <n v="22589"/>
    <s v="Retail Sale"/>
    <n v="15"/>
    <n v="49949"/>
    <x v="61"/>
    <s v="Avesta"/>
    <s v="Dr. Reddy's"/>
    <n v="3"/>
    <n v="384.35"/>
    <n v="568.91"/>
    <n v="56.89"/>
    <n v="56.89"/>
    <s v="BONUS_CARD"/>
    <n v="29"/>
    <n v="1"/>
    <n v="5"/>
    <n v="512.02"/>
    <n v="13130002977"/>
  </r>
  <r>
    <x v="14"/>
    <d v="1899-12-30T08:08:03"/>
    <n v="3978"/>
    <n v="13002561"/>
    <n v="13"/>
    <n v="22589"/>
    <s v="Retail Sale"/>
    <n v="18"/>
    <n v="78104"/>
    <x v="45"/>
    <s v="Protek"/>
    <s v="Dr. Reddy's"/>
    <n v="1"/>
    <n v="168.39"/>
    <n v="266.87"/>
    <n v="0"/>
    <n v="0"/>
    <m/>
    <n v="29"/>
    <n v="1"/>
    <n v="4"/>
    <n v="266.87"/>
    <n v="13130002978"/>
  </r>
  <r>
    <x v="15"/>
    <d v="1899-12-30T22:47:06"/>
    <n v="3979"/>
    <n v="13002561"/>
    <n v="13"/>
    <n v="22589"/>
    <s v="Retail Sale"/>
    <n v="15"/>
    <n v="34192"/>
    <x v="41"/>
    <s v="Protek"/>
    <s v="Bayer"/>
    <n v="3"/>
    <n v="132.01"/>
    <n v="196.43"/>
    <n v="0"/>
    <n v="0"/>
    <m/>
    <n v="29"/>
    <n v="1"/>
    <n v="3"/>
    <n v="196.43"/>
    <n v="13130002979"/>
  </r>
  <r>
    <x v="22"/>
    <d v="1899-12-30T08:12:25"/>
    <n v="3980"/>
    <n v="13002561"/>
    <n v="13"/>
    <n v="22589"/>
    <s v="Retail Sale"/>
    <n v="15"/>
    <n v="54666"/>
    <x v="83"/>
    <s v="Pulse"/>
    <s v="Pfizer"/>
    <n v="2"/>
    <n v="182.27"/>
    <n v="245.61"/>
    <n v="12.28"/>
    <n v="12.28"/>
    <s v="BONUS_CARD"/>
    <n v="29"/>
    <n v="1"/>
    <n v="2"/>
    <n v="233.33"/>
    <n v="13130002980"/>
  </r>
  <r>
    <x v="20"/>
    <d v="1899-12-30T19:12:05"/>
    <n v="3981"/>
    <n v="13002561"/>
    <n v="13"/>
    <n v="22589"/>
    <s v="Retail Sale"/>
    <n v="18"/>
    <n v="48144"/>
    <x v="17"/>
    <s v="Katren"/>
    <s v="TEVA"/>
    <n v="3"/>
    <n v="150.66999999999999"/>
    <n v="213.24"/>
    <n v="10.66"/>
    <n v="10.66"/>
    <s v="BONUS_CARD"/>
    <n v="29"/>
    <n v="1"/>
    <n v="6"/>
    <n v="202.58"/>
    <n v="13130002981"/>
  </r>
  <r>
    <x v="15"/>
    <d v="1899-12-30T14:09:47"/>
    <n v="3982"/>
    <n v="13002561"/>
    <n v="13"/>
    <n v="22589"/>
    <s v="Retail Sale"/>
    <n v="18"/>
    <n v="90787"/>
    <x v="46"/>
    <s v="Pulse"/>
    <s v="TEVA"/>
    <n v="1"/>
    <n v="12.17"/>
    <n v="19.079999999999998"/>
    <n v="0.95"/>
    <n v="0.95"/>
    <s v="BONUS_CARD"/>
    <n v="29"/>
    <n v="1"/>
    <n v="1"/>
    <n v="18.13"/>
    <n v="13130002982"/>
  </r>
  <r>
    <x v="8"/>
    <d v="1899-12-30T16:07:37"/>
    <n v="3983"/>
    <n v="13002561"/>
    <n v="13"/>
    <n v="22589"/>
    <s v="Retail Sale"/>
    <n v="15"/>
    <n v="34295"/>
    <x v="19"/>
    <s v="Pulse"/>
    <s v="Pfizer"/>
    <n v="2"/>
    <n v="490.44"/>
    <n v="656.1"/>
    <n v="32.799999999999997"/>
    <n v="32.799999999999997"/>
    <s v="BONUS_CARD"/>
    <n v="29"/>
    <n v="1"/>
    <n v="3"/>
    <n v="623.29999999999995"/>
    <n v="13130002983"/>
  </r>
  <r>
    <x v="22"/>
    <d v="1899-12-30T19:58:04"/>
    <n v="3984"/>
    <n v="13002561"/>
    <n v="13"/>
    <n v="22589"/>
    <s v="Retail Sale"/>
    <n v="15"/>
    <n v="64118"/>
    <x v="23"/>
    <s v="Protek"/>
    <s v="KRKA"/>
    <n v="3"/>
    <n v="46.42"/>
    <n v="73.14"/>
    <n v="7.31"/>
    <n v="7.31"/>
    <s v="BONUS_CARD"/>
    <n v="29"/>
    <n v="1"/>
    <n v="3"/>
    <n v="65.83"/>
    <n v="13130002984"/>
  </r>
  <r>
    <x v="25"/>
    <d v="1899-12-30T22:10:18"/>
    <n v="3985"/>
    <n v="13002561"/>
    <n v="13"/>
    <n v="22589"/>
    <s v="Retail Sale"/>
    <n v="18"/>
    <n v="97238"/>
    <x v="20"/>
    <s v="Grand Capital"/>
    <s v="TEVA"/>
    <n v="2"/>
    <n v="478.71"/>
    <n v="768.54"/>
    <n v="0"/>
    <n v="0"/>
    <m/>
    <n v="29"/>
    <n v="1"/>
    <n v="3"/>
    <n v="768.54"/>
    <n v="13130002985"/>
  </r>
  <r>
    <x v="30"/>
    <d v="1899-12-30T12:31:29"/>
    <n v="3986"/>
    <n v="13002561"/>
    <n v="13"/>
    <n v="22589"/>
    <s v="Retail Sale"/>
    <n v="18"/>
    <n v="90033"/>
    <x v="11"/>
    <s v="Pharmcomplect"/>
    <s v="KRKA"/>
    <n v="3"/>
    <n v="82.07"/>
    <n v="108.01"/>
    <n v="10.8"/>
    <n v="10.8"/>
    <s v="BONUS_CARD"/>
    <n v="29"/>
    <n v="1"/>
    <n v="6"/>
    <n v="97.21"/>
    <n v="13130002986"/>
  </r>
  <r>
    <x v="8"/>
    <d v="1899-12-30T09:29:40"/>
    <n v="3987"/>
    <n v="13002561"/>
    <n v="13"/>
    <n v="22589"/>
    <s v="Retail Sale"/>
    <n v="18"/>
    <n v="57284"/>
    <x v="7"/>
    <s v="Avesta"/>
    <s v="Dr. Reddy's"/>
    <n v="2"/>
    <n v="9.27"/>
    <n v="12.3"/>
    <n v="0.62"/>
    <n v="0.62"/>
    <s v="BONUS_CARD"/>
    <n v="29"/>
    <n v="1"/>
    <n v="1"/>
    <n v="11.68"/>
    <n v="13130002987"/>
  </r>
  <r>
    <x v="10"/>
    <d v="1899-12-30T18:45:19"/>
    <n v="3988"/>
    <n v="13002561"/>
    <n v="13"/>
    <n v="22589"/>
    <s v="Retail Sale"/>
    <n v="18"/>
    <n v="95020"/>
    <x v="13"/>
    <s v="Grand Capital"/>
    <s v="Novartis"/>
    <n v="1"/>
    <n v="513.17999999999995"/>
    <n v="699.76"/>
    <n v="0"/>
    <n v="0"/>
    <m/>
    <n v="29"/>
    <n v="1"/>
    <n v="6"/>
    <n v="699.76"/>
    <n v="13130002988"/>
  </r>
  <r>
    <x v="28"/>
    <d v="1899-12-30T22:47:01"/>
    <n v="3989"/>
    <n v="13002561"/>
    <n v="13"/>
    <n v="22589"/>
    <s v="Retail Sale"/>
    <n v="15"/>
    <n v="34253"/>
    <x v="27"/>
    <s v="Avesta"/>
    <s v="Pfizer"/>
    <n v="3"/>
    <n v="530.30999999999995"/>
    <n v="712.49"/>
    <n v="0"/>
    <n v="0"/>
    <m/>
    <n v="29"/>
    <n v="1"/>
    <n v="3"/>
    <n v="712.49"/>
    <n v="13130002989"/>
  </r>
  <r>
    <x v="26"/>
    <d v="1899-12-30T14:56:47"/>
    <n v="3990"/>
    <n v="13002561"/>
    <n v="13"/>
    <n v="22589"/>
    <s v="Retail Sale"/>
    <n v="18"/>
    <n v="76827"/>
    <x v="23"/>
    <s v="Grand Capital"/>
    <s v="TEVA"/>
    <n v="2"/>
    <n v="53.9"/>
    <n v="86.49"/>
    <n v="4.32"/>
    <n v="4.32"/>
    <s v="BONUS_CARD"/>
    <n v="29"/>
    <n v="1"/>
    <n v="4"/>
    <n v="82.17"/>
    <n v="13130002990"/>
  </r>
  <r>
    <x v="16"/>
    <d v="1899-12-30T11:10:42"/>
    <n v="3991"/>
    <n v="13002561"/>
    <n v="13"/>
    <n v="22589"/>
    <s v="Retail Sale"/>
    <n v="18"/>
    <n v="16901"/>
    <x v="89"/>
    <s v="Protek"/>
    <s v="Novartis"/>
    <n v="2"/>
    <n v="472.49"/>
    <n v="798.9"/>
    <n v="79.89"/>
    <n v="79.89"/>
    <s v="BONUS_CARD"/>
    <n v="29"/>
    <n v="1"/>
    <n v="5"/>
    <n v="719.01"/>
    <n v="13130002991"/>
  </r>
  <r>
    <x v="18"/>
    <d v="1899-12-30T21:32:00"/>
    <n v="3992"/>
    <n v="13002561"/>
    <n v="13"/>
    <n v="22589"/>
    <s v="Retail Sale"/>
    <n v="18"/>
    <n v="23293"/>
    <x v="56"/>
    <s v="Grand Capital"/>
    <s v="Bayer"/>
    <n v="3"/>
    <n v="466.89"/>
    <n v="780.21"/>
    <n v="0"/>
    <n v="0"/>
    <m/>
    <n v="29"/>
    <n v="1"/>
    <n v="2"/>
    <n v="780.21"/>
    <n v="13130002992"/>
  </r>
  <r>
    <x v="0"/>
    <d v="1899-12-30T10:27:37"/>
    <n v="3993"/>
    <n v="13002561"/>
    <n v="13"/>
    <n v="22589"/>
    <s v="Retail Sale"/>
    <n v="15"/>
    <n v="35898"/>
    <x v="85"/>
    <s v="Pharmcomplect"/>
    <s v="Takeda"/>
    <n v="2"/>
    <n v="291.02999999999997"/>
    <n v="455.61"/>
    <n v="45.56"/>
    <n v="45.56"/>
    <s v="BONUS_CARD"/>
    <n v="29"/>
    <n v="1"/>
    <n v="5"/>
    <n v="410.05"/>
    <n v="13130002993"/>
  </r>
  <r>
    <x v="27"/>
    <d v="1899-12-30T11:48:17"/>
    <n v="3994"/>
    <n v="13002561"/>
    <n v="13"/>
    <n v="22589"/>
    <s v="Retail Sale"/>
    <n v="18"/>
    <n v="62524"/>
    <x v="23"/>
    <s v="Katren"/>
    <s v="Novartis"/>
    <n v="3"/>
    <n v="410.82"/>
    <n v="675.73"/>
    <n v="67.569999999999993"/>
    <n v="67.569999999999993"/>
    <s v="BONUS_CARD"/>
    <n v="29"/>
    <n v="1"/>
    <n v="3"/>
    <n v="608.16"/>
    <n v="13130002994"/>
  </r>
  <r>
    <x v="20"/>
    <d v="1899-12-30T17:51:21"/>
    <n v="3995"/>
    <n v="13002561"/>
    <n v="13"/>
    <n v="22589"/>
    <s v="Retail Sale"/>
    <n v="18"/>
    <n v="14484"/>
    <x v="62"/>
    <s v="Avesta"/>
    <s v="Sanofi"/>
    <n v="3"/>
    <n v="482.87"/>
    <n v="674.1"/>
    <n v="67.41"/>
    <n v="67.41"/>
    <s v="BONUS_CARD"/>
    <n v="29"/>
    <n v="1"/>
    <n v="3"/>
    <n v="606.69000000000005"/>
    <n v="13130002995"/>
  </r>
  <r>
    <x v="4"/>
    <d v="1899-12-30T09:57:10"/>
    <n v="3996"/>
    <n v="13002561"/>
    <n v="13"/>
    <n v="22589"/>
    <s v="Retail Sale"/>
    <n v="15"/>
    <n v="51638"/>
    <x v="54"/>
    <s v="Katren"/>
    <s v="Bayer"/>
    <n v="2"/>
    <n v="295.61"/>
    <n v="422.49"/>
    <n v="0"/>
    <n v="0"/>
    <m/>
    <n v="29"/>
    <n v="1"/>
    <n v="4"/>
    <n v="422.49"/>
    <n v="13130002996"/>
  </r>
  <r>
    <x v="6"/>
    <d v="1899-12-30T21:38:53"/>
    <n v="3997"/>
    <n v="13002561"/>
    <n v="13"/>
    <n v="22589"/>
    <s v="Retail Sale"/>
    <n v="18"/>
    <n v="52295"/>
    <x v="75"/>
    <s v="Grand Capital"/>
    <s v="Sanofi"/>
    <n v="3"/>
    <n v="506.72"/>
    <n v="815.66"/>
    <n v="81.569999999999993"/>
    <n v="81.569999999999993"/>
    <s v="BONUS_CARD"/>
    <n v="29"/>
    <n v="1"/>
    <n v="2"/>
    <n v="734.09"/>
    <n v="13130002997"/>
  </r>
  <r>
    <x v="13"/>
    <d v="1899-12-30T17:10:24"/>
    <n v="3998"/>
    <n v="13002561"/>
    <n v="13"/>
    <n v="22589"/>
    <s v="Retail Sale"/>
    <n v="18"/>
    <n v="69325"/>
    <x v="6"/>
    <s v="Katren"/>
    <s v="Bayer"/>
    <n v="1"/>
    <n v="258.94"/>
    <n v="364.96"/>
    <n v="0"/>
    <n v="0"/>
    <m/>
    <n v="29"/>
    <n v="1"/>
    <n v="6"/>
    <n v="364.96"/>
    <n v="13130002998"/>
  </r>
  <r>
    <x v="21"/>
    <d v="1899-12-30T17:24:23"/>
    <n v="3999"/>
    <n v="13002561"/>
    <n v="13"/>
    <n v="22589"/>
    <s v="Retail Sale"/>
    <n v="15"/>
    <n v="67472"/>
    <x v="69"/>
    <s v="Grand Capital"/>
    <s v="Dr. Reddy's"/>
    <n v="1"/>
    <n v="538.12"/>
    <n v="803.64"/>
    <n v="0"/>
    <n v="0"/>
    <m/>
    <n v="29"/>
    <n v="1"/>
    <n v="1"/>
    <n v="803.64"/>
    <n v="13130002999"/>
  </r>
  <r>
    <x v="9"/>
    <d v="1899-12-30T11:08:20"/>
    <n v="4000"/>
    <n v="13002561"/>
    <n v="13"/>
    <n v="22589"/>
    <s v="Retail Sale"/>
    <n v="15"/>
    <n v="92291"/>
    <x v="6"/>
    <s v="Protek"/>
    <s v="Takeda"/>
    <n v="1"/>
    <n v="470.87"/>
    <n v="796.55"/>
    <n v="0"/>
    <n v="0"/>
    <m/>
    <n v="29"/>
    <n v="1"/>
    <n v="3"/>
    <n v="796.55"/>
    <n v="13130003000"/>
  </r>
  <r>
    <x v="25"/>
    <d v="1899-12-30T17:26:27"/>
    <n v="4001"/>
    <n v="13002561"/>
    <n v="13"/>
    <n v="22589"/>
    <s v="Retail Sale"/>
    <n v="15"/>
    <n v="21657"/>
    <x v="48"/>
    <s v="Grand Capital"/>
    <s v="Bayer"/>
    <n v="1"/>
    <n v="410.61"/>
    <n v="671.53"/>
    <n v="0"/>
    <n v="0"/>
    <m/>
    <n v="29"/>
    <n v="1"/>
    <n v="3"/>
    <n v="671.53"/>
    <n v="13130003001"/>
  </r>
  <r>
    <x v="2"/>
    <d v="1899-12-30T17:48:09"/>
    <n v="4002"/>
    <n v="13002561"/>
    <n v="13"/>
    <n v="22589"/>
    <s v="Retail Sale"/>
    <n v="15"/>
    <n v="56460"/>
    <x v="81"/>
    <s v="Katren"/>
    <s v="TEVA"/>
    <n v="3"/>
    <n v="127.77"/>
    <n v="188.62"/>
    <n v="9.43"/>
    <n v="9.43"/>
    <s v="BONUS_CARD"/>
    <n v="29"/>
    <n v="1"/>
    <n v="3"/>
    <n v="179.19"/>
    <n v="13130003002"/>
  </r>
  <r>
    <x v="0"/>
    <d v="1899-12-30T17:25:18"/>
    <n v="4003"/>
    <n v="13002561"/>
    <n v="13"/>
    <n v="22589"/>
    <s v="Retail Sale"/>
    <n v="18"/>
    <n v="89490"/>
    <x v="24"/>
    <s v="Protek"/>
    <s v="Novartis"/>
    <n v="3"/>
    <n v="246.41"/>
    <n v="418.41"/>
    <n v="0"/>
    <n v="0"/>
    <m/>
    <n v="29"/>
    <n v="1"/>
    <n v="1"/>
    <n v="418.41"/>
    <n v="13130003003"/>
  </r>
  <r>
    <x v="10"/>
    <d v="1899-12-30T17:44:34"/>
    <n v="4004"/>
    <n v="13002561"/>
    <n v="13"/>
    <n v="22589"/>
    <s v="Retail Sale"/>
    <n v="15"/>
    <n v="81343"/>
    <x v="66"/>
    <s v="Protek"/>
    <s v="Novartis"/>
    <n v="2"/>
    <n v="28.41"/>
    <n v="43.54"/>
    <n v="4.3499999999999996"/>
    <n v="4.3499999999999996"/>
    <s v="BONUS_CARD"/>
    <n v="29"/>
    <n v="1"/>
    <n v="5"/>
    <n v="39.19"/>
    <n v="13130003004"/>
  </r>
  <r>
    <x v="3"/>
    <d v="1899-12-30T20:35:40"/>
    <n v="4005"/>
    <n v="13002561"/>
    <n v="13"/>
    <n v="22589"/>
    <s v="Retail Sale"/>
    <n v="18"/>
    <n v="67713"/>
    <x v="44"/>
    <s v="Grand Capital"/>
    <s v="Bayer"/>
    <n v="3"/>
    <n v="234.53"/>
    <n v="351.66"/>
    <n v="35.17"/>
    <n v="35.17"/>
    <s v="BONUS_CARD"/>
    <n v="29"/>
    <n v="1"/>
    <n v="5"/>
    <n v="316.49"/>
    <n v="13130003005"/>
  </r>
  <r>
    <x v="7"/>
    <d v="1899-12-30T20:12:40"/>
    <n v="4006"/>
    <n v="13002561"/>
    <n v="13"/>
    <n v="22589"/>
    <s v="Retail Sale"/>
    <n v="15"/>
    <n v="28366"/>
    <x v="54"/>
    <s v="Pulse"/>
    <s v="Pfizer"/>
    <n v="2"/>
    <n v="398"/>
    <n v="661.34"/>
    <n v="66.13"/>
    <n v="66.13"/>
    <s v="BONUS_CARD"/>
    <n v="29"/>
    <n v="1"/>
    <n v="6"/>
    <n v="595.21"/>
    <n v="13130003006"/>
  </r>
  <r>
    <x v="4"/>
    <d v="1899-12-30T17:21:23"/>
    <n v="4007"/>
    <n v="13002561"/>
    <n v="13"/>
    <n v="22589"/>
    <s v="Retail Sale"/>
    <n v="15"/>
    <n v="48143"/>
    <x v="22"/>
    <s v="Katren"/>
    <s v="Pfizer"/>
    <n v="2"/>
    <n v="382.75"/>
    <n v="636.9"/>
    <n v="0"/>
    <n v="0"/>
    <m/>
    <n v="29"/>
    <n v="1"/>
    <n v="4"/>
    <n v="636.9"/>
    <n v="13130003007"/>
  </r>
  <r>
    <x v="1"/>
    <d v="1899-12-30T17:13:20"/>
    <n v="4008"/>
    <n v="13002561"/>
    <n v="13"/>
    <n v="22589"/>
    <s v="Retail Sale"/>
    <n v="18"/>
    <n v="47698"/>
    <x v="59"/>
    <s v="Pharmcomplect"/>
    <s v="Takeda"/>
    <n v="2"/>
    <n v="77.14"/>
    <n v="129.72"/>
    <n v="12.97"/>
    <n v="12.97"/>
    <s v="BONUS_CARD"/>
    <n v="29"/>
    <n v="1"/>
    <n v="5"/>
    <n v="116.75"/>
    <n v="13130003008"/>
  </r>
  <r>
    <x v="9"/>
    <d v="1899-12-30T17:55:53"/>
    <n v="4009"/>
    <n v="13002561"/>
    <n v="13"/>
    <n v="22589"/>
    <s v="Retail Sale"/>
    <n v="15"/>
    <n v="95910"/>
    <x v="16"/>
    <s v="Katren"/>
    <s v="TEVA"/>
    <n v="1"/>
    <n v="59.25"/>
    <n v="86.03"/>
    <n v="8.6"/>
    <n v="8.6"/>
    <s v="BONUS_CARD"/>
    <n v="29"/>
    <n v="1"/>
    <n v="4"/>
    <n v="77.430000000000007"/>
    <n v="13130003009"/>
  </r>
  <r>
    <x v="2"/>
    <d v="1899-12-30T13:02:25"/>
    <n v="4010"/>
    <n v="13002561"/>
    <n v="13"/>
    <n v="22589"/>
    <s v="Retail Sale"/>
    <n v="18"/>
    <n v="86248"/>
    <x v="47"/>
    <s v="Pulse"/>
    <s v="Bayer"/>
    <n v="1"/>
    <n v="591.78"/>
    <n v="881.97"/>
    <n v="44.1"/>
    <n v="44.1"/>
    <s v="BONUS_CARD"/>
    <n v="29"/>
    <n v="1"/>
    <n v="1"/>
    <n v="837.87"/>
    <n v="13130003010"/>
  </r>
  <r>
    <x v="5"/>
    <d v="1899-12-30T18:22:27"/>
    <n v="4011"/>
    <n v="13002561"/>
    <n v="13"/>
    <n v="22589"/>
    <s v="Retail Sale"/>
    <n v="18"/>
    <n v="94178"/>
    <x v="79"/>
    <s v="Protek"/>
    <s v="Pfizer"/>
    <n v="1"/>
    <n v="364.28"/>
    <n v="586.58000000000004"/>
    <n v="29.33"/>
    <n v="29.33"/>
    <s v="BONUS_CARD"/>
    <n v="29"/>
    <n v="1"/>
    <n v="3"/>
    <n v="557.25"/>
    <n v="13130003011"/>
  </r>
  <r>
    <x v="14"/>
    <d v="1899-12-30T13:10:04"/>
    <n v="4012"/>
    <n v="13002561"/>
    <n v="13"/>
    <n v="22589"/>
    <s v="Retail Sale"/>
    <n v="15"/>
    <n v="33638"/>
    <x v="76"/>
    <s v="Grand Capital"/>
    <s v="Takeda"/>
    <n v="3"/>
    <n v="277.13"/>
    <n v="471.08"/>
    <n v="23.55"/>
    <n v="23.55"/>
    <s v="BONUS_CARD"/>
    <n v="29"/>
    <n v="1"/>
    <n v="6"/>
    <n v="447.53"/>
    <n v="13130003012"/>
  </r>
  <r>
    <x v="18"/>
    <d v="1899-12-30T17:11:28"/>
    <n v="4013"/>
    <n v="13002561"/>
    <n v="13"/>
    <n v="22589"/>
    <s v="Retail Sale"/>
    <n v="18"/>
    <n v="46692"/>
    <x v="61"/>
    <s v="Grand Capital"/>
    <s v="Bayer"/>
    <n v="2"/>
    <n v="421.69"/>
    <n v="700.35"/>
    <n v="35.020000000000003"/>
    <n v="35.020000000000003"/>
    <s v="BONUS_CARD"/>
    <n v="29"/>
    <n v="1"/>
    <n v="3"/>
    <n v="665.33"/>
    <n v="13130003013"/>
  </r>
  <r>
    <x v="11"/>
    <d v="1899-12-30T09:35:26"/>
    <n v="4014"/>
    <n v="13002561"/>
    <n v="13"/>
    <n v="22589"/>
    <s v="Retail Sale"/>
    <n v="18"/>
    <n v="28009"/>
    <x v="21"/>
    <s v="Protek"/>
    <s v="Sanofi"/>
    <n v="1"/>
    <n v="190.56"/>
    <n v="247.08"/>
    <n v="24.71"/>
    <n v="24.71"/>
    <s v="BONUS_CARD"/>
    <n v="29"/>
    <n v="1"/>
    <n v="5"/>
    <n v="222.37"/>
    <n v="13130003014"/>
  </r>
  <r>
    <x v="11"/>
    <d v="1899-12-30T08:54:51"/>
    <n v="4015"/>
    <n v="13002561"/>
    <n v="13"/>
    <n v="22589"/>
    <s v="Retail Sale"/>
    <n v="15"/>
    <n v="93775"/>
    <x v="43"/>
    <s v="Avesta"/>
    <s v="Bayer"/>
    <n v="1"/>
    <n v="141.29"/>
    <n v="191.66"/>
    <n v="9.58"/>
    <n v="9.58"/>
    <s v="BONUS_CARD"/>
    <n v="29"/>
    <n v="1"/>
    <n v="6"/>
    <n v="182.08"/>
    <n v="13130003015"/>
  </r>
  <r>
    <x v="22"/>
    <d v="1899-12-30T16:43:05"/>
    <n v="4016"/>
    <n v="13002561"/>
    <n v="13"/>
    <n v="22589"/>
    <s v="Retail Sale"/>
    <n v="18"/>
    <n v="58391"/>
    <x v="48"/>
    <s v="Protek"/>
    <s v="Pfizer"/>
    <n v="2"/>
    <n v="25.78"/>
    <n v="40.76"/>
    <n v="2.04"/>
    <n v="2.04"/>
    <s v="BONUS_CARD"/>
    <n v="29"/>
    <n v="1"/>
    <n v="5"/>
    <n v="38.72"/>
    <n v="13130003016"/>
  </r>
  <r>
    <x v="19"/>
    <d v="1899-12-30T10:22:22"/>
    <n v="4017"/>
    <n v="13002561"/>
    <n v="13"/>
    <n v="22589"/>
    <s v="Retail Sale"/>
    <n v="18"/>
    <n v="16639"/>
    <x v="76"/>
    <s v="Pulse"/>
    <s v="KRKA"/>
    <n v="3"/>
    <n v="175.73"/>
    <n v="225.91"/>
    <n v="0"/>
    <n v="0"/>
    <m/>
    <n v="29"/>
    <n v="1"/>
    <n v="1"/>
    <n v="225.91"/>
    <n v="13130003017"/>
  </r>
  <r>
    <x v="30"/>
    <d v="1899-12-30T20:27:57"/>
    <n v="4018"/>
    <n v="13002561"/>
    <n v="13"/>
    <n v="22589"/>
    <s v="Retail Sale"/>
    <n v="18"/>
    <n v="20975"/>
    <x v="76"/>
    <s v="Grand Capital"/>
    <s v="Bayer"/>
    <n v="2"/>
    <n v="176.25"/>
    <n v="296.07"/>
    <n v="29.61"/>
    <n v="29.61"/>
    <s v="BONUS_CARD"/>
    <n v="29"/>
    <n v="1"/>
    <n v="1"/>
    <n v="266.45999999999998"/>
    <n v="13130003018"/>
  </r>
  <r>
    <x v="24"/>
    <d v="1899-12-30T11:00:58"/>
    <n v="4019"/>
    <n v="13002561"/>
    <n v="13"/>
    <n v="22589"/>
    <s v="Retail Sale"/>
    <n v="18"/>
    <n v="29389"/>
    <x v="49"/>
    <s v="Avesta"/>
    <s v="Dr. Reddy's"/>
    <n v="3"/>
    <n v="134.28"/>
    <n v="168.08"/>
    <n v="16.809999999999999"/>
    <n v="16.809999999999999"/>
    <s v="BONUS_CARD"/>
    <n v="29"/>
    <n v="1"/>
    <n v="3"/>
    <n v="151.27000000000001"/>
    <n v="13130003019"/>
  </r>
  <r>
    <x v="22"/>
    <d v="1899-12-30T20:35:48"/>
    <n v="4020"/>
    <n v="13002561"/>
    <n v="13"/>
    <n v="22589"/>
    <s v="Retail Sale"/>
    <n v="18"/>
    <n v="88256"/>
    <x v="49"/>
    <s v="Pharmcomplect"/>
    <s v="Novartis"/>
    <n v="3"/>
    <n v="393.22"/>
    <n v="664.6"/>
    <n v="0"/>
    <n v="0"/>
    <m/>
    <n v="29"/>
    <n v="1"/>
    <n v="6"/>
    <n v="664.6"/>
    <n v="13130003020"/>
  </r>
  <r>
    <x v="14"/>
    <d v="1899-12-30T20:35:59"/>
    <n v="4021"/>
    <n v="13002561"/>
    <n v="13"/>
    <n v="22589"/>
    <s v="Retail Sale"/>
    <n v="15"/>
    <n v="13510"/>
    <x v="88"/>
    <s v="Protek"/>
    <s v="TEVA"/>
    <n v="2"/>
    <n v="488.94"/>
    <n v="765.97"/>
    <n v="38.299999999999997"/>
    <n v="38.299999999999997"/>
    <s v="BONUS_CARD"/>
    <n v="29"/>
    <n v="1"/>
    <n v="2"/>
    <n v="727.67"/>
    <n v="13130003021"/>
  </r>
  <r>
    <x v="20"/>
    <d v="1899-12-30T10:14:57"/>
    <n v="4022"/>
    <n v="13002561"/>
    <n v="13"/>
    <n v="22589"/>
    <s v="Retail Sale"/>
    <n v="15"/>
    <n v="80355"/>
    <x v="4"/>
    <s v="Grand Capital"/>
    <s v="Novartis"/>
    <n v="2"/>
    <n v="581.05999999999995"/>
    <n v="858.46"/>
    <n v="0"/>
    <n v="0"/>
    <m/>
    <n v="29"/>
    <n v="1"/>
    <n v="2"/>
    <n v="858.46"/>
    <n v="13130003022"/>
  </r>
  <r>
    <x v="25"/>
    <d v="1899-12-30T09:01:04"/>
    <n v="4023"/>
    <n v="13002561"/>
    <n v="13"/>
    <n v="22589"/>
    <s v="Retail Sale"/>
    <n v="15"/>
    <n v="74069"/>
    <x v="81"/>
    <s v="Katren"/>
    <s v="TEVA"/>
    <n v="3"/>
    <n v="16.899999999999999"/>
    <n v="23.01"/>
    <n v="0"/>
    <n v="0"/>
    <m/>
    <n v="29"/>
    <n v="1"/>
    <n v="6"/>
    <n v="23.01"/>
    <n v="13130003023"/>
  </r>
  <r>
    <x v="20"/>
    <d v="1899-12-30T12:13:26"/>
    <n v="4024"/>
    <n v="13002561"/>
    <n v="13"/>
    <n v="22589"/>
    <s v="Retail Sale"/>
    <n v="18"/>
    <n v="75337"/>
    <x v="7"/>
    <s v="Pulse"/>
    <s v="TEVA"/>
    <n v="3"/>
    <n v="94"/>
    <n v="140.28"/>
    <n v="7.01"/>
    <n v="7.01"/>
    <s v="BONUS_CARD"/>
    <n v="29"/>
    <n v="1"/>
    <n v="4"/>
    <n v="133.27000000000001"/>
    <n v="13130003024"/>
  </r>
  <r>
    <x v="9"/>
    <d v="1899-12-30T20:37:52"/>
    <n v="4025"/>
    <n v="13002561"/>
    <n v="13"/>
    <n v="22589"/>
    <s v="Retail Sale"/>
    <n v="15"/>
    <n v="16676"/>
    <x v="67"/>
    <s v="Protek"/>
    <s v="Pfizer"/>
    <n v="1"/>
    <n v="353.88"/>
    <n v="453.01"/>
    <n v="45.3"/>
    <n v="45.3"/>
    <s v="BONUS_CARD"/>
    <n v="29"/>
    <n v="1"/>
    <n v="4"/>
    <n v="407.71"/>
    <n v="13130003025"/>
  </r>
  <r>
    <x v="22"/>
    <d v="1899-12-30T14:03:43"/>
    <n v="4026"/>
    <n v="13002561"/>
    <n v="13"/>
    <n v="22589"/>
    <s v="Retail Sale"/>
    <n v="18"/>
    <n v="85398"/>
    <x v="51"/>
    <s v="Avesta"/>
    <s v="Dr. Reddy's"/>
    <n v="3"/>
    <n v="420.45"/>
    <n v="675.16"/>
    <n v="33.76"/>
    <n v="33.76"/>
    <s v="BONUS_CARD"/>
    <n v="29"/>
    <n v="1"/>
    <n v="2"/>
    <n v="641.4"/>
    <n v="13130003026"/>
  </r>
  <r>
    <x v="28"/>
    <d v="1899-12-30T09:10:38"/>
    <n v="4027"/>
    <n v="13002561"/>
    <n v="13"/>
    <n v="22589"/>
    <s v="Retail Sale"/>
    <n v="18"/>
    <n v="33105"/>
    <x v="34"/>
    <s v="Protek"/>
    <s v="Pfizer"/>
    <n v="1"/>
    <n v="204.31"/>
    <n v="279.8"/>
    <n v="13.99"/>
    <n v="13.99"/>
    <s v="BONUS_CARD"/>
    <n v="29"/>
    <n v="1"/>
    <n v="2"/>
    <n v="265.81"/>
    <n v="13130003027"/>
  </r>
  <r>
    <x v="26"/>
    <d v="1899-12-30T12:03:20"/>
    <n v="4028"/>
    <n v="13002561"/>
    <n v="13"/>
    <n v="22589"/>
    <s v="Retail Sale"/>
    <n v="18"/>
    <n v="93605"/>
    <x v="17"/>
    <s v="Protek"/>
    <s v="Bayer"/>
    <n v="1"/>
    <n v="386.93"/>
    <n v="538.14"/>
    <n v="53.81"/>
    <n v="53.81"/>
    <s v="BONUS_CARD"/>
    <n v="29"/>
    <n v="1"/>
    <n v="4"/>
    <n v="484.33"/>
    <n v="13130003028"/>
  </r>
  <r>
    <x v="26"/>
    <d v="1899-12-30T13:35:09"/>
    <n v="4029"/>
    <n v="13002561"/>
    <n v="13"/>
    <n v="22589"/>
    <s v="Retail Sale"/>
    <n v="18"/>
    <n v="38013"/>
    <x v="57"/>
    <s v="Avesta"/>
    <s v="Novartis"/>
    <n v="3"/>
    <n v="518.04999999999995"/>
    <n v="712.82"/>
    <n v="35.64"/>
    <n v="35.64"/>
    <s v="BONUS_CARD"/>
    <n v="29"/>
    <n v="1"/>
    <n v="5"/>
    <n v="677.18"/>
    <n v="13130003029"/>
  </r>
  <r>
    <x v="15"/>
    <d v="1899-12-30T18:19:12"/>
    <n v="4030"/>
    <n v="13002561"/>
    <n v="13"/>
    <n v="22589"/>
    <s v="Retail Sale"/>
    <n v="15"/>
    <n v="87817"/>
    <x v="44"/>
    <s v="Avesta"/>
    <s v="TEVA"/>
    <n v="1"/>
    <n v="580.07000000000005"/>
    <n v="761.02"/>
    <n v="76.099999999999994"/>
    <n v="76.099999999999994"/>
    <s v="BONUS_CARD"/>
    <n v="29"/>
    <n v="1"/>
    <n v="4"/>
    <n v="684.92"/>
    <n v="13130003030"/>
  </r>
  <r>
    <x v="26"/>
    <d v="1899-12-30T20:30:15"/>
    <n v="4031"/>
    <n v="13002561"/>
    <n v="13"/>
    <n v="22589"/>
    <s v="Retail Sale"/>
    <n v="15"/>
    <n v="95989"/>
    <x v="36"/>
    <s v="Avesta"/>
    <s v="Bayer"/>
    <n v="2"/>
    <n v="431.38"/>
    <n v="628.51"/>
    <n v="31.43"/>
    <n v="31.43"/>
    <s v="BONUS_CARD"/>
    <n v="29"/>
    <n v="1"/>
    <n v="6"/>
    <n v="597.08000000000004"/>
    <n v="13130003031"/>
  </r>
  <r>
    <x v="7"/>
    <d v="1899-12-30T13:11:03"/>
    <n v="4032"/>
    <n v="13002561"/>
    <n v="13"/>
    <n v="22589"/>
    <s v="Retail Sale"/>
    <n v="15"/>
    <n v="33487"/>
    <x v="78"/>
    <s v="Katren"/>
    <s v="Sanofi"/>
    <n v="2"/>
    <n v="338.04"/>
    <n v="558.73"/>
    <n v="0"/>
    <n v="0"/>
    <m/>
    <n v="29"/>
    <n v="1"/>
    <n v="5"/>
    <n v="558.73"/>
    <n v="13130003032"/>
  </r>
  <r>
    <x v="29"/>
    <d v="1899-12-30T18:21:16"/>
    <n v="4033"/>
    <n v="13002561"/>
    <n v="13"/>
    <n v="22589"/>
    <s v="Retail Sale"/>
    <n v="15"/>
    <n v="22193"/>
    <x v="74"/>
    <s v="Avesta"/>
    <s v="Pfizer"/>
    <n v="1"/>
    <n v="567.24"/>
    <n v="962.4"/>
    <n v="48.12"/>
    <n v="48.12"/>
    <s v="BONUS_CARD"/>
    <n v="29"/>
    <n v="1"/>
    <n v="3"/>
    <n v="914.28"/>
    <n v="13130003033"/>
  </r>
  <r>
    <x v="30"/>
    <d v="1899-12-30T12:16:36"/>
    <n v="4034"/>
    <n v="13002561"/>
    <n v="13"/>
    <n v="22589"/>
    <s v="Retail Sale"/>
    <n v="18"/>
    <n v="37372"/>
    <x v="55"/>
    <s v="Grand Capital"/>
    <s v="TEVA"/>
    <n v="2"/>
    <n v="168.59"/>
    <n v="252.09"/>
    <n v="12.6"/>
    <n v="12.6"/>
    <s v="BONUS_CARD"/>
    <n v="29"/>
    <n v="1"/>
    <n v="2"/>
    <n v="239.49"/>
    <n v="13130003034"/>
  </r>
  <r>
    <x v="20"/>
    <d v="1899-12-30T22:22:30"/>
    <n v="4035"/>
    <n v="13002561"/>
    <n v="13"/>
    <n v="22589"/>
    <s v="Retail Sale"/>
    <n v="15"/>
    <n v="35295"/>
    <x v="84"/>
    <s v="Katren"/>
    <s v="Novartis"/>
    <n v="3"/>
    <n v="442.81"/>
    <n v="573.88"/>
    <n v="0"/>
    <n v="0"/>
    <m/>
    <n v="29"/>
    <n v="1"/>
    <n v="5"/>
    <n v="573.88"/>
    <n v="13130003035"/>
  </r>
  <r>
    <x v="20"/>
    <d v="1899-12-30T17:42:32"/>
    <n v="4036"/>
    <n v="13002561"/>
    <n v="13"/>
    <n v="22589"/>
    <s v="Retail Sale"/>
    <n v="15"/>
    <n v="90547"/>
    <x v="88"/>
    <s v="Pharmcomplect"/>
    <s v="Sanofi"/>
    <n v="3"/>
    <n v="453.52"/>
    <n v="637.49"/>
    <n v="31.87"/>
    <n v="31.87"/>
    <s v="BONUS_CARD"/>
    <n v="29"/>
    <n v="1"/>
    <n v="1"/>
    <n v="605.62"/>
    <n v="13130003036"/>
  </r>
  <r>
    <x v="23"/>
    <d v="1899-12-30T21:33:41"/>
    <n v="4037"/>
    <n v="13002561"/>
    <n v="13"/>
    <n v="22589"/>
    <s v="Retail Sale"/>
    <n v="15"/>
    <n v="27440"/>
    <x v="64"/>
    <s v="Pulse"/>
    <s v="Takeda"/>
    <n v="2"/>
    <n v="279.77999999999997"/>
    <n v="408.43"/>
    <n v="40.840000000000003"/>
    <n v="40.840000000000003"/>
    <s v="BONUS_CARD"/>
    <n v="29"/>
    <n v="1"/>
    <n v="2"/>
    <n v="367.59"/>
    <n v="13130003037"/>
  </r>
  <r>
    <x v="22"/>
    <d v="1899-12-30T11:00:28"/>
    <n v="4038"/>
    <n v="13002561"/>
    <n v="13"/>
    <n v="22589"/>
    <s v="Retail Sale"/>
    <n v="15"/>
    <n v="68171"/>
    <x v="24"/>
    <s v="Pulse"/>
    <s v="Bayer"/>
    <n v="2"/>
    <n v="355.02"/>
    <n v="544.33000000000004"/>
    <n v="0"/>
    <n v="0"/>
    <m/>
    <n v="29"/>
    <n v="1"/>
    <n v="6"/>
    <n v="544.33000000000004"/>
    <n v="13130003038"/>
  </r>
  <r>
    <x v="29"/>
    <d v="1899-12-30T08:28:40"/>
    <n v="4039"/>
    <n v="13002561"/>
    <n v="13"/>
    <n v="22589"/>
    <s v="Retail Sale"/>
    <n v="15"/>
    <n v="52776"/>
    <x v="84"/>
    <s v="Pulse"/>
    <s v="TEVA"/>
    <n v="2"/>
    <n v="495.19"/>
    <n v="626.88"/>
    <n v="0"/>
    <n v="0"/>
    <m/>
    <n v="29"/>
    <n v="1"/>
    <n v="1"/>
    <n v="626.88"/>
    <n v="13130003039"/>
  </r>
  <r>
    <x v="27"/>
    <d v="1899-12-30T18:41:00"/>
    <n v="4040"/>
    <n v="13002561"/>
    <n v="13"/>
    <n v="22589"/>
    <s v="Retail Sale"/>
    <n v="18"/>
    <n v="86095"/>
    <x v="47"/>
    <s v="Katren"/>
    <s v="Takeda"/>
    <n v="1"/>
    <n v="555.5"/>
    <n v="751"/>
    <n v="0"/>
    <n v="0"/>
    <m/>
    <n v="29"/>
    <n v="1"/>
    <n v="3"/>
    <n v="751"/>
    <n v="13130003040"/>
  </r>
  <r>
    <x v="14"/>
    <d v="1899-12-30T11:05:15"/>
    <n v="4041"/>
    <n v="13002561"/>
    <n v="13"/>
    <n v="22589"/>
    <s v="Retail Sale"/>
    <n v="18"/>
    <n v="99884"/>
    <x v="69"/>
    <s v="Grand Capital"/>
    <s v="TEVA"/>
    <n v="2"/>
    <n v="530.23"/>
    <n v="870.55"/>
    <n v="0"/>
    <n v="0"/>
    <m/>
    <n v="29"/>
    <n v="1"/>
    <n v="2"/>
    <n v="870.55"/>
    <n v="13130003041"/>
  </r>
  <r>
    <x v="30"/>
    <d v="1899-12-30T11:02:23"/>
    <n v="4042"/>
    <n v="13002561"/>
    <n v="13"/>
    <n v="22589"/>
    <s v="Retail Sale"/>
    <n v="18"/>
    <n v="69768"/>
    <x v="17"/>
    <s v="Katren"/>
    <s v="Novartis"/>
    <n v="2"/>
    <n v="464.68"/>
    <n v="680.12"/>
    <n v="34.01"/>
    <n v="34.01"/>
    <s v="BONUS_CARD"/>
    <n v="29"/>
    <n v="1"/>
    <n v="2"/>
    <n v="646.11"/>
    <n v="13130003042"/>
  </r>
  <r>
    <x v="17"/>
    <d v="1899-12-30T17:25:43"/>
    <n v="4043"/>
    <n v="13002561"/>
    <n v="13"/>
    <n v="22589"/>
    <s v="Retail Sale"/>
    <n v="18"/>
    <n v="81237"/>
    <x v="77"/>
    <s v="Pharmcomplect"/>
    <s v="KRKA"/>
    <n v="1"/>
    <n v="108.39"/>
    <n v="161.96"/>
    <n v="8.1"/>
    <n v="8.1"/>
    <s v="BONUS_CARD"/>
    <n v="29"/>
    <n v="1"/>
    <n v="6"/>
    <n v="153.86000000000001"/>
    <n v="13130003043"/>
  </r>
  <r>
    <x v="4"/>
    <d v="1899-12-30T10:28:12"/>
    <n v="4044"/>
    <n v="13002561"/>
    <n v="13"/>
    <n v="22589"/>
    <s v="Retail Sale"/>
    <n v="18"/>
    <n v="74166"/>
    <x v="55"/>
    <s v="Katren"/>
    <s v="KRKA"/>
    <n v="3"/>
    <n v="173.69"/>
    <n v="219.88"/>
    <n v="0"/>
    <n v="0"/>
    <m/>
    <n v="29"/>
    <n v="1"/>
    <n v="1"/>
    <n v="219.88"/>
    <n v="13130003044"/>
  </r>
  <r>
    <x v="18"/>
    <d v="1899-12-30T10:01:31"/>
    <n v="4045"/>
    <n v="13002561"/>
    <n v="13"/>
    <n v="22589"/>
    <s v="Retail Sale"/>
    <n v="18"/>
    <n v="53412"/>
    <x v="33"/>
    <s v="Avesta"/>
    <s v="Bayer"/>
    <n v="3"/>
    <n v="160.47999999999999"/>
    <n v="218.8"/>
    <n v="10.94"/>
    <n v="10.94"/>
    <s v="BONUS_CARD"/>
    <n v="29"/>
    <n v="1"/>
    <n v="1"/>
    <n v="207.86"/>
    <n v="13130003045"/>
  </r>
  <r>
    <x v="5"/>
    <d v="1899-12-30T18:38:37"/>
    <n v="4046"/>
    <n v="13002561"/>
    <n v="13"/>
    <n v="22589"/>
    <s v="Retail Sale"/>
    <n v="18"/>
    <n v="44821"/>
    <x v="71"/>
    <s v="Pulse"/>
    <s v="Takeda"/>
    <n v="2"/>
    <n v="107.03"/>
    <n v="140.9"/>
    <n v="7.05"/>
    <n v="7.05"/>
    <s v="BONUS_CARD"/>
    <n v="29"/>
    <n v="1"/>
    <n v="1"/>
    <n v="133.85"/>
    <n v="13130003046"/>
  </r>
  <r>
    <x v="13"/>
    <d v="1899-12-30T11:50:59"/>
    <n v="4047"/>
    <n v="13002561"/>
    <n v="13"/>
    <n v="22589"/>
    <s v="Retail Sale"/>
    <n v="15"/>
    <n v="99794"/>
    <x v="69"/>
    <s v="Katren"/>
    <s v="Novartis"/>
    <n v="2"/>
    <n v="197.21"/>
    <n v="268.60000000000002"/>
    <n v="26.86"/>
    <n v="26.86"/>
    <s v="BONUS_CARD"/>
    <n v="29"/>
    <n v="1"/>
    <n v="3"/>
    <n v="241.74"/>
    <n v="13130003047"/>
  </r>
  <r>
    <x v="16"/>
    <d v="1899-12-30T22:25:15"/>
    <n v="4048"/>
    <n v="13002561"/>
    <n v="13"/>
    <n v="22589"/>
    <s v="Retail Sale"/>
    <n v="15"/>
    <n v="37672"/>
    <x v="45"/>
    <s v="Pulse"/>
    <s v="Novartis"/>
    <n v="2"/>
    <n v="424.22"/>
    <n v="645.44000000000005"/>
    <n v="32.270000000000003"/>
    <n v="32.270000000000003"/>
    <s v="BONUS_CARD"/>
    <n v="29"/>
    <n v="1"/>
    <n v="6"/>
    <n v="613.16999999999996"/>
    <n v="13130003048"/>
  </r>
  <r>
    <x v="20"/>
    <d v="1899-12-30T20:07:02"/>
    <n v="4049"/>
    <n v="13002561"/>
    <n v="13"/>
    <n v="22589"/>
    <s v="Retail Sale"/>
    <n v="15"/>
    <n v="96255"/>
    <x v="1"/>
    <s v="Grand Capital"/>
    <s v="Sanofi"/>
    <n v="2"/>
    <n v="99.06"/>
    <n v="149.58000000000001"/>
    <n v="14.96"/>
    <n v="14.96"/>
    <s v="BONUS_CARD"/>
    <n v="29"/>
    <n v="1"/>
    <n v="6"/>
    <n v="134.62"/>
    <n v="13130003049"/>
  </r>
  <r>
    <x v="17"/>
    <d v="1899-12-30T21:44:34"/>
    <n v="4050"/>
    <n v="13002561"/>
    <n v="13"/>
    <n v="22589"/>
    <s v="Retail Sale"/>
    <n v="18"/>
    <n v="56166"/>
    <x v="88"/>
    <s v="Katren"/>
    <s v="Dr. Reddy's"/>
    <n v="2"/>
    <n v="261.14"/>
    <n v="443"/>
    <n v="44.3"/>
    <n v="44.3"/>
    <s v="BONUS_CARD"/>
    <n v="29"/>
    <n v="1"/>
    <n v="3"/>
    <n v="398.7"/>
    <n v="13130003050"/>
  </r>
  <r>
    <x v="13"/>
    <d v="1899-12-30T18:53:21"/>
    <n v="4051"/>
    <n v="13002561"/>
    <n v="13"/>
    <n v="22589"/>
    <s v="Retail Sale"/>
    <n v="15"/>
    <n v="74778"/>
    <x v="74"/>
    <s v="Katren"/>
    <s v="TEVA"/>
    <n v="3"/>
    <n v="60.79"/>
    <n v="98.86"/>
    <n v="4.9400000000000004"/>
    <n v="4.9400000000000004"/>
    <s v="BONUS_CARD"/>
    <n v="29"/>
    <n v="1"/>
    <n v="1"/>
    <n v="93.92"/>
    <n v="13130003051"/>
  </r>
  <r>
    <x v="23"/>
    <d v="1899-12-30T08:57:11"/>
    <n v="4052"/>
    <n v="13002561"/>
    <n v="13"/>
    <n v="22589"/>
    <s v="Retail Sale"/>
    <n v="15"/>
    <n v="29749"/>
    <x v="3"/>
    <s v="Pharmcomplect"/>
    <s v="Sanofi"/>
    <n v="2"/>
    <n v="226.45"/>
    <n v="377.99"/>
    <n v="0"/>
    <n v="0"/>
    <m/>
    <n v="29"/>
    <n v="1"/>
    <n v="5"/>
    <n v="377.99"/>
    <n v="13130003052"/>
  </r>
  <r>
    <x v="1"/>
    <d v="1899-12-30T19:55:17"/>
    <n v="4053"/>
    <n v="13002561"/>
    <n v="13"/>
    <n v="22589"/>
    <s v="Retail Sale"/>
    <n v="18"/>
    <n v="23701"/>
    <x v="84"/>
    <s v="Pulse"/>
    <s v="KRKA"/>
    <n v="1"/>
    <n v="597.57000000000005"/>
    <n v="996.83"/>
    <n v="49.84"/>
    <n v="49.84"/>
    <s v="BONUS_CARD"/>
    <n v="29"/>
    <n v="1"/>
    <n v="3"/>
    <n v="946.99"/>
    <n v="13130003053"/>
  </r>
  <r>
    <x v="20"/>
    <d v="1899-12-30T17:04:39"/>
    <n v="4054"/>
    <n v="13002561"/>
    <n v="13"/>
    <n v="22589"/>
    <s v="Retail Sale"/>
    <n v="18"/>
    <n v="57674"/>
    <x v="59"/>
    <s v="Protek"/>
    <s v="TEVA"/>
    <n v="3"/>
    <n v="313.58"/>
    <n v="513.54999999999995"/>
    <n v="51.35"/>
    <n v="51.35"/>
    <s v="BONUS_CARD"/>
    <n v="29"/>
    <n v="1"/>
    <n v="3"/>
    <n v="462.2"/>
    <n v="13130003054"/>
  </r>
  <r>
    <x v="5"/>
    <d v="1899-12-30T18:43:31"/>
    <n v="4055"/>
    <n v="13002561"/>
    <n v="13"/>
    <n v="22589"/>
    <s v="Retail Sale"/>
    <n v="15"/>
    <n v="45197"/>
    <x v="81"/>
    <s v="Grand Capital"/>
    <s v="Takeda"/>
    <n v="3"/>
    <n v="316.06"/>
    <n v="437.71"/>
    <n v="21.89"/>
    <n v="21.89"/>
    <s v="BONUS_CARD"/>
    <n v="29"/>
    <n v="1"/>
    <n v="3"/>
    <n v="415.82"/>
    <n v="13130003055"/>
  </r>
  <r>
    <x v="20"/>
    <d v="1899-12-30T19:08:35"/>
    <n v="4056"/>
    <n v="13002561"/>
    <n v="13"/>
    <n v="22589"/>
    <s v="Retail Sale"/>
    <n v="18"/>
    <n v="46034"/>
    <x v="13"/>
    <s v="Avesta"/>
    <s v="TEVA"/>
    <n v="2"/>
    <n v="480.84"/>
    <n v="623.44000000000005"/>
    <n v="0"/>
    <n v="0"/>
    <m/>
    <n v="29"/>
    <n v="1"/>
    <n v="3"/>
    <n v="623.44000000000005"/>
    <n v="13130003056"/>
  </r>
  <r>
    <x v="6"/>
    <d v="1899-12-30T09:05:13"/>
    <n v="4057"/>
    <n v="13002561"/>
    <n v="13"/>
    <n v="22589"/>
    <s v="Retail Sale"/>
    <n v="18"/>
    <n v="50675"/>
    <x v="25"/>
    <s v="Grand Capital"/>
    <s v="KRKA"/>
    <n v="2"/>
    <n v="276.77999999999997"/>
    <n v="440.38"/>
    <n v="22.02"/>
    <n v="22.02"/>
    <s v="BONUS_CARD"/>
    <n v="29"/>
    <n v="1"/>
    <n v="1"/>
    <n v="418.36"/>
    <n v="13130003057"/>
  </r>
  <r>
    <x v="3"/>
    <d v="1899-12-30T14:13:57"/>
    <n v="4058"/>
    <n v="13002561"/>
    <n v="13"/>
    <n v="22589"/>
    <s v="Retail Sale"/>
    <n v="15"/>
    <n v="97444"/>
    <x v="38"/>
    <s v="Pulse"/>
    <s v="KRKA"/>
    <n v="1"/>
    <n v="186.81"/>
    <n v="257.14"/>
    <n v="25.71"/>
    <n v="25.71"/>
    <s v="BONUS_CARD"/>
    <n v="29"/>
    <n v="1"/>
    <n v="4"/>
    <n v="231.43"/>
    <n v="13130003058"/>
  </r>
  <r>
    <x v="29"/>
    <d v="1899-12-30T13:53:24"/>
    <n v="4059"/>
    <n v="13002561"/>
    <n v="13"/>
    <n v="22589"/>
    <s v="Retail Sale"/>
    <n v="15"/>
    <n v="71787"/>
    <x v="33"/>
    <s v="Avesta"/>
    <s v="Takeda"/>
    <n v="2"/>
    <n v="448.41"/>
    <n v="655.5"/>
    <n v="32.770000000000003"/>
    <n v="32.770000000000003"/>
    <s v="BONUS_CARD"/>
    <n v="29"/>
    <n v="1"/>
    <n v="2"/>
    <n v="622.73"/>
    <n v="13130003059"/>
  </r>
  <r>
    <x v="23"/>
    <d v="1899-12-30T15:32:58"/>
    <n v="4060"/>
    <n v="13002561"/>
    <n v="13"/>
    <n v="22589"/>
    <s v="Retail Sale"/>
    <n v="18"/>
    <n v="24467"/>
    <x v="69"/>
    <s v="Avesta"/>
    <s v="KRKA"/>
    <n v="3"/>
    <n v="598.05999999999995"/>
    <n v="813.66"/>
    <n v="40.68"/>
    <n v="40.68"/>
    <s v="BONUS_CARD"/>
    <n v="29"/>
    <n v="1"/>
    <n v="1"/>
    <n v="772.98"/>
    <n v="13130003060"/>
  </r>
  <r>
    <x v="28"/>
    <d v="1899-12-30T14:41:40"/>
    <n v="4061"/>
    <n v="13002561"/>
    <n v="13"/>
    <n v="22589"/>
    <s v="Retail Sale"/>
    <n v="15"/>
    <n v="66098"/>
    <x v="72"/>
    <s v="Protek"/>
    <s v="Pfizer"/>
    <n v="1"/>
    <n v="563.34"/>
    <n v="884.51"/>
    <n v="0"/>
    <n v="0"/>
    <m/>
    <n v="29"/>
    <n v="1"/>
    <n v="2"/>
    <n v="884.51"/>
    <n v="13130003061"/>
  </r>
  <r>
    <x v="6"/>
    <d v="1899-12-30T18:15:01"/>
    <n v="4062"/>
    <n v="13002561"/>
    <n v="13"/>
    <n v="22589"/>
    <s v="Retail Sale"/>
    <n v="15"/>
    <n v="70410"/>
    <x v="85"/>
    <s v="Protek"/>
    <s v="Sanofi"/>
    <n v="1"/>
    <n v="494.56"/>
    <n v="831"/>
    <n v="83.1"/>
    <n v="83.1"/>
    <s v="BONUS_CARD"/>
    <n v="29"/>
    <n v="1"/>
    <n v="4"/>
    <n v="747.9"/>
    <n v="13130003062"/>
  </r>
  <r>
    <x v="9"/>
    <d v="1899-12-30T22:04:12"/>
    <n v="4063"/>
    <n v="13002561"/>
    <n v="13"/>
    <n v="22589"/>
    <s v="Retail Sale"/>
    <n v="18"/>
    <n v="75203"/>
    <x v="87"/>
    <s v="Katren"/>
    <s v="Takeda"/>
    <n v="1"/>
    <n v="386.57"/>
    <n v="567.91"/>
    <n v="56.79"/>
    <n v="56.79"/>
    <s v="BONUS_CARD"/>
    <n v="29"/>
    <n v="1"/>
    <n v="3"/>
    <n v="511.12"/>
    <n v="13130003063"/>
  </r>
  <r>
    <x v="2"/>
    <d v="1899-12-30T19:49:11"/>
    <n v="4064"/>
    <n v="13002561"/>
    <n v="13"/>
    <n v="22589"/>
    <s v="Retail Sale"/>
    <n v="18"/>
    <n v="25940"/>
    <x v="81"/>
    <s v="Pulse"/>
    <s v="Takeda"/>
    <n v="3"/>
    <n v="491.55"/>
    <n v="773.32"/>
    <n v="77.33"/>
    <n v="77.33"/>
    <s v="BONUS_CARD"/>
    <n v="29"/>
    <n v="1"/>
    <n v="1"/>
    <n v="695.99"/>
    <n v="13130003064"/>
  </r>
  <r>
    <x v="8"/>
    <d v="1899-12-30T15:57:28"/>
    <n v="4065"/>
    <n v="13002561"/>
    <n v="13"/>
    <n v="22589"/>
    <s v="Retail Sale"/>
    <n v="18"/>
    <n v="39089"/>
    <x v="28"/>
    <s v="Pharmcomplect"/>
    <s v="KRKA"/>
    <n v="3"/>
    <n v="71.12"/>
    <n v="119.58"/>
    <n v="5.98"/>
    <n v="5.98"/>
    <s v="BONUS_CARD"/>
    <n v="29"/>
    <n v="1"/>
    <n v="4"/>
    <n v="113.6"/>
    <n v="13130003065"/>
  </r>
  <r>
    <x v="8"/>
    <d v="1899-12-30T17:08:55"/>
    <n v="4066"/>
    <n v="13002561"/>
    <n v="13"/>
    <n v="22589"/>
    <s v="Retail Sale"/>
    <n v="15"/>
    <n v="71417"/>
    <x v="59"/>
    <s v="Pulse"/>
    <s v="TEVA"/>
    <n v="2"/>
    <n v="273.86"/>
    <n v="428.66"/>
    <n v="21.43"/>
    <n v="21.43"/>
    <s v="BONUS_CARD"/>
    <n v="29"/>
    <n v="1"/>
    <n v="1"/>
    <n v="407.23"/>
    <n v="13130003066"/>
  </r>
  <r>
    <x v="14"/>
    <d v="1899-12-30T13:11:13"/>
    <n v="4067"/>
    <n v="13002561"/>
    <n v="13"/>
    <n v="22589"/>
    <s v="Retail Sale"/>
    <n v="15"/>
    <n v="70171"/>
    <x v="14"/>
    <s v="Protek"/>
    <s v="Bayer"/>
    <n v="3"/>
    <n v="389.29"/>
    <n v="512.75"/>
    <n v="0"/>
    <n v="0"/>
    <m/>
    <n v="29"/>
    <n v="1"/>
    <n v="1"/>
    <n v="512.75"/>
    <n v="13130003067"/>
  </r>
  <r>
    <x v="30"/>
    <d v="1899-12-30T09:41:24"/>
    <n v="4068"/>
    <n v="13002561"/>
    <n v="13"/>
    <n v="22589"/>
    <s v="Retail Sale"/>
    <n v="15"/>
    <n v="54156"/>
    <x v="33"/>
    <s v="Pharmcomplect"/>
    <s v="Sanofi"/>
    <n v="3"/>
    <n v="158.59"/>
    <n v="223.12"/>
    <n v="22.31"/>
    <n v="22.31"/>
    <s v="BONUS_CARD"/>
    <n v="29"/>
    <n v="1"/>
    <n v="5"/>
    <n v="200.81"/>
    <n v="13130003068"/>
  </r>
  <r>
    <x v="11"/>
    <d v="1899-12-30T20:54:43"/>
    <n v="4069"/>
    <n v="13002561"/>
    <n v="13"/>
    <n v="22589"/>
    <s v="Retail Sale"/>
    <n v="18"/>
    <n v="41445"/>
    <x v="42"/>
    <s v="Pulse"/>
    <s v="Novartis"/>
    <n v="3"/>
    <n v="567.23"/>
    <n v="786.15"/>
    <n v="0"/>
    <n v="0"/>
    <m/>
    <n v="29"/>
    <n v="1"/>
    <n v="6"/>
    <n v="786.15"/>
    <n v="13130003069"/>
  </r>
  <r>
    <x v="11"/>
    <d v="1899-12-30T12:03:44"/>
    <n v="4070"/>
    <n v="13002561"/>
    <n v="13"/>
    <n v="22589"/>
    <s v="Retail Sale"/>
    <n v="15"/>
    <n v="92309"/>
    <x v="46"/>
    <s v="Grand Capital"/>
    <s v="TEVA"/>
    <n v="3"/>
    <n v="406.07"/>
    <n v="593.73"/>
    <n v="0"/>
    <n v="0"/>
    <m/>
    <n v="29"/>
    <n v="1"/>
    <n v="5"/>
    <n v="593.73"/>
    <n v="13130003070"/>
  </r>
  <r>
    <x v="23"/>
    <d v="1899-12-30T13:37:36"/>
    <n v="4071"/>
    <n v="13002561"/>
    <n v="13"/>
    <n v="22589"/>
    <s v="Retail Sale"/>
    <n v="18"/>
    <n v="50914"/>
    <x v="74"/>
    <s v="Protek"/>
    <s v="Sanofi"/>
    <n v="2"/>
    <n v="313.5"/>
    <n v="419.38"/>
    <n v="20.97"/>
    <n v="20.97"/>
    <s v="BONUS_CARD"/>
    <n v="29"/>
    <n v="1"/>
    <n v="1"/>
    <n v="398.41"/>
    <n v="13130003071"/>
  </r>
  <r>
    <x v="4"/>
    <d v="1899-12-30T16:05:20"/>
    <n v="4072"/>
    <n v="13002561"/>
    <n v="13"/>
    <n v="22589"/>
    <s v="Retail Sale"/>
    <n v="15"/>
    <n v="64417"/>
    <x v="55"/>
    <s v="Grand Capital"/>
    <s v="Pfizer"/>
    <n v="2"/>
    <n v="512.05999999999995"/>
    <n v="722.9"/>
    <n v="36.15"/>
    <n v="36.15"/>
    <s v="BONUS_CARD"/>
    <n v="29"/>
    <n v="1"/>
    <n v="5"/>
    <n v="686.75"/>
    <n v="13130003072"/>
  </r>
  <r>
    <x v="17"/>
    <d v="1899-12-30T08:41:15"/>
    <n v="4073"/>
    <n v="13002561"/>
    <n v="13"/>
    <n v="22589"/>
    <s v="Retail Sale"/>
    <n v="18"/>
    <n v="98177"/>
    <x v="18"/>
    <s v="Pulse"/>
    <s v="Novartis"/>
    <n v="1"/>
    <n v="485.67"/>
    <n v="620.24"/>
    <n v="62.02"/>
    <n v="62.02"/>
    <s v="BONUS_CARD"/>
    <n v="29"/>
    <n v="1"/>
    <n v="6"/>
    <n v="558.22"/>
    <n v="13130003073"/>
  </r>
  <r>
    <x v="0"/>
    <d v="1899-12-30T21:55:18"/>
    <n v="4074"/>
    <n v="13002561"/>
    <n v="13"/>
    <n v="22589"/>
    <s v="Retail Sale"/>
    <n v="15"/>
    <n v="35902"/>
    <x v="61"/>
    <s v="Avesta"/>
    <s v="TEVA"/>
    <n v="2"/>
    <n v="90.27"/>
    <n v="150.4"/>
    <n v="0"/>
    <n v="0"/>
    <m/>
    <n v="29"/>
    <n v="1"/>
    <n v="3"/>
    <n v="150.4"/>
    <n v="13130003074"/>
  </r>
  <r>
    <x v="24"/>
    <d v="1899-12-30T08:49:12"/>
    <n v="4075"/>
    <n v="13002561"/>
    <n v="13"/>
    <n v="22589"/>
    <s v="Retail Sale"/>
    <n v="15"/>
    <n v="36005"/>
    <x v="26"/>
    <s v="Pulse"/>
    <s v="Dr. Reddy's"/>
    <n v="3"/>
    <n v="349.73"/>
    <n v="444.15"/>
    <n v="22.21"/>
    <n v="22.21"/>
    <s v="BONUS_CARD"/>
    <n v="29"/>
    <n v="1"/>
    <n v="3"/>
    <n v="421.94"/>
    <n v="13130003075"/>
  </r>
  <r>
    <x v="16"/>
    <d v="1899-12-30T19:37:44"/>
    <n v="4076"/>
    <n v="13002561"/>
    <n v="13"/>
    <n v="22589"/>
    <s v="Retail Sale"/>
    <n v="18"/>
    <n v="71438"/>
    <x v="62"/>
    <s v="Grand Capital"/>
    <s v="KRKA"/>
    <n v="3"/>
    <n v="197.86"/>
    <n v="273.45"/>
    <n v="0"/>
    <n v="0"/>
    <m/>
    <n v="29"/>
    <n v="1"/>
    <n v="5"/>
    <n v="273.45"/>
    <n v="13130003076"/>
  </r>
  <r>
    <x v="18"/>
    <d v="1899-12-30T19:50:08"/>
    <n v="4077"/>
    <n v="13002561"/>
    <n v="13"/>
    <n v="22589"/>
    <s v="Retail Sale"/>
    <n v="18"/>
    <n v="17697"/>
    <x v="42"/>
    <s v="Pulse"/>
    <s v="KRKA"/>
    <n v="1"/>
    <n v="194.28"/>
    <n v="271.35000000000002"/>
    <n v="27.14"/>
    <n v="27.14"/>
    <s v="BONUS_CARD"/>
    <n v="29"/>
    <n v="1"/>
    <n v="3"/>
    <n v="244.21"/>
    <n v="13130003077"/>
  </r>
  <r>
    <x v="15"/>
    <d v="1899-12-30T18:04:53"/>
    <n v="4078"/>
    <n v="13002561"/>
    <n v="13"/>
    <n v="22589"/>
    <s v="Retail Sale"/>
    <n v="15"/>
    <n v="72262"/>
    <x v="56"/>
    <s v="Grand Capital"/>
    <s v="Pfizer"/>
    <n v="2"/>
    <n v="475.68"/>
    <n v="738.57"/>
    <n v="73.86"/>
    <n v="73.86"/>
    <s v="BONUS_CARD"/>
    <n v="29"/>
    <n v="1"/>
    <n v="1"/>
    <n v="664.71"/>
    <n v="13130003078"/>
  </r>
  <r>
    <x v="26"/>
    <d v="1899-12-30T11:46:54"/>
    <n v="4079"/>
    <n v="13002561"/>
    <n v="13"/>
    <n v="22589"/>
    <s v="Retail Sale"/>
    <n v="18"/>
    <n v="81333"/>
    <x v="66"/>
    <s v="Avesta"/>
    <s v="Dr. Reddy's"/>
    <n v="1"/>
    <n v="251.58"/>
    <n v="362.58"/>
    <n v="0"/>
    <n v="0"/>
    <m/>
    <n v="29"/>
    <n v="1"/>
    <n v="1"/>
    <n v="362.58"/>
    <n v="13130003079"/>
  </r>
  <r>
    <x v="9"/>
    <d v="1899-12-30T10:35:13"/>
    <n v="4080"/>
    <n v="13002561"/>
    <n v="13"/>
    <n v="22589"/>
    <s v="Retail Sale"/>
    <n v="18"/>
    <n v="27925"/>
    <x v="33"/>
    <s v="Protek"/>
    <s v="Novartis"/>
    <n v="1"/>
    <n v="432.81"/>
    <n v="565.88"/>
    <n v="28.29"/>
    <n v="28.29"/>
    <s v="BONUS_CARD"/>
    <n v="29"/>
    <n v="1"/>
    <n v="2"/>
    <n v="537.59"/>
    <n v="13130003080"/>
  </r>
  <r>
    <x v="7"/>
    <d v="1899-12-30T08:26:54"/>
    <n v="4081"/>
    <n v="13002561"/>
    <n v="13"/>
    <n v="22589"/>
    <s v="Retail Sale"/>
    <n v="15"/>
    <n v="76341"/>
    <x v="73"/>
    <s v="Katren"/>
    <s v="Bayer"/>
    <n v="3"/>
    <n v="266.04000000000002"/>
    <n v="339.72"/>
    <n v="33.97"/>
    <n v="33.97"/>
    <s v="BONUS_CARD"/>
    <n v="29"/>
    <n v="1"/>
    <n v="1"/>
    <n v="305.75"/>
    <n v="13130003081"/>
  </r>
  <r>
    <x v="27"/>
    <d v="1899-12-30T20:24:38"/>
    <n v="4082"/>
    <n v="13002561"/>
    <n v="13"/>
    <n v="22589"/>
    <s v="Retail Sale"/>
    <n v="15"/>
    <n v="56211"/>
    <x v="71"/>
    <s v="Grand Capital"/>
    <s v="Novartis"/>
    <n v="2"/>
    <n v="336.82"/>
    <n v="554.17999999999995"/>
    <n v="27.71"/>
    <n v="27.71"/>
    <s v="BONUS_CARD"/>
    <n v="29"/>
    <n v="1"/>
    <n v="3"/>
    <n v="526.47"/>
    <n v="13130003082"/>
  </r>
  <r>
    <x v="27"/>
    <d v="1899-12-30T10:24:25"/>
    <n v="4083"/>
    <n v="13002561"/>
    <n v="13"/>
    <n v="22589"/>
    <s v="Retail Sale"/>
    <n v="18"/>
    <n v="20275"/>
    <x v="30"/>
    <s v="Avesta"/>
    <s v="Takeda"/>
    <n v="3"/>
    <n v="443.54"/>
    <n v="640.71"/>
    <n v="32.04"/>
    <n v="32.04"/>
    <s v="BONUS_CARD"/>
    <n v="29"/>
    <n v="1"/>
    <n v="4"/>
    <n v="608.66999999999996"/>
    <n v="13130003083"/>
  </r>
  <r>
    <x v="5"/>
    <d v="1899-12-30T09:58:09"/>
    <n v="4084"/>
    <n v="13002561"/>
    <n v="13"/>
    <n v="22589"/>
    <s v="Retail Sale"/>
    <n v="18"/>
    <n v="33317"/>
    <x v="87"/>
    <s v="Pharmcomplect"/>
    <s v="Pfizer"/>
    <n v="2"/>
    <n v="335.5"/>
    <n v="474.44"/>
    <n v="23.72"/>
    <n v="23.72"/>
    <s v="BONUS_CARD"/>
    <n v="29"/>
    <n v="1"/>
    <n v="3"/>
    <n v="450.72"/>
    <n v="13130003084"/>
  </r>
  <r>
    <x v="11"/>
    <d v="1899-12-30T13:38:04"/>
    <n v="4085"/>
    <n v="13002561"/>
    <n v="13"/>
    <n v="22589"/>
    <s v="Retail Sale"/>
    <n v="15"/>
    <n v="77336"/>
    <x v="43"/>
    <s v="Pulse"/>
    <s v="Novartis"/>
    <n v="1"/>
    <n v="97.77"/>
    <n v="151.56"/>
    <n v="15.16"/>
    <n v="15.16"/>
    <s v="BONUS_CARD"/>
    <n v="29"/>
    <n v="1"/>
    <n v="5"/>
    <n v="136.4"/>
    <n v="13130003085"/>
  </r>
  <r>
    <x v="24"/>
    <d v="1899-12-30T15:31:09"/>
    <n v="4086"/>
    <n v="13002561"/>
    <n v="13"/>
    <n v="22589"/>
    <s v="Retail Sale"/>
    <n v="15"/>
    <n v="78220"/>
    <x v="41"/>
    <s v="Pharmcomplect"/>
    <s v="Bayer"/>
    <n v="1"/>
    <n v="179.18"/>
    <n v="236.59"/>
    <n v="0"/>
    <n v="0"/>
    <m/>
    <n v="29"/>
    <n v="1"/>
    <n v="6"/>
    <n v="236.59"/>
    <n v="13130003086"/>
  </r>
  <r>
    <x v="23"/>
    <d v="1899-12-30T09:13:29"/>
    <n v="4087"/>
    <n v="13002561"/>
    <n v="13"/>
    <n v="22589"/>
    <s v="Retail Sale"/>
    <n v="18"/>
    <n v="30148"/>
    <x v="71"/>
    <s v="Pharmcomplect"/>
    <s v="Sanofi"/>
    <n v="1"/>
    <n v="477.8"/>
    <n v="773.16"/>
    <n v="0"/>
    <n v="0"/>
    <m/>
    <n v="29"/>
    <n v="1"/>
    <n v="2"/>
    <n v="773.16"/>
    <n v="13130003087"/>
  </r>
  <r>
    <x v="18"/>
    <d v="1899-12-30T21:46:43"/>
    <n v="4088"/>
    <n v="13002561"/>
    <n v="13"/>
    <n v="22589"/>
    <s v="Retail Sale"/>
    <n v="18"/>
    <n v="66934"/>
    <x v="23"/>
    <s v="Protek"/>
    <s v="TEVA"/>
    <n v="2"/>
    <n v="205.42"/>
    <n v="334.97"/>
    <n v="0"/>
    <n v="0"/>
    <m/>
    <n v="29"/>
    <n v="1"/>
    <n v="2"/>
    <n v="334.97"/>
    <n v="13130003088"/>
  </r>
  <r>
    <x v="15"/>
    <d v="1899-12-30T20:31:18"/>
    <n v="4089"/>
    <n v="13002561"/>
    <n v="13"/>
    <n v="22589"/>
    <s v="Retail Sale"/>
    <n v="15"/>
    <n v="11511"/>
    <x v="9"/>
    <s v="Katren"/>
    <s v="Sanofi"/>
    <n v="2"/>
    <n v="211.13"/>
    <n v="313.08999999999997"/>
    <n v="0"/>
    <n v="0"/>
    <m/>
    <n v="29"/>
    <n v="1"/>
    <n v="3"/>
    <n v="313.08999999999997"/>
    <n v="13130003089"/>
  </r>
  <r>
    <x v="17"/>
    <d v="1899-12-30T09:15:57"/>
    <n v="4090"/>
    <n v="13002561"/>
    <n v="13"/>
    <n v="22589"/>
    <s v="Retail Sale"/>
    <n v="15"/>
    <n v="17290"/>
    <x v="45"/>
    <s v="Protek"/>
    <s v="TEVA"/>
    <n v="2"/>
    <n v="250.33"/>
    <n v="423.59"/>
    <n v="0"/>
    <n v="0"/>
    <m/>
    <n v="29"/>
    <n v="1"/>
    <n v="2"/>
    <n v="423.59"/>
    <n v="13130003090"/>
  </r>
  <r>
    <x v="20"/>
    <d v="1899-12-30T15:10:01"/>
    <n v="4091"/>
    <n v="13002561"/>
    <n v="13"/>
    <n v="22589"/>
    <s v="Retail Sale"/>
    <n v="15"/>
    <n v="50456"/>
    <x v="47"/>
    <s v="Pharmcomplect"/>
    <s v="TEVA"/>
    <n v="3"/>
    <n v="414.65"/>
    <n v="566.26"/>
    <n v="56.63"/>
    <n v="56.63"/>
    <s v="BONUS_CARD"/>
    <n v="29"/>
    <n v="1"/>
    <n v="4"/>
    <n v="509.63"/>
    <n v="13130003091"/>
  </r>
  <r>
    <x v="8"/>
    <d v="1899-12-30T13:47:24"/>
    <n v="4092"/>
    <n v="13002561"/>
    <n v="13"/>
    <n v="22589"/>
    <s v="Retail Sale"/>
    <n v="15"/>
    <n v="34891"/>
    <x v="33"/>
    <s v="Grand Capital"/>
    <s v="Pfizer"/>
    <n v="3"/>
    <n v="133.19999999999999"/>
    <n v="216.13"/>
    <n v="10.81"/>
    <n v="10.81"/>
    <s v="BONUS_CARD"/>
    <n v="29"/>
    <n v="1"/>
    <n v="6"/>
    <n v="205.32"/>
    <n v="13130003092"/>
  </r>
  <r>
    <x v="9"/>
    <d v="1899-12-30T18:34:32"/>
    <n v="4093"/>
    <n v="13002561"/>
    <n v="13"/>
    <n v="22589"/>
    <s v="Retail Sale"/>
    <n v="18"/>
    <n v="86583"/>
    <x v="40"/>
    <s v="Katren"/>
    <s v="Bayer"/>
    <n v="1"/>
    <n v="90.62"/>
    <n v="153.41"/>
    <n v="15.34"/>
    <n v="15.34"/>
    <s v="BONUS_CARD"/>
    <n v="29"/>
    <n v="1"/>
    <n v="2"/>
    <n v="138.07"/>
    <n v="13130003093"/>
  </r>
  <r>
    <x v="16"/>
    <d v="1899-12-30T13:55:13"/>
    <n v="4094"/>
    <n v="13002561"/>
    <n v="13"/>
    <n v="22589"/>
    <s v="Retail Sale"/>
    <n v="15"/>
    <n v="49454"/>
    <x v="54"/>
    <s v="Katren"/>
    <s v="KRKA"/>
    <n v="2"/>
    <n v="146.09"/>
    <n v="202.23"/>
    <n v="0"/>
    <n v="0"/>
    <m/>
    <n v="29"/>
    <n v="1"/>
    <n v="4"/>
    <n v="202.23"/>
    <n v="13130003094"/>
  </r>
  <r>
    <x v="19"/>
    <d v="1899-12-30T08:02:21"/>
    <n v="4095"/>
    <n v="13002561"/>
    <n v="13"/>
    <n v="22589"/>
    <s v="Retail Sale"/>
    <n v="15"/>
    <n v="63262"/>
    <x v="62"/>
    <s v="Pulse"/>
    <s v="TEVA"/>
    <n v="2"/>
    <n v="247.03"/>
    <n v="415.05"/>
    <n v="41.51"/>
    <n v="41.51"/>
    <s v="BONUS_CARD"/>
    <n v="29"/>
    <n v="1"/>
    <n v="5"/>
    <n v="373.54"/>
    <n v="13130003095"/>
  </r>
  <r>
    <x v="25"/>
    <d v="1899-12-30T16:10:26"/>
    <n v="4096"/>
    <n v="13002561"/>
    <n v="13"/>
    <n v="22589"/>
    <s v="Retail Sale"/>
    <n v="18"/>
    <n v="32918"/>
    <x v="13"/>
    <s v="Avesta"/>
    <s v="Bayer"/>
    <n v="3"/>
    <n v="537.04999999999995"/>
    <n v="903.27"/>
    <n v="0"/>
    <n v="0"/>
    <m/>
    <n v="29"/>
    <n v="1"/>
    <n v="4"/>
    <n v="903.27"/>
    <n v="13130003096"/>
  </r>
  <r>
    <x v="20"/>
    <d v="1899-12-30T11:08:26"/>
    <n v="4097"/>
    <n v="13002561"/>
    <n v="13"/>
    <n v="22589"/>
    <s v="Retail Sale"/>
    <n v="18"/>
    <n v="44668"/>
    <x v="88"/>
    <s v="Pulse"/>
    <s v="Pfizer"/>
    <n v="1"/>
    <n v="81.98"/>
    <n v="125.86"/>
    <n v="0"/>
    <n v="0"/>
    <m/>
    <n v="29"/>
    <n v="1"/>
    <n v="2"/>
    <n v="125.86"/>
    <n v="13130003097"/>
  </r>
  <r>
    <x v="0"/>
    <d v="1899-12-30T16:31:54"/>
    <n v="4098"/>
    <n v="13002561"/>
    <n v="13"/>
    <n v="22589"/>
    <s v="Retail Sale"/>
    <n v="15"/>
    <n v="92109"/>
    <x v="77"/>
    <s v="Katren"/>
    <s v="KRKA"/>
    <n v="1"/>
    <n v="297.41000000000003"/>
    <n v="373.35"/>
    <n v="0"/>
    <n v="0"/>
    <m/>
    <n v="29"/>
    <n v="1"/>
    <n v="6"/>
    <n v="373.35"/>
    <n v="13130003098"/>
  </r>
  <r>
    <x v="12"/>
    <d v="1899-12-30T18:48:15"/>
    <n v="4099"/>
    <n v="13002561"/>
    <n v="13"/>
    <n v="22589"/>
    <s v="Retail Sale"/>
    <n v="15"/>
    <n v="62769"/>
    <x v="13"/>
    <s v="Avesta"/>
    <s v="Takeda"/>
    <n v="2"/>
    <n v="587.08000000000004"/>
    <n v="944.57"/>
    <n v="47.23"/>
    <n v="47.23"/>
    <s v="BONUS_CARD"/>
    <n v="29"/>
    <n v="1"/>
    <n v="5"/>
    <n v="897.34"/>
    <n v="13130003099"/>
  </r>
  <r>
    <x v="20"/>
    <d v="1899-12-30T18:51:11"/>
    <n v="4100"/>
    <n v="13002561"/>
    <n v="13"/>
    <n v="22589"/>
    <s v="Retail Sale"/>
    <n v="18"/>
    <n v="70967"/>
    <x v="32"/>
    <s v="Avesta"/>
    <s v="Sanofi"/>
    <n v="2"/>
    <n v="84.87"/>
    <n v="137.94"/>
    <n v="6.9"/>
    <n v="6.9"/>
    <s v="BONUS_CARD"/>
    <n v="29"/>
    <n v="1"/>
    <n v="3"/>
    <n v="131.04"/>
    <n v="13130003100"/>
  </r>
  <r>
    <x v="6"/>
    <d v="1899-12-30T13:38:55"/>
    <n v="4101"/>
    <n v="13002561"/>
    <n v="13"/>
    <n v="22589"/>
    <s v="Retail Sale"/>
    <n v="15"/>
    <n v="66263"/>
    <x v="31"/>
    <s v="Pulse"/>
    <s v="KRKA"/>
    <n v="1"/>
    <n v="130.1"/>
    <n v="181.59"/>
    <n v="18.16"/>
    <n v="18.16"/>
    <s v="BONUS_CARD"/>
    <n v="29"/>
    <n v="1"/>
    <n v="3"/>
    <n v="163.43"/>
    <n v="13130003101"/>
  </r>
  <r>
    <x v="20"/>
    <d v="1899-12-30T14:53:21"/>
    <n v="4102"/>
    <n v="13002561"/>
    <n v="13"/>
    <n v="22589"/>
    <s v="Retail Sale"/>
    <n v="15"/>
    <n v="63689"/>
    <x v="31"/>
    <s v="Pharmcomplect"/>
    <s v="Sanofi"/>
    <n v="3"/>
    <n v="183.98"/>
    <n v="239.74"/>
    <n v="11.99"/>
    <n v="11.99"/>
    <s v="BONUS_CARD"/>
    <n v="29"/>
    <n v="1"/>
    <n v="6"/>
    <n v="227.75"/>
    <n v="13130003102"/>
  </r>
  <r>
    <x v="19"/>
    <d v="1899-12-30T13:10:18"/>
    <n v="4103"/>
    <n v="13002561"/>
    <n v="13"/>
    <n v="22589"/>
    <s v="Retail Sale"/>
    <n v="15"/>
    <n v="88385"/>
    <x v="33"/>
    <s v="Grand Capital"/>
    <s v="Bayer"/>
    <n v="2"/>
    <n v="97.99"/>
    <n v="126.76"/>
    <n v="0"/>
    <n v="0"/>
    <m/>
    <n v="29"/>
    <n v="1"/>
    <n v="1"/>
    <n v="126.76"/>
    <n v="13130003103"/>
  </r>
  <r>
    <x v="23"/>
    <d v="1899-12-30T17:05:33"/>
    <n v="4104"/>
    <n v="13002561"/>
    <n v="13"/>
    <n v="22589"/>
    <s v="Retail Sale"/>
    <n v="15"/>
    <n v="82496"/>
    <x v="35"/>
    <s v="Protek"/>
    <s v="Pfizer"/>
    <n v="2"/>
    <n v="10.61"/>
    <n v="16.28"/>
    <n v="0.81"/>
    <n v="0.81"/>
    <s v="BONUS_CARD"/>
    <n v="29"/>
    <n v="1"/>
    <n v="3"/>
    <n v="15.47"/>
    <n v="13130003104"/>
  </r>
  <r>
    <x v="28"/>
    <d v="1899-12-30T13:14:38"/>
    <n v="4105"/>
    <n v="13002561"/>
    <n v="13"/>
    <n v="22589"/>
    <s v="Retail Sale"/>
    <n v="15"/>
    <n v="18827"/>
    <x v="55"/>
    <s v="Avesta"/>
    <s v="Sanofi"/>
    <n v="2"/>
    <n v="165.15"/>
    <n v="228.11"/>
    <n v="0"/>
    <n v="0"/>
    <m/>
    <n v="29"/>
    <n v="1"/>
    <n v="1"/>
    <n v="228.11"/>
    <n v="13130003105"/>
  </r>
  <r>
    <x v="10"/>
    <d v="1899-12-30T11:47:53"/>
    <n v="4106"/>
    <n v="13002561"/>
    <n v="13"/>
    <n v="22589"/>
    <s v="Retail Sale"/>
    <n v="18"/>
    <n v="80988"/>
    <x v="53"/>
    <s v="Pharmcomplect"/>
    <s v="Novartis"/>
    <n v="3"/>
    <n v="430.92"/>
    <n v="663.29"/>
    <n v="66.33"/>
    <n v="66.33"/>
    <s v="BONUS_CARD"/>
    <n v="29"/>
    <n v="1"/>
    <n v="4"/>
    <n v="596.96"/>
    <n v="13130003106"/>
  </r>
  <r>
    <x v="17"/>
    <d v="1899-12-30T09:33:01"/>
    <n v="4107"/>
    <n v="13002561"/>
    <n v="13"/>
    <n v="22589"/>
    <s v="Retail Sale"/>
    <n v="18"/>
    <n v="18928"/>
    <x v="14"/>
    <s v="Katren"/>
    <s v="Bayer"/>
    <n v="2"/>
    <n v="232.9"/>
    <n v="392.94"/>
    <n v="0"/>
    <n v="0"/>
    <m/>
    <n v="29"/>
    <n v="1"/>
    <n v="2"/>
    <n v="392.94"/>
    <n v="13130003107"/>
  </r>
  <r>
    <x v="29"/>
    <d v="1899-12-30T13:45:54"/>
    <n v="4108"/>
    <n v="13002561"/>
    <n v="13"/>
    <n v="22589"/>
    <s v="Retail Sale"/>
    <n v="15"/>
    <n v="97012"/>
    <x v="76"/>
    <s v="Avesta"/>
    <s v="Takeda"/>
    <n v="1"/>
    <n v="453.15"/>
    <n v="659.48"/>
    <n v="32.97"/>
    <n v="32.97"/>
    <s v="BONUS_CARD"/>
    <n v="29"/>
    <n v="1"/>
    <n v="6"/>
    <n v="626.51"/>
    <n v="13130003108"/>
  </r>
  <r>
    <x v="15"/>
    <d v="1899-12-30T08:15:45"/>
    <n v="4109"/>
    <n v="13002561"/>
    <n v="13"/>
    <n v="22589"/>
    <s v="Retail Sale"/>
    <n v="18"/>
    <n v="58477"/>
    <x v="71"/>
    <s v="Pulse"/>
    <s v="TEVA"/>
    <n v="2"/>
    <n v="480.61"/>
    <n v="781.41"/>
    <n v="0"/>
    <n v="0"/>
    <m/>
    <n v="29"/>
    <n v="1"/>
    <n v="6"/>
    <n v="781.41"/>
    <n v="13130003109"/>
  </r>
  <r>
    <x v="28"/>
    <d v="1899-12-30T19:15:57"/>
    <n v="4110"/>
    <n v="13002561"/>
    <n v="13"/>
    <n v="22589"/>
    <s v="Retail Sale"/>
    <n v="18"/>
    <n v="51309"/>
    <x v="80"/>
    <s v="Pulse"/>
    <s v="Novartis"/>
    <n v="2"/>
    <n v="391.58"/>
    <n v="603.11"/>
    <n v="0"/>
    <n v="0"/>
    <m/>
    <n v="29"/>
    <n v="1"/>
    <n v="4"/>
    <n v="603.11"/>
    <n v="13130003110"/>
  </r>
  <r>
    <x v="28"/>
    <d v="1899-12-30T10:25:33"/>
    <n v="4111"/>
    <n v="13002561"/>
    <n v="13"/>
    <n v="22589"/>
    <s v="Retail Sale"/>
    <n v="15"/>
    <n v="63934"/>
    <x v="44"/>
    <s v="Pharmcomplect"/>
    <s v="TEVA"/>
    <n v="3"/>
    <n v="218.91"/>
    <n v="294.37"/>
    <n v="14.72"/>
    <n v="14.72"/>
    <s v="BONUS_CARD"/>
    <n v="29"/>
    <n v="1"/>
    <n v="6"/>
    <n v="279.64999999999998"/>
    <n v="13130003111"/>
  </r>
  <r>
    <x v="19"/>
    <d v="1899-12-30T08:50:26"/>
    <n v="4112"/>
    <n v="13002561"/>
    <n v="13"/>
    <n v="22589"/>
    <s v="Retail Sale"/>
    <n v="15"/>
    <n v="88850"/>
    <x v="45"/>
    <s v="Avesta"/>
    <s v="Sanofi"/>
    <n v="3"/>
    <n v="382.35"/>
    <n v="649.71"/>
    <n v="64.97"/>
    <n v="64.97"/>
    <s v="BONUS_CARD"/>
    <n v="29"/>
    <n v="1"/>
    <n v="2"/>
    <n v="584.74"/>
    <n v="13130003112"/>
  </r>
  <r>
    <x v="29"/>
    <d v="1899-12-30T12:37:38"/>
    <n v="4113"/>
    <n v="13002561"/>
    <n v="13"/>
    <n v="22589"/>
    <s v="Retail Sale"/>
    <n v="18"/>
    <n v="87058"/>
    <x v="44"/>
    <s v="Pharmcomplect"/>
    <s v="KRKA"/>
    <n v="3"/>
    <n v="510.82"/>
    <n v="855.03"/>
    <n v="42.75"/>
    <n v="42.75"/>
    <s v="BONUS_CARD"/>
    <n v="29"/>
    <n v="1"/>
    <n v="3"/>
    <n v="812.28"/>
    <n v="13130003113"/>
  </r>
  <r>
    <x v="2"/>
    <d v="1899-12-30T21:50:36"/>
    <n v="4114"/>
    <n v="13002561"/>
    <n v="13"/>
    <n v="22589"/>
    <s v="Retail Sale"/>
    <n v="15"/>
    <n v="14963"/>
    <x v="56"/>
    <s v="Katren"/>
    <s v="TEVA"/>
    <n v="3"/>
    <n v="153.11000000000001"/>
    <n v="223.93"/>
    <n v="22.39"/>
    <n v="22.39"/>
    <s v="BONUS_CARD"/>
    <n v="29"/>
    <n v="1"/>
    <n v="1"/>
    <n v="201.54"/>
    <n v="13130003114"/>
  </r>
  <r>
    <x v="7"/>
    <d v="1899-12-30T20:57:34"/>
    <n v="4115"/>
    <n v="13002561"/>
    <n v="13"/>
    <n v="22589"/>
    <s v="Retail Sale"/>
    <n v="15"/>
    <n v="67059"/>
    <x v="67"/>
    <s v="Katren"/>
    <s v="Bayer"/>
    <n v="1"/>
    <n v="267.77999999999997"/>
    <n v="439.54"/>
    <n v="43.95"/>
    <n v="43.95"/>
    <s v="BONUS_CARD"/>
    <n v="29"/>
    <n v="1"/>
    <n v="1"/>
    <n v="395.59"/>
    <n v="13130003115"/>
  </r>
  <r>
    <x v="23"/>
    <d v="1899-12-30T15:04:13"/>
    <n v="4116"/>
    <n v="13002561"/>
    <n v="13"/>
    <n v="22589"/>
    <s v="Retail Sale"/>
    <n v="15"/>
    <n v="51765"/>
    <x v="87"/>
    <s v="Pharmcomplect"/>
    <s v="Takeda"/>
    <n v="3"/>
    <n v="414.99"/>
    <n v="538.51"/>
    <n v="0"/>
    <n v="0"/>
    <m/>
    <n v="29"/>
    <n v="1"/>
    <n v="4"/>
    <n v="538.51"/>
    <n v="13130003116"/>
  </r>
  <r>
    <x v="30"/>
    <d v="1899-12-30T14:26:35"/>
    <n v="4117"/>
    <n v="13002561"/>
    <n v="13"/>
    <n v="22589"/>
    <s v="Retail Sale"/>
    <n v="15"/>
    <n v="56542"/>
    <x v="71"/>
    <s v="Avesta"/>
    <s v="Novartis"/>
    <n v="3"/>
    <n v="582.41"/>
    <n v="965.63"/>
    <n v="96.56"/>
    <n v="96.56"/>
    <s v="BONUS_CARD"/>
    <n v="29"/>
    <n v="1"/>
    <n v="3"/>
    <n v="869.07"/>
    <n v="13130003117"/>
  </r>
  <r>
    <x v="25"/>
    <d v="1899-12-30T19:12:48"/>
    <n v="4118"/>
    <n v="13002561"/>
    <n v="13"/>
    <n v="22589"/>
    <s v="Retail Sale"/>
    <n v="18"/>
    <n v="40982"/>
    <x v="28"/>
    <s v="Pharmcomplect"/>
    <s v="Takeda"/>
    <n v="3"/>
    <n v="539.24"/>
    <n v="769.53"/>
    <n v="38.479999999999997"/>
    <n v="38.479999999999997"/>
    <s v="BONUS_CARD"/>
    <n v="29"/>
    <n v="1"/>
    <n v="4"/>
    <n v="731.05"/>
    <n v="13130003118"/>
  </r>
  <r>
    <x v="16"/>
    <d v="1899-12-30T15:11:44"/>
    <n v="4119"/>
    <n v="13002561"/>
    <n v="13"/>
    <n v="22589"/>
    <s v="Retail Sale"/>
    <n v="18"/>
    <n v="28130"/>
    <x v="33"/>
    <s v="Avesta"/>
    <s v="Bayer"/>
    <n v="1"/>
    <n v="489.4"/>
    <n v="614.08000000000004"/>
    <n v="0"/>
    <n v="0"/>
    <m/>
    <n v="29"/>
    <n v="1"/>
    <n v="6"/>
    <n v="614.08000000000004"/>
    <n v="13130003119"/>
  </r>
  <r>
    <x v="24"/>
    <d v="1899-12-30T17:09:56"/>
    <n v="4120"/>
    <n v="13002561"/>
    <n v="13"/>
    <n v="22589"/>
    <s v="Retail Sale"/>
    <n v="18"/>
    <n v="20337"/>
    <x v="20"/>
    <s v="Protek"/>
    <s v="Bayer"/>
    <n v="1"/>
    <n v="508.58"/>
    <n v="841.7"/>
    <n v="84.17"/>
    <n v="84.17"/>
    <s v="BONUS_CARD"/>
    <n v="29"/>
    <n v="1"/>
    <n v="4"/>
    <n v="757.53"/>
    <n v="13130003120"/>
  </r>
  <r>
    <x v="4"/>
    <d v="1899-12-30T12:12:46"/>
    <n v="4121"/>
    <n v="13002561"/>
    <n v="13"/>
    <n v="22589"/>
    <s v="Retail Sale"/>
    <n v="18"/>
    <n v="82824"/>
    <x v="74"/>
    <s v="Grand Capital"/>
    <s v="Novartis"/>
    <n v="1"/>
    <n v="336.48"/>
    <n v="566.54999999999995"/>
    <n v="0"/>
    <n v="0"/>
    <m/>
    <n v="29"/>
    <n v="1"/>
    <n v="1"/>
    <n v="566.54999999999995"/>
    <n v="13130003121"/>
  </r>
  <r>
    <x v="27"/>
    <d v="1899-12-30T17:21:58"/>
    <n v="4122"/>
    <n v="13002561"/>
    <n v="13"/>
    <n v="22589"/>
    <s v="Retail Sale"/>
    <n v="15"/>
    <n v="47084"/>
    <x v="42"/>
    <s v="Grand Capital"/>
    <s v="TEVA"/>
    <n v="1"/>
    <n v="128.55000000000001"/>
    <n v="197.8"/>
    <n v="9.89"/>
    <n v="9.89"/>
    <s v="BONUS_CARD"/>
    <n v="29"/>
    <n v="1"/>
    <n v="4"/>
    <n v="187.91"/>
    <n v="13130003122"/>
  </r>
  <r>
    <x v="27"/>
    <d v="1899-12-30T12:28:31"/>
    <n v="4123"/>
    <n v="13002561"/>
    <n v="13"/>
    <n v="22589"/>
    <s v="Retail Sale"/>
    <n v="15"/>
    <n v="25860"/>
    <x v="53"/>
    <s v="Katren"/>
    <s v="KRKA"/>
    <n v="3"/>
    <n v="397.91"/>
    <n v="546.03"/>
    <n v="54.6"/>
    <n v="54.6"/>
    <s v="BONUS_CARD"/>
    <n v="29"/>
    <n v="1"/>
    <n v="6"/>
    <n v="491.43"/>
    <n v="13130003123"/>
  </r>
  <r>
    <x v="14"/>
    <d v="1899-12-30T10:22:30"/>
    <n v="4124"/>
    <n v="13002561"/>
    <n v="13"/>
    <n v="22589"/>
    <s v="Retail Sale"/>
    <n v="18"/>
    <n v="77572"/>
    <x v="11"/>
    <s v="Grand Capital"/>
    <s v="Bayer"/>
    <n v="3"/>
    <n v="183.16"/>
    <n v="233.71"/>
    <n v="0"/>
    <n v="0"/>
    <m/>
    <n v="29"/>
    <n v="1"/>
    <n v="2"/>
    <n v="233.71"/>
    <n v="13130003124"/>
  </r>
  <r>
    <x v="7"/>
    <d v="1899-12-30T12:08:17"/>
    <n v="4125"/>
    <n v="13002561"/>
    <n v="13"/>
    <n v="22589"/>
    <s v="Retail Sale"/>
    <n v="18"/>
    <n v="15959"/>
    <x v="66"/>
    <s v="Grand Capital"/>
    <s v="Dr. Reddy's"/>
    <n v="1"/>
    <n v="145.51"/>
    <n v="237.13"/>
    <n v="23.71"/>
    <n v="23.71"/>
    <s v="BONUS_CARD"/>
    <n v="29"/>
    <n v="1"/>
    <n v="1"/>
    <n v="213.42"/>
    <n v="13130003125"/>
  </r>
  <r>
    <x v="10"/>
    <d v="1899-12-30T22:52:25"/>
    <n v="4126"/>
    <n v="13002561"/>
    <n v="13"/>
    <n v="22589"/>
    <s v="Retail Sale"/>
    <n v="18"/>
    <n v="47471"/>
    <x v="73"/>
    <s v="Protek"/>
    <s v="KRKA"/>
    <n v="1"/>
    <n v="88.09"/>
    <n v="123.36"/>
    <n v="12.34"/>
    <n v="12.34"/>
    <s v="BONUS_CARD"/>
    <n v="29"/>
    <n v="1"/>
    <n v="3"/>
    <n v="111.02"/>
    <n v="13130003126"/>
  </r>
  <r>
    <x v="0"/>
    <d v="1899-12-30T22:44:36"/>
    <n v="4127"/>
    <n v="13002561"/>
    <n v="13"/>
    <n v="22589"/>
    <s v="Retail Sale"/>
    <n v="15"/>
    <n v="18604"/>
    <x v="4"/>
    <s v="Avesta"/>
    <s v="Bayer"/>
    <n v="2"/>
    <n v="592.04"/>
    <n v="758.83"/>
    <n v="37.94"/>
    <n v="37.94"/>
    <s v="BONUS_CARD"/>
    <n v="29"/>
    <n v="1"/>
    <n v="3"/>
    <n v="720.89"/>
    <n v="13130003127"/>
  </r>
  <r>
    <x v="4"/>
    <d v="1899-12-30T16:52:57"/>
    <n v="4128"/>
    <n v="13002561"/>
    <n v="13"/>
    <n v="22589"/>
    <s v="Retail Sale"/>
    <n v="15"/>
    <n v="34647"/>
    <x v="2"/>
    <s v="Pulse"/>
    <s v="Takeda"/>
    <n v="2"/>
    <n v="553.65"/>
    <n v="713.16"/>
    <n v="35.659999999999997"/>
    <n v="35.659999999999997"/>
    <s v="BONUS_CARD"/>
    <n v="29"/>
    <n v="1"/>
    <n v="5"/>
    <n v="677.5"/>
    <n v="13130003128"/>
  </r>
  <r>
    <x v="26"/>
    <d v="1899-12-30T12:30:26"/>
    <n v="4129"/>
    <n v="13002561"/>
    <n v="13"/>
    <n v="22589"/>
    <s v="Retail Sale"/>
    <n v="18"/>
    <n v="86541"/>
    <x v="28"/>
    <s v="Pulse"/>
    <s v="Bayer"/>
    <n v="1"/>
    <n v="232.67"/>
    <n v="337.27"/>
    <n v="33.729999999999997"/>
    <n v="33.729999999999997"/>
    <s v="BONUS_CARD"/>
    <n v="29"/>
    <n v="1"/>
    <n v="3"/>
    <n v="303.54000000000002"/>
    <n v="13130003129"/>
  </r>
  <r>
    <x v="17"/>
    <d v="1899-12-30T08:10:27"/>
    <n v="4130"/>
    <n v="13002561"/>
    <n v="13"/>
    <n v="22589"/>
    <s v="Retail Sale"/>
    <n v="18"/>
    <n v="49831"/>
    <x v="61"/>
    <s v="Pulse"/>
    <s v="Sanofi"/>
    <n v="2"/>
    <n v="447"/>
    <n v="713.1"/>
    <n v="71.31"/>
    <n v="71.31"/>
    <s v="BONUS_CARD"/>
    <n v="29"/>
    <n v="1"/>
    <n v="3"/>
    <n v="641.79"/>
    <n v="13130003130"/>
  </r>
  <r>
    <x v="18"/>
    <d v="1899-12-30T16:47:34"/>
    <n v="4131"/>
    <n v="13002561"/>
    <n v="13"/>
    <n v="22589"/>
    <s v="Retail Sale"/>
    <n v="15"/>
    <n v="83988"/>
    <x v="73"/>
    <s v="Avesta"/>
    <s v="Novartis"/>
    <n v="1"/>
    <n v="366.83"/>
    <n v="530.26"/>
    <n v="53.03"/>
    <n v="53.03"/>
    <s v="BONUS_CARD"/>
    <n v="29"/>
    <n v="1"/>
    <n v="6"/>
    <n v="477.23"/>
    <n v="13130003131"/>
  </r>
  <r>
    <x v="10"/>
    <d v="1899-12-30T08:57:54"/>
    <n v="4132"/>
    <n v="13002561"/>
    <n v="13"/>
    <n v="22589"/>
    <s v="Retail Sale"/>
    <n v="18"/>
    <n v="16756"/>
    <x v="45"/>
    <s v="Pulse"/>
    <s v="Pfizer"/>
    <n v="3"/>
    <n v="275.86"/>
    <n v="459.06"/>
    <n v="45.91"/>
    <n v="45.91"/>
    <s v="BONUS_CARD"/>
    <n v="29"/>
    <n v="1"/>
    <n v="4"/>
    <n v="413.15"/>
    <n v="13130003132"/>
  </r>
  <r>
    <x v="8"/>
    <d v="1899-12-30T20:10:07"/>
    <n v="4133"/>
    <n v="13002561"/>
    <n v="13"/>
    <n v="22589"/>
    <s v="Retail Sale"/>
    <n v="18"/>
    <n v="16077"/>
    <x v="15"/>
    <s v="Pulse"/>
    <s v="TEVA"/>
    <n v="1"/>
    <n v="213.37"/>
    <n v="330.69"/>
    <n v="16.53"/>
    <n v="16.53"/>
    <s v="BONUS_CARD"/>
    <n v="29"/>
    <n v="1"/>
    <n v="4"/>
    <n v="314.16000000000003"/>
    <n v="13130003133"/>
  </r>
  <r>
    <x v="5"/>
    <d v="1899-12-30T14:43:46"/>
    <n v="4134"/>
    <n v="13002561"/>
    <n v="13"/>
    <n v="22589"/>
    <s v="Retail Sale"/>
    <n v="18"/>
    <n v="73326"/>
    <x v="37"/>
    <s v="Grand Capital"/>
    <s v="TEVA"/>
    <n v="1"/>
    <n v="178.99"/>
    <n v="238.96"/>
    <n v="0"/>
    <n v="0"/>
    <m/>
    <n v="29"/>
    <n v="1"/>
    <n v="4"/>
    <n v="238.96"/>
    <n v="13130003134"/>
  </r>
  <r>
    <x v="0"/>
    <d v="1899-12-30T08:46:25"/>
    <n v="4135"/>
    <n v="13002561"/>
    <n v="13"/>
    <n v="22589"/>
    <s v="Retail Sale"/>
    <n v="15"/>
    <n v="95940"/>
    <x v="84"/>
    <s v="Protek"/>
    <s v="Bayer"/>
    <n v="3"/>
    <n v="279.95999999999998"/>
    <n v="429.04"/>
    <n v="21.45"/>
    <n v="21.45"/>
    <s v="BONUS_CARD"/>
    <n v="29"/>
    <n v="1"/>
    <n v="1"/>
    <n v="407.59"/>
    <n v="13130003135"/>
  </r>
  <r>
    <x v="19"/>
    <d v="1899-12-30T17:51:28"/>
    <n v="4136"/>
    <n v="13002561"/>
    <n v="13"/>
    <n v="22589"/>
    <s v="Retail Sale"/>
    <n v="18"/>
    <n v="95135"/>
    <x v="30"/>
    <s v="Pharmcomplect"/>
    <s v="Sanofi"/>
    <n v="1"/>
    <n v="320.76"/>
    <n v="435.71"/>
    <n v="21.79"/>
    <n v="21.79"/>
    <s v="BONUS_CARD"/>
    <n v="29"/>
    <n v="1"/>
    <n v="6"/>
    <n v="413.92"/>
    <n v="13130003136"/>
  </r>
  <r>
    <x v="5"/>
    <d v="1899-12-30T21:31:09"/>
    <n v="4137"/>
    <n v="13002561"/>
    <n v="13"/>
    <n v="22589"/>
    <s v="Retail Sale"/>
    <n v="15"/>
    <n v="92450"/>
    <x v="59"/>
    <s v="Katren"/>
    <s v="Dr. Reddy's"/>
    <n v="1"/>
    <n v="481.23"/>
    <n v="779.55"/>
    <n v="38.979999999999997"/>
    <n v="38.979999999999997"/>
    <s v="BONUS_CARD"/>
    <n v="29"/>
    <n v="1"/>
    <n v="2"/>
    <n v="740.57"/>
    <n v="13130003137"/>
  </r>
  <r>
    <x v="11"/>
    <d v="1899-12-30T10:06:49"/>
    <n v="4138"/>
    <n v="13002561"/>
    <n v="13"/>
    <n v="22589"/>
    <s v="Retail Sale"/>
    <n v="15"/>
    <n v="66404"/>
    <x v="26"/>
    <s v="Pulse"/>
    <s v="KRKA"/>
    <n v="3"/>
    <n v="498.81"/>
    <n v="804.36"/>
    <n v="80.44"/>
    <n v="80.44"/>
    <s v="BONUS_CARD"/>
    <n v="29"/>
    <n v="1"/>
    <n v="4"/>
    <n v="723.92"/>
    <n v="13130003138"/>
  </r>
  <r>
    <x v="14"/>
    <d v="1899-12-30T16:21:18"/>
    <n v="4139"/>
    <n v="13002561"/>
    <n v="13"/>
    <n v="22589"/>
    <s v="Retail Sale"/>
    <n v="18"/>
    <n v="89505"/>
    <x v="31"/>
    <s v="Protek"/>
    <s v="Takeda"/>
    <n v="3"/>
    <n v="66.12"/>
    <n v="94.79"/>
    <n v="0"/>
    <n v="0"/>
    <m/>
    <n v="29"/>
    <n v="1"/>
    <n v="2"/>
    <n v="94.79"/>
    <n v="13130003139"/>
  </r>
  <r>
    <x v="15"/>
    <d v="1899-12-30T11:09:18"/>
    <n v="4140"/>
    <n v="13002561"/>
    <n v="13"/>
    <n v="22589"/>
    <s v="Retail Sale"/>
    <n v="15"/>
    <n v="41932"/>
    <x v="33"/>
    <s v="Avesta"/>
    <s v="KRKA"/>
    <n v="3"/>
    <n v="450.88"/>
    <n v="592.5"/>
    <n v="59.25"/>
    <n v="59.25"/>
    <s v="BONUS_CARD"/>
    <n v="29"/>
    <n v="1"/>
    <n v="5"/>
    <n v="533.25"/>
    <n v="13130003140"/>
  </r>
  <r>
    <x v="14"/>
    <d v="1899-12-30T21:48:08"/>
    <n v="4141"/>
    <n v="13002561"/>
    <n v="13"/>
    <n v="22589"/>
    <s v="Retail Sale"/>
    <n v="18"/>
    <n v="67414"/>
    <x v="30"/>
    <s v="Grand Capital"/>
    <s v="KRKA"/>
    <n v="2"/>
    <n v="8.94"/>
    <n v="11.71"/>
    <n v="1.17"/>
    <n v="1.17"/>
    <s v="BONUS_CARD"/>
    <n v="29"/>
    <n v="1"/>
    <n v="4"/>
    <n v="10.54"/>
    <n v="13130003141"/>
  </r>
  <r>
    <x v="23"/>
    <d v="1899-12-30T14:25:43"/>
    <n v="4142"/>
    <n v="13002561"/>
    <n v="13"/>
    <n v="22589"/>
    <s v="Retail Sale"/>
    <n v="18"/>
    <n v="29813"/>
    <x v="8"/>
    <s v="Grand Capital"/>
    <s v="TEVA"/>
    <n v="2"/>
    <n v="390.59"/>
    <n v="526.52"/>
    <n v="26.33"/>
    <n v="26.33"/>
    <s v="BONUS_CARD"/>
    <n v="29"/>
    <n v="1"/>
    <n v="4"/>
    <n v="500.19"/>
    <n v="13130003142"/>
  </r>
  <r>
    <x v="15"/>
    <d v="1899-12-30T22:49:55"/>
    <n v="4143"/>
    <n v="13002561"/>
    <n v="13"/>
    <n v="22589"/>
    <s v="Retail Sale"/>
    <n v="15"/>
    <n v="27785"/>
    <x v="33"/>
    <s v="Avesta"/>
    <s v="Novartis"/>
    <n v="3"/>
    <n v="85.32"/>
    <n v="108.41"/>
    <n v="5.42"/>
    <n v="5.42"/>
    <s v="BONUS_CARD"/>
    <n v="29"/>
    <n v="1"/>
    <n v="6"/>
    <n v="102.99"/>
    <n v="13130003143"/>
  </r>
  <r>
    <x v="3"/>
    <d v="1899-12-30T13:00:11"/>
    <n v="4144"/>
    <n v="13002561"/>
    <n v="13"/>
    <n v="22589"/>
    <s v="Retail Sale"/>
    <n v="18"/>
    <n v="11108"/>
    <x v="78"/>
    <s v="Pharmcomplect"/>
    <s v="TEVA"/>
    <n v="2"/>
    <n v="394.72"/>
    <n v="617.79"/>
    <n v="0"/>
    <n v="0"/>
    <m/>
    <n v="29"/>
    <n v="1"/>
    <n v="4"/>
    <n v="617.79"/>
    <n v="13130003144"/>
  </r>
  <r>
    <x v="20"/>
    <d v="1899-12-30T16:36:21"/>
    <n v="4145"/>
    <n v="13002561"/>
    <n v="13"/>
    <n v="22589"/>
    <s v="Retail Sale"/>
    <n v="15"/>
    <n v="10858"/>
    <x v="81"/>
    <s v="Protek"/>
    <s v="Dr. Reddy's"/>
    <n v="2"/>
    <n v="211.3"/>
    <n v="293.12"/>
    <n v="29.31"/>
    <n v="29.31"/>
    <s v="BONUS_CARD"/>
    <n v="29"/>
    <n v="1"/>
    <n v="4"/>
    <n v="263.81"/>
    <n v="13130003145"/>
  </r>
  <r>
    <x v="30"/>
    <d v="1899-12-30T17:11:46"/>
    <n v="4146"/>
    <n v="13002561"/>
    <n v="13"/>
    <n v="22589"/>
    <s v="Retail Sale"/>
    <n v="18"/>
    <n v="55351"/>
    <x v="55"/>
    <s v="Katren"/>
    <s v="Takeda"/>
    <n v="3"/>
    <n v="74.69"/>
    <n v="122.07"/>
    <n v="0"/>
    <n v="0"/>
    <m/>
    <n v="29"/>
    <n v="1"/>
    <n v="4"/>
    <n v="122.07"/>
    <n v="13130003146"/>
  </r>
  <r>
    <x v="28"/>
    <d v="1899-12-30T11:21:26"/>
    <n v="4147"/>
    <n v="13002561"/>
    <n v="13"/>
    <n v="22589"/>
    <s v="Retail Sale"/>
    <n v="15"/>
    <n v="74823"/>
    <x v="89"/>
    <s v="Protek"/>
    <s v="Novartis"/>
    <n v="1"/>
    <n v="404.54"/>
    <n v="559.01"/>
    <n v="0"/>
    <n v="0"/>
    <m/>
    <n v="29"/>
    <n v="1"/>
    <n v="2"/>
    <n v="559.01"/>
    <n v="13130003147"/>
  </r>
  <r>
    <x v="9"/>
    <d v="1899-12-30T14:27:53"/>
    <n v="4148"/>
    <n v="13002561"/>
    <n v="13"/>
    <n v="22589"/>
    <s v="Retail Sale"/>
    <n v="15"/>
    <n v="26296"/>
    <x v="84"/>
    <s v="Protek"/>
    <s v="KRKA"/>
    <n v="3"/>
    <n v="398.27"/>
    <n v="584.36"/>
    <n v="0"/>
    <n v="0"/>
    <m/>
    <n v="29"/>
    <n v="1"/>
    <n v="5"/>
    <n v="584.36"/>
    <n v="13130003148"/>
  </r>
  <r>
    <x v="7"/>
    <d v="1899-12-30T12:09:48"/>
    <n v="4149"/>
    <n v="13002561"/>
    <n v="13"/>
    <n v="22589"/>
    <s v="Retail Sale"/>
    <n v="18"/>
    <n v="61450"/>
    <x v="22"/>
    <s v="Pulse"/>
    <s v="Takeda"/>
    <n v="2"/>
    <n v="409.81"/>
    <n v="606.08000000000004"/>
    <n v="60.61"/>
    <n v="60.61"/>
    <s v="BONUS_CARD"/>
    <n v="29"/>
    <n v="1"/>
    <n v="2"/>
    <n v="545.47"/>
    <n v="13130003149"/>
  </r>
  <r>
    <x v="18"/>
    <d v="1899-12-30T11:54:37"/>
    <n v="4150"/>
    <n v="13002561"/>
    <n v="13"/>
    <n v="22589"/>
    <s v="Retail Sale"/>
    <n v="15"/>
    <n v="42802"/>
    <x v="66"/>
    <s v="Protek"/>
    <s v="Dr. Reddy's"/>
    <n v="1"/>
    <n v="527.44000000000005"/>
    <n v="809.13"/>
    <n v="80.91"/>
    <n v="80.91"/>
    <s v="BONUS_CARD"/>
    <n v="29"/>
    <n v="1"/>
    <n v="3"/>
    <n v="728.22"/>
    <n v="13130003150"/>
  </r>
  <r>
    <x v="27"/>
    <d v="1899-12-30T13:27:18"/>
    <n v="4151"/>
    <n v="13002561"/>
    <n v="13"/>
    <n v="22589"/>
    <s v="Retail Sale"/>
    <n v="18"/>
    <n v="83164"/>
    <x v="81"/>
    <s v="Grand Capital"/>
    <s v="Pfizer"/>
    <n v="1"/>
    <n v="211.69"/>
    <n v="357.42"/>
    <n v="35.74"/>
    <n v="35.74"/>
    <s v="BONUS_CARD"/>
    <n v="29"/>
    <n v="1"/>
    <n v="3"/>
    <n v="321.68"/>
    <n v="13130003151"/>
  </r>
  <r>
    <x v="4"/>
    <d v="1899-12-30T20:24:56"/>
    <n v="4152"/>
    <n v="13002561"/>
    <n v="13"/>
    <n v="22589"/>
    <s v="Retail Sale"/>
    <n v="15"/>
    <n v="96542"/>
    <x v="12"/>
    <s v="Avesta"/>
    <s v="TEVA"/>
    <n v="2"/>
    <n v="528.74"/>
    <n v="891.91"/>
    <n v="89.19"/>
    <n v="89.19"/>
    <s v="BONUS_CARD"/>
    <n v="29"/>
    <n v="1"/>
    <n v="1"/>
    <n v="802.72"/>
    <n v="13130003152"/>
  </r>
  <r>
    <x v="23"/>
    <d v="1899-12-30T15:53:35"/>
    <n v="4153"/>
    <n v="13002561"/>
    <n v="13"/>
    <n v="22589"/>
    <s v="Retail Sale"/>
    <n v="18"/>
    <n v="22716"/>
    <x v="36"/>
    <s v="Katren"/>
    <s v="Takeda"/>
    <n v="3"/>
    <n v="260.54000000000002"/>
    <n v="408.76"/>
    <n v="40.880000000000003"/>
    <n v="40.880000000000003"/>
    <s v="BONUS_CARD"/>
    <n v="29"/>
    <n v="1"/>
    <n v="6"/>
    <n v="367.88"/>
    <n v="13130003153"/>
  </r>
  <r>
    <x v="29"/>
    <d v="1899-12-30T09:27:53"/>
    <n v="4154"/>
    <n v="13002561"/>
    <n v="13"/>
    <n v="22589"/>
    <s v="Retail Sale"/>
    <n v="18"/>
    <n v="27433"/>
    <x v="67"/>
    <s v="Grand Capital"/>
    <s v="Takeda"/>
    <n v="1"/>
    <n v="380.84"/>
    <n v="536.03"/>
    <n v="26.8"/>
    <n v="26.8"/>
    <s v="BONUS_CARD"/>
    <n v="29"/>
    <n v="1"/>
    <n v="1"/>
    <n v="509.23"/>
    <n v="13130003154"/>
  </r>
  <r>
    <x v="13"/>
    <d v="1899-12-30T22:07:22"/>
    <n v="4155"/>
    <n v="13002561"/>
    <n v="13"/>
    <n v="22589"/>
    <s v="Retail Sale"/>
    <n v="15"/>
    <n v="44756"/>
    <x v="77"/>
    <s v="Grand Capital"/>
    <s v="Bayer"/>
    <n v="3"/>
    <n v="532.09"/>
    <n v="689.89"/>
    <n v="68.989999999999995"/>
    <n v="68.989999999999995"/>
    <s v="BONUS_CARD"/>
    <n v="29"/>
    <n v="1"/>
    <n v="2"/>
    <n v="620.9"/>
    <n v="13130003155"/>
  </r>
  <r>
    <x v="2"/>
    <d v="1899-12-30T11:04:59"/>
    <n v="4156"/>
    <n v="13002561"/>
    <n v="13"/>
    <n v="22589"/>
    <s v="Retail Sale"/>
    <n v="18"/>
    <n v="75717"/>
    <x v="4"/>
    <s v="Pulse"/>
    <s v="Novartis"/>
    <n v="2"/>
    <n v="415.16"/>
    <n v="559.1"/>
    <n v="0"/>
    <n v="0"/>
    <m/>
    <n v="29"/>
    <n v="1"/>
    <n v="6"/>
    <n v="559.1"/>
    <n v="13130003156"/>
  </r>
  <r>
    <x v="3"/>
    <d v="1899-12-30T18:29:10"/>
    <n v="4157"/>
    <n v="13002561"/>
    <n v="13"/>
    <n v="22589"/>
    <s v="Retail Sale"/>
    <n v="18"/>
    <n v="46681"/>
    <x v="47"/>
    <s v="Grand Capital"/>
    <s v="Sanofi"/>
    <n v="3"/>
    <n v="12.14"/>
    <n v="18.3"/>
    <n v="0.92"/>
    <n v="0.92"/>
    <s v="BONUS_CARD"/>
    <n v="29"/>
    <n v="1"/>
    <n v="5"/>
    <n v="17.38"/>
    <n v="13130003157"/>
  </r>
  <r>
    <x v="6"/>
    <d v="1899-12-30T19:41:51"/>
    <n v="4158"/>
    <n v="13002561"/>
    <n v="13"/>
    <n v="22589"/>
    <s v="Retail Sale"/>
    <n v="15"/>
    <n v="15995"/>
    <x v="64"/>
    <s v="Protek"/>
    <s v="Takeda"/>
    <n v="1"/>
    <n v="299.64999999999998"/>
    <n v="484.26"/>
    <n v="24.21"/>
    <n v="24.21"/>
    <s v="BONUS_CARD"/>
    <n v="29"/>
    <n v="1"/>
    <n v="2"/>
    <n v="460.05"/>
    <n v="13130003158"/>
  </r>
  <r>
    <x v="1"/>
    <d v="1899-12-30T14:52:14"/>
    <n v="4159"/>
    <n v="13002561"/>
    <n v="13"/>
    <n v="22589"/>
    <s v="Retail Sale"/>
    <n v="15"/>
    <n v="79635"/>
    <x v="44"/>
    <s v="Pharmcomplect"/>
    <s v="Sanofi"/>
    <n v="1"/>
    <n v="215.92"/>
    <n v="337.36"/>
    <n v="0"/>
    <n v="0"/>
    <m/>
    <n v="29"/>
    <n v="1"/>
    <n v="4"/>
    <n v="337.36"/>
    <n v="13130003159"/>
  </r>
  <r>
    <x v="2"/>
    <d v="1899-12-30T08:01:40"/>
    <n v="4160"/>
    <n v="13002561"/>
    <n v="13"/>
    <n v="22589"/>
    <s v="Retail Sale"/>
    <n v="15"/>
    <n v="14250"/>
    <x v="47"/>
    <s v="Protek"/>
    <s v="Pfizer"/>
    <n v="1"/>
    <n v="531.41999999999996"/>
    <n v="899.43"/>
    <n v="0"/>
    <n v="0"/>
    <m/>
    <n v="29"/>
    <n v="1"/>
    <n v="2"/>
    <n v="899.43"/>
    <n v="13130003160"/>
  </r>
  <r>
    <x v="22"/>
    <d v="1899-12-30T08:10:49"/>
    <n v="4161"/>
    <n v="13002561"/>
    <n v="13"/>
    <n v="22589"/>
    <s v="Retail Sale"/>
    <n v="18"/>
    <n v="28523"/>
    <x v="83"/>
    <s v="Protek"/>
    <s v="Pfizer"/>
    <n v="2"/>
    <n v="566.45000000000005"/>
    <n v="768"/>
    <n v="0"/>
    <n v="0"/>
    <m/>
    <n v="29"/>
    <n v="1"/>
    <n v="3"/>
    <n v="768"/>
    <n v="13130003161"/>
  </r>
  <r>
    <x v="7"/>
    <d v="1899-12-30T21:22:34"/>
    <n v="4162"/>
    <n v="13002561"/>
    <n v="13"/>
    <n v="22589"/>
    <s v="Retail Sale"/>
    <n v="18"/>
    <n v="75940"/>
    <x v="34"/>
    <s v="Protek"/>
    <s v="Novartis"/>
    <n v="3"/>
    <n v="548.65"/>
    <n v="796.06"/>
    <n v="39.799999999999997"/>
    <n v="39.799999999999997"/>
    <s v="BONUS_CARD"/>
    <n v="29"/>
    <n v="1"/>
    <n v="5"/>
    <n v="756.26"/>
    <n v="13130003162"/>
  </r>
  <r>
    <x v="13"/>
    <d v="1899-12-30T08:24:09"/>
    <n v="4163"/>
    <n v="13002561"/>
    <n v="13"/>
    <n v="22589"/>
    <s v="Retail Sale"/>
    <n v="18"/>
    <n v="94970"/>
    <x v="18"/>
    <s v="Grand Capital"/>
    <s v="Pfizer"/>
    <n v="1"/>
    <n v="242.27"/>
    <n v="353.33"/>
    <n v="35.33"/>
    <n v="35.33"/>
    <s v="BONUS_CARD"/>
    <n v="29"/>
    <n v="1"/>
    <n v="5"/>
    <n v="318"/>
    <n v="13130003163"/>
  </r>
  <r>
    <x v="19"/>
    <d v="1899-12-30T16:58:30"/>
    <n v="4164"/>
    <n v="13002561"/>
    <n v="13"/>
    <n v="22589"/>
    <s v="Retail Sale"/>
    <n v="18"/>
    <n v="78257"/>
    <x v="24"/>
    <s v="Pulse"/>
    <s v="TEVA"/>
    <n v="3"/>
    <n v="220.81"/>
    <n v="333.31"/>
    <n v="0"/>
    <n v="0"/>
    <m/>
    <n v="29"/>
    <n v="1"/>
    <n v="4"/>
    <n v="333.31"/>
    <n v="13130003164"/>
  </r>
  <r>
    <x v="11"/>
    <d v="1899-12-30T21:55:03"/>
    <n v="4165"/>
    <n v="13002561"/>
    <n v="13"/>
    <n v="22589"/>
    <s v="Retail Sale"/>
    <n v="18"/>
    <n v="90516"/>
    <x v="81"/>
    <s v="Katren"/>
    <s v="KRKA"/>
    <n v="2"/>
    <n v="37.979999999999997"/>
    <n v="47.79"/>
    <n v="4.78"/>
    <n v="4.78"/>
    <s v="BONUS_CARD"/>
    <n v="29"/>
    <n v="1"/>
    <n v="3"/>
    <n v="43.01"/>
    <n v="13130003165"/>
  </r>
  <r>
    <x v="8"/>
    <d v="1899-12-30T19:42:44"/>
    <n v="4166"/>
    <n v="13002561"/>
    <n v="13"/>
    <n v="22589"/>
    <s v="Retail Sale"/>
    <n v="15"/>
    <n v="36456"/>
    <x v="61"/>
    <s v="Protek"/>
    <s v="Novartis"/>
    <n v="2"/>
    <n v="564.74"/>
    <n v="848.29"/>
    <n v="42.41"/>
    <n v="42.41"/>
    <s v="BONUS_CARD"/>
    <n v="29"/>
    <n v="1"/>
    <n v="6"/>
    <n v="805.88"/>
    <n v="13130003166"/>
  </r>
  <r>
    <x v="17"/>
    <d v="1899-12-30T16:47:22"/>
    <n v="4167"/>
    <n v="13002561"/>
    <n v="13"/>
    <n v="22589"/>
    <s v="Retail Sale"/>
    <n v="18"/>
    <n v="79454"/>
    <x v="77"/>
    <s v="Avesta"/>
    <s v="TEVA"/>
    <n v="2"/>
    <n v="580.03"/>
    <n v="969.4"/>
    <n v="96.94"/>
    <n v="96.94"/>
    <s v="BONUS_CARD"/>
    <n v="29"/>
    <n v="1"/>
    <n v="5"/>
    <n v="872.46"/>
    <n v="13130003167"/>
  </r>
  <r>
    <x v="4"/>
    <d v="1899-12-30T15:17:10"/>
    <n v="4168"/>
    <n v="13002561"/>
    <n v="13"/>
    <n v="22589"/>
    <s v="Retail Sale"/>
    <n v="18"/>
    <n v="26022"/>
    <x v="12"/>
    <s v="Pharmcomplect"/>
    <s v="Bayer"/>
    <n v="3"/>
    <n v="203.25"/>
    <n v="341.37"/>
    <n v="0"/>
    <n v="0"/>
    <m/>
    <n v="29"/>
    <n v="1"/>
    <n v="2"/>
    <n v="341.37"/>
    <n v="13130003168"/>
  </r>
  <r>
    <x v="8"/>
    <d v="1899-12-30T09:18:02"/>
    <n v="4169"/>
    <n v="13002561"/>
    <n v="13"/>
    <n v="22589"/>
    <s v="Retail Sale"/>
    <n v="18"/>
    <n v="78572"/>
    <x v="11"/>
    <s v="Katren"/>
    <s v="Dr. Reddy's"/>
    <n v="2"/>
    <n v="434.4"/>
    <n v="644.47"/>
    <n v="64.45"/>
    <n v="64.45"/>
    <s v="BONUS_CARD"/>
    <n v="29"/>
    <n v="1"/>
    <n v="6"/>
    <n v="580.02"/>
    <n v="13130003169"/>
  </r>
  <r>
    <x v="23"/>
    <d v="1899-12-30T13:03:21"/>
    <n v="4170"/>
    <n v="13002561"/>
    <n v="13"/>
    <n v="22589"/>
    <s v="Retail Sale"/>
    <n v="15"/>
    <n v="94157"/>
    <x v="75"/>
    <s v="Avesta"/>
    <s v="Pfizer"/>
    <n v="1"/>
    <n v="29.38"/>
    <n v="39.24"/>
    <n v="0"/>
    <n v="0"/>
    <m/>
    <n v="29"/>
    <n v="1"/>
    <n v="2"/>
    <n v="39.24"/>
    <n v="13130003170"/>
  </r>
  <r>
    <x v="15"/>
    <d v="1899-12-30T14:29:43"/>
    <n v="4171"/>
    <n v="13002561"/>
    <n v="13"/>
    <n v="22589"/>
    <s v="Retail Sale"/>
    <n v="18"/>
    <n v="24530"/>
    <x v="27"/>
    <s v="Katren"/>
    <s v="Novartis"/>
    <n v="1"/>
    <n v="83.14"/>
    <n v="123.02"/>
    <n v="6.15"/>
    <n v="6.15"/>
    <s v="BONUS_CARD"/>
    <n v="29"/>
    <n v="1"/>
    <n v="1"/>
    <n v="116.87"/>
    <n v="13130003171"/>
  </r>
  <r>
    <x v="30"/>
    <d v="1899-12-30T22:06:27"/>
    <n v="4172"/>
    <n v="13002561"/>
    <n v="13"/>
    <n v="22589"/>
    <s v="Retail Sale"/>
    <n v="18"/>
    <n v="92629"/>
    <x v="58"/>
    <s v="Pulse"/>
    <s v="Novartis"/>
    <n v="3"/>
    <n v="340.26"/>
    <n v="562.16999999999996"/>
    <n v="0"/>
    <n v="0"/>
    <m/>
    <n v="29"/>
    <n v="1"/>
    <n v="4"/>
    <n v="562.16999999999996"/>
    <n v="13130003172"/>
  </r>
  <r>
    <x v="7"/>
    <d v="1899-12-30T13:28:17"/>
    <n v="4173"/>
    <n v="13002561"/>
    <n v="13"/>
    <n v="22589"/>
    <s v="Retail Sale"/>
    <n v="18"/>
    <n v="79158"/>
    <x v="17"/>
    <s v="Protek"/>
    <s v="KRKA"/>
    <n v="3"/>
    <n v="538.34"/>
    <n v="784.12"/>
    <n v="39.21"/>
    <n v="39.21"/>
    <s v="BONUS_CARD"/>
    <n v="29"/>
    <n v="1"/>
    <n v="4"/>
    <n v="744.91"/>
    <n v="13130003173"/>
  </r>
  <r>
    <x v="24"/>
    <d v="1899-12-30T22:20:35"/>
    <n v="4174"/>
    <n v="13002561"/>
    <n v="13"/>
    <n v="22589"/>
    <s v="Retail Sale"/>
    <n v="15"/>
    <n v="85241"/>
    <x v="44"/>
    <s v="Pulse"/>
    <s v="Bayer"/>
    <n v="1"/>
    <n v="154.43"/>
    <n v="241.84"/>
    <n v="0"/>
    <n v="0"/>
    <m/>
    <n v="29"/>
    <n v="1"/>
    <n v="2"/>
    <n v="241.84"/>
    <n v="13130003174"/>
  </r>
  <r>
    <x v="14"/>
    <d v="1899-12-30T15:40:08"/>
    <n v="4175"/>
    <n v="13002561"/>
    <n v="13"/>
    <n v="22589"/>
    <s v="Retail Sale"/>
    <n v="15"/>
    <n v="55574"/>
    <x v="30"/>
    <s v="Katren"/>
    <s v="Novartis"/>
    <n v="3"/>
    <n v="539.48"/>
    <n v="790.84"/>
    <n v="39.54"/>
    <n v="39.54"/>
    <s v="BONUS_CARD"/>
    <n v="29"/>
    <n v="1"/>
    <n v="1"/>
    <n v="751.3"/>
    <n v="13130003175"/>
  </r>
  <r>
    <x v="13"/>
    <d v="1899-12-30T21:32:29"/>
    <n v="4176"/>
    <n v="13002561"/>
    <n v="13"/>
    <n v="22589"/>
    <s v="Retail Sale"/>
    <n v="15"/>
    <n v="63309"/>
    <x v="0"/>
    <s v="Protek"/>
    <s v="TEVA"/>
    <n v="3"/>
    <n v="526.02"/>
    <n v="716.74"/>
    <n v="35.840000000000003"/>
    <n v="35.840000000000003"/>
    <s v="BONUS_CARD"/>
    <n v="29"/>
    <n v="1"/>
    <n v="2"/>
    <n v="680.9"/>
    <n v="13130003176"/>
  </r>
  <r>
    <x v="13"/>
    <d v="1899-12-30T15:51:03"/>
    <n v="4177"/>
    <n v="13002561"/>
    <n v="13"/>
    <n v="22589"/>
    <s v="Retail Sale"/>
    <n v="15"/>
    <n v="40411"/>
    <x v="62"/>
    <s v="Katren"/>
    <s v="Pfizer"/>
    <n v="1"/>
    <n v="85.3"/>
    <n v="115.04"/>
    <n v="11.5"/>
    <n v="11.5"/>
    <s v="BONUS_CARD"/>
    <n v="29"/>
    <n v="1"/>
    <n v="6"/>
    <n v="103.54"/>
    <n v="13130003177"/>
  </r>
  <r>
    <x v="8"/>
    <d v="1899-12-30T22:07:13"/>
    <n v="4178"/>
    <n v="13002561"/>
    <n v="13"/>
    <n v="22589"/>
    <s v="Retail Sale"/>
    <n v="15"/>
    <n v="66246"/>
    <x v="6"/>
    <s v="Pulse"/>
    <s v="KRKA"/>
    <n v="3"/>
    <n v="236.23"/>
    <n v="332.15"/>
    <n v="33.21"/>
    <n v="33.21"/>
    <s v="BONUS_CARD"/>
    <n v="29"/>
    <n v="1"/>
    <n v="6"/>
    <n v="298.94"/>
    <n v="13130003178"/>
  </r>
  <r>
    <x v="15"/>
    <d v="1899-12-30T21:37:08"/>
    <n v="4179"/>
    <n v="13002561"/>
    <n v="13"/>
    <n v="22589"/>
    <s v="Retail Sale"/>
    <n v="15"/>
    <n v="39803"/>
    <x v="11"/>
    <s v="Katren"/>
    <s v="TEVA"/>
    <n v="3"/>
    <n v="275.61"/>
    <n v="415.66"/>
    <n v="20.78"/>
    <n v="20.78"/>
    <s v="BONUS_CARD"/>
    <n v="29"/>
    <n v="1"/>
    <n v="2"/>
    <n v="394.88"/>
    <n v="13130003179"/>
  </r>
  <r>
    <x v="11"/>
    <d v="1899-12-30T18:13:20"/>
    <n v="4180"/>
    <n v="13002561"/>
    <n v="13"/>
    <n v="22589"/>
    <s v="Retail Sale"/>
    <n v="18"/>
    <n v="30082"/>
    <x v="68"/>
    <s v="Grand Capital"/>
    <s v="Takeda"/>
    <n v="1"/>
    <n v="126.16"/>
    <n v="206.59"/>
    <n v="0"/>
    <n v="0"/>
    <m/>
    <n v="29"/>
    <n v="1"/>
    <n v="2"/>
    <n v="206.59"/>
    <n v="13130003180"/>
  </r>
  <r>
    <x v="18"/>
    <d v="1899-12-30T12:25:47"/>
    <n v="4181"/>
    <n v="13002561"/>
    <n v="13"/>
    <n v="22589"/>
    <s v="Retail Sale"/>
    <n v="18"/>
    <n v="34886"/>
    <x v="66"/>
    <s v="Grand Capital"/>
    <s v="Bayer"/>
    <n v="2"/>
    <n v="562.76"/>
    <n v="897.03"/>
    <n v="0"/>
    <n v="0"/>
    <m/>
    <n v="29"/>
    <n v="1"/>
    <n v="2"/>
    <n v="897.03"/>
    <n v="13130003181"/>
  </r>
  <r>
    <x v="0"/>
    <d v="1899-12-30T21:34:02"/>
    <n v="4182"/>
    <n v="13002561"/>
    <n v="13"/>
    <n v="22589"/>
    <s v="Retail Sale"/>
    <n v="18"/>
    <n v="87726"/>
    <x v="82"/>
    <s v="Protek"/>
    <s v="Sanofi"/>
    <n v="2"/>
    <n v="513.94000000000005"/>
    <n v="660.15"/>
    <n v="0"/>
    <n v="0"/>
    <m/>
    <n v="29"/>
    <n v="1"/>
    <n v="4"/>
    <n v="660.15"/>
    <n v="13130003182"/>
  </r>
  <r>
    <x v="10"/>
    <d v="1899-12-30T19:05:49"/>
    <n v="4183"/>
    <n v="13002561"/>
    <n v="13"/>
    <n v="22589"/>
    <s v="Retail Sale"/>
    <n v="15"/>
    <n v="75800"/>
    <x v="37"/>
    <s v="Katren"/>
    <s v="Takeda"/>
    <n v="1"/>
    <n v="320.54000000000002"/>
    <n v="411.48"/>
    <n v="0"/>
    <n v="0"/>
    <m/>
    <n v="29"/>
    <n v="1"/>
    <n v="6"/>
    <n v="411.48"/>
    <n v="13130003183"/>
  </r>
  <r>
    <x v="2"/>
    <d v="1899-12-30T16:59:27"/>
    <n v="4184"/>
    <n v="13002561"/>
    <n v="13"/>
    <n v="22589"/>
    <s v="Retail Sale"/>
    <n v="18"/>
    <n v="32065"/>
    <x v="76"/>
    <s v="Katren"/>
    <s v="Sanofi"/>
    <n v="3"/>
    <n v="387.96"/>
    <n v="605.23"/>
    <n v="60.52"/>
    <n v="60.52"/>
    <s v="BONUS_CARD"/>
    <n v="29"/>
    <n v="1"/>
    <n v="3"/>
    <n v="544.71"/>
    <n v="13130003184"/>
  </r>
  <r>
    <x v="27"/>
    <d v="1899-12-30T10:38:04"/>
    <n v="4185"/>
    <n v="13002561"/>
    <n v="13"/>
    <n v="22589"/>
    <s v="Retail Sale"/>
    <n v="15"/>
    <n v="13443"/>
    <x v="40"/>
    <s v="Avesta"/>
    <s v="TEVA"/>
    <n v="1"/>
    <n v="540.62"/>
    <n v="760.92"/>
    <n v="0"/>
    <n v="0"/>
    <m/>
    <n v="29"/>
    <n v="1"/>
    <n v="5"/>
    <n v="760.92"/>
    <n v="13130003185"/>
  </r>
  <r>
    <x v="17"/>
    <d v="1899-12-30T21:15:28"/>
    <n v="4186"/>
    <n v="13002561"/>
    <n v="13"/>
    <n v="22589"/>
    <s v="Retail Sale"/>
    <n v="15"/>
    <n v="90210"/>
    <x v="1"/>
    <s v="Protek"/>
    <s v="Dr. Reddy's"/>
    <n v="2"/>
    <n v="463.79"/>
    <n v="691.05"/>
    <n v="0"/>
    <n v="0"/>
    <m/>
    <n v="29"/>
    <n v="1"/>
    <n v="3"/>
    <n v="691.05"/>
    <n v="13130003186"/>
  </r>
  <r>
    <x v="14"/>
    <d v="1899-12-30T12:25:52"/>
    <n v="4187"/>
    <n v="13002561"/>
    <n v="13"/>
    <n v="22589"/>
    <s v="Retail Sale"/>
    <n v="15"/>
    <n v="95473"/>
    <x v="50"/>
    <s v="Protek"/>
    <s v="Novartis"/>
    <n v="1"/>
    <n v="335.65"/>
    <n v="552.71"/>
    <n v="27.64"/>
    <n v="27.64"/>
    <s v="BONUS_CARD"/>
    <n v="29"/>
    <n v="1"/>
    <n v="2"/>
    <n v="525.07000000000005"/>
    <n v="13130003187"/>
  </r>
  <r>
    <x v="24"/>
    <d v="1899-12-30T09:08:31"/>
    <n v="4188"/>
    <n v="13002561"/>
    <n v="13"/>
    <n v="22589"/>
    <s v="Retail Sale"/>
    <n v="15"/>
    <n v="36271"/>
    <x v="50"/>
    <s v="Protek"/>
    <s v="KRKA"/>
    <n v="3"/>
    <n v="160.15"/>
    <n v="240.39"/>
    <n v="0"/>
    <n v="0"/>
    <m/>
    <n v="29"/>
    <n v="1"/>
    <n v="5"/>
    <n v="240.39"/>
    <n v="13130003188"/>
  </r>
  <r>
    <x v="7"/>
    <d v="1899-12-30T12:04:26"/>
    <n v="4189"/>
    <n v="13002561"/>
    <n v="13"/>
    <n v="22589"/>
    <s v="Retail Sale"/>
    <n v="18"/>
    <n v="38890"/>
    <x v="13"/>
    <s v="Pharmcomplect"/>
    <s v="TEVA"/>
    <n v="2"/>
    <n v="272.43"/>
    <n v="354.91"/>
    <n v="17.75"/>
    <n v="17.75"/>
    <s v="BONUS_CARD"/>
    <n v="29"/>
    <n v="1"/>
    <n v="5"/>
    <n v="337.16"/>
    <n v="13130003189"/>
  </r>
  <r>
    <x v="14"/>
    <d v="1899-12-30T14:20:41"/>
    <n v="4190"/>
    <n v="13002561"/>
    <n v="13"/>
    <n v="22589"/>
    <s v="Retail Sale"/>
    <n v="18"/>
    <n v="19016"/>
    <x v="46"/>
    <s v="Katren"/>
    <s v="Sanofi"/>
    <n v="2"/>
    <n v="566.64"/>
    <n v="806.88"/>
    <n v="40.340000000000003"/>
    <n v="40.340000000000003"/>
    <s v="BONUS_CARD"/>
    <n v="29"/>
    <n v="1"/>
    <n v="2"/>
    <n v="766.54"/>
    <n v="13130003190"/>
  </r>
  <r>
    <x v="5"/>
    <d v="1899-12-30T08:09:30"/>
    <n v="4191"/>
    <n v="13002561"/>
    <n v="13"/>
    <n v="22589"/>
    <s v="Retail Sale"/>
    <n v="18"/>
    <n v="15386"/>
    <x v="49"/>
    <s v="Grand Capital"/>
    <s v="Dr. Reddy's"/>
    <n v="3"/>
    <n v="293.97000000000003"/>
    <n v="397.73"/>
    <n v="39.770000000000003"/>
    <n v="39.770000000000003"/>
    <s v="BONUS_CARD"/>
    <n v="29"/>
    <n v="1"/>
    <n v="2"/>
    <n v="357.96"/>
    <n v="13130003191"/>
  </r>
  <r>
    <x v="26"/>
    <d v="1899-12-30T10:46:19"/>
    <n v="4192"/>
    <n v="13002561"/>
    <n v="13"/>
    <n v="22589"/>
    <s v="Retail Sale"/>
    <n v="15"/>
    <n v="92052"/>
    <x v="35"/>
    <s v="Katren"/>
    <s v="Pfizer"/>
    <n v="3"/>
    <n v="16.37"/>
    <n v="21.12"/>
    <n v="2.11"/>
    <n v="2.11"/>
    <s v="BONUS_CARD"/>
    <n v="29"/>
    <n v="1"/>
    <n v="4"/>
    <n v="19.010000000000002"/>
    <n v="13130003192"/>
  </r>
  <r>
    <x v="16"/>
    <d v="1899-12-30T12:00:18"/>
    <n v="4193"/>
    <n v="13002561"/>
    <n v="13"/>
    <n v="22589"/>
    <s v="Retail Sale"/>
    <n v="15"/>
    <n v="10286"/>
    <x v="0"/>
    <s v="Protek"/>
    <s v="TEVA"/>
    <n v="2"/>
    <n v="449.19"/>
    <n v="682.06"/>
    <n v="68.209999999999994"/>
    <n v="68.209999999999994"/>
    <s v="BONUS_CARD"/>
    <n v="29"/>
    <n v="1"/>
    <n v="4"/>
    <n v="613.85"/>
    <n v="13130003193"/>
  </r>
  <r>
    <x v="14"/>
    <d v="1899-12-30T16:40:25"/>
    <n v="4194"/>
    <n v="13002561"/>
    <n v="13"/>
    <n v="22589"/>
    <s v="Retail Sale"/>
    <n v="15"/>
    <n v="41096"/>
    <x v="3"/>
    <s v="Pulse"/>
    <s v="KRKA"/>
    <n v="2"/>
    <n v="181.31"/>
    <n v="245.72"/>
    <n v="24.57"/>
    <n v="24.57"/>
    <s v="BONUS_CARD"/>
    <n v="29"/>
    <n v="1"/>
    <n v="2"/>
    <n v="221.15"/>
    <n v="13130003194"/>
  </r>
  <r>
    <x v="19"/>
    <d v="1899-12-30T10:03:50"/>
    <n v="4195"/>
    <n v="13002561"/>
    <n v="13"/>
    <n v="22589"/>
    <s v="Retail Sale"/>
    <n v="15"/>
    <n v="66871"/>
    <x v="62"/>
    <s v="Pharmcomplect"/>
    <s v="KRKA"/>
    <n v="1"/>
    <n v="203.64"/>
    <n v="278.33999999999997"/>
    <n v="13.92"/>
    <n v="13.92"/>
    <s v="BONUS_CARD"/>
    <n v="29"/>
    <n v="1"/>
    <n v="6"/>
    <n v="264.42"/>
    <n v="13130003195"/>
  </r>
  <r>
    <x v="12"/>
    <d v="1899-12-30T10:36:54"/>
    <n v="4196"/>
    <n v="13002561"/>
    <n v="13"/>
    <n v="22589"/>
    <s v="Retail Sale"/>
    <n v="15"/>
    <n v="52882"/>
    <x v="24"/>
    <s v="Avesta"/>
    <s v="KRKA"/>
    <n v="3"/>
    <n v="159.01"/>
    <n v="232.21"/>
    <n v="0"/>
    <n v="0"/>
    <m/>
    <n v="29"/>
    <n v="1"/>
    <n v="3"/>
    <n v="232.21"/>
    <n v="13130003196"/>
  </r>
  <r>
    <x v="11"/>
    <d v="1899-12-30T17:52:17"/>
    <n v="4197"/>
    <n v="13002561"/>
    <n v="13"/>
    <n v="22589"/>
    <s v="Retail Sale"/>
    <n v="18"/>
    <n v="35761"/>
    <x v="17"/>
    <s v="Grand Capital"/>
    <s v="Bayer"/>
    <n v="1"/>
    <n v="340.57"/>
    <n v="460.84"/>
    <n v="23.04"/>
    <n v="23.04"/>
    <s v="BONUS_CARD"/>
    <n v="29"/>
    <n v="1"/>
    <n v="1"/>
    <n v="437.8"/>
    <n v="13130003197"/>
  </r>
  <r>
    <x v="19"/>
    <d v="1899-12-30T08:05:43"/>
    <n v="4198"/>
    <n v="13002561"/>
    <n v="13"/>
    <n v="22589"/>
    <s v="Retail Sale"/>
    <n v="15"/>
    <n v="67513"/>
    <x v="52"/>
    <s v="Grand Capital"/>
    <s v="TEVA"/>
    <n v="3"/>
    <n v="358.94"/>
    <n v="548.07000000000005"/>
    <n v="27.4"/>
    <n v="27.4"/>
    <s v="BONUS_CARD"/>
    <n v="29"/>
    <n v="1"/>
    <n v="5"/>
    <n v="520.66999999999996"/>
    <n v="13130003198"/>
  </r>
  <r>
    <x v="6"/>
    <d v="1899-12-30T15:09:18"/>
    <n v="4199"/>
    <n v="13002561"/>
    <n v="13"/>
    <n v="22589"/>
    <s v="Retail Sale"/>
    <n v="18"/>
    <n v="34528"/>
    <x v="54"/>
    <s v="Katren"/>
    <s v="Novartis"/>
    <n v="3"/>
    <n v="575.91"/>
    <n v="810.37"/>
    <n v="81.040000000000006"/>
    <n v="81.040000000000006"/>
    <s v="BONUS_CARD"/>
    <n v="29"/>
    <n v="1"/>
    <n v="6"/>
    <n v="729.33"/>
    <n v="13130003199"/>
  </r>
  <r>
    <x v="15"/>
    <d v="1899-12-30T22:27:23"/>
    <n v="4200"/>
    <n v="13002561"/>
    <n v="13"/>
    <n v="22589"/>
    <s v="Retail Sale"/>
    <n v="15"/>
    <n v="86969"/>
    <x v="10"/>
    <s v="Pulse"/>
    <s v="TEVA"/>
    <n v="3"/>
    <n v="564.33000000000004"/>
    <n v="750.73"/>
    <n v="75.069999999999993"/>
    <n v="75.069999999999993"/>
    <s v="BONUS_CARD"/>
    <n v="29"/>
    <n v="1"/>
    <n v="3"/>
    <n v="675.66"/>
    <n v="13130003200"/>
  </r>
  <r>
    <x v="26"/>
    <d v="1899-12-30T13:12:04"/>
    <n v="4201"/>
    <n v="13002561"/>
    <n v="13"/>
    <n v="22589"/>
    <s v="Retail Sale"/>
    <n v="18"/>
    <n v="37448"/>
    <x v="8"/>
    <s v="Pharmcomplect"/>
    <s v="KRKA"/>
    <n v="1"/>
    <n v="562.72"/>
    <n v="821.26"/>
    <n v="0"/>
    <n v="0"/>
    <m/>
    <n v="29"/>
    <n v="1"/>
    <n v="1"/>
    <n v="821.26"/>
    <n v="13130003201"/>
  </r>
  <r>
    <x v="14"/>
    <d v="1899-12-30T17:08:39"/>
    <n v="4202"/>
    <n v="13002561"/>
    <n v="13"/>
    <n v="22589"/>
    <s v="Retail Sale"/>
    <n v="18"/>
    <n v="72093"/>
    <x v="0"/>
    <s v="Grand Capital"/>
    <s v="Takeda"/>
    <n v="2"/>
    <n v="421.29"/>
    <n v="682.7"/>
    <n v="0"/>
    <n v="0"/>
    <m/>
    <n v="29"/>
    <n v="1"/>
    <n v="2"/>
    <n v="682.7"/>
    <n v="13130003202"/>
  </r>
  <r>
    <x v="4"/>
    <d v="1899-12-30T12:34:29"/>
    <n v="4203"/>
    <n v="13002561"/>
    <n v="13"/>
    <n v="22589"/>
    <s v="Retail Sale"/>
    <n v="18"/>
    <n v="92048"/>
    <x v="52"/>
    <s v="Katren"/>
    <s v="Takeda"/>
    <n v="3"/>
    <n v="180.24"/>
    <n v="240.77"/>
    <n v="0"/>
    <n v="0"/>
    <m/>
    <n v="29"/>
    <n v="1"/>
    <n v="2"/>
    <n v="240.77"/>
    <n v="13130003203"/>
  </r>
  <r>
    <x v="13"/>
    <d v="1899-12-30T22:14:02"/>
    <n v="4204"/>
    <n v="13002561"/>
    <n v="13"/>
    <n v="22589"/>
    <s v="Retail Sale"/>
    <n v="18"/>
    <n v="63462"/>
    <x v="61"/>
    <s v="Avesta"/>
    <s v="Sanofi"/>
    <n v="3"/>
    <n v="348.42"/>
    <n v="561.96"/>
    <n v="56.2"/>
    <n v="56.2"/>
    <s v="BONUS_CARD"/>
    <n v="29"/>
    <n v="1"/>
    <n v="1"/>
    <n v="505.76"/>
    <n v="13130003204"/>
  </r>
  <r>
    <x v="3"/>
    <d v="1899-12-30T17:18:41"/>
    <n v="4205"/>
    <n v="13002561"/>
    <n v="13"/>
    <n v="22589"/>
    <s v="Retail Sale"/>
    <n v="15"/>
    <n v="82522"/>
    <x v="24"/>
    <s v="Pharmcomplect"/>
    <s v="KRKA"/>
    <n v="3"/>
    <n v="260.22000000000003"/>
    <n v="404.07"/>
    <n v="0"/>
    <n v="0"/>
    <m/>
    <n v="29"/>
    <n v="1"/>
    <n v="2"/>
    <n v="404.07"/>
    <n v="13130003205"/>
  </r>
  <r>
    <x v="21"/>
    <d v="1899-12-30T08:04:33"/>
    <n v="4206"/>
    <n v="13002561"/>
    <n v="13"/>
    <n v="22589"/>
    <s v="Retail Sale"/>
    <n v="18"/>
    <n v="46241"/>
    <x v="3"/>
    <s v="Protek"/>
    <s v="Bayer"/>
    <n v="3"/>
    <n v="6.68"/>
    <n v="9.1300000000000008"/>
    <n v="0.46"/>
    <n v="0.46"/>
    <s v="BONUS_CARD"/>
    <n v="29"/>
    <n v="1"/>
    <n v="1"/>
    <n v="8.67"/>
    <n v="13130003206"/>
  </r>
  <r>
    <x v="2"/>
    <d v="1899-12-30T14:21:45"/>
    <n v="4207"/>
    <n v="13002561"/>
    <n v="13"/>
    <n v="22589"/>
    <s v="Retail Sale"/>
    <n v="15"/>
    <n v="22469"/>
    <x v="49"/>
    <s v="Pulse"/>
    <s v="Bayer"/>
    <n v="2"/>
    <n v="132.88999999999999"/>
    <n v="212.55"/>
    <n v="0"/>
    <n v="0"/>
    <m/>
    <n v="29"/>
    <n v="1"/>
    <n v="2"/>
    <n v="212.55"/>
    <n v="13130003207"/>
  </r>
  <r>
    <x v="14"/>
    <d v="1899-12-30T12:24:03"/>
    <n v="4208"/>
    <n v="13002561"/>
    <n v="13"/>
    <n v="22589"/>
    <s v="Retail Sale"/>
    <n v="18"/>
    <n v="78842"/>
    <x v="85"/>
    <s v="Grand Capital"/>
    <s v="Dr. Reddy's"/>
    <n v="3"/>
    <n v="128.71"/>
    <n v="200.08"/>
    <n v="10"/>
    <n v="10"/>
    <s v="BONUS_CARD"/>
    <n v="29"/>
    <n v="1"/>
    <n v="2"/>
    <n v="190.08"/>
    <n v="13130003208"/>
  </r>
  <r>
    <x v="5"/>
    <d v="1899-12-30T11:31:12"/>
    <n v="4209"/>
    <n v="13002561"/>
    <n v="13"/>
    <n v="22589"/>
    <s v="Retail Sale"/>
    <n v="18"/>
    <n v="54487"/>
    <x v="27"/>
    <s v="Avesta"/>
    <s v="KRKA"/>
    <n v="1"/>
    <n v="492.64"/>
    <n v="790.68"/>
    <n v="0"/>
    <n v="0"/>
    <m/>
    <n v="29"/>
    <n v="1"/>
    <n v="2"/>
    <n v="790.68"/>
    <n v="13130003209"/>
  </r>
  <r>
    <x v="29"/>
    <d v="1899-12-30T15:22:04"/>
    <n v="4210"/>
    <n v="13002561"/>
    <n v="13"/>
    <n v="22589"/>
    <s v="Retail Sale"/>
    <n v="18"/>
    <n v="16873"/>
    <x v="31"/>
    <s v="Pulse"/>
    <s v="Dr. Reddy's"/>
    <n v="2"/>
    <n v="527.28"/>
    <n v="673.49"/>
    <n v="33.67"/>
    <n v="33.67"/>
    <s v="BONUS_CARD"/>
    <n v="29"/>
    <n v="1"/>
    <n v="4"/>
    <n v="639.82000000000005"/>
    <n v="13130003210"/>
  </r>
  <r>
    <x v="25"/>
    <d v="1899-12-30T21:48:10"/>
    <n v="4211"/>
    <n v="13002561"/>
    <n v="13"/>
    <n v="22589"/>
    <s v="Retail Sale"/>
    <n v="18"/>
    <n v="29834"/>
    <x v="48"/>
    <s v="Avesta"/>
    <s v="TEVA"/>
    <n v="2"/>
    <n v="256.08"/>
    <n v="342.96"/>
    <n v="34.299999999999997"/>
    <n v="34.299999999999997"/>
    <s v="BONUS_CARD"/>
    <n v="29"/>
    <n v="1"/>
    <n v="4"/>
    <n v="308.66000000000003"/>
    <n v="13130003211"/>
  </r>
  <r>
    <x v="22"/>
    <d v="1899-12-30T14:49:53"/>
    <n v="4212"/>
    <n v="13002561"/>
    <n v="13"/>
    <n v="22589"/>
    <s v="Retail Sale"/>
    <n v="15"/>
    <n v="15332"/>
    <x v="6"/>
    <s v="Grand Capital"/>
    <s v="Dr. Reddy's"/>
    <n v="3"/>
    <n v="532.87"/>
    <n v="843.46"/>
    <n v="0"/>
    <n v="0"/>
    <m/>
    <n v="29"/>
    <n v="1"/>
    <n v="6"/>
    <n v="843.46"/>
    <n v="13130003212"/>
  </r>
  <r>
    <x v="0"/>
    <d v="1899-12-30T17:23:39"/>
    <n v="4213"/>
    <n v="13002561"/>
    <n v="13"/>
    <n v="22589"/>
    <s v="Retail Sale"/>
    <n v="18"/>
    <n v="34052"/>
    <x v="46"/>
    <s v="Protek"/>
    <s v="Bayer"/>
    <n v="1"/>
    <n v="142.72999999999999"/>
    <n v="225.81"/>
    <n v="11.29"/>
    <n v="11.29"/>
    <s v="BONUS_CARD"/>
    <n v="29"/>
    <n v="1"/>
    <n v="4"/>
    <n v="214.52"/>
    <n v="13130003213"/>
  </r>
  <r>
    <x v="30"/>
    <d v="1899-12-30T14:30:35"/>
    <n v="4214"/>
    <n v="13002561"/>
    <n v="13"/>
    <n v="22589"/>
    <s v="Retail Sale"/>
    <n v="18"/>
    <n v="44164"/>
    <x v="46"/>
    <s v="Pharmcomplect"/>
    <s v="Dr. Reddy's"/>
    <n v="2"/>
    <n v="588.61"/>
    <n v="877.99"/>
    <n v="87.8"/>
    <n v="87.8"/>
    <s v="BONUS_CARD"/>
    <n v="29"/>
    <n v="1"/>
    <n v="1"/>
    <n v="790.19"/>
    <n v="13130003214"/>
  </r>
  <r>
    <x v="21"/>
    <d v="1899-12-30T17:01:56"/>
    <n v="4215"/>
    <n v="13002561"/>
    <n v="13"/>
    <n v="22589"/>
    <s v="Retail Sale"/>
    <n v="18"/>
    <n v="86176"/>
    <x v="52"/>
    <s v="Katren"/>
    <s v="TEVA"/>
    <n v="2"/>
    <n v="342.34"/>
    <n v="481.01"/>
    <n v="24.05"/>
    <n v="24.05"/>
    <s v="BONUS_CARD"/>
    <n v="29"/>
    <n v="1"/>
    <n v="1"/>
    <n v="456.96"/>
    <n v="13130003215"/>
  </r>
  <r>
    <x v="11"/>
    <d v="1899-12-30T17:55:02"/>
    <n v="4216"/>
    <n v="13002561"/>
    <n v="13"/>
    <n v="22589"/>
    <s v="Retail Sale"/>
    <n v="18"/>
    <n v="83141"/>
    <x v="40"/>
    <s v="Pulse"/>
    <s v="TEVA"/>
    <n v="3"/>
    <n v="44.12"/>
    <n v="68.790000000000006"/>
    <n v="0"/>
    <n v="0"/>
    <m/>
    <n v="29"/>
    <n v="1"/>
    <n v="1"/>
    <n v="68.790000000000006"/>
    <n v="13130003216"/>
  </r>
  <r>
    <x v="19"/>
    <d v="1899-12-30T18:55:31"/>
    <n v="4217"/>
    <n v="13002561"/>
    <n v="13"/>
    <n v="22589"/>
    <s v="Retail Sale"/>
    <n v="18"/>
    <n v="45465"/>
    <x v="80"/>
    <s v="Grand Capital"/>
    <s v="Sanofi"/>
    <n v="3"/>
    <n v="301.07"/>
    <n v="404.06"/>
    <n v="40.409999999999997"/>
    <n v="40.409999999999997"/>
    <s v="BONUS_CARD"/>
    <n v="29"/>
    <n v="1"/>
    <n v="6"/>
    <n v="363.65"/>
    <n v="13130003217"/>
  </r>
  <r>
    <x v="14"/>
    <d v="1899-12-30T22:02:10"/>
    <n v="4218"/>
    <n v="13002561"/>
    <n v="13"/>
    <n v="22589"/>
    <s v="Retail Sale"/>
    <n v="18"/>
    <n v="13632"/>
    <x v="72"/>
    <s v="Pharmcomplect"/>
    <s v="Novartis"/>
    <n v="1"/>
    <n v="299.39"/>
    <n v="437.3"/>
    <n v="0"/>
    <n v="0"/>
    <m/>
    <n v="29"/>
    <n v="1"/>
    <n v="3"/>
    <n v="437.3"/>
    <n v="13130003218"/>
  </r>
  <r>
    <x v="4"/>
    <d v="1899-12-30T21:17:17"/>
    <n v="4219"/>
    <n v="13002561"/>
    <n v="13"/>
    <n v="22589"/>
    <s v="Retail Sale"/>
    <n v="18"/>
    <n v="58153"/>
    <x v="1"/>
    <s v="Protek"/>
    <s v="Bayer"/>
    <n v="1"/>
    <n v="95.21"/>
    <n v="153.82"/>
    <n v="15.38"/>
    <n v="15.38"/>
    <s v="BONUS_CARD"/>
    <n v="29"/>
    <n v="1"/>
    <n v="3"/>
    <n v="138.44"/>
    <n v="13130003219"/>
  </r>
  <r>
    <x v="22"/>
    <d v="1899-12-30T14:13:24"/>
    <n v="4220"/>
    <n v="13002561"/>
    <n v="13"/>
    <n v="22589"/>
    <s v="Retail Sale"/>
    <n v="15"/>
    <n v="90987"/>
    <x v="17"/>
    <s v="Grand Capital"/>
    <s v="Bayer"/>
    <n v="2"/>
    <n v="119.21"/>
    <n v="168.96"/>
    <n v="8.4499999999999993"/>
    <n v="8.4499999999999993"/>
    <s v="BONUS_CARD"/>
    <n v="29"/>
    <n v="1"/>
    <n v="2"/>
    <n v="160.51"/>
    <n v="13130003220"/>
  </r>
  <r>
    <x v="3"/>
    <d v="1899-12-30T22:34:30"/>
    <n v="4221"/>
    <n v="13002561"/>
    <n v="13"/>
    <n v="22589"/>
    <s v="Retail Sale"/>
    <n v="18"/>
    <n v="67651"/>
    <x v="15"/>
    <s v="Avesta"/>
    <s v="Takeda"/>
    <n v="1"/>
    <n v="543.79999999999995"/>
    <n v="883.01"/>
    <n v="44.15"/>
    <n v="44.15"/>
    <s v="BONUS_CARD"/>
    <n v="29"/>
    <n v="1"/>
    <n v="6"/>
    <n v="838.86"/>
    <n v="13130003221"/>
  </r>
  <r>
    <x v="12"/>
    <d v="1899-12-30T16:47:44"/>
    <n v="4222"/>
    <n v="13002561"/>
    <n v="13"/>
    <n v="22589"/>
    <s v="Retail Sale"/>
    <n v="18"/>
    <n v="75022"/>
    <x v="81"/>
    <s v="Pharmcomplect"/>
    <s v="Novartis"/>
    <n v="1"/>
    <n v="344.13"/>
    <n v="495.96"/>
    <n v="0"/>
    <n v="0"/>
    <m/>
    <n v="29"/>
    <n v="1"/>
    <n v="6"/>
    <n v="495.96"/>
    <n v="13130003222"/>
  </r>
  <r>
    <x v="15"/>
    <d v="1899-12-30T17:02:18"/>
    <n v="4223"/>
    <n v="13002561"/>
    <n v="13"/>
    <n v="22589"/>
    <s v="Retail Sale"/>
    <n v="18"/>
    <n v="44730"/>
    <x v="2"/>
    <s v="Pulse"/>
    <s v="Sanofi"/>
    <n v="1"/>
    <n v="596.35"/>
    <n v="880.56"/>
    <n v="0"/>
    <n v="0"/>
    <m/>
    <n v="29"/>
    <n v="1"/>
    <n v="4"/>
    <n v="880.56"/>
    <n v="13130003223"/>
  </r>
  <r>
    <x v="19"/>
    <d v="1899-12-30T15:57:11"/>
    <n v="4224"/>
    <n v="13002561"/>
    <n v="13"/>
    <n v="22589"/>
    <s v="Retail Sale"/>
    <n v="18"/>
    <n v="38032"/>
    <x v="9"/>
    <s v="Avesta"/>
    <s v="Bayer"/>
    <n v="2"/>
    <n v="351.33"/>
    <n v="526.03"/>
    <n v="26.3"/>
    <n v="26.3"/>
    <s v="BONUS_CARD"/>
    <n v="29"/>
    <n v="1"/>
    <n v="2"/>
    <n v="499.73"/>
    <n v="13130003224"/>
  </r>
  <r>
    <x v="1"/>
    <d v="1899-12-30T16:24:36"/>
    <n v="4225"/>
    <n v="13002561"/>
    <n v="13"/>
    <n v="22589"/>
    <s v="Retail Sale"/>
    <n v="15"/>
    <n v="26627"/>
    <x v="87"/>
    <s v="Katren"/>
    <s v="Novartis"/>
    <n v="1"/>
    <n v="318.52"/>
    <n v="537.16"/>
    <n v="0"/>
    <n v="0"/>
    <m/>
    <n v="29"/>
    <n v="1"/>
    <n v="6"/>
    <n v="537.16"/>
    <n v="13130003225"/>
  </r>
  <r>
    <x v="27"/>
    <d v="1899-12-30T18:23:15"/>
    <n v="4226"/>
    <n v="13002561"/>
    <n v="13"/>
    <n v="22589"/>
    <s v="Retail Sale"/>
    <n v="18"/>
    <n v="55368"/>
    <x v="66"/>
    <s v="Grand Capital"/>
    <s v="Dr. Reddy's"/>
    <n v="2"/>
    <n v="19.48"/>
    <n v="27.53"/>
    <n v="0"/>
    <n v="0"/>
    <m/>
    <n v="29"/>
    <n v="1"/>
    <n v="6"/>
    <n v="27.53"/>
    <n v="13130003226"/>
  </r>
  <r>
    <x v="1"/>
    <d v="1899-12-30T20:34:18"/>
    <n v="4227"/>
    <n v="13002561"/>
    <n v="13"/>
    <n v="22589"/>
    <s v="Retail Sale"/>
    <n v="15"/>
    <n v="63048"/>
    <x v="82"/>
    <s v="Protek"/>
    <s v="Novartis"/>
    <n v="1"/>
    <n v="152.26"/>
    <n v="206.84"/>
    <n v="10.34"/>
    <n v="10.34"/>
    <s v="BONUS_CARD"/>
    <n v="29"/>
    <n v="1"/>
    <n v="6"/>
    <n v="196.5"/>
    <n v="13130003227"/>
  </r>
  <r>
    <x v="27"/>
    <d v="1899-12-30T17:14:44"/>
    <n v="4228"/>
    <n v="13002561"/>
    <n v="13"/>
    <n v="22589"/>
    <s v="Retail Sale"/>
    <n v="15"/>
    <n v="75545"/>
    <x v="18"/>
    <s v="Pharmcomplect"/>
    <s v="Dr. Reddy's"/>
    <n v="3"/>
    <n v="365.44"/>
    <n v="466.85"/>
    <n v="0"/>
    <n v="0"/>
    <m/>
    <n v="29"/>
    <n v="1"/>
    <n v="1"/>
    <n v="466.85"/>
    <n v="13130003228"/>
  </r>
  <r>
    <x v="0"/>
    <d v="1899-12-30T14:49:37"/>
    <n v="4229"/>
    <n v="13002561"/>
    <n v="13"/>
    <n v="22589"/>
    <s v="Retail Sale"/>
    <n v="15"/>
    <n v="14248"/>
    <x v="16"/>
    <s v="Pulse"/>
    <s v="Dr. Reddy's"/>
    <n v="3"/>
    <n v="238.62"/>
    <n v="374.59"/>
    <n v="37.46"/>
    <n v="37.46"/>
    <s v="BONUS_CARD"/>
    <n v="29"/>
    <n v="1"/>
    <n v="6"/>
    <n v="337.13"/>
    <n v="13130003229"/>
  </r>
  <r>
    <x v="23"/>
    <d v="1899-12-30T11:28:56"/>
    <n v="4230"/>
    <n v="13002561"/>
    <n v="13"/>
    <n v="22589"/>
    <s v="Retail Sale"/>
    <n v="15"/>
    <n v="70970"/>
    <x v="21"/>
    <s v="Avesta"/>
    <s v="Bayer"/>
    <n v="1"/>
    <n v="349.66"/>
    <n v="471.55"/>
    <n v="0"/>
    <n v="0"/>
    <m/>
    <n v="29"/>
    <n v="1"/>
    <n v="2"/>
    <n v="471.55"/>
    <n v="13130003230"/>
  </r>
  <r>
    <x v="21"/>
    <d v="1899-12-30T22:12:22"/>
    <n v="4231"/>
    <n v="13002561"/>
    <n v="13"/>
    <n v="22589"/>
    <s v="Retail Sale"/>
    <n v="18"/>
    <n v="40140"/>
    <x v="42"/>
    <s v="Grand Capital"/>
    <s v="Bayer"/>
    <n v="3"/>
    <n v="140.97"/>
    <n v="199.32"/>
    <n v="9.9700000000000006"/>
    <n v="9.9700000000000006"/>
    <s v="BONUS_CARD"/>
    <n v="29"/>
    <n v="1"/>
    <n v="5"/>
    <n v="189.35"/>
    <n v="13130003231"/>
  </r>
  <r>
    <x v="21"/>
    <d v="1899-12-30T09:46:25"/>
    <n v="4232"/>
    <n v="13002561"/>
    <n v="13"/>
    <n v="22589"/>
    <s v="Retail Sale"/>
    <n v="15"/>
    <n v="89895"/>
    <x v="77"/>
    <s v="Katren"/>
    <s v="KRKA"/>
    <n v="1"/>
    <n v="48.48"/>
    <n v="81.73"/>
    <n v="0"/>
    <n v="0"/>
    <m/>
    <n v="29"/>
    <n v="1"/>
    <n v="6"/>
    <n v="81.73"/>
    <n v="13130003232"/>
  </r>
  <r>
    <x v="9"/>
    <d v="1899-12-30T21:39:18"/>
    <n v="4233"/>
    <n v="13002561"/>
    <n v="13"/>
    <n v="22589"/>
    <s v="Retail Sale"/>
    <n v="18"/>
    <n v="94572"/>
    <x v="52"/>
    <s v="Pulse"/>
    <s v="Novartis"/>
    <n v="1"/>
    <n v="126.13"/>
    <n v="192.65"/>
    <n v="0"/>
    <n v="0"/>
    <m/>
    <n v="29"/>
    <n v="1"/>
    <n v="1"/>
    <n v="192.65"/>
    <n v="13130003233"/>
  </r>
  <r>
    <x v="18"/>
    <d v="1899-12-30T12:34:23"/>
    <n v="4234"/>
    <n v="13002561"/>
    <n v="13"/>
    <n v="22589"/>
    <s v="Retail Sale"/>
    <n v="18"/>
    <n v="79270"/>
    <x v="27"/>
    <s v="Avesta"/>
    <s v="Pfizer"/>
    <n v="3"/>
    <n v="237.28"/>
    <n v="353.15"/>
    <n v="17.66"/>
    <n v="17.66"/>
    <s v="BONUS_CARD"/>
    <n v="29"/>
    <n v="1"/>
    <n v="5"/>
    <n v="335.49"/>
    <n v="13130003234"/>
  </r>
  <r>
    <x v="24"/>
    <d v="1899-12-30T12:45:42"/>
    <n v="4235"/>
    <n v="13002561"/>
    <n v="13"/>
    <n v="22589"/>
    <s v="Retail Sale"/>
    <n v="15"/>
    <n v="41330"/>
    <x v="17"/>
    <s v="Katren"/>
    <s v="Novartis"/>
    <n v="3"/>
    <n v="390.43"/>
    <n v="499.81"/>
    <n v="0"/>
    <n v="0"/>
    <m/>
    <n v="29"/>
    <n v="1"/>
    <n v="1"/>
    <n v="499.81"/>
    <n v="13130003235"/>
  </r>
  <r>
    <x v="25"/>
    <d v="1899-12-30T09:16:27"/>
    <n v="4236"/>
    <n v="13002561"/>
    <n v="13"/>
    <n v="22589"/>
    <s v="Retail Sale"/>
    <n v="15"/>
    <n v="99716"/>
    <x v="52"/>
    <s v="Protek"/>
    <s v="Bayer"/>
    <n v="2"/>
    <n v="569.34"/>
    <n v="960.5"/>
    <n v="96.05"/>
    <n v="96.05"/>
    <s v="BONUS_CARD"/>
    <n v="29"/>
    <n v="1"/>
    <n v="4"/>
    <n v="864.45"/>
    <n v="13130003236"/>
  </r>
  <r>
    <x v="27"/>
    <d v="1899-12-30T10:24:19"/>
    <n v="4237"/>
    <n v="13002561"/>
    <n v="13"/>
    <n v="22589"/>
    <s v="Retail Sale"/>
    <n v="18"/>
    <n v="78248"/>
    <x v="49"/>
    <s v="Protek"/>
    <s v="KRKA"/>
    <n v="2"/>
    <n v="168.35"/>
    <n v="223.99"/>
    <n v="0"/>
    <n v="0"/>
    <m/>
    <n v="29"/>
    <n v="1"/>
    <n v="3"/>
    <n v="223.99"/>
    <n v="13130003237"/>
  </r>
  <r>
    <x v="6"/>
    <d v="1899-12-30T14:45:42"/>
    <n v="4238"/>
    <n v="13002561"/>
    <n v="13"/>
    <n v="22589"/>
    <s v="Retail Sale"/>
    <n v="15"/>
    <n v="26223"/>
    <x v="44"/>
    <s v="Avesta"/>
    <s v="TEVA"/>
    <n v="2"/>
    <n v="434.14"/>
    <n v="563.85"/>
    <n v="28.19"/>
    <n v="28.19"/>
    <s v="BONUS_CARD"/>
    <n v="29"/>
    <n v="1"/>
    <n v="5"/>
    <n v="535.66"/>
    <n v="13130003238"/>
  </r>
  <r>
    <x v="12"/>
    <d v="1899-12-30T17:37:47"/>
    <n v="4239"/>
    <n v="13002561"/>
    <n v="13"/>
    <n v="22589"/>
    <s v="Retail Sale"/>
    <n v="15"/>
    <n v="68798"/>
    <x v="72"/>
    <s v="Pulse"/>
    <s v="Pfizer"/>
    <n v="2"/>
    <n v="350.91"/>
    <n v="558.29"/>
    <n v="0"/>
    <n v="0"/>
    <m/>
    <n v="29"/>
    <n v="1"/>
    <n v="4"/>
    <n v="558.29"/>
    <n v="13130003239"/>
  </r>
  <r>
    <x v="22"/>
    <d v="1899-12-30T11:28:21"/>
    <n v="4240"/>
    <n v="13002561"/>
    <n v="13"/>
    <n v="22589"/>
    <s v="Retail Sale"/>
    <n v="18"/>
    <n v="25404"/>
    <x v="46"/>
    <s v="Katren"/>
    <s v="Takeda"/>
    <n v="3"/>
    <n v="507.44"/>
    <n v="840.07"/>
    <n v="42"/>
    <n v="42"/>
    <s v="BONUS_CARD"/>
    <n v="29"/>
    <n v="1"/>
    <n v="4"/>
    <n v="798.07"/>
    <n v="13130003240"/>
  </r>
  <r>
    <x v="11"/>
    <d v="1899-12-30T20:16:42"/>
    <n v="4241"/>
    <n v="13002561"/>
    <n v="13"/>
    <n v="22589"/>
    <s v="Retail Sale"/>
    <n v="15"/>
    <n v="76338"/>
    <x v="20"/>
    <s v="Katren"/>
    <s v="Takeda"/>
    <n v="1"/>
    <n v="311.68"/>
    <n v="422.19"/>
    <n v="21.11"/>
    <n v="21.11"/>
    <s v="BONUS_CARD"/>
    <n v="29"/>
    <n v="1"/>
    <n v="6"/>
    <n v="401.08"/>
    <n v="13130003241"/>
  </r>
  <r>
    <x v="7"/>
    <d v="1899-12-30T15:27:28"/>
    <n v="4242"/>
    <n v="13002561"/>
    <n v="13"/>
    <n v="22589"/>
    <s v="Retail Sale"/>
    <n v="15"/>
    <n v="16208"/>
    <x v="57"/>
    <s v="Avesta"/>
    <s v="Dr. Reddy's"/>
    <n v="3"/>
    <n v="284.44"/>
    <n v="468.49"/>
    <n v="0"/>
    <n v="0"/>
    <m/>
    <n v="29"/>
    <n v="1"/>
    <n v="6"/>
    <n v="468.49"/>
    <n v="13130003242"/>
  </r>
  <r>
    <x v="16"/>
    <d v="1899-12-30T12:26:50"/>
    <n v="4243"/>
    <n v="13002561"/>
    <n v="13"/>
    <n v="22589"/>
    <s v="Retail Sale"/>
    <n v="18"/>
    <n v="76440"/>
    <x v="54"/>
    <s v="Protek"/>
    <s v="Bayer"/>
    <n v="3"/>
    <n v="87.72"/>
    <n v="142.74"/>
    <n v="14.27"/>
    <n v="14.27"/>
    <s v="BONUS_CARD"/>
    <n v="29"/>
    <n v="1"/>
    <n v="5"/>
    <n v="128.47"/>
    <n v="13130003243"/>
  </r>
  <r>
    <x v="11"/>
    <d v="1899-12-30T18:26:18"/>
    <n v="4244"/>
    <n v="13002561"/>
    <n v="13"/>
    <n v="22589"/>
    <s v="Retail Sale"/>
    <n v="15"/>
    <n v="94285"/>
    <x v="66"/>
    <s v="Katren"/>
    <s v="Takeda"/>
    <n v="2"/>
    <n v="496.45"/>
    <n v="836.87"/>
    <n v="41.84"/>
    <n v="41.84"/>
    <s v="BONUS_CARD"/>
    <n v="29"/>
    <n v="1"/>
    <n v="4"/>
    <n v="795.03"/>
    <n v="13130003244"/>
  </r>
  <r>
    <x v="30"/>
    <d v="1899-12-30T21:04:14"/>
    <n v="4245"/>
    <n v="13002561"/>
    <n v="13"/>
    <n v="22589"/>
    <s v="Retail Sale"/>
    <n v="15"/>
    <n v="37245"/>
    <x v="4"/>
    <s v="Pulse"/>
    <s v="Takeda"/>
    <n v="2"/>
    <n v="508.47"/>
    <n v="748.51"/>
    <n v="0"/>
    <n v="0"/>
    <m/>
    <n v="29"/>
    <n v="1"/>
    <n v="1"/>
    <n v="748.51"/>
    <n v="13130003245"/>
  </r>
  <r>
    <x v="1"/>
    <d v="1899-12-30T09:05:57"/>
    <n v="4246"/>
    <n v="13002561"/>
    <n v="13"/>
    <n v="22589"/>
    <s v="Retail Sale"/>
    <n v="15"/>
    <n v="63880"/>
    <x v="2"/>
    <s v="Pulse"/>
    <s v="Novartis"/>
    <n v="2"/>
    <n v="390.12"/>
    <n v="632.07000000000005"/>
    <n v="0"/>
    <n v="0"/>
    <m/>
    <n v="29"/>
    <n v="1"/>
    <n v="1"/>
    <n v="632.07000000000005"/>
    <n v="13130003246"/>
  </r>
  <r>
    <x v="27"/>
    <d v="1899-12-30T08:49:55"/>
    <n v="4247"/>
    <n v="13002561"/>
    <n v="13"/>
    <n v="22589"/>
    <s v="Retail Sale"/>
    <n v="18"/>
    <n v="93643"/>
    <x v="68"/>
    <s v="Grand Capital"/>
    <s v="Sanofi"/>
    <n v="2"/>
    <n v="584.48"/>
    <n v="784.33"/>
    <n v="0"/>
    <n v="0"/>
    <m/>
    <n v="29"/>
    <n v="1"/>
    <n v="3"/>
    <n v="784.33"/>
    <n v="13130003247"/>
  </r>
  <r>
    <x v="11"/>
    <d v="1899-12-30T19:32:10"/>
    <n v="4248"/>
    <n v="13002561"/>
    <n v="13"/>
    <n v="22589"/>
    <s v="Retail Sale"/>
    <n v="18"/>
    <n v="63566"/>
    <x v="1"/>
    <s v="Katren"/>
    <s v="Sanofi"/>
    <n v="2"/>
    <n v="141.94"/>
    <n v="240.02"/>
    <n v="0"/>
    <n v="0"/>
    <m/>
    <n v="29"/>
    <n v="1"/>
    <n v="2"/>
    <n v="240.02"/>
    <n v="13130003248"/>
  </r>
  <r>
    <x v="3"/>
    <d v="1899-12-30T19:46:42"/>
    <n v="4249"/>
    <n v="13002561"/>
    <n v="13"/>
    <n v="22589"/>
    <s v="Retail Sale"/>
    <n v="15"/>
    <n v="96789"/>
    <x v="31"/>
    <s v="Grand Capital"/>
    <s v="Bayer"/>
    <n v="2"/>
    <n v="78.569999999999993"/>
    <n v="131.55000000000001"/>
    <n v="13.16"/>
    <n v="13.16"/>
    <s v="BONUS_CARD"/>
    <n v="29"/>
    <n v="1"/>
    <n v="6"/>
    <n v="118.39"/>
    <n v="13130003249"/>
  </r>
  <r>
    <x v="27"/>
    <d v="1899-12-30T17:23:08"/>
    <n v="4250"/>
    <n v="13002561"/>
    <n v="13"/>
    <n v="22589"/>
    <s v="Retail Sale"/>
    <n v="18"/>
    <n v="59838"/>
    <x v="70"/>
    <s v="Katren"/>
    <s v="Sanofi"/>
    <n v="3"/>
    <n v="445.78"/>
    <n v="574.09"/>
    <n v="57.41"/>
    <n v="57.41"/>
    <s v="BONUS_CARD"/>
    <n v="29"/>
    <n v="1"/>
    <n v="2"/>
    <n v="516.67999999999995"/>
    <n v="13130003250"/>
  </r>
  <r>
    <x v="17"/>
    <d v="1899-12-30T11:43:03"/>
    <n v="4251"/>
    <n v="13002561"/>
    <n v="13"/>
    <n v="22589"/>
    <s v="Retail Sale"/>
    <n v="15"/>
    <n v="70387"/>
    <x v="6"/>
    <s v="Katren"/>
    <s v="TEVA"/>
    <n v="1"/>
    <n v="536.5"/>
    <n v="861.36"/>
    <n v="0"/>
    <n v="0"/>
    <m/>
    <n v="29"/>
    <n v="1"/>
    <n v="2"/>
    <n v="861.36"/>
    <n v="13130003251"/>
  </r>
  <r>
    <x v="23"/>
    <d v="1899-12-30T22:15:03"/>
    <n v="4252"/>
    <n v="13002561"/>
    <n v="13"/>
    <n v="22589"/>
    <s v="Retail Sale"/>
    <n v="18"/>
    <n v="81039"/>
    <x v="16"/>
    <s v="Pharmcomplect"/>
    <s v="Pfizer"/>
    <n v="3"/>
    <n v="261.67"/>
    <n v="429.56"/>
    <n v="0"/>
    <n v="0"/>
    <m/>
    <n v="29"/>
    <n v="1"/>
    <n v="5"/>
    <n v="429.56"/>
    <n v="13130003252"/>
  </r>
  <r>
    <x v="5"/>
    <d v="1899-12-30T20:06:13"/>
    <n v="4253"/>
    <n v="13002561"/>
    <n v="13"/>
    <n v="22589"/>
    <s v="Retail Sale"/>
    <n v="18"/>
    <n v="81960"/>
    <x v="47"/>
    <s v="Katren"/>
    <s v="Sanofi"/>
    <n v="3"/>
    <n v="297.97000000000003"/>
    <n v="400.48"/>
    <n v="0"/>
    <n v="0"/>
    <m/>
    <n v="29"/>
    <n v="1"/>
    <n v="4"/>
    <n v="400.48"/>
    <n v="13130003253"/>
  </r>
  <r>
    <x v="29"/>
    <d v="1899-12-30T09:47:44"/>
    <n v="4254"/>
    <n v="13002561"/>
    <n v="13"/>
    <n v="22589"/>
    <s v="Retail Sale"/>
    <n v="15"/>
    <n v="26587"/>
    <x v="79"/>
    <s v="Pulse"/>
    <s v="Pfizer"/>
    <n v="2"/>
    <n v="91.84"/>
    <n v="134.13999999999999"/>
    <n v="0"/>
    <n v="0"/>
    <m/>
    <n v="29"/>
    <n v="1"/>
    <n v="4"/>
    <n v="134.13999999999999"/>
    <n v="13130003254"/>
  </r>
  <r>
    <x v="0"/>
    <d v="1899-12-30T12:18:37"/>
    <n v="4255"/>
    <n v="13002561"/>
    <n v="13"/>
    <n v="22589"/>
    <s v="Retail Sale"/>
    <n v="18"/>
    <n v="90616"/>
    <x v="34"/>
    <s v="Protek"/>
    <s v="KRKA"/>
    <n v="2"/>
    <n v="553.83000000000004"/>
    <n v="924.86"/>
    <n v="46.24"/>
    <n v="46.24"/>
    <s v="BONUS_CARD"/>
    <n v="29"/>
    <n v="1"/>
    <n v="3"/>
    <n v="878.62"/>
    <n v="13130003255"/>
  </r>
  <r>
    <x v="3"/>
    <d v="1899-12-30T19:45:54"/>
    <n v="4256"/>
    <n v="13002561"/>
    <n v="13"/>
    <n v="22589"/>
    <s v="Retail Sale"/>
    <n v="18"/>
    <n v="55839"/>
    <x v="13"/>
    <s v="Grand Capital"/>
    <s v="Bayer"/>
    <n v="1"/>
    <n v="536.1"/>
    <n v="755.42"/>
    <n v="37.770000000000003"/>
    <n v="37.770000000000003"/>
    <s v="BONUS_CARD"/>
    <n v="29"/>
    <n v="1"/>
    <n v="1"/>
    <n v="717.65"/>
    <n v="13130003256"/>
  </r>
  <r>
    <x v="25"/>
    <d v="1899-12-30T11:36:31"/>
    <n v="4257"/>
    <n v="13002561"/>
    <n v="13"/>
    <n v="22589"/>
    <s v="Retail Sale"/>
    <n v="18"/>
    <n v="14479"/>
    <x v="7"/>
    <s v="Pulse"/>
    <s v="Takeda"/>
    <n v="1"/>
    <n v="262.52"/>
    <n v="358.93"/>
    <n v="17.95"/>
    <n v="17.95"/>
    <s v="BONUS_CARD"/>
    <n v="29"/>
    <n v="1"/>
    <n v="4"/>
    <n v="340.98"/>
    <n v="13130003257"/>
  </r>
  <r>
    <x v="11"/>
    <d v="1899-12-30T13:44:46"/>
    <n v="4258"/>
    <n v="13002561"/>
    <n v="13"/>
    <n v="22589"/>
    <s v="Retail Sale"/>
    <n v="18"/>
    <n v="97602"/>
    <x v="22"/>
    <s v="Pulse"/>
    <s v="Takeda"/>
    <n v="2"/>
    <n v="268.37"/>
    <n v="362.71"/>
    <n v="36.270000000000003"/>
    <n v="36.270000000000003"/>
    <s v="BONUS_CARD"/>
    <n v="29"/>
    <n v="1"/>
    <n v="6"/>
    <n v="326.44"/>
    <n v="13130003258"/>
  </r>
  <r>
    <x v="30"/>
    <d v="1899-12-30T12:33:28"/>
    <n v="4259"/>
    <n v="13002561"/>
    <n v="13"/>
    <n v="22589"/>
    <s v="Retail Sale"/>
    <n v="15"/>
    <n v="53888"/>
    <x v="33"/>
    <s v="Katren"/>
    <s v="TEVA"/>
    <n v="1"/>
    <n v="31.53"/>
    <n v="41.08"/>
    <n v="4.1100000000000003"/>
    <n v="4.1100000000000003"/>
    <s v="BONUS_CARD"/>
    <n v="29"/>
    <n v="1"/>
    <n v="3"/>
    <n v="36.97"/>
    <n v="13130003259"/>
  </r>
  <r>
    <x v="2"/>
    <d v="1899-12-30T21:10:37"/>
    <n v="4260"/>
    <n v="13002561"/>
    <n v="13"/>
    <n v="22589"/>
    <s v="Retail Sale"/>
    <n v="15"/>
    <n v="59642"/>
    <x v="82"/>
    <s v="Avesta"/>
    <s v="Takeda"/>
    <n v="3"/>
    <n v="243.52"/>
    <n v="348.13"/>
    <n v="17.41"/>
    <n v="17.41"/>
    <s v="BONUS_CARD"/>
    <n v="29"/>
    <n v="1"/>
    <n v="6"/>
    <n v="330.72"/>
    <n v="13130003260"/>
  </r>
  <r>
    <x v="5"/>
    <d v="1899-12-30T17:55:58"/>
    <n v="4261"/>
    <n v="13002561"/>
    <n v="13"/>
    <n v="22589"/>
    <s v="Retail Sale"/>
    <n v="18"/>
    <n v="14236"/>
    <x v="75"/>
    <s v="Katren"/>
    <s v="Sanofi"/>
    <n v="3"/>
    <n v="187.08"/>
    <n v="307.08999999999997"/>
    <n v="15.35"/>
    <n v="15.35"/>
    <s v="BONUS_CARD"/>
    <n v="29"/>
    <n v="1"/>
    <n v="1"/>
    <n v="291.74"/>
    <n v="13130003261"/>
  </r>
  <r>
    <x v="0"/>
    <d v="1899-12-30T13:37:55"/>
    <n v="4262"/>
    <n v="13002561"/>
    <n v="13"/>
    <n v="22589"/>
    <s v="Retail Sale"/>
    <n v="18"/>
    <n v="17997"/>
    <x v="4"/>
    <s v="Katren"/>
    <s v="TEVA"/>
    <n v="3"/>
    <n v="559.29"/>
    <n v="859.37"/>
    <n v="0"/>
    <n v="0"/>
    <m/>
    <n v="29"/>
    <n v="1"/>
    <n v="1"/>
    <n v="859.37"/>
    <n v="13130003262"/>
  </r>
  <r>
    <x v="16"/>
    <d v="1899-12-30T18:44:40"/>
    <n v="4263"/>
    <n v="13002561"/>
    <n v="13"/>
    <n v="22589"/>
    <s v="Retail Sale"/>
    <n v="15"/>
    <n v="79191"/>
    <x v="6"/>
    <s v="Protek"/>
    <s v="Bayer"/>
    <n v="2"/>
    <n v="243.42"/>
    <n v="330.7"/>
    <n v="16.54"/>
    <n v="16.54"/>
    <s v="BONUS_CARD"/>
    <n v="29"/>
    <n v="1"/>
    <n v="4"/>
    <n v="314.16000000000003"/>
    <n v="13130003263"/>
  </r>
  <r>
    <x v="10"/>
    <d v="1899-12-30T22:10:18"/>
    <n v="4264"/>
    <n v="13002561"/>
    <n v="13"/>
    <n v="22589"/>
    <s v="Retail Sale"/>
    <n v="15"/>
    <n v="60667"/>
    <x v="85"/>
    <s v="Grand Capital"/>
    <s v="Bayer"/>
    <n v="2"/>
    <n v="149.93"/>
    <n v="204.61"/>
    <n v="20.46"/>
    <n v="20.46"/>
    <s v="BONUS_CARD"/>
    <n v="29"/>
    <n v="1"/>
    <n v="4"/>
    <n v="184.15"/>
    <n v="13130003264"/>
  </r>
  <r>
    <x v="9"/>
    <d v="1899-12-30T14:31:36"/>
    <n v="4265"/>
    <n v="13002561"/>
    <n v="13"/>
    <n v="22589"/>
    <s v="Retail Sale"/>
    <n v="15"/>
    <n v="40145"/>
    <x v="59"/>
    <s v="Avesta"/>
    <s v="Dr. Reddy's"/>
    <n v="2"/>
    <n v="424.69"/>
    <n v="616.66999999999996"/>
    <n v="30.83"/>
    <n v="30.83"/>
    <s v="BONUS_CARD"/>
    <n v="29"/>
    <n v="1"/>
    <n v="1"/>
    <n v="585.84"/>
    <n v="13130003265"/>
  </r>
  <r>
    <x v="5"/>
    <d v="1899-12-30T16:23:10"/>
    <n v="4266"/>
    <n v="13002561"/>
    <n v="13"/>
    <n v="22589"/>
    <s v="Retail Sale"/>
    <n v="15"/>
    <n v="44606"/>
    <x v="22"/>
    <s v="Pharmcomplect"/>
    <s v="Bayer"/>
    <n v="1"/>
    <n v="579.71"/>
    <n v="961.43"/>
    <n v="48.07"/>
    <n v="48.07"/>
    <s v="BONUS_CARD"/>
    <n v="29"/>
    <n v="1"/>
    <n v="4"/>
    <n v="913.36"/>
    <n v="13130003266"/>
  </r>
  <r>
    <x v="22"/>
    <d v="1899-12-30T12:15:58"/>
    <n v="4267"/>
    <n v="13002561"/>
    <n v="13"/>
    <n v="22589"/>
    <s v="Retail Sale"/>
    <n v="18"/>
    <n v="38132"/>
    <x v="36"/>
    <s v="Pulse"/>
    <s v="KRKA"/>
    <n v="2"/>
    <n v="344.11"/>
    <n v="570.49"/>
    <n v="57.05"/>
    <n v="57.05"/>
    <s v="BONUS_CARD"/>
    <n v="29"/>
    <n v="1"/>
    <n v="2"/>
    <n v="513.44000000000005"/>
    <n v="13130003267"/>
  </r>
  <r>
    <x v="21"/>
    <d v="1899-12-30T09:00:40"/>
    <n v="4268"/>
    <n v="13002561"/>
    <n v="13"/>
    <n v="22589"/>
    <s v="Retail Sale"/>
    <n v="18"/>
    <n v="38159"/>
    <x v="76"/>
    <s v="Protek"/>
    <s v="Dr. Reddy's"/>
    <n v="1"/>
    <n v="565.79999999999995"/>
    <n v="827.88"/>
    <n v="82.79"/>
    <n v="82.79"/>
    <s v="BONUS_CARD"/>
    <n v="29"/>
    <n v="1"/>
    <n v="4"/>
    <n v="745.09"/>
    <n v="13130003268"/>
  </r>
  <r>
    <x v="1"/>
    <d v="1899-12-30T16:07:28"/>
    <n v="4269"/>
    <n v="13002561"/>
    <n v="13"/>
    <n v="22589"/>
    <s v="Retail Sale"/>
    <n v="15"/>
    <n v="29085"/>
    <x v="81"/>
    <s v="Pharmcomplect"/>
    <s v="Novartis"/>
    <n v="2"/>
    <n v="316.16000000000003"/>
    <n v="425.09"/>
    <n v="0"/>
    <n v="0"/>
    <m/>
    <n v="29"/>
    <n v="1"/>
    <n v="5"/>
    <n v="425.09"/>
    <n v="13130003269"/>
  </r>
  <r>
    <x v="6"/>
    <d v="1899-12-30T14:17:30"/>
    <n v="4270"/>
    <n v="13002561"/>
    <n v="13"/>
    <n v="22589"/>
    <s v="Retail Sale"/>
    <n v="18"/>
    <n v="69211"/>
    <x v="11"/>
    <s v="Pulse"/>
    <s v="Takeda"/>
    <n v="3"/>
    <n v="32.53"/>
    <n v="50.67"/>
    <n v="0"/>
    <n v="0"/>
    <m/>
    <n v="29"/>
    <n v="1"/>
    <n v="2"/>
    <n v="50.67"/>
    <n v="13130003270"/>
  </r>
  <r>
    <x v="1"/>
    <d v="1899-12-30T22:19:52"/>
    <n v="4271"/>
    <n v="13002561"/>
    <n v="13"/>
    <n v="22589"/>
    <s v="Retail Sale"/>
    <n v="15"/>
    <n v="21664"/>
    <x v="12"/>
    <s v="Pulse"/>
    <s v="KRKA"/>
    <n v="3"/>
    <n v="464.36"/>
    <n v="650.33000000000004"/>
    <n v="0"/>
    <n v="0"/>
    <m/>
    <n v="29"/>
    <n v="1"/>
    <n v="2"/>
    <n v="650.33000000000004"/>
    <n v="13130003271"/>
  </r>
  <r>
    <x v="16"/>
    <d v="1899-12-30T16:17:42"/>
    <n v="4272"/>
    <n v="13002561"/>
    <n v="13"/>
    <n v="22589"/>
    <s v="Retail Sale"/>
    <n v="15"/>
    <n v="86535"/>
    <x v="9"/>
    <s v="Pharmcomplect"/>
    <s v="Sanofi"/>
    <n v="2"/>
    <n v="537.53"/>
    <n v="779.95"/>
    <n v="39"/>
    <n v="39"/>
    <s v="BONUS_CARD"/>
    <n v="29"/>
    <n v="1"/>
    <n v="2"/>
    <n v="740.95"/>
    <n v="13130003272"/>
  </r>
  <r>
    <x v="8"/>
    <d v="1899-12-30T20:57:51"/>
    <n v="4273"/>
    <n v="13002561"/>
    <n v="13"/>
    <n v="22589"/>
    <s v="Retail Sale"/>
    <n v="18"/>
    <n v="40573"/>
    <x v="7"/>
    <s v="Protek"/>
    <s v="Novartis"/>
    <n v="3"/>
    <n v="230.52"/>
    <n v="353.84"/>
    <n v="17.690000000000001"/>
    <n v="17.690000000000001"/>
    <s v="BONUS_CARD"/>
    <n v="29"/>
    <n v="1"/>
    <n v="1"/>
    <n v="336.15"/>
    <n v="13130003273"/>
  </r>
  <r>
    <x v="25"/>
    <d v="1899-12-30T09:42:32"/>
    <n v="4274"/>
    <n v="13002561"/>
    <n v="13"/>
    <n v="22589"/>
    <s v="Retail Sale"/>
    <n v="15"/>
    <n v="74074"/>
    <x v="41"/>
    <s v="Pharmcomplect"/>
    <s v="Takeda"/>
    <n v="2"/>
    <n v="124.52"/>
    <n v="159.65"/>
    <n v="15.97"/>
    <n v="15.97"/>
    <s v="BONUS_CARD"/>
    <n v="29"/>
    <n v="1"/>
    <n v="4"/>
    <n v="143.68"/>
    <n v="13130003274"/>
  </r>
  <r>
    <x v="20"/>
    <d v="1899-12-30T08:23:14"/>
    <n v="4275"/>
    <n v="13002561"/>
    <n v="13"/>
    <n v="22589"/>
    <s v="Retail Sale"/>
    <n v="18"/>
    <n v="30659"/>
    <x v="22"/>
    <s v="Avesta"/>
    <s v="TEVA"/>
    <n v="2"/>
    <n v="415.6"/>
    <n v="629.44000000000005"/>
    <n v="0"/>
    <n v="0"/>
    <m/>
    <n v="29"/>
    <n v="1"/>
    <n v="1"/>
    <n v="629.44000000000005"/>
    <n v="13130003275"/>
  </r>
  <r>
    <x v="10"/>
    <d v="1899-12-30T09:41:29"/>
    <n v="4276"/>
    <n v="13002561"/>
    <n v="13"/>
    <n v="22589"/>
    <s v="Retail Sale"/>
    <n v="15"/>
    <n v="79137"/>
    <x v="55"/>
    <s v="Katren"/>
    <s v="Sanofi"/>
    <n v="1"/>
    <n v="10.86"/>
    <n v="16.239999999999998"/>
    <n v="1.62"/>
    <n v="1.62"/>
    <s v="BONUS_CARD"/>
    <n v="29"/>
    <n v="1"/>
    <n v="3"/>
    <n v="14.62"/>
    <n v="13130003276"/>
  </r>
  <r>
    <x v="9"/>
    <d v="1899-12-30T20:16:58"/>
    <n v="4277"/>
    <n v="13002561"/>
    <n v="13"/>
    <n v="22589"/>
    <s v="Retail Sale"/>
    <n v="18"/>
    <n v="61671"/>
    <x v="88"/>
    <s v="Katren"/>
    <s v="Sanofi"/>
    <n v="2"/>
    <n v="318.58999999999997"/>
    <n v="445.5"/>
    <n v="22.28"/>
    <n v="22.28"/>
    <s v="BONUS_CARD"/>
    <n v="29"/>
    <n v="1"/>
    <n v="1"/>
    <n v="423.22"/>
    <n v="13130003277"/>
  </r>
  <r>
    <x v="29"/>
    <d v="1899-12-30T15:26:09"/>
    <n v="4278"/>
    <n v="13002561"/>
    <n v="13"/>
    <n v="22589"/>
    <s v="Retail Sale"/>
    <n v="15"/>
    <n v="11414"/>
    <x v="87"/>
    <s v="Pharmcomplect"/>
    <s v="Takeda"/>
    <n v="3"/>
    <n v="546.82000000000005"/>
    <n v="696.64"/>
    <n v="69.66"/>
    <n v="69.66"/>
    <s v="BONUS_CARD"/>
    <n v="29"/>
    <n v="1"/>
    <n v="3"/>
    <n v="626.98"/>
    <n v="13130003278"/>
  </r>
  <r>
    <x v="26"/>
    <d v="1899-12-30T17:08:23"/>
    <n v="4279"/>
    <n v="13002561"/>
    <n v="13"/>
    <n v="22589"/>
    <s v="Retail Sale"/>
    <n v="15"/>
    <n v="94680"/>
    <x v="40"/>
    <s v="Pharmcomplect"/>
    <s v="Takeda"/>
    <n v="1"/>
    <n v="250.49"/>
    <n v="364.69"/>
    <n v="36.47"/>
    <n v="36.47"/>
    <s v="BONUS_CARD"/>
    <n v="29"/>
    <n v="1"/>
    <n v="5"/>
    <n v="328.22"/>
    <n v="13130003279"/>
  </r>
  <r>
    <x v="8"/>
    <d v="1899-12-30T19:41:13"/>
    <n v="4280"/>
    <n v="13002561"/>
    <n v="13"/>
    <n v="22589"/>
    <s v="Retail Sale"/>
    <n v="15"/>
    <n v="24244"/>
    <x v="70"/>
    <s v="Avesta"/>
    <s v="Bayer"/>
    <n v="3"/>
    <n v="447.29"/>
    <n v="733.51"/>
    <n v="73.349999999999994"/>
    <n v="73.349999999999994"/>
    <s v="BONUS_CARD"/>
    <n v="29"/>
    <n v="1"/>
    <n v="3"/>
    <n v="660.16"/>
    <n v="13130003280"/>
  </r>
  <r>
    <x v="9"/>
    <d v="1899-12-30T08:40:16"/>
    <n v="4281"/>
    <n v="13002561"/>
    <n v="13"/>
    <n v="22589"/>
    <s v="Retail Sale"/>
    <n v="18"/>
    <n v="82738"/>
    <x v="19"/>
    <s v="Pulse"/>
    <s v="Takeda"/>
    <n v="1"/>
    <n v="562.48"/>
    <n v="841.83"/>
    <n v="0"/>
    <n v="0"/>
    <m/>
    <n v="29"/>
    <n v="1"/>
    <n v="4"/>
    <n v="841.83"/>
    <n v="13130003281"/>
  </r>
  <r>
    <x v="8"/>
    <d v="1899-12-30T14:10:10"/>
    <n v="4282"/>
    <n v="13002561"/>
    <n v="13"/>
    <n v="22589"/>
    <s v="Retail Sale"/>
    <n v="15"/>
    <n v="62283"/>
    <x v="55"/>
    <s v="Katren"/>
    <s v="Pfizer"/>
    <n v="1"/>
    <n v="12.28"/>
    <n v="15.66"/>
    <n v="0.78"/>
    <n v="0.78"/>
    <s v="BONUS_CARD"/>
    <n v="29"/>
    <n v="1"/>
    <n v="6"/>
    <n v="14.88"/>
    <n v="13130003282"/>
  </r>
  <r>
    <x v="16"/>
    <d v="1899-12-30T16:32:24"/>
    <n v="4283"/>
    <n v="13002561"/>
    <n v="13"/>
    <n v="22589"/>
    <s v="Retail Sale"/>
    <n v="18"/>
    <n v="59438"/>
    <x v="84"/>
    <s v="Katren"/>
    <s v="Bayer"/>
    <n v="1"/>
    <n v="470.97"/>
    <n v="713.22"/>
    <n v="0"/>
    <n v="0"/>
    <m/>
    <n v="29"/>
    <n v="1"/>
    <n v="6"/>
    <n v="713.22"/>
    <n v="13130003283"/>
  </r>
  <r>
    <x v="22"/>
    <d v="1899-12-30T19:53:18"/>
    <n v="4284"/>
    <n v="13002561"/>
    <n v="13"/>
    <n v="22589"/>
    <s v="Retail Sale"/>
    <n v="18"/>
    <n v="79787"/>
    <x v="19"/>
    <s v="Protek"/>
    <s v="Sanofi"/>
    <n v="2"/>
    <n v="410.78"/>
    <n v="579.53"/>
    <n v="57.95"/>
    <n v="57.95"/>
    <s v="BONUS_CARD"/>
    <n v="29"/>
    <n v="1"/>
    <n v="6"/>
    <n v="521.58000000000004"/>
    <n v="13130003284"/>
  </r>
  <r>
    <x v="26"/>
    <d v="1899-12-30T15:20:43"/>
    <n v="4285"/>
    <n v="13002561"/>
    <n v="13"/>
    <n v="22589"/>
    <s v="Retail Sale"/>
    <n v="18"/>
    <n v="13396"/>
    <x v="13"/>
    <s v="Grand Capital"/>
    <s v="KRKA"/>
    <n v="2"/>
    <n v="83.53"/>
    <n v="131.30000000000001"/>
    <n v="6.57"/>
    <n v="6.57"/>
    <s v="BONUS_CARD"/>
    <n v="29"/>
    <n v="1"/>
    <n v="6"/>
    <n v="124.73"/>
    <n v="13130003285"/>
  </r>
  <r>
    <x v="14"/>
    <d v="1899-12-30T13:33:14"/>
    <n v="4286"/>
    <n v="13002561"/>
    <n v="13"/>
    <n v="22589"/>
    <s v="Retail Sale"/>
    <n v="15"/>
    <n v="35751"/>
    <x v="77"/>
    <s v="Pharmcomplect"/>
    <s v="Pfizer"/>
    <n v="3"/>
    <n v="137.1"/>
    <n v="208.19"/>
    <n v="20.82"/>
    <n v="20.82"/>
    <s v="BONUS_CARD"/>
    <n v="29"/>
    <n v="1"/>
    <n v="5"/>
    <n v="187.37"/>
    <n v="13130003286"/>
  </r>
  <r>
    <x v="12"/>
    <d v="1899-12-30T19:40:07"/>
    <n v="4287"/>
    <n v="13002561"/>
    <n v="13"/>
    <n v="22589"/>
    <s v="Retail Sale"/>
    <n v="15"/>
    <n v="46333"/>
    <x v="49"/>
    <s v="Grand Capital"/>
    <s v="Bayer"/>
    <n v="2"/>
    <n v="233.53"/>
    <n v="327.98"/>
    <n v="32.799999999999997"/>
    <n v="32.799999999999997"/>
    <s v="BONUS_CARD"/>
    <n v="29"/>
    <n v="1"/>
    <n v="4"/>
    <n v="295.18"/>
    <n v="13130003287"/>
  </r>
  <r>
    <x v="11"/>
    <d v="1899-12-30T10:15:55"/>
    <n v="4288"/>
    <n v="13002561"/>
    <n v="13"/>
    <n v="22589"/>
    <s v="Retail Sale"/>
    <n v="15"/>
    <n v="83261"/>
    <x v="14"/>
    <s v="Avesta"/>
    <s v="Dr. Reddy's"/>
    <n v="3"/>
    <n v="313.26"/>
    <n v="395.33"/>
    <n v="19.77"/>
    <n v="19.77"/>
    <s v="BONUS_CARD"/>
    <n v="29"/>
    <n v="1"/>
    <n v="5"/>
    <n v="375.56"/>
    <n v="13130003288"/>
  </r>
  <r>
    <x v="7"/>
    <d v="1899-12-30T12:58:42"/>
    <n v="4289"/>
    <n v="13002561"/>
    <n v="13"/>
    <n v="22589"/>
    <s v="Retail Sale"/>
    <n v="15"/>
    <n v="13439"/>
    <x v="33"/>
    <s v="Pulse"/>
    <s v="Pfizer"/>
    <n v="2"/>
    <n v="13.72"/>
    <n v="20.440000000000001"/>
    <n v="2.04"/>
    <n v="2.04"/>
    <s v="BONUS_CARD"/>
    <n v="29"/>
    <n v="1"/>
    <n v="2"/>
    <n v="18.399999999999999"/>
    <n v="13130003289"/>
  </r>
  <r>
    <x v="0"/>
    <d v="1899-12-30T12:58:08"/>
    <n v="4290"/>
    <n v="13002561"/>
    <n v="13"/>
    <n v="22589"/>
    <s v="Retail Sale"/>
    <n v="18"/>
    <n v="79257"/>
    <x v="4"/>
    <s v="Protek"/>
    <s v="Sanofi"/>
    <n v="2"/>
    <n v="474.67"/>
    <n v="703.14"/>
    <n v="0"/>
    <n v="0"/>
    <m/>
    <n v="29"/>
    <n v="1"/>
    <n v="2"/>
    <n v="703.14"/>
    <n v="13130003290"/>
  </r>
  <r>
    <x v="1"/>
    <d v="1899-12-30T22:27:10"/>
    <n v="4291"/>
    <n v="13002561"/>
    <n v="13"/>
    <n v="22589"/>
    <s v="Retail Sale"/>
    <n v="18"/>
    <n v="16024"/>
    <x v="9"/>
    <s v="Pulse"/>
    <s v="Bayer"/>
    <n v="3"/>
    <n v="463.7"/>
    <n v="693.62"/>
    <n v="34.68"/>
    <n v="34.68"/>
    <s v="BONUS_CARD"/>
    <n v="29"/>
    <n v="1"/>
    <n v="2"/>
    <n v="658.94"/>
    <n v="13130003291"/>
  </r>
  <r>
    <x v="22"/>
    <d v="1899-12-30T13:00:59"/>
    <n v="4292"/>
    <n v="13002561"/>
    <n v="13"/>
    <n v="22589"/>
    <s v="Retail Sale"/>
    <n v="18"/>
    <n v="79161"/>
    <x v="59"/>
    <s v="Grand Capital"/>
    <s v="TEVA"/>
    <n v="2"/>
    <n v="130.28"/>
    <n v="170.08"/>
    <n v="0"/>
    <n v="0"/>
    <m/>
    <n v="29"/>
    <n v="1"/>
    <n v="3"/>
    <n v="170.08"/>
    <n v="13130003292"/>
  </r>
  <r>
    <x v="8"/>
    <d v="1899-12-30T17:22:30"/>
    <n v="4293"/>
    <n v="13002561"/>
    <n v="13"/>
    <n v="22589"/>
    <s v="Retail Sale"/>
    <n v="18"/>
    <n v="95988"/>
    <x v="14"/>
    <s v="Avesta"/>
    <s v="TEVA"/>
    <n v="3"/>
    <n v="215.67"/>
    <n v="345.14"/>
    <n v="34.51"/>
    <n v="34.51"/>
    <s v="BONUS_CARD"/>
    <n v="29"/>
    <n v="1"/>
    <n v="6"/>
    <n v="310.63"/>
    <n v="13130003293"/>
  </r>
  <r>
    <x v="5"/>
    <d v="1899-12-30T18:20:11"/>
    <n v="4294"/>
    <n v="13002561"/>
    <n v="13"/>
    <n v="22589"/>
    <s v="Retail Sale"/>
    <n v="18"/>
    <n v="69616"/>
    <x v="55"/>
    <s v="Protek"/>
    <s v="Pfizer"/>
    <n v="3"/>
    <n v="579.57000000000005"/>
    <n v="940.29"/>
    <n v="0"/>
    <n v="0"/>
    <m/>
    <n v="29"/>
    <n v="1"/>
    <n v="1"/>
    <n v="940.29"/>
    <n v="13130003294"/>
  </r>
  <r>
    <x v="18"/>
    <d v="1899-12-30T16:18:11"/>
    <n v="4295"/>
    <n v="13002561"/>
    <n v="13"/>
    <n v="22589"/>
    <s v="Retail Sale"/>
    <n v="15"/>
    <n v="25107"/>
    <x v="67"/>
    <s v="Grand Capital"/>
    <s v="Bayer"/>
    <n v="2"/>
    <n v="482"/>
    <n v="678.25"/>
    <n v="0"/>
    <n v="0"/>
    <m/>
    <n v="29"/>
    <n v="1"/>
    <n v="4"/>
    <n v="678.25"/>
    <n v="13130003295"/>
  </r>
  <r>
    <x v="9"/>
    <d v="1899-12-30T09:18:19"/>
    <n v="4296"/>
    <n v="13002561"/>
    <n v="13"/>
    <n v="22589"/>
    <s v="Retail Sale"/>
    <n v="15"/>
    <n v="88913"/>
    <x v="30"/>
    <s v="Protek"/>
    <s v="Novartis"/>
    <n v="2"/>
    <n v="469.83"/>
    <n v="727.93"/>
    <n v="36.4"/>
    <n v="36.4"/>
    <s v="BONUS_CARD"/>
    <n v="29"/>
    <n v="1"/>
    <n v="5"/>
    <n v="691.53"/>
    <n v="13130003296"/>
  </r>
  <r>
    <x v="17"/>
    <d v="1899-12-30T22:55:59"/>
    <n v="4297"/>
    <n v="13002561"/>
    <n v="13"/>
    <n v="22589"/>
    <s v="Retail Sale"/>
    <n v="15"/>
    <n v="39940"/>
    <x v="87"/>
    <s v="Pulse"/>
    <s v="Dr. Reddy's"/>
    <n v="1"/>
    <n v="552.59"/>
    <n v="740.21"/>
    <n v="0"/>
    <n v="0"/>
    <m/>
    <n v="29"/>
    <n v="1"/>
    <n v="5"/>
    <n v="740.21"/>
    <n v="13130003297"/>
  </r>
  <r>
    <x v="12"/>
    <d v="1899-12-30T11:21:14"/>
    <n v="4298"/>
    <n v="13002561"/>
    <n v="13"/>
    <n v="22589"/>
    <s v="Retail Sale"/>
    <n v="18"/>
    <n v="96828"/>
    <x v="80"/>
    <s v="Protek"/>
    <s v="KRKA"/>
    <n v="3"/>
    <n v="137.1"/>
    <n v="228.49"/>
    <n v="22.85"/>
    <n v="22.85"/>
    <s v="BONUS_CARD"/>
    <n v="29"/>
    <n v="1"/>
    <n v="1"/>
    <n v="205.64"/>
    <n v="13130003298"/>
  </r>
  <r>
    <x v="22"/>
    <d v="1899-12-30T10:53:01"/>
    <n v="4299"/>
    <n v="13002561"/>
    <n v="13"/>
    <n v="22589"/>
    <s v="Retail Sale"/>
    <n v="15"/>
    <n v="37018"/>
    <x v="58"/>
    <s v="Pulse"/>
    <s v="TEVA"/>
    <n v="3"/>
    <n v="228.21"/>
    <n v="357.89"/>
    <n v="0"/>
    <n v="0"/>
    <m/>
    <n v="29"/>
    <n v="1"/>
    <n v="4"/>
    <n v="357.89"/>
    <n v="13130003299"/>
  </r>
  <r>
    <x v="19"/>
    <d v="1899-12-30T17:56:12"/>
    <n v="4300"/>
    <n v="13002561"/>
    <n v="13"/>
    <n v="22589"/>
    <s v="Retail Sale"/>
    <n v="18"/>
    <n v="93868"/>
    <x v="26"/>
    <s v="Katren"/>
    <s v="Takeda"/>
    <n v="3"/>
    <n v="496.07"/>
    <n v="800.86"/>
    <n v="0"/>
    <n v="0"/>
    <m/>
    <n v="29"/>
    <n v="1"/>
    <n v="5"/>
    <n v="800.86"/>
    <n v="13130003300"/>
  </r>
  <r>
    <x v="2"/>
    <d v="1899-12-30T14:34:50"/>
    <n v="4301"/>
    <n v="13002561"/>
    <n v="13"/>
    <n v="22589"/>
    <s v="Retail Sale"/>
    <n v="15"/>
    <n v="90186"/>
    <x v="49"/>
    <s v="Katren"/>
    <s v="Bayer"/>
    <n v="1"/>
    <n v="278.61"/>
    <n v="471.54"/>
    <n v="47.15"/>
    <n v="47.15"/>
    <s v="BONUS_CARD"/>
    <n v="29"/>
    <n v="1"/>
    <n v="1"/>
    <n v="424.39"/>
    <n v="13130003301"/>
  </r>
  <r>
    <x v="20"/>
    <d v="1899-12-30T14:39:28"/>
    <n v="4302"/>
    <n v="13002561"/>
    <n v="13"/>
    <n v="22589"/>
    <s v="Retail Sale"/>
    <n v="18"/>
    <n v="46894"/>
    <x v="73"/>
    <s v="Pulse"/>
    <s v="Sanofi"/>
    <n v="1"/>
    <n v="173.92"/>
    <n v="239.15"/>
    <n v="11.96"/>
    <n v="11.96"/>
    <s v="BONUS_CARD"/>
    <n v="29"/>
    <n v="1"/>
    <n v="3"/>
    <n v="227.19"/>
    <n v="13130003302"/>
  </r>
  <r>
    <x v="11"/>
    <d v="1899-12-30T14:00:40"/>
    <n v="4303"/>
    <n v="13002561"/>
    <n v="13"/>
    <n v="22589"/>
    <s v="Retail Sale"/>
    <n v="18"/>
    <n v="72891"/>
    <x v="12"/>
    <s v="Protek"/>
    <s v="Bayer"/>
    <n v="3"/>
    <n v="518.67999999999995"/>
    <n v="713.47"/>
    <n v="71.349999999999994"/>
    <n v="71.349999999999994"/>
    <s v="BONUS_CARD"/>
    <n v="29"/>
    <n v="1"/>
    <n v="4"/>
    <n v="642.12"/>
    <n v="13130003303"/>
  </r>
  <r>
    <x v="24"/>
    <d v="1899-12-30T16:15:24"/>
    <n v="4304"/>
    <n v="13002561"/>
    <n v="13"/>
    <n v="22589"/>
    <s v="Retail Sale"/>
    <n v="15"/>
    <n v="46680"/>
    <x v="62"/>
    <s v="Avesta"/>
    <s v="Dr. Reddy's"/>
    <n v="1"/>
    <n v="438.8"/>
    <n v="715.83"/>
    <n v="35.79"/>
    <n v="35.79"/>
    <s v="BONUS_CARD"/>
    <n v="29"/>
    <n v="1"/>
    <n v="3"/>
    <n v="680.04"/>
    <n v="13130003304"/>
  </r>
  <r>
    <x v="9"/>
    <d v="1899-12-30T14:36:17"/>
    <n v="4305"/>
    <n v="13002561"/>
    <n v="13"/>
    <n v="22589"/>
    <s v="Retail Sale"/>
    <n v="18"/>
    <n v="86752"/>
    <x v="34"/>
    <s v="Avesta"/>
    <s v="TEVA"/>
    <n v="3"/>
    <n v="84.61"/>
    <n v="106.81"/>
    <n v="5.34"/>
    <n v="5.34"/>
    <s v="BONUS_CARD"/>
    <n v="29"/>
    <n v="1"/>
    <n v="6"/>
    <n v="101.47"/>
    <n v="13130003305"/>
  </r>
  <r>
    <x v="10"/>
    <d v="1899-12-30T14:47:03"/>
    <n v="4306"/>
    <n v="13002561"/>
    <n v="13"/>
    <n v="22589"/>
    <s v="Retail Sale"/>
    <n v="18"/>
    <n v="21660"/>
    <x v="54"/>
    <s v="Katren"/>
    <s v="Pfizer"/>
    <n v="2"/>
    <n v="472.34"/>
    <n v="631.29"/>
    <n v="0"/>
    <n v="0"/>
    <m/>
    <n v="29"/>
    <n v="1"/>
    <n v="5"/>
    <n v="631.29"/>
    <n v="13130003306"/>
  </r>
  <r>
    <x v="22"/>
    <d v="1899-12-30T16:37:54"/>
    <n v="4307"/>
    <n v="13002561"/>
    <n v="13"/>
    <n v="22589"/>
    <s v="Retail Sale"/>
    <n v="18"/>
    <n v="44969"/>
    <x v="51"/>
    <s v="Grand Capital"/>
    <s v="Novartis"/>
    <n v="2"/>
    <n v="170.5"/>
    <n v="284.66000000000003"/>
    <n v="28.47"/>
    <n v="28.47"/>
    <s v="BONUS_CARD"/>
    <n v="29"/>
    <n v="1"/>
    <n v="6"/>
    <n v="256.19"/>
    <n v="13130003307"/>
  </r>
  <r>
    <x v="11"/>
    <d v="1899-12-30T20:45:36"/>
    <n v="4308"/>
    <n v="13002561"/>
    <n v="13"/>
    <n v="22589"/>
    <s v="Retail Sale"/>
    <n v="15"/>
    <n v="57114"/>
    <x v="23"/>
    <s v="Pharmcomplect"/>
    <s v="Dr. Reddy's"/>
    <n v="1"/>
    <n v="301.26"/>
    <n v="390.47"/>
    <n v="39.049999999999997"/>
    <n v="39.049999999999997"/>
    <s v="BONUS_CARD"/>
    <n v="29"/>
    <n v="1"/>
    <n v="3"/>
    <n v="351.42"/>
    <n v="13130003308"/>
  </r>
  <r>
    <x v="25"/>
    <d v="1899-12-30T19:50:33"/>
    <n v="4309"/>
    <n v="13002561"/>
    <n v="13"/>
    <n v="22589"/>
    <s v="Retail Sale"/>
    <n v="15"/>
    <n v="61725"/>
    <x v="37"/>
    <s v="Pulse"/>
    <s v="Novartis"/>
    <n v="1"/>
    <n v="178.33"/>
    <n v="286.57"/>
    <n v="0"/>
    <n v="0"/>
    <m/>
    <n v="29"/>
    <n v="1"/>
    <n v="3"/>
    <n v="286.57"/>
    <n v="13130003309"/>
  </r>
  <r>
    <x v="16"/>
    <d v="1899-12-30T20:28:50"/>
    <n v="4310"/>
    <n v="13002561"/>
    <n v="13"/>
    <n v="22589"/>
    <s v="Retail Sale"/>
    <n v="15"/>
    <n v="44855"/>
    <x v="63"/>
    <s v="Katren"/>
    <s v="Dr. Reddy's"/>
    <n v="1"/>
    <n v="269.72000000000003"/>
    <n v="355.41"/>
    <n v="17.77"/>
    <n v="17.77"/>
    <s v="BONUS_CARD"/>
    <n v="29"/>
    <n v="1"/>
    <n v="3"/>
    <n v="337.64"/>
    <n v="13130003310"/>
  </r>
  <r>
    <x v="14"/>
    <d v="1899-12-30T15:40:06"/>
    <n v="4311"/>
    <n v="13002561"/>
    <n v="13"/>
    <n v="22589"/>
    <s v="Retail Sale"/>
    <n v="18"/>
    <n v="73321"/>
    <x v="71"/>
    <s v="Grand Capital"/>
    <s v="TEVA"/>
    <n v="1"/>
    <n v="441.16"/>
    <n v="655.1"/>
    <n v="0"/>
    <n v="0"/>
    <m/>
    <n v="29"/>
    <n v="1"/>
    <n v="5"/>
    <n v="655.1"/>
    <n v="13130003311"/>
  </r>
  <r>
    <x v="29"/>
    <d v="1899-12-30T18:29:52"/>
    <n v="4312"/>
    <n v="13002561"/>
    <n v="13"/>
    <n v="22589"/>
    <s v="Retail Sale"/>
    <n v="18"/>
    <n v="83424"/>
    <x v="10"/>
    <s v="Pulse"/>
    <s v="Pfizer"/>
    <n v="2"/>
    <n v="368.55"/>
    <n v="540.73"/>
    <n v="27.04"/>
    <n v="27.04"/>
    <s v="BONUS_CARD"/>
    <n v="29"/>
    <n v="1"/>
    <n v="3"/>
    <n v="513.69000000000005"/>
    <n v="13130003312"/>
  </r>
  <r>
    <x v="4"/>
    <d v="1899-12-30T16:37:41"/>
    <n v="4313"/>
    <n v="13002561"/>
    <n v="13"/>
    <n v="22589"/>
    <s v="Retail Sale"/>
    <n v="15"/>
    <n v="26842"/>
    <x v="0"/>
    <s v="Protek"/>
    <s v="Bayer"/>
    <n v="2"/>
    <n v="473.7"/>
    <n v="683.64"/>
    <n v="68.36"/>
    <n v="68.36"/>
    <s v="BONUS_CARD"/>
    <n v="29"/>
    <n v="1"/>
    <n v="6"/>
    <n v="615.28"/>
    <n v="13130003313"/>
  </r>
  <r>
    <x v="17"/>
    <d v="1899-12-30T17:09:21"/>
    <n v="4314"/>
    <n v="13002561"/>
    <n v="13"/>
    <n v="22589"/>
    <s v="Retail Sale"/>
    <n v="18"/>
    <n v="10937"/>
    <x v="31"/>
    <s v="Pharmcomplect"/>
    <s v="Pfizer"/>
    <n v="3"/>
    <n v="356.49"/>
    <n v="587.21"/>
    <n v="29.36"/>
    <n v="29.36"/>
    <s v="BONUS_CARD"/>
    <n v="29"/>
    <n v="1"/>
    <n v="1"/>
    <n v="557.85"/>
    <n v="13130003314"/>
  </r>
  <r>
    <x v="5"/>
    <d v="1899-12-30T22:04:04"/>
    <n v="4315"/>
    <n v="13002561"/>
    <n v="13"/>
    <n v="22589"/>
    <s v="Retail Sale"/>
    <n v="15"/>
    <n v="18728"/>
    <x v="35"/>
    <s v="Avesta"/>
    <s v="Novartis"/>
    <n v="1"/>
    <n v="447.91"/>
    <n v="607.62"/>
    <n v="30.38"/>
    <n v="30.38"/>
    <s v="BONUS_CARD"/>
    <n v="29"/>
    <n v="1"/>
    <n v="4"/>
    <n v="577.24"/>
    <n v="13130003315"/>
  </r>
  <r>
    <x v="7"/>
    <d v="1899-12-30T20:38:05"/>
    <n v="4316"/>
    <n v="13002561"/>
    <n v="13"/>
    <n v="22589"/>
    <s v="Retail Sale"/>
    <n v="15"/>
    <n v="34987"/>
    <x v="30"/>
    <s v="Pharmcomplect"/>
    <s v="TEVA"/>
    <n v="2"/>
    <n v="491.59"/>
    <n v="830.8"/>
    <n v="0"/>
    <n v="0"/>
    <m/>
    <n v="29"/>
    <n v="1"/>
    <n v="1"/>
    <n v="830.8"/>
    <n v="13130003316"/>
  </r>
  <r>
    <x v="25"/>
    <d v="1899-12-30T20:34:23"/>
    <n v="4317"/>
    <n v="13002561"/>
    <n v="13"/>
    <n v="22589"/>
    <s v="Retail Sale"/>
    <n v="18"/>
    <n v="62911"/>
    <x v="36"/>
    <s v="Pulse"/>
    <s v="Sanofi"/>
    <n v="3"/>
    <n v="54.32"/>
    <n v="75.8"/>
    <n v="7.58"/>
    <n v="7.58"/>
    <s v="BONUS_CARD"/>
    <n v="29"/>
    <n v="1"/>
    <n v="2"/>
    <n v="68.22"/>
    <n v="13130003317"/>
  </r>
  <r>
    <x v="27"/>
    <d v="1899-12-30T19:43:36"/>
    <n v="4318"/>
    <n v="13002561"/>
    <n v="13"/>
    <n v="22589"/>
    <s v="Retail Sale"/>
    <n v="15"/>
    <n v="80371"/>
    <x v="46"/>
    <s v="Grand Capital"/>
    <s v="Sanofi"/>
    <n v="1"/>
    <n v="267.67"/>
    <n v="359.1"/>
    <n v="17.96"/>
    <n v="17.96"/>
    <s v="BONUS_CARD"/>
    <n v="29"/>
    <n v="1"/>
    <n v="2"/>
    <n v="341.14"/>
    <n v="13130003318"/>
  </r>
  <r>
    <x v="19"/>
    <d v="1899-12-30T15:44:01"/>
    <n v="4319"/>
    <n v="13002561"/>
    <n v="13"/>
    <n v="22589"/>
    <s v="Retail Sale"/>
    <n v="15"/>
    <n v="33080"/>
    <x v="32"/>
    <s v="Grand Capital"/>
    <s v="Dr. Reddy's"/>
    <n v="3"/>
    <n v="565.34"/>
    <n v="754.49"/>
    <n v="75.45"/>
    <n v="75.45"/>
    <s v="BONUS_CARD"/>
    <n v="29"/>
    <n v="1"/>
    <n v="4"/>
    <n v="679.04"/>
    <n v="13130003319"/>
  </r>
  <r>
    <x v="7"/>
    <d v="1899-12-30T13:55:01"/>
    <n v="4320"/>
    <n v="13002561"/>
    <n v="13"/>
    <n v="22589"/>
    <s v="Retail Sale"/>
    <n v="15"/>
    <n v="33720"/>
    <x v="55"/>
    <s v="Grand Capital"/>
    <s v="Pfizer"/>
    <n v="3"/>
    <n v="222.85"/>
    <n v="304.51"/>
    <n v="0"/>
    <n v="0"/>
    <m/>
    <n v="29"/>
    <n v="1"/>
    <n v="4"/>
    <n v="304.51"/>
    <n v="13130003320"/>
  </r>
  <r>
    <x v="24"/>
    <d v="1899-12-30T20:18:59"/>
    <n v="4321"/>
    <n v="13002561"/>
    <n v="13"/>
    <n v="22589"/>
    <s v="Retail Sale"/>
    <n v="18"/>
    <n v="33531"/>
    <x v="23"/>
    <s v="Protek"/>
    <s v="Sanofi"/>
    <n v="2"/>
    <n v="320.91000000000003"/>
    <n v="460.05"/>
    <n v="46.01"/>
    <n v="46.01"/>
    <s v="BONUS_CARD"/>
    <n v="29"/>
    <n v="1"/>
    <n v="5"/>
    <n v="414.04"/>
    <n v="13130003321"/>
  </r>
  <r>
    <x v="9"/>
    <d v="1899-12-30T14:53:01"/>
    <n v="4322"/>
    <n v="13002561"/>
    <n v="13"/>
    <n v="22589"/>
    <s v="Retail Sale"/>
    <n v="18"/>
    <n v="55313"/>
    <x v="51"/>
    <s v="Protek"/>
    <s v="Novartis"/>
    <n v="1"/>
    <n v="510.95"/>
    <n v="642.35"/>
    <n v="32.119999999999997"/>
    <n v="32.119999999999997"/>
    <s v="BONUS_CARD"/>
    <n v="29"/>
    <n v="1"/>
    <n v="3"/>
    <n v="610.23"/>
    <n v="13130003322"/>
  </r>
  <r>
    <x v="29"/>
    <d v="1899-12-30T14:05:05"/>
    <n v="4323"/>
    <n v="13002561"/>
    <n v="13"/>
    <n v="22589"/>
    <s v="Retail Sale"/>
    <n v="15"/>
    <n v="99304"/>
    <x v="70"/>
    <s v="Pulse"/>
    <s v="TEVA"/>
    <n v="3"/>
    <n v="299.58999999999997"/>
    <n v="429.85"/>
    <n v="21.49"/>
    <n v="21.49"/>
    <s v="BONUS_CARD"/>
    <n v="29"/>
    <n v="1"/>
    <n v="1"/>
    <n v="408.36"/>
    <n v="13130003323"/>
  </r>
  <r>
    <x v="29"/>
    <d v="1899-12-30T13:54:43"/>
    <n v="4324"/>
    <n v="13002561"/>
    <n v="13"/>
    <n v="22589"/>
    <s v="Retail Sale"/>
    <n v="15"/>
    <n v="45840"/>
    <x v="66"/>
    <s v="Avesta"/>
    <s v="Bayer"/>
    <n v="1"/>
    <n v="452.05"/>
    <n v="589.66"/>
    <n v="58.97"/>
    <n v="58.97"/>
    <s v="BONUS_CARD"/>
    <n v="29"/>
    <n v="1"/>
    <n v="5"/>
    <n v="530.69000000000005"/>
    <n v="13130003324"/>
  </r>
  <r>
    <x v="15"/>
    <d v="1899-12-30T22:28:49"/>
    <n v="4325"/>
    <n v="13002561"/>
    <n v="13"/>
    <n v="22589"/>
    <s v="Retail Sale"/>
    <n v="15"/>
    <n v="90978"/>
    <x v="55"/>
    <s v="Grand Capital"/>
    <s v="Takeda"/>
    <n v="3"/>
    <n v="337.36"/>
    <n v="458.23"/>
    <n v="0"/>
    <n v="0"/>
    <m/>
    <n v="29"/>
    <n v="1"/>
    <n v="1"/>
    <n v="458.23"/>
    <n v="13130003325"/>
  </r>
  <r>
    <x v="29"/>
    <d v="1899-12-30T17:01:14"/>
    <n v="4326"/>
    <n v="13002561"/>
    <n v="13"/>
    <n v="22589"/>
    <s v="Retail Sale"/>
    <n v="15"/>
    <n v="67398"/>
    <x v="81"/>
    <s v="Grand Capital"/>
    <s v="Sanofi"/>
    <n v="1"/>
    <n v="270.19"/>
    <n v="406.58"/>
    <n v="40.659999999999997"/>
    <n v="40.659999999999997"/>
    <s v="BONUS_CARD"/>
    <n v="29"/>
    <n v="1"/>
    <n v="4"/>
    <n v="365.92"/>
    <n v="13130003326"/>
  </r>
  <r>
    <x v="21"/>
    <d v="1899-12-30T16:17:04"/>
    <n v="4327"/>
    <n v="13002561"/>
    <n v="13"/>
    <n v="22589"/>
    <s v="Retail Sale"/>
    <n v="18"/>
    <n v="29824"/>
    <x v="61"/>
    <s v="Pulse"/>
    <s v="KRKA"/>
    <n v="2"/>
    <n v="523.54999999999995"/>
    <n v="741.16"/>
    <n v="74.12"/>
    <n v="74.12"/>
    <s v="BONUS_CARD"/>
    <n v="29"/>
    <n v="1"/>
    <n v="1"/>
    <n v="667.04"/>
    <n v="13130003327"/>
  </r>
  <r>
    <x v="14"/>
    <d v="1899-12-30T14:40:05"/>
    <n v="4328"/>
    <n v="13002561"/>
    <n v="13"/>
    <n v="22589"/>
    <s v="Retail Sale"/>
    <n v="15"/>
    <n v="98518"/>
    <x v="17"/>
    <s v="Protek"/>
    <s v="Bayer"/>
    <n v="1"/>
    <n v="221.89"/>
    <n v="317.62"/>
    <n v="15.88"/>
    <n v="15.88"/>
    <s v="BONUS_CARD"/>
    <n v="29"/>
    <n v="1"/>
    <n v="4"/>
    <n v="301.74"/>
    <n v="13130003328"/>
  </r>
  <r>
    <x v="16"/>
    <d v="1899-12-30T20:01:36"/>
    <n v="4329"/>
    <n v="13002561"/>
    <n v="13"/>
    <n v="22589"/>
    <s v="Retail Sale"/>
    <n v="15"/>
    <n v="27616"/>
    <x v="70"/>
    <s v="Protek"/>
    <s v="KRKA"/>
    <n v="1"/>
    <n v="19.29"/>
    <n v="27.81"/>
    <n v="0"/>
    <n v="0"/>
    <m/>
    <n v="29"/>
    <n v="1"/>
    <n v="3"/>
    <n v="27.81"/>
    <n v="13130003329"/>
  </r>
  <r>
    <x v="19"/>
    <d v="1899-12-30T12:36:22"/>
    <n v="4330"/>
    <n v="13002561"/>
    <n v="13"/>
    <n v="22589"/>
    <s v="Retail Sale"/>
    <n v="15"/>
    <n v="40637"/>
    <x v="53"/>
    <s v="Katren"/>
    <s v="Novartis"/>
    <n v="3"/>
    <n v="234.12"/>
    <n v="371.59"/>
    <n v="0"/>
    <n v="0"/>
    <m/>
    <n v="29"/>
    <n v="1"/>
    <n v="1"/>
    <n v="371.59"/>
    <n v="13130003330"/>
  </r>
  <r>
    <x v="14"/>
    <d v="1899-12-30T13:50:22"/>
    <n v="4331"/>
    <n v="13002561"/>
    <n v="13"/>
    <n v="22589"/>
    <s v="Retail Sale"/>
    <n v="15"/>
    <n v="47341"/>
    <x v="75"/>
    <s v="Avesta"/>
    <s v="Bayer"/>
    <n v="1"/>
    <n v="249.51"/>
    <n v="409.09"/>
    <n v="0"/>
    <n v="0"/>
    <m/>
    <n v="29"/>
    <n v="1"/>
    <n v="2"/>
    <n v="409.09"/>
    <n v="13130003331"/>
  </r>
  <r>
    <x v="23"/>
    <d v="1899-12-30T08:29:07"/>
    <n v="4332"/>
    <n v="13002561"/>
    <n v="13"/>
    <n v="22589"/>
    <s v="Retail Sale"/>
    <n v="15"/>
    <n v="40627"/>
    <x v="60"/>
    <s v="Protek"/>
    <s v="Takeda"/>
    <n v="1"/>
    <n v="397.11"/>
    <n v="585.4"/>
    <n v="58.54"/>
    <n v="58.54"/>
    <s v="BONUS_CARD"/>
    <n v="29"/>
    <n v="1"/>
    <n v="1"/>
    <n v="526.86"/>
    <n v="13130003332"/>
  </r>
  <r>
    <x v="6"/>
    <d v="1899-12-30T17:25:57"/>
    <n v="4333"/>
    <n v="13002561"/>
    <n v="13"/>
    <n v="22589"/>
    <s v="Retail Sale"/>
    <n v="15"/>
    <n v="12595"/>
    <x v="66"/>
    <s v="Grand Capital"/>
    <s v="Sanofi"/>
    <n v="1"/>
    <n v="164.16"/>
    <n v="261.47000000000003"/>
    <n v="0"/>
    <n v="0"/>
    <m/>
    <n v="29"/>
    <n v="1"/>
    <n v="2"/>
    <n v="261.47000000000003"/>
    <n v="13130003333"/>
  </r>
  <r>
    <x v="4"/>
    <d v="1899-12-30T18:20:32"/>
    <n v="4334"/>
    <n v="13002561"/>
    <n v="13"/>
    <n v="22589"/>
    <s v="Retail Sale"/>
    <n v="15"/>
    <n v="12755"/>
    <x v="4"/>
    <s v="Protek"/>
    <s v="Takeda"/>
    <n v="1"/>
    <n v="74.7"/>
    <n v="119.61"/>
    <n v="0"/>
    <n v="0"/>
    <m/>
    <n v="29"/>
    <n v="1"/>
    <n v="4"/>
    <n v="119.61"/>
    <n v="13130003334"/>
  </r>
  <r>
    <x v="16"/>
    <d v="1899-12-30T11:05:08"/>
    <n v="4335"/>
    <n v="13002561"/>
    <n v="13"/>
    <n v="22589"/>
    <s v="Retail Sale"/>
    <n v="18"/>
    <n v="15519"/>
    <x v="4"/>
    <s v="Pharmcomplect"/>
    <s v="Dr. Reddy's"/>
    <n v="2"/>
    <n v="62.64"/>
    <n v="89.04"/>
    <n v="0"/>
    <n v="0"/>
    <m/>
    <n v="29"/>
    <n v="1"/>
    <n v="2"/>
    <n v="89.04"/>
    <n v="13130003335"/>
  </r>
  <r>
    <x v="6"/>
    <d v="1899-12-30T13:38:26"/>
    <n v="4336"/>
    <n v="13002561"/>
    <n v="13"/>
    <n v="22589"/>
    <s v="Retail Sale"/>
    <n v="15"/>
    <n v="39931"/>
    <x v="6"/>
    <s v="Grand Capital"/>
    <s v="Dr. Reddy's"/>
    <n v="3"/>
    <n v="150.99"/>
    <n v="252.58"/>
    <n v="12.63"/>
    <n v="12.63"/>
    <s v="BONUS_CARD"/>
    <n v="29"/>
    <n v="1"/>
    <n v="2"/>
    <n v="239.95"/>
    <n v="13130003336"/>
  </r>
  <r>
    <x v="10"/>
    <d v="1899-12-30T09:35:08"/>
    <n v="4337"/>
    <n v="13002561"/>
    <n v="13"/>
    <n v="22589"/>
    <s v="Retail Sale"/>
    <n v="18"/>
    <n v="45103"/>
    <x v="53"/>
    <s v="Protek"/>
    <s v="Bayer"/>
    <n v="2"/>
    <n v="320.27999999999997"/>
    <n v="427.87"/>
    <n v="42.79"/>
    <n v="42.79"/>
    <s v="BONUS_CARD"/>
    <n v="29"/>
    <n v="1"/>
    <n v="2"/>
    <n v="385.08"/>
    <n v="13130003337"/>
  </r>
  <r>
    <x v="14"/>
    <d v="1899-12-30T08:52:41"/>
    <n v="4338"/>
    <n v="13002561"/>
    <n v="13"/>
    <n v="22589"/>
    <s v="Retail Sale"/>
    <n v="15"/>
    <n v="65075"/>
    <x v="19"/>
    <s v="Pharmcomplect"/>
    <s v="KRKA"/>
    <n v="1"/>
    <n v="507.03"/>
    <n v="856.2"/>
    <n v="42.81"/>
    <n v="42.81"/>
    <s v="BONUS_CARD"/>
    <n v="29"/>
    <n v="1"/>
    <n v="1"/>
    <n v="813.39"/>
    <n v="13130003338"/>
  </r>
  <r>
    <x v="30"/>
    <d v="1899-12-30T17:11:01"/>
    <n v="4339"/>
    <n v="13002561"/>
    <n v="13"/>
    <n v="22589"/>
    <s v="Retail Sale"/>
    <n v="18"/>
    <n v="79532"/>
    <x v="76"/>
    <s v="Protek"/>
    <s v="Bayer"/>
    <n v="1"/>
    <n v="416.88"/>
    <n v="547.79999999999995"/>
    <n v="54.78"/>
    <n v="54.78"/>
    <s v="BONUS_CARD"/>
    <n v="29"/>
    <n v="1"/>
    <n v="5"/>
    <n v="493.02"/>
    <n v="13130003339"/>
  </r>
  <r>
    <x v="14"/>
    <d v="1899-12-30T13:24:42"/>
    <n v="4340"/>
    <n v="13002561"/>
    <n v="13"/>
    <n v="22589"/>
    <s v="Retail Sale"/>
    <n v="18"/>
    <n v="28914"/>
    <x v="30"/>
    <s v="Avesta"/>
    <s v="Bayer"/>
    <n v="3"/>
    <n v="200.15"/>
    <n v="332.18"/>
    <n v="16.61"/>
    <n v="16.61"/>
    <s v="BONUS_CARD"/>
    <n v="29"/>
    <n v="1"/>
    <n v="6"/>
    <n v="315.57"/>
    <n v="13130003340"/>
  </r>
  <r>
    <x v="24"/>
    <d v="1899-12-30T19:07:30"/>
    <n v="4341"/>
    <n v="13002561"/>
    <n v="13"/>
    <n v="22589"/>
    <s v="Retail Sale"/>
    <n v="15"/>
    <n v="90534"/>
    <x v="87"/>
    <s v="Avesta"/>
    <s v="Dr. Reddy's"/>
    <n v="1"/>
    <n v="166.91"/>
    <n v="269.37"/>
    <n v="13.47"/>
    <n v="13.47"/>
    <s v="BONUS_CARD"/>
    <n v="29"/>
    <n v="1"/>
    <n v="3"/>
    <n v="255.9"/>
    <n v="13130003341"/>
  </r>
  <r>
    <x v="15"/>
    <d v="1899-12-30T15:59:40"/>
    <n v="4342"/>
    <n v="13002561"/>
    <n v="13"/>
    <n v="22589"/>
    <s v="Retail Sale"/>
    <n v="15"/>
    <n v="87743"/>
    <x v="9"/>
    <s v="Grand Capital"/>
    <s v="Dr. Reddy's"/>
    <n v="2"/>
    <n v="477.02"/>
    <n v="774.03"/>
    <n v="38.700000000000003"/>
    <n v="38.700000000000003"/>
    <s v="BONUS_CARD"/>
    <n v="29"/>
    <n v="1"/>
    <n v="6"/>
    <n v="735.33"/>
    <n v="13130003342"/>
  </r>
  <r>
    <x v="2"/>
    <d v="1899-12-30T21:36:30"/>
    <n v="4343"/>
    <n v="13002561"/>
    <n v="13"/>
    <n v="22589"/>
    <s v="Retail Sale"/>
    <n v="18"/>
    <n v="32810"/>
    <x v="77"/>
    <s v="Pulse"/>
    <s v="TEVA"/>
    <n v="3"/>
    <n v="356.66"/>
    <n v="545.6"/>
    <n v="54.56"/>
    <n v="54.56"/>
    <s v="BONUS_CARD"/>
    <n v="29"/>
    <n v="1"/>
    <n v="3"/>
    <n v="491.04"/>
    <n v="13130003343"/>
  </r>
  <r>
    <x v="3"/>
    <d v="1899-12-30T20:24:23"/>
    <n v="4344"/>
    <n v="13002561"/>
    <n v="13"/>
    <n v="22589"/>
    <s v="Retail Sale"/>
    <n v="15"/>
    <n v="83866"/>
    <x v="27"/>
    <s v="Pharmcomplect"/>
    <s v="KRKA"/>
    <n v="1"/>
    <n v="66.709999999999994"/>
    <n v="86.52"/>
    <n v="0"/>
    <n v="0"/>
    <m/>
    <n v="29"/>
    <n v="1"/>
    <n v="1"/>
    <n v="86.52"/>
    <n v="13130003344"/>
  </r>
  <r>
    <x v="12"/>
    <d v="1899-12-30T14:07:23"/>
    <n v="4345"/>
    <n v="13002561"/>
    <n v="13"/>
    <n v="22589"/>
    <s v="Retail Sale"/>
    <n v="15"/>
    <n v="54852"/>
    <x v="16"/>
    <s v="Protek"/>
    <s v="Pfizer"/>
    <n v="2"/>
    <n v="396.48"/>
    <n v="569.07000000000005"/>
    <n v="28.45"/>
    <n v="28.45"/>
    <s v="BONUS_CARD"/>
    <n v="29"/>
    <n v="1"/>
    <n v="5"/>
    <n v="540.62"/>
    <n v="13130003345"/>
  </r>
  <r>
    <x v="27"/>
    <d v="1899-12-30T18:11:01"/>
    <n v="4346"/>
    <n v="13002561"/>
    <n v="13"/>
    <n v="22589"/>
    <s v="Retail Sale"/>
    <n v="15"/>
    <n v="38657"/>
    <x v="76"/>
    <s v="Grand Capital"/>
    <s v="Novartis"/>
    <n v="2"/>
    <n v="593.37"/>
    <n v="860.39"/>
    <n v="0"/>
    <n v="0"/>
    <m/>
    <n v="29"/>
    <n v="1"/>
    <n v="2"/>
    <n v="860.39"/>
    <n v="13130003346"/>
  </r>
  <r>
    <x v="5"/>
    <d v="1899-12-30T08:11:33"/>
    <n v="4347"/>
    <n v="13002561"/>
    <n v="13"/>
    <n v="22589"/>
    <s v="Retail Sale"/>
    <n v="15"/>
    <n v="35706"/>
    <x v="3"/>
    <s v="Grand Capital"/>
    <s v="Dr. Reddy's"/>
    <n v="1"/>
    <n v="72.77"/>
    <n v="112.68"/>
    <n v="5.63"/>
    <n v="5.63"/>
    <s v="BONUS_CARD"/>
    <n v="29"/>
    <n v="1"/>
    <n v="1"/>
    <n v="107.05"/>
    <n v="13130003347"/>
  </r>
  <r>
    <x v="7"/>
    <d v="1899-12-30T13:07:29"/>
    <n v="4348"/>
    <n v="13002561"/>
    <n v="13"/>
    <n v="22589"/>
    <s v="Retail Sale"/>
    <n v="15"/>
    <n v="84245"/>
    <x v="59"/>
    <s v="Katren"/>
    <s v="KRKA"/>
    <n v="1"/>
    <n v="414.32"/>
    <n v="538.59"/>
    <n v="0"/>
    <n v="0"/>
    <m/>
    <n v="29"/>
    <n v="1"/>
    <n v="5"/>
    <n v="538.59"/>
    <n v="13130003348"/>
  </r>
  <r>
    <x v="13"/>
    <d v="1899-12-30T13:41:55"/>
    <n v="4349"/>
    <n v="13002561"/>
    <n v="13"/>
    <n v="22589"/>
    <s v="Retail Sale"/>
    <n v="15"/>
    <n v="81828"/>
    <x v="19"/>
    <s v="Grand Capital"/>
    <s v="TEVA"/>
    <n v="3"/>
    <n v="323.86"/>
    <n v="434.14"/>
    <n v="21.71"/>
    <n v="21.71"/>
    <s v="BONUS_CARD"/>
    <n v="29"/>
    <n v="1"/>
    <n v="5"/>
    <n v="412.43"/>
    <n v="13130003349"/>
  </r>
  <r>
    <x v="21"/>
    <d v="1899-12-30T22:02:10"/>
    <n v="4350"/>
    <n v="13002561"/>
    <n v="13"/>
    <n v="22589"/>
    <s v="Retail Sale"/>
    <n v="15"/>
    <n v="28781"/>
    <x v="37"/>
    <s v="Protek"/>
    <s v="Novartis"/>
    <n v="2"/>
    <n v="55.55"/>
    <n v="75.53"/>
    <n v="3.78"/>
    <n v="3.78"/>
    <s v="BONUS_CARD"/>
    <n v="29"/>
    <n v="1"/>
    <n v="3"/>
    <n v="71.75"/>
    <n v="13130003350"/>
  </r>
  <r>
    <x v="6"/>
    <d v="1899-12-30T18:34:13"/>
    <n v="4351"/>
    <n v="13002561"/>
    <n v="13"/>
    <n v="22589"/>
    <s v="Retail Sale"/>
    <n v="15"/>
    <n v="86910"/>
    <x v="52"/>
    <s v="Avesta"/>
    <s v="TEVA"/>
    <n v="1"/>
    <n v="544.79999999999995"/>
    <n v="748.84"/>
    <n v="37.44"/>
    <n v="37.44"/>
    <s v="BONUS_CARD"/>
    <n v="29"/>
    <n v="1"/>
    <n v="6"/>
    <n v="711.4"/>
    <n v="13130003351"/>
  </r>
  <r>
    <x v="24"/>
    <d v="1899-12-30T08:00:23"/>
    <n v="4352"/>
    <n v="13002561"/>
    <n v="13"/>
    <n v="22589"/>
    <s v="Retail Sale"/>
    <n v="15"/>
    <n v="42759"/>
    <x v="12"/>
    <s v="Avesta"/>
    <s v="Bayer"/>
    <n v="3"/>
    <n v="296.7"/>
    <n v="487.42"/>
    <n v="48.74"/>
    <n v="48.74"/>
    <s v="BONUS_CARD"/>
    <n v="29"/>
    <n v="1"/>
    <n v="2"/>
    <n v="438.68"/>
    <n v="13130003352"/>
  </r>
  <r>
    <x v="28"/>
    <d v="1899-12-30T15:38:38"/>
    <n v="4353"/>
    <n v="13002561"/>
    <n v="13"/>
    <n v="22589"/>
    <s v="Retail Sale"/>
    <n v="15"/>
    <n v="91793"/>
    <x v="37"/>
    <s v="Avesta"/>
    <s v="Pfizer"/>
    <n v="3"/>
    <n v="476.69"/>
    <n v="647.54999999999995"/>
    <n v="64.75"/>
    <n v="64.75"/>
    <s v="BONUS_CARD"/>
    <n v="29"/>
    <n v="1"/>
    <n v="5"/>
    <n v="582.79999999999995"/>
    <n v="13130003353"/>
  </r>
  <r>
    <x v="13"/>
    <d v="1899-12-30T17:16:22"/>
    <n v="4354"/>
    <n v="13002561"/>
    <n v="13"/>
    <n v="22589"/>
    <s v="Retail Sale"/>
    <n v="18"/>
    <n v="63364"/>
    <x v="25"/>
    <s v="Katren"/>
    <s v="Dr. Reddy's"/>
    <n v="2"/>
    <n v="45.94"/>
    <n v="71.34"/>
    <n v="7.13"/>
    <n v="7.13"/>
    <s v="BONUS_CARD"/>
    <n v="29"/>
    <n v="1"/>
    <n v="3"/>
    <n v="64.209999999999994"/>
    <n v="13130003354"/>
  </r>
  <r>
    <x v="17"/>
    <d v="1899-12-30T15:29:15"/>
    <n v="4355"/>
    <n v="13002561"/>
    <n v="13"/>
    <n v="22589"/>
    <s v="Retail Sale"/>
    <n v="15"/>
    <n v="77653"/>
    <x v="7"/>
    <s v="Pharmcomplect"/>
    <s v="Bayer"/>
    <n v="2"/>
    <n v="535.57000000000005"/>
    <n v="745.07"/>
    <n v="0"/>
    <n v="0"/>
    <m/>
    <n v="29"/>
    <n v="1"/>
    <n v="2"/>
    <n v="745.07"/>
    <n v="13130003355"/>
  </r>
  <r>
    <x v="5"/>
    <d v="1899-12-30T19:51:44"/>
    <n v="4356"/>
    <n v="13002561"/>
    <n v="13"/>
    <n v="22589"/>
    <s v="Retail Sale"/>
    <n v="18"/>
    <n v="53013"/>
    <x v="58"/>
    <s v="Pharmcomplect"/>
    <s v="Takeda"/>
    <n v="3"/>
    <n v="125.8"/>
    <n v="180.34"/>
    <n v="18.03"/>
    <n v="18.03"/>
    <s v="BONUS_CARD"/>
    <n v="29"/>
    <n v="1"/>
    <n v="5"/>
    <n v="162.31"/>
    <n v="13130003356"/>
  </r>
  <r>
    <x v="16"/>
    <d v="1899-12-30T15:19:01"/>
    <n v="4357"/>
    <n v="13002561"/>
    <n v="13"/>
    <n v="22589"/>
    <s v="Retail Sale"/>
    <n v="15"/>
    <n v="77190"/>
    <x v="41"/>
    <s v="Pulse"/>
    <s v="Novartis"/>
    <n v="3"/>
    <n v="583.09"/>
    <n v="967.35"/>
    <n v="96.74"/>
    <n v="96.74"/>
    <s v="BONUS_CARD"/>
    <n v="29"/>
    <n v="1"/>
    <n v="2"/>
    <n v="870.61"/>
    <n v="13130003357"/>
  </r>
  <r>
    <x v="20"/>
    <d v="1899-12-30T22:37:58"/>
    <n v="4358"/>
    <n v="13002561"/>
    <n v="13"/>
    <n v="22589"/>
    <s v="Retail Sale"/>
    <n v="18"/>
    <n v="84084"/>
    <x v="23"/>
    <s v="Avesta"/>
    <s v="Pfizer"/>
    <n v="2"/>
    <n v="485"/>
    <n v="752.88"/>
    <n v="37.64"/>
    <n v="37.64"/>
    <s v="BONUS_CARD"/>
    <n v="29"/>
    <n v="1"/>
    <n v="4"/>
    <n v="715.24"/>
    <n v="13130003358"/>
  </r>
  <r>
    <x v="7"/>
    <d v="1899-12-30T18:44:18"/>
    <n v="4359"/>
    <n v="13002561"/>
    <n v="13"/>
    <n v="22589"/>
    <s v="Retail Sale"/>
    <n v="15"/>
    <n v="53453"/>
    <x v="70"/>
    <s v="Grand Capital"/>
    <s v="Novartis"/>
    <n v="1"/>
    <n v="144.72999999999999"/>
    <n v="191.62"/>
    <n v="19.16"/>
    <n v="19.16"/>
    <s v="BONUS_CARD"/>
    <n v="29"/>
    <n v="1"/>
    <n v="1"/>
    <n v="172.46"/>
    <n v="13130003359"/>
  </r>
  <r>
    <x v="10"/>
    <d v="1899-12-30T16:33:39"/>
    <n v="4360"/>
    <n v="13002561"/>
    <n v="13"/>
    <n v="22589"/>
    <s v="Retail Sale"/>
    <n v="18"/>
    <n v="71807"/>
    <x v="17"/>
    <s v="Pharmcomplect"/>
    <s v="TEVA"/>
    <n v="1"/>
    <n v="275.14"/>
    <n v="380.29"/>
    <n v="0"/>
    <n v="0"/>
    <m/>
    <n v="29"/>
    <n v="1"/>
    <n v="4"/>
    <n v="380.29"/>
    <n v="13130003360"/>
  </r>
  <r>
    <x v="1"/>
    <d v="1899-12-30T09:54:28"/>
    <n v="4361"/>
    <n v="13002561"/>
    <n v="13"/>
    <n v="22589"/>
    <s v="Retail Sale"/>
    <n v="18"/>
    <n v="94895"/>
    <x v="9"/>
    <s v="Pharmcomplect"/>
    <s v="Dr. Reddy's"/>
    <n v="1"/>
    <n v="103.04"/>
    <n v="163.72"/>
    <n v="0"/>
    <n v="0"/>
    <m/>
    <n v="29"/>
    <n v="1"/>
    <n v="2"/>
    <n v="163.72"/>
    <n v="13130003361"/>
  </r>
  <r>
    <x v="23"/>
    <d v="1899-12-30T18:23:24"/>
    <n v="4362"/>
    <n v="13002561"/>
    <n v="13"/>
    <n v="22589"/>
    <s v="Retail Sale"/>
    <n v="18"/>
    <n v="39442"/>
    <x v="27"/>
    <s v="Katren"/>
    <s v="Pfizer"/>
    <n v="2"/>
    <n v="16.02"/>
    <n v="22.8"/>
    <n v="2.2799999999999998"/>
    <n v="2.2799999999999998"/>
    <s v="BONUS_CARD"/>
    <n v="29"/>
    <n v="1"/>
    <n v="5"/>
    <n v="20.52"/>
    <n v="13130003362"/>
  </r>
  <r>
    <x v="1"/>
    <d v="1899-12-30T09:14:18"/>
    <n v="4363"/>
    <n v="13002561"/>
    <n v="13"/>
    <n v="22589"/>
    <s v="Retail Sale"/>
    <n v="18"/>
    <n v="77360"/>
    <x v="44"/>
    <s v="Katren"/>
    <s v="Pfizer"/>
    <n v="1"/>
    <n v="336.79"/>
    <n v="558.04999999999995"/>
    <n v="55.8"/>
    <n v="55.8"/>
    <s v="BONUS_CARD"/>
    <n v="29"/>
    <n v="1"/>
    <n v="1"/>
    <n v="502.25"/>
    <n v="13130003363"/>
  </r>
  <r>
    <x v="15"/>
    <d v="1899-12-30T18:33:55"/>
    <n v="4364"/>
    <n v="13002561"/>
    <n v="13"/>
    <n v="22589"/>
    <s v="Retail Sale"/>
    <n v="18"/>
    <n v="74280"/>
    <x v="35"/>
    <s v="Avesta"/>
    <s v="Novartis"/>
    <n v="3"/>
    <n v="97.13"/>
    <n v="148.41999999999999"/>
    <n v="0"/>
    <n v="0"/>
    <m/>
    <n v="29"/>
    <n v="1"/>
    <n v="3"/>
    <n v="148.41999999999999"/>
    <n v="13130003364"/>
  </r>
  <r>
    <x v="24"/>
    <d v="1899-12-30T15:45:28"/>
    <n v="4365"/>
    <n v="13002561"/>
    <n v="13"/>
    <n v="22589"/>
    <s v="Retail Sale"/>
    <n v="15"/>
    <n v="80694"/>
    <x v="62"/>
    <s v="Grand Capital"/>
    <s v="TEVA"/>
    <n v="3"/>
    <n v="304.16000000000003"/>
    <n v="447.44"/>
    <n v="22.37"/>
    <n v="22.37"/>
    <s v="BONUS_CARD"/>
    <n v="29"/>
    <n v="1"/>
    <n v="6"/>
    <n v="425.07"/>
    <n v="13130003365"/>
  </r>
  <r>
    <x v="15"/>
    <d v="1899-12-30T14:46:29"/>
    <n v="4366"/>
    <n v="13002561"/>
    <n v="13"/>
    <n v="22589"/>
    <s v="Retail Sale"/>
    <n v="18"/>
    <n v="19625"/>
    <x v="60"/>
    <s v="Grand Capital"/>
    <s v="Bayer"/>
    <n v="3"/>
    <n v="178.42"/>
    <n v="234.58"/>
    <n v="23.46"/>
    <n v="23.46"/>
    <s v="BONUS_CARD"/>
    <n v="29"/>
    <n v="1"/>
    <n v="2"/>
    <n v="211.12"/>
    <n v="13130003366"/>
  </r>
  <r>
    <x v="19"/>
    <d v="1899-12-30T22:42:16"/>
    <n v="4367"/>
    <n v="13002561"/>
    <n v="13"/>
    <n v="22589"/>
    <s v="Retail Sale"/>
    <n v="15"/>
    <n v="91806"/>
    <x v="10"/>
    <s v="Katren"/>
    <s v="Bayer"/>
    <n v="3"/>
    <n v="175.18"/>
    <n v="271.61"/>
    <n v="0"/>
    <n v="0"/>
    <m/>
    <n v="29"/>
    <n v="1"/>
    <n v="5"/>
    <n v="271.61"/>
    <n v="13130003367"/>
  </r>
  <r>
    <x v="20"/>
    <d v="1899-12-30T19:45:13"/>
    <n v="4368"/>
    <n v="13002561"/>
    <n v="13"/>
    <n v="22589"/>
    <s v="Retail Sale"/>
    <n v="18"/>
    <n v="68165"/>
    <x v="8"/>
    <s v="Protek"/>
    <s v="KRKA"/>
    <n v="2"/>
    <n v="360.58"/>
    <n v="598.85"/>
    <n v="29.94"/>
    <n v="29.94"/>
    <s v="BONUS_CARD"/>
    <n v="29"/>
    <n v="1"/>
    <n v="1"/>
    <n v="568.91"/>
    <n v="13130003368"/>
  </r>
  <r>
    <x v="10"/>
    <d v="1899-12-30T12:25:58"/>
    <n v="4369"/>
    <n v="13002561"/>
    <n v="13"/>
    <n v="22589"/>
    <s v="Retail Sale"/>
    <n v="18"/>
    <n v="62314"/>
    <x v="8"/>
    <s v="Grand Capital"/>
    <s v="KRKA"/>
    <n v="1"/>
    <n v="29"/>
    <n v="48.03"/>
    <n v="0"/>
    <n v="0"/>
    <m/>
    <n v="29"/>
    <n v="1"/>
    <n v="2"/>
    <n v="48.03"/>
    <n v="13130003369"/>
  </r>
  <r>
    <x v="19"/>
    <d v="1899-12-30T14:47:48"/>
    <n v="4370"/>
    <n v="13002561"/>
    <n v="13"/>
    <n v="22589"/>
    <s v="Retail Sale"/>
    <n v="18"/>
    <n v="50017"/>
    <x v="42"/>
    <s v="Pulse"/>
    <s v="Sanofi"/>
    <n v="1"/>
    <n v="407.96"/>
    <n v="686.27"/>
    <n v="0"/>
    <n v="0"/>
    <m/>
    <n v="29"/>
    <n v="1"/>
    <n v="5"/>
    <n v="686.27"/>
    <n v="13130003370"/>
  </r>
  <r>
    <x v="19"/>
    <d v="1899-12-30T16:29:21"/>
    <n v="4371"/>
    <n v="13002561"/>
    <n v="13"/>
    <n v="22589"/>
    <s v="Retail Sale"/>
    <n v="15"/>
    <n v="73017"/>
    <x v="16"/>
    <s v="Grand Capital"/>
    <s v="Sanofi"/>
    <n v="2"/>
    <n v="329.73"/>
    <n v="559.21"/>
    <n v="55.92"/>
    <n v="55.92"/>
    <s v="BONUS_CARD"/>
    <n v="29"/>
    <n v="1"/>
    <n v="1"/>
    <n v="503.29"/>
    <n v="13130003371"/>
  </r>
  <r>
    <x v="16"/>
    <d v="1899-12-30T18:41:25"/>
    <n v="4372"/>
    <n v="13002561"/>
    <n v="13"/>
    <n v="22589"/>
    <s v="Retail Sale"/>
    <n v="15"/>
    <n v="24149"/>
    <x v="27"/>
    <s v="Pharmcomplect"/>
    <s v="Pfizer"/>
    <n v="2"/>
    <n v="29.48"/>
    <n v="39.24"/>
    <n v="0"/>
    <n v="0"/>
    <m/>
    <n v="29"/>
    <n v="1"/>
    <n v="2"/>
    <n v="39.24"/>
    <n v="13130003372"/>
  </r>
  <r>
    <x v="20"/>
    <d v="1899-12-30T13:04:28"/>
    <n v="4373"/>
    <n v="13002561"/>
    <n v="13"/>
    <n v="22589"/>
    <s v="Retail Sale"/>
    <n v="15"/>
    <n v="18182"/>
    <x v="8"/>
    <s v="Pulse"/>
    <s v="Sanofi"/>
    <n v="3"/>
    <n v="318.27999999999997"/>
    <n v="516.96"/>
    <n v="0"/>
    <n v="0"/>
    <m/>
    <n v="29"/>
    <n v="1"/>
    <n v="2"/>
    <n v="516.96"/>
    <n v="13130003373"/>
  </r>
  <r>
    <x v="9"/>
    <d v="1899-12-30T19:03:42"/>
    <n v="4374"/>
    <n v="13002561"/>
    <n v="13"/>
    <n v="22589"/>
    <s v="Retail Sale"/>
    <n v="18"/>
    <n v="13972"/>
    <x v="31"/>
    <s v="Pulse"/>
    <s v="TEVA"/>
    <n v="2"/>
    <n v="496.5"/>
    <n v="638.9"/>
    <n v="0"/>
    <n v="0"/>
    <m/>
    <n v="29"/>
    <n v="1"/>
    <n v="4"/>
    <n v="638.9"/>
    <n v="13130003374"/>
  </r>
  <r>
    <x v="12"/>
    <d v="1899-12-30T09:59:27"/>
    <n v="4375"/>
    <n v="13002561"/>
    <n v="13"/>
    <n v="22589"/>
    <s v="Retail Sale"/>
    <n v="18"/>
    <n v="28550"/>
    <x v="4"/>
    <s v="Pulse"/>
    <s v="KRKA"/>
    <n v="1"/>
    <n v="211.77"/>
    <n v="304"/>
    <n v="15.2"/>
    <n v="15.2"/>
    <s v="BONUS_CARD"/>
    <n v="29"/>
    <n v="1"/>
    <n v="5"/>
    <n v="288.8"/>
    <n v="13130003375"/>
  </r>
  <r>
    <x v="15"/>
    <d v="1899-12-30T22:49:28"/>
    <n v="4376"/>
    <n v="13002561"/>
    <n v="13"/>
    <n v="22589"/>
    <s v="Retail Sale"/>
    <n v="18"/>
    <n v="52076"/>
    <x v="21"/>
    <s v="Grand Capital"/>
    <s v="Bayer"/>
    <n v="3"/>
    <n v="42.12"/>
    <n v="68.44"/>
    <n v="6.84"/>
    <n v="6.84"/>
    <s v="BONUS_CARD"/>
    <n v="29"/>
    <n v="1"/>
    <n v="3"/>
    <n v="61.6"/>
    <n v="13130003376"/>
  </r>
  <r>
    <x v="12"/>
    <d v="1899-12-30T15:38:03"/>
    <n v="4377"/>
    <n v="13002561"/>
    <n v="13"/>
    <n v="22589"/>
    <s v="Retail Sale"/>
    <n v="15"/>
    <n v="41406"/>
    <x v="53"/>
    <s v="Protek"/>
    <s v="Novartis"/>
    <n v="3"/>
    <n v="490.99"/>
    <n v="620.11"/>
    <n v="31.01"/>
    <n v="31.01"/>
    <s v="BONUS_CARD"/>
    <n v="29"/>
    <n v="1"/>
    <n v="1"/>
    <n v="589.1"/>
    <n v="13130003377"/>
  </r>
  <r>
    <x v="28"/>
    <d v="1899-12-30T22:14:47"/>
    <n v="4378"/>
    <n v="13002561"/>
    <n v="13"/>
    <n v="22589"/>
    <s v="Retail Sale"/>
    <n v="18"/>
    <n v="54281"/>
    <x v="10"/>
    <s v="Avesta"/>
    <s v="Takeda"/>
    <n v="3"/>
    <n v="142.35"/>
    <n v="197.16"/>
    <n v="19.72"/>
    <n v="19.72"/>
    <s v="BONUS_CARD"/>
    <n v="29"/>
    <n v="1"/>
    <n v="6"/>
    <n v="177.44"/>
    <n v="13130003378"/>
  </r>
  <r>
    <x v="30"/>
    <d v="1899-12-30T08:18:42"/>
    <n v="4379"/>
    <n v="13002561"/>
    <n v="13"/>
    <n v="22589"/>
    <s v="Retail Sale"/>
    <n v="18"/>
    <n v="21476"/>
    <x v="88"/>
    <s v="Grand Capital"/>
    <s v="KRKA"/>
    <n v="3"/>
    <n v="454.14"/>
    <n v="662.8"/>
    <n v="66.28"/>
    <n v="66.28"/>
    <s v="BONUS_CARD"/>
    <n v="29"/>
    <n v="1"/>
    <n v="1"/>
    <n v="596.52"/>
    <n v="13130003379"/>
  </r>
  <r>
    <x v="8"/>
    <d v="1899-12-30T14:45:18"/>
    <n v="4380"/>
    <n v="13002561"/>
    <n v="13"/>
    <n v="22589"/>
    <s v="Retail Sale"/>
    <n v="18"/>
    <n v="65882"/>
    <x v="61"/>
    <s v="Grand Capital"/>
    <s v="Bayer"/>
    <n v="3"/>
    <n v="436.26"/>
    <n v="628.1"/>
    <n v="31.41"/>
    <n v="31.41"/>
    <s v="BONUS_CARD"/>
    <n v="29"/>
    <n v="1"/>
    <n v="4"/>
    <n v="596.69000000000005"/>
    <n v="13130003380"/>
  </r>
  <r>
    <x v="10"/>
    <d v="1899-12-30T14:53:43"/>
    <n v="4381"/>
    <n v="13002561"/>
    <n v="13"/>
    <n v="22589"/>
    <s v="Retail Sale"/>
    <n v="18"/>
    <n v="33836"/>
    <x v="22"/>
    <s v="Katren"/>
    <s v="Dr. Reddy's"/>
    <n v="2"/>
    <n v="217.41"/>
    <n v="312.55"/>
    <n v="15.63"/>
    <n v="15.63"/>
    <s v="BONUS_CARD"/>
    <n v="29"/>
    <n v="1"/>
    <n v="6"/>
    <n v="296.92"/>
    <n v="13130003381"/>
  </r>
  <r>
    <x v="5"/>
    <d v="1899-12-30T12:22:40"/>
    <n v="4382"/>
    <n v="13002561"/>
    <n v="13"/>
    <n v="22589"/>
    <s v="Retail Sale"/>
    <n v="18"/>
    <n v="14254"/>
    <x v="79"/>
    <s v="Avesta"/>
    <s v="TEVA"/>
    <n v="2"/>
    <n v="139.66999999999999"/>
    <n v="209.65"/>
    <n v="20.97"/>
    <n v="20.97"/>
    <s v="BONUS_CARD"/>
    <n v="29"/>
    <n v="1"/>
    <n v="3"/>
    <n v="188.68"/>
    <n v="13130003382"/>
  </r>
  <r>
    <x v="26"/>
    <d v="1899-12-30T15:51:13"/>
    <n v="4383"/>
    <n v="13002561"/>
    <n v="13"/>
    <n v="22589"/>
    <s v="Retail Sale"/>
    <n v="15"/>
    <n v="17662"/>
    <x v="29"/>
    <s v="Pulse"/>
    <s v="Takeda"/>
    <n v="3"/>
    <n v="480.14"/>
    <n v="637.04999999999995"/>
    <n v="63.7"/>
    <n v="63.7"/>
    <s v="BONUS_CARD"/>
    <n v="29"/>
    <n v="1"/>
    <n v="6"/>
    <n v="573.35"/>
    <n v="13130003383"/>
  </r>
  <r>
    <x v="16"/>
    <d v="1899-12-30T21:15:44"/>
    <n v="4384"/>
    <n v="13002561"/>
    <n v="13"/>
    <n v="22589"/>
    <s v="Retail Sale"/>
    <n v="15"/>
    <n v="74030"/>
    <x v="32"/>
    <s v="Pulse"/>
    <s v="Dr. Reddy's"/>
    <n v="2"/>
    <n v="595.14"/>
    <n v="944.58"/>
    <n v="94.46"/>
    <n v="94.46"/>
    <s v="BONUS_CARD"/>
    <n v="29"/>
    <n v="1"/>
    <n v="1"/>
    <n v="850.12"/>
    <n v="13130003384"/>
  </r>
  <r>
    <x v="0"/>
    <d v="1899-12-30T21:10:08"/>
    <n v="4385"/>
    <n v="13002561"/>
    <n v="13"/>
    <n v="22589"/>
    <s v="Retail Sale"/>
    <n v="15"/>
    <n v="42822"/>
    <x v="79"/>
    <s v="Katren"/>
    <s v="TEVA"/>
    <n v="1"/>
    <n v="377.78"/>
    <n v="624.17999999999995"/>
    <n v="31.21"/>
    <n v="31.21"/>
    <s v="BONUS_CARD"/>
    <n v="29"/>
    <n v="1"/>
    <n v="3"/>
    <n v="592.97"/>
    <n v="13130003385"/>
  </r>
  <r>
    <x v="13"/>
    <d v="1899-12-30T11:45:59"/>
    <n v="4386"/>
    <n v="13002561"/>
    <n v="13"/>
    <n v="22589"/>
    <s v="Retail Sale"/>
    <n v="18"/>
    <n v="21691"/>
    <x v="25"/>
    <s v="Grand Capital"/>
    <s v="Takeda"/>
    <n v="1"/>
    <n v="524.17999999999995"/>
    <n v="750.96"/>
    <n v="37.549999999999997"/>
    <n v="37.549999999999997"/>
    <s v="BONUS_CARD"/>
    <n v="29"/>
    <n v="1"/>
    <n v="1"/>
    <n v="713.41"/>
    <n v="13130003386"/>
  </r>
  <r>
    <x v="11"/>
    <d v="1899-12-30T12:30:26"/>
    <n v="4387"/>
    <n v="13002561"/>
    <n v="13"/>
    <n v="22589"/>
    <s v="Retail Sale"/>
    <n v="15"/>
    <n v="69448"/>
    <x v="32"/>
    <s v="Katren"/>
    <s v="Pfizer"/>
    <n v="3"/>
    <n v="178.06"/>
    <n v="251.92"/>
    <n v="12.6"/>
    <n v="12.6"/>
    <s v="BONUS_CARD"/>
    <n v="29"/>
    <n v="1"/>
    <n v="1"/>
    <n v="239.32"/>
    <n v="13130003387"/>
  </r>
  <r>
    <x v="25"/>
    <d v="1899-12-30T19:10:03"/>
    <n v="4388"/>
    <n v="13002561"/>
    <n v="13"/>
    <n v="22589"/>
    <s v="Retail Sale"/>
    <n v="18"/>
    <n v="88532"/>
    <x v="63"/>
    <s v="Pulse"/>
    <s v="Novartis"/>
    <n v="2"/>
    <n v="334.9"/>
    <n v="426.41"/>
    <n v="0"/>
    <n v="0"/>
    <m/>
    <n v="29"/>
    <n v="1"/>
    <n v="2"/>
    <n v="426.41"/>
    <n v="13130003388"/>
  </r>
  <r>
    <x v="30"/>
    <d v="1899-12-30T18:31:49"/>
    <n v="4389"/>
    <n v="13002561"/>
    <n v="13"/>
    <n v="22589"/>
    <s v="Retail Sale"/>
    <n v="18"/>
    <n v="90308"/>
    <x v="48"/>
    <s v="Katren"/>
    <s v="Pfizer"/>
    <n v="3"/>
    <n v="457.86"/>
    <n v="662.27"/>
    <n v="66.23"/>
    <n v="66.23"/>
    <s v="BONUS_CARD"/>
    <n v="29"/>
    <n v="1"/>
    <n v="1"/>
    <n v="596.04"/>
    <n v="13130003389"/>
  </r>
  <r>
    <x v="15"/>
    <d v="1899-12-30T14:44:04"/>
    <n v="4390"/>
    <n v="13002561"/>
    <n v="13"/>
    <n v="22589"/>
    <s v="Retail Sale"/>
    <n v="18"/>
    <n v="36164"/>
    <x v="69"/>
    <s v="Protek"/>
    <s v="Sanofi"/>
    <n v="2"/>
    <n v="144.72999999999999"/>
    <n v="226.25"/>
    <n v="11.31"/>
    <n v="11.31"/>
    <s v="BONUS_CARD"/>
    <n v="29"/>
    <n v="1"/>
    <n v="3"/>
    <n v="214.94"/>
    <n v="13130003390"/>
  </r>
  <r>
    <x v="8"/>
    <d v="1899-12-30T15:44:58"/>
    <n v="4391"/>
    <n v="13002561"/>
    <n v="13"/>
    <n v="22589"/>
    <s v="Retail Sale"/>
    <n v="15"/>
    <n v="77433"/>
    <x v="5"/>
    <s v="Katren"/>
    <s v="Bayer"/>
    <n v="2"/>
    <n v="559.57000000000005"/>
    <n v="904.84"/>
    <n v="0"/>
    <n v="0"/>
    <m/>
    <n v="29"/>
    <n v="1"/>
    <n v="3"/>
    <n v="904.84"/>
    <n v="13130003391"/>
  </r>
  <r>
    <x v="12"/>
    <d v="1899-12-30T13:16:03"/>
    <n v="4392"/>
    <n v="13002561"/>
    <n v="13"/>
    <n v="22589"/>
    <s v="Retail Sale"/>
    <n v="18"/>
    <n v="62372"/>
    <x v="29"/>
    <s v="Pulse"/>
    <s v="Bayer"/>
    <n v="1"/>
    <n v="463.58"/>
    <n v="739.31"/>
    <n v="36.97"/>
    <n v="36.97"/>
    <s v="BONUS_CARD"/>
    <n v="29"/>
    <n v="1"/>
    <n v="2"/>
    <n v="702.34"/>
    <n v="13130003392"/>
  </r>
  <r>
    <x v="12"/>
    <d v="1899-12-30T16:58:33"/>
    <n v="4393"/>
    <n v="13002561"/>
    <n v="13"/>
    <n v="22589"/>
    <s v="Retail Sale"/>
    <n v="15"/>
    <n v="83892"/>
    <x v="60"/>
    <s v="Katren"/>
    <s v="Dr. Reddy's"/>
    <n v="2"/>
    <n v="187.5"/>
    <n v="277.97000000000003"/>
    <n v="13.9"/>
    <n v="13.9"/>
    <s v="BONUS_CARD"/>
    <n v="29"/>
    <n v="1"/>
    <n v="4"/>
    <n v="264.07"/>
    <n v="13130003393"/>
  </r>
  <r>
    <x v="5"/>
    <d v="1899-12-30T19:41:12"/>
    <n v="4394"/>
    <n v="13002561"/>
    <n v="13"/>
    <n v="22589"/>
    <s v="Retail Sale"/>
    <n v="15"/>
    <n v="66971"/>
    <x v="80"/>
    <s v="Protek"/>
    <s v="Novartis"/>
    <n v="2"/>
    <n v="156.58000000000001"/>
    <n v="265.66000000000003"/>
    <n v="26.57"/>
    <n v="26.57"/>
    <s v="BONUS_CARD"/>
    <n v="29"/>
    <n v="1"/>
    <n v="2"/>
    <n v="239.09"/>
    <n v="13130003394"/>
  </r>
  <r>
    <x v="16"/>
    <d v="1899-12-30T09:55:40"/>
    <n v="4395"/>
    <n v="13002561"/>
    <n v="13"/>
    <n v="22589"/>
    <s v="Retail Sale"/>
    <n v="15"/>
    <n v="68508"/>
    <x v="87"/>
    <s v="Protek"/>
    <s v="KRKA"/>
    <n v="3"/>
    <n v="144.87"/>
    <n v="195.25"/>
    <n v="9.76"/>
    <n v="9.76"/>
    <s v="BONUS_CARD"/>
    <n v="29"/>
    <n v="1"/>
    <n v="4"/>
    <n v="185.49"/>
    <n v="13130003395"/>
  </r>
  <r>
    <x v="8"/>
    <d v="1899-12-30T16:13:42"/>
    <n v="4396"/>
    <n v="13002561"/>
    <n v="13"/>
    <n v="22589"/>
    <s v="Retail Sale"/>
    <n v="18"/>
    <n v="59586"/>
    <x v="9"/>
    <s v="Protek"/>
    <s v="Pfizer"/>
    <n v="1"/>
    <n v="187.6"/>
    <n v="234.83"/>
    <n v="23.48"/>
    <n v="23.48"/>
    <s v="BONUS_CARD"/>
    <n v="29"/>
    <n v="1"/>
    <n v="6"/>
    <n v="211.35"/>
    <n v="13130003396"/>
  </r>
  <r>
    <x v="14"/>
    <d v="1899-12-30T15:46:35"/>
    <n v="4397"/>
    <n v="13002561"/>
    <n v="13"/>
    <n v="22589"/>
    <s v="Retail Sale"/>
    <n v="15"/>
    <n v="84951"/>
    <x v="7"/>
    <s v="Pulse"/>
    <s v="KRKA"/>
    <n v="3"/>
    <n v="229.9"/>
    <n v="342.07"/>
    <n v="0"/>
    <n v="0"/>
    <m/>
    <n v="29"/>
    <n v="1"/>
    <n v="6"/>
    <n v="342.07"/>
    <n v="13130003397"/>
  </r>
  <r>
    <x v="0"/>
    <d v="1899-12-30T18:08:20"/>
    <n v="4398"/>
    <n v="13002561"/>
    <n v="13"/>
    <n v="22589"/>
    <s v="Retail Sale"/>
    <n v="18"/>
    <n v="70787"/>
    <x v="14"/>
    <s v="Pulse"/>
    <s v="KRKA"/>
    <n v="3"/>
    <n v="571.92999999999995"/>
    <n v="910.26"/>
    <n v="91.03"/>
    <n v="91.03"/>
    <s v="BONUS_CARD"/>
    <n v="29"/>
    <n v="1"/>
    <n v="3"/>
    <n v="819.23"/>
    <n v="13130003398"/>
  </r>
  <r>
    <x v="15"/>
    <d v="1899-12-30T20:03:08"/>
    <n v="4399"/>
    <n v="13002561"/>
    <n v="13"/>
    <n v="22589"/>
    <s v="Retail Sale"/>
    <n v="18"/>
    <n v="67718"/>
    <x v="50"/>
    <s v="Protek"/>
    <s v="Dr. Reddy's"/>
    <n v="1"/>
    <n v="432.84"/>
    <n v="550.63"/>
    <n v="55.06"/>
    <n v="55.06"/>
    <s v="BONUS_CARD"/>
    <n v="29"/>
    <n v="1"/>
    <n v="6"/>
    <n v="495.57"/>
    <n v="13130003399"/>
  </r>
  <r>
    <x v="20"/>
    <d v="1899-12-30T11:58:25"/>
    <n v="4400"/>
    <n v="13002561"/>
    <n v="13"/>
    <n v="22589"/>
    <s v="Retail Sale"/>
    <n v="15"/>
    <n v="75269"/>
    <x v="37"/>
    <s v="Grand Capital"/>
    <s v="Takeda"/>
    <n v="2"/>
    <n v="592.95000000000005"/>
    <n v="818.85"/>
    <n v="0"/>
    <n v="0"/>
    <m/>
    <n v="29"/>
    <n v="1"/>
    <n v="5"/>
    <n v="818.85"/>
    <n v="13130003400"/>
  </r>
  <r>
    <x v="15"/>
    <d v="1899-12-30T14:56:07"/>
    <n v="4401"/>
    <n v="13002561"/>
    <n v="13"/>
    <n v="22589"/>
    <s v="Retail Sale"/>
    <n v="15"/>
    <n v="20419"/>
    <x v="42"/>
    <s v="Pulse"/>
    <s v="Sanofi"/>
    <n v="1"/>
    <n v="53.61"/>
    <n v="86.18"/>
    <n v="0"/>
    <n v="0"/>
    <m/>
    <n v="29"/>
    <n v="1"/>
    <n v="6"/>
    <n v="86.18"/>
    <n v="13130003401"/>
  </r>
  <r>
    <x v="21"/>
    <d v="1899-12-30T19:12:30"/>
    <n v="4402"/>
    <n v="13002561"/>
    <n v="13"/>
    <n v="22589"/>
    <s v="Retail Sale"/>
    <n v="18"/>
    <n v="29818"/>
    <x v="87"/>
    <s v="Pulse"/>
    <s v="Sanofi"/>
    <n v="2"/>
    <n v="471.84"/>
    <n v="592.25"/>
    <n v="0"/>
    <n v="0"/>
    <m/>
    <n v="29"/>
    <n v="1"/>
    <n v="6"/>
    <n v="592.25"/>
    <n v="13130003402"/>
  </r>
  <r>
    <x v="7"/>
    <d v="1899-12-30T16:13:45"/>
    <n v="4403"/>
    <n v="13002561"/>
    <n v="13"/>
    <n v="22589"/>
    <s v="Retail Sale"/>
    <n v="18"/>
    <n v="90797"/>
    <x v="57"/>
    <s v="Katren"/>
    <s v="Takeda"/>
    <n v="3"/>
    <n v="361.46"/>
    <n v="549.98"/>
    <n v="55"/>
    <n v="55"/>
    <s v="BONUS_CARD"/>
    <n v="29"/>
    <n v="1"/>
    <n v="6"/>
    <n v="494.98"/>
    <n v="13130003403"/>
  </r>
  <r>
    <x v="26"/>
    <d v="1899-12-30T14:19:46"/>
    <n v="4404"/>
    <n v="13002561"/>
    <n v="13"/>
    <n v="22589"/>
    <s v="Retail Sale"/>
    <n v="18"/>
    <n v="71007"/>
    <x v="9"/>
    <s v="Avesta"/>
    <s v="Takeda"/>
    <n v="3"/>
    <n v="597.14"/>
    <n v="969.93"/>
    <n v="0"/>
    <n v="0"/>
    <m/>
    <n v="29"/>
    <n v="1"/>
    <n v="4"/>
    <n v="969.93"/>
    <n v="13130003404"/>
  </r>
  <r>
    <x v="27"/>
    <d v="1899-12-30T15:04:43"/>
    <n v="4405"/>
    <n v="13002561"/>
    <n v="13"/>
    <n v="22589"/>
    <s v="Retail Sale"/>
    <n v="15"/>
    <n v="35878"/>
    <x v="55"/>
    <s v="Pharmcomplect"/>
    <s v="Sanofi"/>
    <n v="3"/>
    <n v="586.86"/>
    <n v="807.99"/>
    <n v="40.4"/>
    <n v="40.4"/>
    <s v="BONUS_CARD"/>
    <n v="29"/>
    <n v="1"/>
    <n v="4"/>
    <n v="767.59"/>
    <n v="13130003405"/>
  </r>
  <r>
    <x v="20"/>
    <d v="1899-12-30T10:14:23"/>
    <n v="4406"/>
    <n v="13002561"/>
    <n v="13"/>
    <n v="22589"/>
    <s v="Retail Sale"/>
    <n v="15"/>
    <n v="45728"/>
    <x v="32"/>
    <s v="Pharmcomplect"/>
    <s v="Pfizer"/>
    <n v="1"/>
    <n v="376.71"/>
    <n v="553.36"/>
    <n v="0"/>
    <n v="0"/>
    <m/>
    <n v="29"/>
    <n v="1"/>
    <n v="1"/>
    <n v="553.36"/>
    <n v="13130003406"/>
  </r>
  <r>
    <x v="27"/>
    <d v="1899-12-30T12:26:59"/>
    <n v="4407"/>
    <n v="13002561"/>
    <n v="13"/>
    <n v="22589"/>
    <s v="Retail Sale"/>
    <n v="15"/>
    <n v="31281"/>
    <x v="20"/>
    <s v="Avesta"/>
    <s v="TEVA"/>
    <n v="2"/>
    <n v="309.13"/>
    <n v="490.49"/>
    <n v="0"/>
    <n v="0"/>
    <m/>
    <n v="29"/>
    <n v="1"/>
    <n v="1"/>
    <n v="490.49"/>
    <n v="13130003407"/>
  </r>
  <r>
    <x v="26"/>
    <d v="1899-12-30T09:19:51"/>
    <n v="4408"/>
    <n v="13002561"/>
    <n v="13"/>
    <n v="22589"/>
    <s v="Retail Sale"/>
    <n v="15"/>
    <n v="36542"/>
    <x v="81"/>
    <s v="Katren"/>
    <s v="Takeda"/>
    <n v="2"/>
    <n v="33.47"/>
    <n v="56.75"/>
    <n v="0"/>
    <n v="0"/>
    <m/>
    <n v="29"/>
    <n v="1"/>
    <n v="3"/>
    <n v="56.75"/>
    <n v="13130003408"/>
  </r>
  <r>
    <x v="24"/>
    <d v="1899-12-30T13:41:51"/>
    <n v="4409"/>
    <n v="13002561"/>
    <n v="13"/>
    <n v="22589"/>
    <s v="Retail Sale"/>
    <n v="18"/>
    <n v="95679"/>
    <x v="32"/>
    <s v="Protek"/>
    <s v="Takeda"/>
    <n v="1"/>
    <n v="288.02999999999997"/>
    <n v="489.59"/>
    <n v="0"/>
    <n v="0"/>
    <m/>
    <n v="29"/>
    <n v="1"/>
    <n v="3"/>
    <n v="489.59"/>
    <n v="13130003409"/>
  </r>
  <r>
    <x v="18"/>
    <d v="1899-12-30T13:15:43"/>
    <n v="4410"/>
    <n v="13002561"/>
    <n v="13"/>
    <n v="22589"/>
    <s v="Retail Sale"/>
    <n v="18"/>
    <n v="62990"/>
    <x v="68"/>
    <s v="Avesta"/>
    <s v="KRKA"/>
    <n v="3"/>
    <n v="322.3"/>
    <n v="437.82"/>
    <n v="43.78"/>
    <n v="43.78"/>
    <s v="BONUS_CARD"/>
    <n v="29"/>
    <n v="1"/>
    <n v="3"/>
    <n v="394.04"/>
    <n v="13130003410"/>
  </r>
  <r>
    <x v="30"/>
    <d v="1899-12-30T19:18:34"/>
    <n v="4411"/>
    <n v="13002561"/>
    <n v="13"/>
    <n v="22589"/>
    <s v="Retail Sale"/>
    <n v="18"/>
    <n v="57579"/>
    <x v="59"/>
    <s v="Katren"/>
    <s v="Dr. Reddy's"/>
    <n v="2"/>
    <n v="86.72"/>
    <n v="126.56"/>
    <n v="0"/>
    <n v="0"/>
    <m/>
    <n v="29"/>
    <n v="1"/>
    <n v="2"/>
    <n v="126.56"/>
    <n v="13130003411"/>
  </r>
  <r>
    <x v="23"/>
    <d v="1899-12-30T08:57:56"/>
    <n v="4412"/>
    <n v="13002561"/>
    <n v="13"/>
    <n v="22589"/>
    <s v="Retail Sale"/>
    <n v="18"/>
    <n v="18399"/>
    <x v="1"/>
    <s v="Protek"/>
    <s v="Novartis"/>
    <n v="2"/>
    <n v="270.87"/>
    <n v="423.96"/>
    <n v="21.2"/>
    <n v="21.2"/>
    <s v="BONUS_CARD"/>
    <n v="29"/>
    <n v="1"/>
    <n v="1"/>
    <n v="402.76"/>
    <n v="13130003412"/>
  </r>
  <r>
    <x v="14"/>
    <d v="1899-12-30T22:34:15"/>
    <n v="4413"/>
    <n v="13002561"/>
    <n v="13"/>
    <n v="22589"/>
    <s v="Retail Sale"/>
    <n v="18"/>
    <n v="15812"/>
    <x v="46"/>
    <s v="Grand Capital"/>
    <s v="TEVA"/>
    <n v="3"/>
    <n v="491.65"/>
    <n v="752.78"/>
    <n v="37.64"/>
    <n v="37.64"/>
    <s v="BONUS_CARD"/>
    <n v="29"/>
    <n v="1"/>
    <n v="4"/>
    <n v="715.14"/>
    <n v="13130003413"/>
  </r>
  <r>
    <x v="17"/>
    <d v="1899-12-30T08:42:34"/>
    <n v="4414"/>
    <n v="13002561"/>
    <n v="13"/>
    <n v="22589"/>
    <s v="Retail Sale"/>
    <n v="15"/>
    <n v="52298"/>
    <x v="67"/>
    <s v="Avesta"/>
    <s v="Sanofi"/>
    <n v="3"/>
    <n v="14.89"/>
    <n v="19.22"/>
    <n v="1.92"/>
    <n v="1.92"/>
    <s v="BONUS_CARD"/>
    <n v="29"/>
    <n v="1"/>
    <n v="3"/>
    <n v="17.3"/>
    <n v="13130003414"/>
  </r>
  <r>
    <x v="27"/>
    <d v="1899-12-30T08:36:36"/>
    <n v="4415"/>
    <n v="13002561"/>
    <n v="13"/>
    <n v="22589"/>
    <s v="Retail Sale"/>
    <n v="15"/>
    <n v="98379"/>
    <x v="81"/>
    <s v="Avesta"/>
    <s v="Bayer"/>
    <n v="3"/>
    <n v="335.89"/>
    <n v="471.79"/>
    <n v="0"/>
    <n v="0"/>
    <m/>
    <n v="29"/>
    <n v="1"/>
    <n v="1"/>
    <n v="471.79"/>
    <n v="13130003415"/>
  </r>
  <r>
    <x v="13"/>
    <d v="1899-12-30T19:33:47"/>
    <n v="4416"/>
    <n v="13002561"/>
    <n v="13"/>
    <n v="22589"/>
    <s v="Retail Sale"/>
    <n v="18"/>
    <n v="76937"/>
    <x v="37"/>
    <s v="Avesta"/>
    <s v="Dr. Reddy's"/>
    <n v="2"/>
    <n v="157.6"/>
    <n v="256.14"/>
    <n v="12.81"/>
    <n v="12.81"/>
    <s v="BONUS_CARD"/>
    <n v="29"/>
    <n v="1"/>
    <n v="1"/>
    <n v="243.33"/>
    <n v="13130003416"/>
  </r>
  <r>
    <x v="5"/>
    <d v="1899-12-30T12:31:19"/>
    <n v="4417"/>
    <n v="13002561"/>
    <n v="13"/>
    <n v="22589"/>
    <s v="Retail Sale"/>
    <n v="15"/>
    <n v="96035"/>
    <x v="24"/>
    <s v="Katren"/>
    <s v="KRKA"/>
    <n v="3"/>
    <n v="327.56"/>
    <n v="462.81"/>
    <n v="0"/>
    <n v="0"/>
    <m/>
    <n v="29"/>
    <n v="1"/>
    <n v="6"/>
    <n v="462.81"/>
    <n v="13130003417"/>
  </r>
  <r>
    <x v="0"/>
    <d v="1899-12-30T14:24:22"/>
    <n v="4418"/>
    <n v="13002561"/>
    <n v="13"/>
    <n v="22589"/>
    <s v="Retail Sale"/>
    <n v="18"/>
    <n v="14887"/>
    <x v="3"/>
    <s v="Avesta"/>
    <s v="Bayer"/>
    <n v="1"/>
    <n v="126.96"/>
    <n v="178.66"/>
    <n v="8.93"/>
    <n v="8.93"/>
    <s v="BONUS_CARD"/>
    <n v="29"/>
    <n v="1"/>
    <n v="2"/>
    <n v="169.73"/>
    <n v="13130003418"/>
  </r>
  <r>
    <x v="5"/>
    <d v="1899-12-30T17:53:29"/>
    <n v="4419"/>
    <n v="13002561"/>
    <n v="13"/>
    <n v="22589"/>
    <s v="Retail Sale"/>
    <n v="15"/>
    <n v="49724"/>
    <x v="23"/>
    <s v="Avesta"/>
    <s v="Pfizer"/>
    <n v="2"/>
    <n v="547.94000000000005"/>
    <n v="711.63"/>
    <n v="35.58"/>
    <n v="35.58"/>
    <s v="BONUS_CARD"/>
    <n v="29"/>
    <n v="1"/>
    <n v="5"/>
    <n v="676.05"/>
    <n v="13130003419"/>
  </r>
  <r>
    <x v="21"/>
    <d v="1899-12-30T10:36:43"/>
    <n v="4420"/>
    <n v="13002561"/>
    <n v="13"/>
    <n v="22589"/>
    <s v="Retail Sale"/>
    <n v="18"/>
    <n v="76500"/>
    <x v="37"/>
    <s v="Katren"/>
    <s v="KRKA"/>
    <n v="2"/>
    <n v="419.83"/>
    <n v="678.61"/>
    <n v="33.93"/>
    <n v="33.93"/>
    <s v="BONUS_CARD"/>
    <n v="29"/>
    <n v="1"/>
    <n v="6"/>
    <n v="644.67999999999995"/>
    <n v="13130003420"/>
  </r>
  <r>
    <x v="8"/>
    <d v="1899-12-30T13:01:44"/>
    <n v="4421"/>
    <n v="13002561"/>
    <n v="13"/>
    <n v="22589"/>
    <s v="Retail Sale"/>
    <n v="15"/>
    <n v="26361"/>
    <x v="44"/>
    <s v="Protek"/>
    <s v="Takeda"/>
    <n v="2"/>
    <n v="359.41"/>
    <n v="564.34"/>
    <n v="0"/>
    <n v="0"/>
    <m/>
    <n v="29"/>
    <n v="1"/>
    <n v="1"/>
    <n v="564.34"/>
    <n v="13130003421"/>
  </r>
  <r>
    <x v="25"/>
    <d v="1899-12-30T09:10:26"/>
    <n v="4422"/>
    <n v="13002561"/>
    <n v="13"/>
    <n v="22589"/>
    <s v="Retail Sale"/>
    <n v="18"/>
    <n v="31993"/>
    <x v="2"/>
    <s v="Pharmcomplect"/>
    <s v="Sanofi"/>
    <n v="2"/>
    <n v="131.56"/>
    <n v="209.26"/>
    <n v="10.46"/>
    <n v="10.46"/>
    <s v="BONUS_CARD"/>
    <n v="29"/>
    <n v="1"/>
    <n v="6"/>
    <n v="198.8"/>
    <n v="13130003422"/>
  </r>
  <r>
    <x v="12"/>
    <d v="1899-12-30T09:23:07"/>
    <n v="4423"/>
    <n v="13002561"/>
    <n v="13"/>
    <n v="22589"/>
    <s v="Retail Sale"/>
    <n v="18"/>
    <n v="49273"/>
    <x v="1"/>
    <s v="Grand Capital"/>
    <s v="Bayer"/>
    <n v="2"/>
    <n v="537.77"/>
    <n v="828.78"/>
    <n v="82.88"/>
    <n v="82.88"/>
    <s v="BONUS_CARD"/>
    <n v="29"/>
    <n v="1"/>
    <n v="5"/>
    <n v="745.9"/>
    <n v="13130003423"/>
  </r>
  <r>
    <x v="30"/>
    <d v="1899-12-30T13:57:25"/>
    <n v="4424"/>
    <n v="13002561"/>
    <n v="13"/>
    <n v="22589"/>
    <s v="Retail Sale"/>
    <n v="15"/>
    <n v="94910"/>
    <x v="73"/>
    <s v="Pulse"/>
    <s v="Dr. Reddy's"/>
    <n v="3"/>
    <n v="331.76"/>
    <n v="481.63"/>
    <n v="0"/>
    <n v="0"/>
    <m/>
    <n v="29"/>
    <n v="1"/>
    <n v="3"/>
    <n v="481.63"/>
    <n v="13130003424"/>
  </r>
  <r>
    <x v="28"/>
    <d v="1899-12-30T20:58:48"/>
    <n v="4425"/>
    <n v="13002561"/>
    <n v="13"/>
    <n v="22589"/>
    <s v="Retail Sale"/>
    <n v="15"/>
    <n v="48702"/>
    <x v="71"/>
    <s v="Grand Capital"/>
    <s v="Pfizer"/>
    <n v="2"/>
    <n v="261.06"/>
    <n v="436.97"/>
    <n v="0"/>
    <n v="0"/>
    <m/>
    <n v="29"/>
    <n v="1"/>
    <n v="6"/>
    <n v="436.97"/>
    <n v="13130003425"/>
  </r>
  <r>
    <x v="22"/>
    <d v="1899-12-30T14:37:28"/>
    <n v="4426"/>
    <n v="13002561"/>
    <n v="13"/>
    <n v="22589"/>
    <s v="Retail Sale"/>
    <n v="18"/>
    <n v="88686"/>
    <x v="70"/>
    <s v="Katren"/>
    <s v="Takeda"/>
    <n v="2"/>
    <n v="271.97000000000003"/>
    <n v="419.12"/>
    <n v="0"/>
    <n v="0"/>
    <m/>
    <n v="29"/>
    <n v="1"/>
    <n v="4"/>
    <n v="419.12"/>
    <n v="13130003426"/>
  </r>
  <r>
    <x v="2"/>
    <d v="1899-12-30T12:57:39"/>
    <n v="4427"/>
    <n v="13002561"/>
    <n v="13"/>
    <n v="22589"/>
    <s v="Retail Sale"/>
    <n v="18"/>
    <n v="87480"/>
    <x v="6"/>
    <s v="Avesta"/>
    <s v="Novartis"/>
    <n v="1"/>
    <n v="176.79"/>
    <n v="261.08"/>
    <n v="13.05"/>
    <n v="13.05"/>
    <s v="BONUS_CARD"/>
    <n v="29"/>
    <n v="1"/>
    <n v="4"/>
    <n v="248.03"/>
    <n v="13130003427"/>
  </r>
  <r>
    <x v="22"/>
    <d v="1899-12-30T16:40:26"/>
    <n v="4428"/>
    <n v="13002561"/>
    <n v="13"/>
    <n v="22589"/>
    <s v="Retail Sale"/>
    <n v="18"/>
    <n v="98423"/>
    <x v="78"/>
    <s v="Pulse"/>
    <s v="Bayer"/>
    <n v="3"/>
    <n v="92.94"/>
    <n v="129.82"/>
    <n v="0"/>
    <n v="0"/>
    <m/>
    <n v="29"/>
    <n v="1"/>
    <n v="2"/>
    <n v="129.82"/>
    <n v="13130003428"/>
  </r>
  <r>
    <x v="25"/>
    <d v="1899-12-30T22:52:25"/>
    <n v="4429"/>
    <n v="13002561"/>
    <n v="13"/>
    <n v="22589"/>
    <s v="Retail Sale"/>
    <n v="18"/>
    <n v="17108"/>
    <x v="23"/>
    <s v="Grand Capital"/>
    <s v="Pfizer"/>
    <n v="3"/>
    <n v="471.56"/>
    <n v="618.82000000000005"/>
    <n v="30.94"/>
    <n v="30.94"/>
    <s v="BONUS_CARD"/>
    <n v="29"/>
    <n v="1"/>
    <n v="3"/>
    <n v="587.88"/>
    <n v="13130003429"/>
  </r>
  <r>
    <x v="7"/>
    <d v="1899-12-30T15:31:42"/>
    <n v="4430"/>
    <n v="13002561"/>
    <n v="13"/>
    <n v="22589"/>
    <s v="Retail Sale"/>
    <n v="15"/>
    <n v="15203"/>
    <x v="32"/>
    <s v="Pulse"/>
    <s v="Takeda"/>
    <n v="2"/>
    <n v="333.5"/>
    <n v="457.67"/>
    <n v="45.77"/>
    <n v="45.77"/>
    <s v="BONUS_CARD"/>
    <n v="29"/>
    <n v="1"/>
    <n v="3"/>
    <n v="411.9"/>
    <n v="13130003430"/>
  </r>
  <r>
    <x v="11"/>
    <d v="1899-12-30T16:10:53"/>
    <n v="4431"/>
    <n v="13002561"/>
    <n v="13"/>
    <n v="22589"/>
    <s v="Retail Sale"/>
    <n v="15"/>
    <n v="60449"/>
    <x v="14"/>
    <s v="Katren"/>
    <s v="KRKA"/>
    <n v="2"/>
    <n v="570.73"/>
    <n v="765.86"/>
    <n v="0"/>
    <n v="0"/>
    <m/>
    <n v="29"/>
    <n v="1"/>
    <n v="4"/>
    <n v="765.86"/>
    <n v="13130003431"/>
  </r>
  <r>
    <x v="15"/>
    <d v="1899-12-30T11:17:46"/>
    <n v="4432"/>
    <n v="13002561"/>
    <n v="13"/>
    <n v="22589"/>
    <s v="Retail Sale"/>
    <n v="18"/>
    <n v="64233"/>
    <x v="15"/>
    <s v="Katren"/>
    <s v="Bayer"/>
    <n v="1"/>
    <n v="94.09"/>
    <n v="127.71"/>
    <n v="0"/>
    <n v="0"/>
    <m/>
    <n v="29"/>
    <n v="1"/>
    <n v="2"/>
    <n v="127.71"/>
    <n v="13130003432"/>
  </r>
  <r>
    <x v="20"/>
    <d v="1899-12-30T10:47:25"/>
    <n v="4433"/>
    <n v="13002561"/>
    <n v="13"/>
    <n v="22589"/>
    <s v="Retail Sale"/>
    <n v="18"/>
    <n v="80299"/>
    <x v="76"/>
    <s v="Avesta"/>
    <s v="Novartis"/>
    <n v="2"/>
    <n v="184.87"/>
    <n v="248.81"/>
    <n v="24.88"/>
    <n v="24.88"/>
    <s v="BONUS_CARD"/>
    <n v="29"/>
    <n v="1"/>
    <n v="3"/>
    <n v="223.93"/>
    <n v="13130003433"/>
  </r>
  <r>
    <x v="15"/>
    <d v="1899-12-30T10:11:36"/>
    <n v="4434"/>
    <n v="13002561"/>
    <n v="13"/>
    <n v="22589"/>
    <s v="Retail Sale"/>
    <n v="18"/>
    <n v="55413"/>
    <x v="35"/>
    <s v="Pulse"/>
    <s v="Novartis"/>
    <n v="2"/>
    <n v="16.45"/>
    <n v="24.83"/>
    <n v="2.48"/>
    <n v="2.48"/>
    <s v="BONUS_CARD"/>
    <n v="29"/>
    <n v="1"/>
    <n v="4"/>
    <n v="22.35"/>
    <n v="13130003434"/>
  </r>
  <r>
    <x v="2"/>
    <d v="1899-12-30T13:09:18"/>
    <n v="4435"/>
    <n v="13002561"/>
    <n v="13"/>
    <n v="22589"/>
    <s v="Retail Sale"/>
    <n v="15"/>
    <n v="13399"/>
    <x v="26"/>
    <s v="Grand Capital"/>
    <s v="Novartis"/>
    <n v="1"/>
    <n v="11.95"/>
    <n v="15.83"/>
    <n v="0"/>
    <n v="0"/>
    <m/>
    <n v="29"/>
    <n v="1"/>
    <n v="6"/>
    <n v="15.83"/>
    <n v="13130003435"/>
  </r>
  <r>
    <x v="16"/>
    <d v="1899-12-30T19:19:30"/>
    <n v="4436"/>
    <n v="13002561"/>
    <n v="13"/>
    <n v="22589"/>
    <s v="Retail Sale"/>
    <n v="18"/>
    <n v="46248"/>
    <x v="48"/>
    <s v="Grand Capital"/>
    <s v="Dr. Reddy's"/>
    <n v="2"/>
    <n v="262.44"/>
    <n v="355.08"/>
    <n v="0"/>
    <n v="0"/>
    <m/>
    <n v="29"/>
    <n v="1"/>
    <n v="5"/>
    <n v="355.08"/>
    <n v="13130003436"/>
  </r>
  <r>
    <x v="0"/>
    <d v="1899-12-30T19:37:35"/>
    <n v="4437"/>
    <n v="13002561"/>
    <n v="13"/>
    <n v="22589"/>
    <s v="Retail Sale"/>
    <n v="18"/>
    <n v="56178"/>
    <x v="73"/>
    <s v="Protek"/>
    <s v="Novartis"/>
    <n v="2"/>
    <n v="319.55"/>
    <n v="440.39"/>
    <n v="0"/>
    <n v="0"/>
    <m/>
    <n v="29"/>
    <n v="1"/>
    <n v="5"/>
    <n v="440.39"/>
    <n v="13130003437"/>
  </r>
  <r>
    <x v="12"/>
    <d v="1899-12-30T15:44:22"/>
    <n v="4438"/>
    <n v="13002561"/>
    <n v="13"/>
    <n v="22589"/>
    <s v="Retail Sale"/>
    <n v="18"/>
    <n v="53397"/>
    <x v="36"/>
    <s v="Katren"/>
    <s v="TEVA"/>
    <n v="3"/>
    <n v="133.6"/>
    <n v="201.81"/>
    <n v="0"/>
    <n v="0"/>
    <m/>
    <n v="29"/>
    <n v="1"/>
    <n v="4"/>
    <n v="201.81"/>
    <n v="13130003438"/>
  </r>
  <r>
    <x v="0"/>
    <d v="1899-12-30T11:09:14"/>
    <n v="4439"/>
    <n v="13002561"/>
    <n v="13"/>
    <n v="22589"/>
    <s v="Retail Sale"/>
    <n v="18"/>
    <n v="57459"/>
    <x v="55"/>
    <s v="Avesta"/>
    <s v="Takeda"/>
    <n v="1"/>
    <n v="223.18"/>
    <n v="284.99"/>
    <n v="14.25"/>
    <n v="14.25"/>
    <s v="BONUS_CARD"/>
    <n v="29"/>
    <n v="1"/>
    <n v="6"/>
    <n v="270.74"/>
    <n v="13130003439"/>
  </r>
  <r>
    <x v="4"/>
    <d v="1899-12-30T17:13:25"/>
    <n v="4440"/>
    <n v="13002561"/>
    <n v="13"/>
    <n v="22589"/>
    <s v="Retail Sale"/>
    <n v="18"/>
    <n v="10180"/>
    <x v="22"/>
    <s v="Protek"/>
    <s v="Takeda"/>
    <n v="1"/>
    <n v="237.27"/>
    <n v="353.36"/>
    <n v="35.340000000000003"/>
    <n v="35.340000000000003"/>
    <s v="BONUS_CARD"/>
    <n v="29"/>
    <n v="1"/>
    <n v="5"/>
    <n v="318.02"/>
    <n v="13130003440"/>
  </r>
  <r>
    <x v="2"/>
    <d v="1899-12-30T11:54:47"/>
    <n v="4441"/>
    <n v="13002561"/>
    <n v="13"/>
    <n v="22589"/>
    <s v="Retail Sale"/>
    <n v="15"/>
    <n v="38455"/>
    <x v="39"/>
    <s v="Avesta"/>
    <s v="Novartis"/>
    <n v="2"/>
    <n v="404.79"/>
    <n v="658.43"/>
    <n v="32.92"/>
    <n v="32.92"/>
    <s v="BONUS_CARD"/>
    <n v="29"/>
    <n v="1"/>
    <n v="3"/>
    <n v="625.51"/>
    <n v="13130003441"/>
  </r>
  <r>
    <x v="27"/>
    <d v="1899-12-30T08:57:11"/>
    <n v="4442"/>
    <n v="13002561"/>
    <n v="13"/>
    <n v="22589"/>
    <s v="Retail Sale"/>
    <n v="15"/>
    <n v="71593"/>
    <x v="83"/>
    <s v="Katren"/>
    <s v="Takeda"/>
    <n v="1"/>
    <n v="43.72"/>
    <n v="64.489999999999995"/>
    <n v="3.22"/>
    <n v="3.22"/>
    <s v="BONUS_CARD"/>
    <n v="29"/>
    <n v="1"/>
    <n v="2"/>
    <n v="61.27"/>
    <n v="13130003442"/>
  </r>
  <r>
    <x v="7"/>
    <d v="1899-12-30T08:12:27"/>
    <n v="4443"/>
    <n v="13002561"/>
    <n v="13"/>
    <n v="22589"/>
    <s v="Retail Sale"/>
    <n v="18"/>
    <n v="87483"/>
    <x v="17"/>
    <s v="Protek"/>
    <s v="Novartis"/>
    <n v="1"/>
    <n v="377.78"/>
    <n v="592.62"/>
    <n v="59.26"/>
    <n v="59.26"/>
    <s v="BONUS_CARD"/>
    <n v="29"/>
    <n v="1"/>
    <n v="2"/>
    <n v="533.36"/>
    <n v="13130003443"/>
  </r>
  <r>
    <x v="18"/>
    <d v="1899-12-30T09:44:20"/>
    <n v="4444"/>
    <n v="13002561"/>
    <n v="13"/>
    <n v="22589"/>
    <s v="Retail Sale"/>
    <n v="18"/>
    <n v="72962"/>
    <x v="18"/>
    <s v="Protek"/>
    <s v="TEVA"/>
    <n v="1"/>
    <n v="31.08"/>
    <n v="49.6"/>
    <n v="0"/>
    <n v="0"/>
    <m/>
    <n v="29"/>
    <n v="1"/>
    <n v="6"/>
    <n v="49.6"/>
    <n v="13130003444"/>
  </r>
  <r>
    <x v="11"/>
    <d v="1899-12-30T14:03:01"/>
    <n v="4445"/>
    <n v="13002561"/>
    <n v="13"/>
    <n v="22589"/>
    <s v="Retail Sale"/>
    <n v="15"/>
    <n v="41501"/>
    <x v="0"/>
    <s v="Katren"/>
    <s v="TEVA"/>
    <n v="3"/>
    <n v="532.73"/>
    <n v="711.36"/>
    <n v="35.57"/>
    <n v="35.57"/>
    <s v="BONUS_CARD"/>
    <n v="29"/>
    <n v="1"/>
    <n v="6"/>
    <n v="675.79"/>
    <n v="13130003445"/>
  </r>
  <r>
    <x v="16"/>
    <d v="1899-12-30T13:28:04"/>
    <n v="4446"/>
    <n v="13002561"/>
    <n v="13"/>
    <n v="22589"/>
    <s v="Retail Sale"/>
    <n v="18"/>
    <n v="83847"/>
    <x v="73"/>
    <s v="Avesta"/>
    <s v="Dr. Reddy's"/>
    <n v="3"/>
    <n v="252.94"/>
    <n v="400.94"/>
    <n v="0"/>
    <n v="0"/>
    <m/>
    <n v="29"/>
    <n v="1"/>
    <n v="1"/>
    <n v="400.94"/>
    <n v="13130003446"/>
  </r>
  <r>
    <x v="3"/>
    <d v="1899-12-30T14:30:52"/>
    <n v="4447"/>
    <n v="13002561"/>
    <n v="13"/>
    <n v="22589"/>
    <s v="Retail Sale"/>
    <n v="15"/>
    <n v="99994"/>
    <x v="34"/>
    <s v="Avesta"/>
    <s v="Novartis"/>
    <n v="2"/>
    <n v="268.69"/>
    <n v="435.09"/>
    <n v="43.51"/>
    <n v="43.51"/>
    <s v="BONUS_CARD"/>
    <n v="29"/>
    <n v="1"/>
    <n v="2"/>
    <n v="391.58"/>
    <n v="13130003447"/>
  </r>
  <r>
    <x v="10"/>
    <d v="1899-12-30T16:55:28"/>
    <n v="4448"/>
    <n v="13002561"/>
    <n v="13"/>
    <n v="22589"/>
    <s v="Retail Sale"/>
    <n v="18"/>
    <n v="83004"/>
    <x v="53"/>
    <s v="Protek"/>
    <s v="Takeda"/>
    <n v="3"/>
    <n v="552.84"/>
    <n v="851.8"/>
    <n v="42.59"/>
    <n v="42.59"/>
    <s v="BONUS_CARD"/>
    <n v="29"/>
    <n v="1"/>
    <n v="5"/>
    <n v="809.21"/>
    <n v="13130003448"/>
  </r>
  <r>
    <x v="9"/>
    <d v="1899-12-30T12:40:21"/>
    <n v="4449"/>
    <n v="13002561"/>
    <n v="13"/>
    <n v="22589"/>
    <s v="Retail Sale"/>
    <n v="15"/>
    <n v="96296"/>
    <x v="64"/>
    <s v="Protek"/>
    <s v="KRKA"/>
    <n v="1"/>
    <n v="98.81"/>
    <n v="137.84"/>
    <n v="6.89"/>
    <n v="6.89"/>
    <s v="BONUS_CARD"/>
    <n v="29"/>
    <n v="1"/>
    <n v="1"/>
    <n v="130.94999999999999"/>
    <n v="13130003449"/>
  </r>
  <r>
    <x v="10"/>
    <d v="1899-12-30T19:29:56"/>
    <n v="4450"/>
    <n v="13002561"/>
    <n v="13"/>
    <n v="22589"/>
    <s v="Retail Sale"/>
    <n v="18"/>
    <n v="40923"/>
    <x v="70"/>
    <s v="Katren"/>
    <s v="TEVA"/>
    <n v="1"/>
    <n v="227.38"/>
    <n v="342.04"/>
    <n v="17.100000000000001"/>
    <n v="17.100000000000001"/>
    <s v="BONUS_CARD"/>
    <n v="29"/>
    <n v="1"/>
    <n v="2"/>
    <n v="324.94"/>
    <n v="13130003450"/>
  </r>
  <r>
    <x v="30"/>
    <d v="1899-12-30T08:15:42"/>
    <n v="4451"/>
    <n v="13002561"/>
    <n v="13"/>
    <n v="22589"/>
    <s v="Retail Sale"/>
    <n v="18"/>
    <n v="98980"/>
    <x v="49"/>
    <s v="Grand Capital"/>
    <s v="Takeda"/>
    <n v="3"/>
    <n v="509.73"/>
    <n v="811.13"/>
    <n v="0"/>
    <n v="0"/>
    <m/>
    <n v="29"/>
    <n v="1"/>
    <n v="5"/>
    <n v="811.13"/>
    <n v="13130003451"/>
  </r>
  <r>
    <x v="17"/>
    <d v="1899-12-30T16:47:47"/>
    <n v="4452"/>
    <n v="13002561"/>
    <n v="13"/>
    <n v="22589"/>
    <s v="Retail Sale"/>
    <n v="15"/>
    <n v="88903"/>
    <x v="2"/>
    <s v="Katren"/>
    <s v="Takeda"/>
    <n v="1"/>
    <n v="302.14999999999998"/>
    <n v="392.27"/>
    <n v="0"/>
    <n v="0"/>
    <m/>
    <n v="29"/>
    <n v="1"/>
    <n v="2"/>
    <n v="392.27"/>
    <n v="13130003452"/>
  </r>
  <r>
    <x v="2"/>
    <d v="1899-12-30T11:51:50"/>
    <n v="4453"/>
    <n v="13002561"/>
    <n v="13"/>
    <n v="22589"/>
    <s v="Retail Sale"/>
    <n v="15"/>
    <n v="65459"/>
    <x v="55"/>
    <s v="Grand Capital"/>
    <s v="Sanofi"/>
    <n v="3"/>
    <n v="504.03"/>
    <n v="690.21"/>
    <n v="0"/>
    <n v="0"/>
    <m/>
    <n v="29"/>
    <n v="1"/>
    <n v="4"/>
    <n v="690.21"/>
    <n v="13130003453"/>
  </r>
  <r>
    <x v="7"/>
    <d v="1899-12-30T20:52:14"/>
    <n v="4454"/>
    <n v="13002561"/>
    <n v="13"/>
    <n v="22589"/>
    <s v="Retail Sale"/>
    <n v="18"/>
    <n v="47429"/>
    <x v="31"/>
    <s v="Pulse"/>
    <s v="Bayer"/>
    <n v="1"/>
    <n v="297.77999999999997"/>
    <n v="504.33"/>
    <n v="0"/>
    <n v="0"/>
    <m/>
    <n v="29"/>
    <n v="1"/>
    <n v="1"/>
    <n v="504.33"/>
    <n v="13130003454"/>
  </r>
  <r>
    <x v="8"/>
    <d v="1899-12-30T12:55:42"/>
    <n v="4455"/>
    <n v="13002561"/>
    <n v="13"/>
    <n v="22589"/>
    <s v="Retail Sale"/>
    <n v="18"/>
    <n v="16990"/>
    <x v="75"/>
    <s v="Katren"/>
    <s v="Bayer"/>
    <n v="3"/>
    <n v="388.33"/>
    <n v="596.04999999999995"/>
    <n v="0"/>
    <n v="0"/>
    <m/>
    <n v="29"/>
    <n v="1"/>
    <n v="5"/>
    <n v="596.04999999999995"/>
    <n v="13130003455"/>
  </r>
  <r>
    <x v="21"/>
    <d v="1899-12-30T19:53:43"/>
    <n v="4456"/>
    <n v="13002561"/>
    <n v="13"/>
    <n v="22589"/>
    <s v="Retail Sale"/>
    <n v="15"/>
    <n v="62161"/>
    <x v="47"/>
    <s v="Katren"/>
    <s v="TEVA"/>
    <n v="2"/>
    <n v="40.49"/>
    <n v="56.53"/>
    <n v="5.65"/>
    <n v="5.65"/>
    <s v="BONUS_CARD"/>
    <n v="29"/>
    <n v="1"/>
    <n v="2"/>
    <n v="50.88"/>
    <n v="13130003456"/>
  </r>
  <r>
    <x v="10"/>
    <d v="1899-12-30T21:02:51"/>
    <n v="4457"/>
    <n v="13002561"/>
    <n v="13"/>
    <n v="22589"/>
    <s v="Retail Sale"/>
    <n v="18"/>
    <n v="80674"/>
    <x v="46"/>
    <s v="Protek"/>
    <s v="Pfizer"/>
    <n v="2"/>
    <n v="595.76"/>
    <n v="746.76"/>
    <n v="37.340000000000003"/>
    <n v="37.340000000000003"/>
    <s v="BONUS_CARD"/>
    <n v="29"/>
    <n v="1"/>
    <n v="4"/>
    <n v="709.42"/>
    <n v="13130003457"/>
  </r>
  <r>
    <x v="6"/>
    <d v="1899-12-30T16:03:52"/>
    <n v="4458"/>
    <n v="13002561"/>
    <n v="13"/>
    <n v="22589"/>
    <s v="Retail Sale"/>
    <n v="18"/>
    <n v="11824"/>
    <x v="74"/>
    <s v="Pulse"/>
    <s v="Takeda"/>
    <n v="1"/>
    <n v="493.44"/>
    <n v="676.28"/>
    <n v="33.81"/>
    <n v="33.81"/>
    <s v="BONUS_CARD"/>
    <n v="29"/>
    <n v="1"/>
    <n v="6"/>
    <n v="642.47"/>
    <n v="13130003458"/>
  </r>
  <r>
    <x v="3"/>
    <d v="1899-12-30T12:13:38"/>
    <n v="4459"/>
    <n v="13002561"/>
    <n v="13"/>
    <n v="22589"/>
    <s v="Retail Sale"/>
    <n v="15"/>
    <n v="39906"/>
    <x v="29"/>
    <s v="Protek"/>
    <s v="Pfizer"/>
    <n v="3"/>
    <n v="126.34"/>
    <n v="195.14"/>
    <n v="9.76"/>
    <n v="9.76"/>
    <s v="BONUS_CARD"/>
    <n v="29"/>
    <n v="1"/>
    <n v="1"/>
    <n v="185.38"/>
    <n v="13130003459"/>
  </r>
  <r>
    <x v="4"/>
    <d v="1899-12-30T08:02:32"/>
    <n v="4460"/>
    <n v="13002561"/>
    <n v="13"/>
    <n v="22589"/>
    <s v="Retail Sale"/>
    <n v="18"/>
    <n v="74698"/>
    <x v="10"/>
    <s v="Grand Capital"/>
    <s v="KRKA"/>
    <n v="1"/>
    <n v="325.55"/>
    <n v="504.93"/>
    <n v="50.49"/>
    <n v="50.49"/>
    <s v="BONUS_CARD"/>
    <n v="29"/>
    <n v="1"/>
    <n v="1"/>
    <n v="454.44"/>
    <n v="13130003460"/>
  </r>
  <r>
    <x v="14"/>
    <d v="1899-12-30T22:33:48"/>
    <n v="4461"/>
    <n v="13002561"/>
    <n v="13"/>
    <n v="22589"/>
    <s v="Retail Sale"/>
    <n v="15"/>
    <n v="73768"/>
    <x v="48"/>
    <s v="Avesta"/>
    <s v="Takeda"/>
    <n v="2"/>
    <n v="467.06"/>
    <n v="635.58000000000004"/>
    <n v="31.78"/>
    <n v="31.78"/>
    <s v="BONUS_CARD"/>
    <n v="29"/>
    <n v="1"/>
    <n v="6"/>
    <n v="603.79999999999995"/>
    <n v="13130003461"/>
  </r>
  <r>
    <x v="10"/>
    <d v="1899-12-30T20:30:09"/>
    <n v="4462"/>
    <n v="13002561"/>
    <n v="13"/>
    <n v="22589"/>
    <s v="Retail Sale"/>
    <n v="18"/>
    <n v="74347"/>
    <x v="89"/>
    <s v="Protek"/>
    <s v="Sanofi"/>
    <n v="2"/>
    <n v="202.31"/>
    <n v="281.05"/>
    <n v="28.11"/>
    <n v="28.11"/>
    <s v="BONUS_CARD"/>
    <n v="29"/>
    <n v="1"/>
    <n v="5"/>
    <n v="252.94"/>
    <n v="13130003462"/>
  </r>
  <r>
    <x v="23"/>
    <d v="1899-12-30T18:58:38"/>
    <n v="4463"/>
    <n v="13002561"/>
    <n v="13"/>
    <n v="22589"/>
    <s v="Retail Sale"/>
    <n v="18"/>
    <n v="29093"/>
    <x v="41"/>
    <s v="Grand Capital"/>
    <s v="Novartis"/>
    <n v="3"/>
    <n v="572.03"/>
    <n v="781.83"/>
    <n v="39.090000000000003"/>
    <n v="39.090000000000003"/>
    <s v="BONUS_CARD"/>
    <n v="29"/>
    <n v="1"/>
    <n v="5"/>
    <n v="742.74"/>
    <n v="13130003463"/>
  </r>
  <r>
    <x v="27"/>
    <d v="1899-12-30T19:18:07"/>
    <n v="4464"/>
    <n v="13002561"/>
    <n v="13"/>
    <n v="22589"/>
    <s v="Retail Sale"/>
    <n v="15"/>
    <n v="53162"/>
    <x v="83"/>
    <s v="Pulse"/>
    <s v="Sanofi"/>
    <n v="1"/>
    <n v="78.989999999999995"/>
    <n v="114.82"/>
    <n v="11.48"/>
    <n v="11.48"/>
    <s v="BONUS_CARD"/>
    <n v="29"/>
    <n v="1"/>
    <n v="6"/>
    <n v="103.34"/>
    <n v="13130003464"/>
  </r>
  <r>
    <x v="17"/>
    <d v="1899-12-30T18:18:56"/>
    <n v="4465"/>
    <n v="13002561"/>
    <n v="13"/>
    <n v="22589"/>
    <s v="Retail Sale"/>
    <n v="15"/>
    <n v="63002"/>
    <x v="79"/>
    <s v="Avesta"/>
    <s v="Dr. Reddy's"/>
    <n v="2"/>
    <n v="522.70000000000005"/>
    <n v="852.33"/>
    <n v="85.23"/>
    <n v="85.23"/>
    <s v="BONUS_CARD"/>
    <n v="29"/>
    <n v="1"/>
    <n v="2"/>
    <n v="767.1"/>
    <n v="13130003465"/>
  </r>
  <r>
    <x v="28"/>
    <d v="1899-12-30T22:13:45"/>
    <n v="4466"/>
    <n v="13002561"/>
    <n v="13"/>
    <n v="22589"/>
    <s v="Retail Sale"/>
    <n v="15"/>
    <n v="91276"/>
    <x v="11"/>
    <s v="Avesta"/>
    <s v="Pfizer"/>
    <n v="3"/>
    <n v="175.6"/>
    <n v="248.55"/>
    <n v="24.86"/>
    <n v="24.86"/>
    <s v="BONUS_CARD"/>
    <n v="29"/>
    <n v="1"/>
    <n v="5"/>
    <n v="223.69"/>
    <n v="13130003466"/>
  </r>
  <r>
    <x v="29"/>
    <d v="1899-12-30T19:54:35"/>
    <n v="4467"/>
    <n v="13002561"/>
    <n v="13"/>
    <n v="22589"/>
    <s v="Retail Sale"/>
    <n v="18"/>
    <n v="44440"/>
    <x v="36"/>
    <s v="Katren"/>
    <s v="KRKA"/>
    <n v="1"/>
    <n v="327.69"/>
    <n v="417.27"/>
    <n v="20.86"/>
    <n v="20.86"/>
    <s v="BONUS_CARD"/>
    <n v="29"/>
    <n v="1"/>
    <n v="6"/>
    <n v="396.41"/>
    <n v="13130003467"/>
  </r>
  <r>
    <x v="13"/>
    <d v="1899-12-30T09:42:41"/>
    <n v="4468"/>
    <n v="13002561"/>
    <n v="13"/>
    <n v="22589"/>
    <s v="Retail Sale"/>
    <n v="15"/>
    <n v="14667"/>
    <x v="61"/>
    <s v="Katren"/>
    <s v="Pfizer"/>
    <n v="3"/>
    <n v="103.32"/>
    <n v="156.57"/>
    <n v="15.66"/>
    <n v="15.66"/>
    <s v="BONUS_CARD"/>
    <n v="29"/>
    <n v="1"/>
    <n v="6"/>
    <n v="140.91"/>
    <n v="13130003468"/>
  </r>
  <r>
    <x v="1"/>
    <d v="1899-12-30T14:15:20"/>
    <n v="4469"/>
    <n v="13002561"/>
    <n v="13"/>
    <n v="22589"/>
    <s v="Retail Sale"/>
    <n v="15"/>
    <n v="35993"/>
    <x v="71"/>
    <s v="Pulse"/>
    <s v="Dr. Reddy's"/>
    <n v="2"/>
    <n v="330.83"/>
    <n v="560.53"/>
    <n v="28.03"/>
    <n v="28.03"/>
    <s v="BONUS_CARD"/>
    <n v="29"/>
    <n v="1"/>
    <n v="4"/>
    <n v="532.5"/>
    <n v="13130003469"/>
  </r>
  <r>
    <x v="16"/>
    <d v="1899-12-30T10:17:08"/>
    <n v="4470"/>
    <n v="13002561"/>
    <n v="13"/>
    <n v="22589"/>
    <s v="Retail Sale"/>
    <n v="18"/>
    <n v="33796"/>
    <x v="19"/>
    <s v="Katren"/>
    <s v="Bayer"/>
    <n v="3"/>
    <n v="533.29"/>
    <n v="852.72"/>
    <n v="42.64"/>
    <n v="42.64"/>
    <s v="BONUS_CARD"/>
    <n v="29"/>
    <n v="1"/>
    <n v="5"/>
    <n v="810.08"/>
    <n v="13130003470"/>
  </r>
  <r>
    <x v="4"/>
    <d v="1899-12-30T08:39:51"/>
    <n v="4471"/>
    <n v="13002561"/>
    <n v="13"/>
    <n v="22589"/>
    <s v="Retail Sale"/>
    <n v="18"/>
    <n v="47284"/>
    <x v="14"/>
    <s v="Pulse"/>
    <s v="Novartis"/>
    <n v="2"/>
    <n v="427.66"/>
    <n v="669.01"/>
    <n v="33.450000000000003"/>
    <n v="33.450000000000003"/>
    <s v="BONUS_CARD"/>
    <n v="29"/>
    <n v="1"/>
    <n v="5"/>
    <n v="635.55999999999995"/>
    <n v="13130003471"/>
  </r>
  <r>
    <x v="21"/>
    <d v="1899-12-30T12:40:06"/>
    <n v="4472"/>
    <n v="13002561"/>
    <n v="13"/>
    <n v="22589"/>
    <s v="Retail Sale"/>
    <n v="15"/>
    <n v="89952"/>
    <x v="40"/>
    <s v="Pulse"/>
    <s v="Bayer"/>
    <n v="3"/>
    <n v="314.47000000000003"/>
    <n v="420.1"/>
    <n v="42.01"/>
    <n v="42.01"/>
    <s v="BONUS_CARD"/>
    <n v="29"/>
    <n v="1"/>
    <n v="6"/>
    <n v="378.09"/>
    <n v="13130003472"/>
  </r>
  <r>
    <x v="3"/>
    <d v="1899-12-30T20:31:07"/>
    <n v="4473"/>
    <n v="13002561"/>
    <n v="13"/>
    <n v="22589"/>
    <s v="Retail Sale"/>
    <n v="18"/>
    <n v="81120"/>
    <x v="26"/>
    <s v="Grand Capital"/>
    <s v="Takeda"/>
    <n v="3"/>
    <n v="182.93"/>
    <n v="259.74"/>
    <n v="25.97"/>
    <n v="25.97"/>
    <s v="BONUS_CARD"/>
    <n v="29"/>
    <n v="1"/>
    <n v="4"/>
    <n v="233.77"/>
    <n v="13130003473"/>
  </r>
  <r>
    <x v="16"/>
    <d v="1899-12-30T08:03:42"/>
    <n v="4474"/>
    <n v="13002561"/>
    <n v="13"/>
    <n v="22589"/>
    <s v="Retail Sale"/>
    <n v="18"/>
    <n v="64430"/>
    <x v="15"/>
    <s v="Protek"/>
    <s v="Sanofi"/>
    <n v="1"/>
    <n v="538.78"/>
    <n v="695.73"/>
    <n v="34.79"/>
    <n v="34.79"/>
    <s v="BONUS_CARD"/>
    <n v="29"/>
    <n v="1"/>
    <n v="3"/>
    <n v="660.94"/>
    <n v="13130003474"/>
  </r>
  <r>
    <x v="4"/>
    <d v="1899-12-30T11:45:47"/>
    <n v="4475"/>
    <n v="13002561"/>
    <n v="13"/>
    <n v="22589"/>
    <s v="Retail Sale"/>
    <n v="18"/>
    <n v="86723"/>
    <x v="52"/>
    <s v="Grand Capital"/>
    <s v="Novartis"/>
    <n v="3"/>
    <n v="100.43"/>
    <n v="137.16"/>
    <n v="6.86"/>
    <n v="6.86"/>
    <s v="BONUS_CARD"/>
    <n v="29"/>
    <n v="1"/>
    <n v="5"/>
    <n v="130.30000000000001"/>
    <n v="13130003475"/>
  </r>
  <r>
    <x v="22"/>
    <d v="1899-12-30T20:16:12"/>
    <n v="4476"/>
    <n v="13002561"/>
    <n v="13"/>
    <n v="22589"/>
    <s v="Retail Sale"/>
    <n v="15"/>
    <n v="45919"/>
    <x v="0"/>
    <s v="Grand Capital"/>
    <s v="Bayer"/>
    <n v="1"/>
    <n v="437.82"/>
    <n v="690.4"/>
    <n v="69.040000000000006"/>
    <n v="69.040000000000006"/>
    <s v="BONUS_CARD"/>
    <n v="29"/>
    <n v="1"/>
    <n v="1"/>
    <n v="621.36"/>
    <n v="13130003476"/>
  </r>
  <r>
    <x v="28"/>
    <d v="1899-12-30T12:44:47"/>
    <n v="4477"/>
    <n v="13002561"/>
    <n v="13"/>
    <n v="22589"/>
    <s v="Retail Sale"/>
    <n v="18"/>
    <n v="64235"/>
    <x v="21"/>
    <s v="Pharmcomplect"/>
    <s v="Dr. Reddy's"/>
    <n v="1"/>
    <n v="111.91"/>
    <n v="164.85"/>
    <n v="0"/>
    <n v="0"/>
    <m/>
    <n v="29"/>
    <n v="1"/>
    <n v="1"/>
    <n v="164.85"/>
    <n v="13130003477"/>
  </r>
  <r>
    <x v="8"/>
    <d v="1899-12-30T16:26:39"/>
    <n v="4478"/>
    <n v="13002561"/>
    <n v="13"/>
    <n v="22589"/>
    <s v="Retail Sale"/>
    <n v="18"/>
    <n v="15635"/>
    <x v="40"/>
    <s v="Avesta"/>
    <s v="Bayer"/>
    <n v="1"/>
    <n v="71.02"/>
    <n v="119.48"/>
    <n v="5.97"/>
    <n v="5.97"/>
    <s v="BONUS_CARD"/>
    <n v="29"/>
    <n v="1"/>
    <n v="2"/>
    <n v="113.51"/>
    <n v="13130003478"/>
  </r>
  <r>
    <x v="21"/>
    <d v="1899-12-30T16:28:50"/>
    <n v="4479"/>
    <n v="13002561"/>
    <n v="13"/>
    <n v="22589"/>
    <s v="Retail Sale"/>
    <n v="18"/>
    <n v="79668"/>
    <x v="30"/>
    <s v="Katren"/>
    <s v="Novartis"/>
    <n v="3"/>
    <n v="243.18"/>
    <n v="328.26"/>
    <n v="0"/>
    <n v="0"/>
    <m/>
    <n v="29"/>
    <n v="1"/>
    <n v="2"/>
    <n v="328.26"/>
    <n v="13130003479"/>
  </r>
  <r>
    <x v="15"/>
    <d v="1899-12-30T18:50:14"/>
    <n v="4480"/>
    <n v="13002561"/>
    <n v="13"/>
    <n v="22589"/>
    <s v="Retail Sale"/>
    <n v="18"/>
    <n v="92608"/>
    <x v="2"/>
    <s v="Pharmcomplect"/>
    <s v="TEVA"/>
    <n v="2"/>
    <n v="120.18"/>
    <n v="168.48"/>
    <n v="8.42"/>
    <n v="8.42"/>
    <s v="BONUS_CARD"/>
    <n v="29"/>
    <n v="1"/>
    <n v="1"/>
    <n v="160.06"/>
    <n v="13130003480"/>
  </r>
  <r>
    <x v="5"/>
    <d v="1899-12-30T09:31:15"/>
    <n v="4481"/>
    <n v="13002561"/>
    <n v="13"/>
    <n v="22589"/>
    <s v="Retail Sale"/>
    <n v="18"/>
    <n v="94302"/>
    <x v="85"/>
    <s v="Pharmcomplect"/>
    <s v="KRKA"/>
    <n v="2"/>
    <n v="417.8"/>
    <n v="534.01"/>
    <n v="0"/>
    <n v="0"/>
    <m/>
    <n v="29"/>
    <n v="1"/>
    <n v="5"/>
    <n v="534.01"/>
    <n v="13130003481"/>
  </r>
  <r>
    <x v="23"/>
    <d v="1899-12-30T10:03:03"/>
    <n v="4482"/>
    <n v="13002561"/>
    <n v="13"/>
    <n v="22589"/>
    <s v="Retail Sale"/>
    <n v="18"/>
    <n v="44274"/>
    <x v="16"/>
    <s v="Pulse"/>
    <s v="Bayer"/>
    <n v="1"/>
    <n v="544.75"/>
    <n v="774.09"/>
    <n v="77.41"/>
    <n v="77.41"/>
    <s v="BONUS_CARD"/>
    <n v="29"/>
    <n v="1"/>
    <n v="3"/>
    <n v="696.68"/>
    <n v="13130003482"/>
  </r>
  <r>
    <x v="3"/>
    <d v="1899-12-30T22:52:59"/>
    <n v="4483"/>
    <n v="13002561"/>
    <n v="13"/>
    <n v="22589"/>
    <s v="Retail Sale"/>
    <n v="18"/>
    <n v="34384"/>
    <x v="30"/>
    <s v="Pulse"/>
    <s v="Bayer"/>
    <n v="2"/>
    <n v="375.08"/>
    <n v="585.26"/>
    <n v="58.53"/>
    <n v="58.53"/>
    <s v="BONUS_CARD"/>
    <n v="29"/>
    <n v="1"/>
    <n v="4"/>
    <n v="526.73"/>
    <n v="13130003483"/>
  </r>
  <r>
    <x v="0"/>
    <d v="1899-12-30T19:19:05"/>
    <n v="4484"/>
    <n v="13002561"/>
    <n v="13"/>
    <n v="22589"/>
    <s v="Retail Sale"/>
    <n v="15"/>
    <n v="20093"/>
    <x v="10"/>
    <s v="Grand Capital"/>
    <s v="KRKA"/>
    <n v="3"/>
    <n v="551.89"/>
    <n v="922.36"/>
    <n v="46.12"/>
    <n v="46.12"/>
    <s v="BONUS_CARD"/>
    <n v="29"/>
    <n v="1"/>
    <n v="5"/>
    <n v="876.24"/>
    <n v="13130003484"/>
  </r>
  <r>
    <x v="6"/>
    <d v="1899-12-30T12:52:57"/>
    <n v="4485"/>
    <n v="13002561"/>
    <n v="13"/>
    <n v="22589"/>
    <s v="Retail Sale"/>
    <n v="15"/>
    <n v="85497"/>
    <x v="11"/>
    <s v="Avesta"/>
    <s v="TEVA"/>
    <n v="2"/>
    <n v="103.36"/>
    <n v="141.84"/>
    <n v="0"/>
    <n v="0"/>
    <m/>
    <n v="29"/>
    <n v="1"/>
    <n v="3"/>
    <n v="141.84"/>
    <n v="13130003485"/>
  </r>
  <r>
    <x v="2"/>
    <d v="1899-12-30T08:26:27"/>
    <n v="4486"/>
    <n v="13002561"/>
    <n v="13"/>
    <n v="22589"/>
    <s v="Retail Sale"/>
    <n v="18"/>
    <n v="26399"/>
    <x v="2"/>
    <s v="Pulse"/>
    <s v="Dr. Reddy's"/>
    <n v="1"/>
    <n v="556.74"/>
    <n v="886.66"/>
    <n v="44.33"/>
    <n v="44.33"/>
    <s v="BONUS_CARD"/>
    <n v="29"/>
    <n v="1"/>
    <n v="1"/>
    <n v="842.33"/>
    <n v="13130003486"/>
  </r>
  <r>
    <x v="5"/>
    <d v="1899-12-30T18:18:26"/>
    <n v="4487"/>
    <n v="13002561"/>
    <n v="13"/>
    <n v="22589"/>
    <s v="Retail Sale"/>
    <n v="15"/>
    <n v="28667"/>
    <x v="4"/>
    <s v="Protek"/>
    <s v="Novartis"/>
    <n v="2"/>
    <n v="568.77"/>
    <n v="936.06"/>
    <n v="46.8"/>
    <n v="46.8"/>
    <s v="BONUS_CARD"/>
    <n v="29"/>
    <n v="1"/>
    <n v="6"/>
    <n v="889.26"/>
    <n v="13130003487"/>
  </r>
  <r>
    <x v="30"/>
    <d v="1899-12-30T13:45:58"/>
    <n v="4488"/>
    <n v="13002561"/>
    <n v="13"/>
    <n v="22589"/>
    <s v="Retail Sale"/>
    <n v="15"/>
    <n v="38089"/>
    <x v="15"/>
    <s v="Katren"/>
    <s v="Sanofi"/>
    <n v="2"/>
    <n v="57.21"/>
    <n v="76.2"/>
    <n v="3.81"/>
    <n v="3.81"/>
    <s v="BONUS_CARD"/>
    <n v="29"/>
    <n v="1"/>
    <n v="3"/>
    <n v="72.39"/>
    <n v="13130003488"/>
  </r>
  <r>
    <x v="19"/>
    <d v="1899-12-30T17:16:38"/>
    <n v="4489"/>
    <n v="13002561"/>
    <n v="13"/>
    <n v="22589"/>
    <s v="Retail Sale"/>
    <n v="15"/>
    <n v="48276"/>
    <x v="58"/>
    <s v="Katren"/>
    <s v="Takeda"/>
    <n v="2"/>
    <n v="358.97"/>
    <n v="468.33"/>
    <n v="0"/>
    <n v="0"/>
    <m/>
    <n v="29"/>
    <n v="1"/>
    <n v="5"/>
    <n v="468.33"/>
    <n v="13130003489"/>
  </r>
  <r>
    <x v="0"/>
    <d v="1899-12-30T16:17:35"/>
    <n v="4490"/>
    <n v="13002561"/>
    <n v="13"/>
    <n v="22589"/>
    <s v="Retail Sale"/>
    <n v="15"/>
    <n v="68885"/>
    <x v="86"/>
    <s v="Protek"/>
    <s v="Bayer"/>
    <n v="3"/>
    <n v="92.95"/>
    <n v="136.04"/>
    <n v="13.6"/>
    <n v="13.6"/>
    <s v="BONUS_CARD"/>
    <n v="29"/>
    <n v="1"/>
    <n v="4"/>
    <n v="122.44"/>
    <n v="13130003490"/>
  </r>
  <r>
    <x v="21"/>
    <d v="1899-12-30T19:35:50"/>
    <n v="4491"/>
    <n v="13002561"/>
    <n v="13"/>
    <n v="22589"/>
    <s v="Retail Sale"/>
    <n v="15"/>
    <n v="99633"/>
    <x v="21"/>
    <s v="Grand Capital"/>
    <s v="Bayer"/>
    <n v="3"/>
    <n v="536.91"/>
    <n v="702.37"/>
    <n v="70.239999999999995"/>
    <n v="70.239999999999995"/>
    <s v="BONUS_CARD"/>
    <n v="29"/>
    <n v="1"/>
    <n v="1"/>
    <n v="632.13"/>
    <n v="13130003491"/>
  </r>
  <r>
    <x v="17"/>
    <d v="1899-12-30T19:22:57"/>
    <n v="4492"/>
    <n v="13002561"/>
    <n v="13"/>
    <n v="22589"/>
    <s v="Retail Sale"/>
    <n v="15"/>
    <n v="78624"/>
    <x v="89"/>
    <s v="Grand Capital"/>
    <s v="Bayer"/>
    <n v="2"/>
    <n v="71.400000000000006"/>
    <n v="109.16"/>
    <n v="0"/>
    <n v="0"/>
    <m/>
    <n v="29"/>
    <n v="1"/>
    <n v="3"/>
    <n v="109.16"/>
    <n v="13130003492"/>
  </r>
  <r>
    <x v="22"/>
    <d v="1899-12-30T13:01:47"/>
    <n v="4493"/>
    <n v="13002561"/>
    <n v="13"/>
    <n v="22589"/>
    <s v="Retail Sale"/>
    <n v="15"/>
    <n v="89541"/>
    <x v="7"/>
    <s v="Avesta"/>
    <s v="Dr. Reddy's"/>
    <n v="3"/>
    <n v="43.51"/>
    <n v="63.44"/>
    <n v="3.17"/>
    <n v="3.17"/>
    <s v="BONUS_CARD"/>
    <n v="29"/>
    <n v="1"/>
    <n v="3"/>
    <n v="60.27"/>
    <n v="13130003493"/>
  </r>
  <r>
    <x v="10"/>
    <d v="1899-12-30T09:49:17"/>
    <n v="4494"/>
    <n v="13002561"/>
    <n v="13"/>
    <n v="22589"/>
    <s v="Retail Sale"/>
    <n v="15"/>
    <n v="46272"/>
    <x v="16"/>
    <s v="Protek"/>
    <s v="Dr. Reddy's"/>
    <n v="2"/>
    <n v="257.39999999999998"/>
    <n v="337.68"/>
    <n v="33.770000000000003"/>
    <n v="33.770000000000003"/>
    <s v="BONUS_CARD"/>
    <n v="29"/>
    <n v="1"/>
    <n v="2"/>
    <n v="303.91000000000003"/>
    <n v="13130003494"/>
  </r>
  <r>
    <x v="24"/>
    <d v="1899-12-30T14:37:56"/>
    <n v="4495"/>
    <n v="13002561"/>
    <n v="13"/>
    <n v="22589"/>
    <s v="Retail Sale"/>
    <n v="18"/>
    <n v="61626"/>
    <x v="74"/>
    <s v="Katren"/>
    <s v="Takeda"/>
    <n v="2"/>
    <n v="521.47"/>
    <n v="713.53"/>
    <n v="35.68"/>
    <n v="35.68"/>
    <s v="BONUS_CARD"/>
    <n v="29"/>
    <n v="1"/>
    <n v="1"/>
    <n v="677.85"/>
    <n v="13130003495"/>
  </r>
  <r>
    <x v="18"/>
    <d v="1899-12-30T18:58:04"/>
    <n v="4496"/>
    <n v="13002561"/>
    <n v="13"/>
    <n v="22589"/>
    <s v="Retail Sale"/>
    <n v="15"/>
    <n v="14419"/>
    <x v="10"/>
    <s v="Protek"/>
    <s v="KRKA"/>
    <n v="3"/>
    <n v="502.14"/>
    <n v="804.36"/>
    <n v="80.44"/>
    <n v="80.44"/>
    <s v="BONUS_CARD"/>
    <n v="29"/>
    <n v="1"/>
    <n v="6"/>
    <n v="723.92"/>
    <n v="13130003496"/>
  </r>
  <r>
    <x v="10"/>
    <d v="1899-12-30T14:18:57"/>
    <n v="4497"/>
    <n v="13002561"/>
    <n v="13"/>
    <n v="22589"/>
    <s v="Retail Sale"/>
    <n v="15"/>
    <n v="95344"/>
    <x v="37"/>
    <s v="Avesta"/>
    <s v="Sanofi"/>
    <n v="2"/>
    <n v="200.47"/>
    <n v="262.49"/>
    <n v="13.12"/>
    <n v="13.12"/>
    <s v="BONUS_CARD"/>
    <n v="29"/>
    <n v="1"/>
    <n v="6"/>
    <n v="249.37"/>
    <n v="13130003497"/>
  </r>
  <r>
    <x v="10"/>
    <d v="1899-12-30T18:26:49"/>
    <n v="4498"/>
    <n v="13002561"/>
    <n v="13"/>
    <n v="22589"/>
    <s v="Retail Sale"/>
    <n v="18"/>
    <n v="96679"/>
    <x v="84"/>
    <s v="Pulse"/>
    <s v="Takeda"/>
    <n v="3"/>
    <n v="302.58999999999997"/>
    <n v="451.25"/>
    <n v="45.12"/>
    <n v="45.12"/>
    <s v="BONUS_CARD"/>
    <n v="29"/>
    <n v="1"/>
    <n v="6"/>
    <n v="406.13"/>
    <n v="13130003498"/>
  </r>
  <r>
    <x v="15"/>
    <d v="1899-12-30T17:00:39"/>
    <n v="4499"/>
    <n v="13002561"/>
    <n v="13"/>
    <n v="22589"/>
    <s v="Retail Sale"/>
    <n v="18"/>
    <n v="20579"/>
    <x v="13"/>
    <s v="Pharmcomplect"/>
    <s v="Novartis"/>
    <n v="2"/>
    <n v="160.69"/>
    <n v="253.07"/>
    <n v="25.31"/>
    <n v="25.31"/>
    <s v="BONUS_CARD"/>
    <n v="29"/>
    <n v="1"/>
    <n v="1"/>
    <n v="227.76"/>
    <n v="13130003499"/>
  </r>
  <r>
    <x v="11"/>
    <d v="1899-12-30T13:03:20"/>
    <n v="4500"/>
    <n v="13002561"/>
    <n v="13"/>
    <n v="22589"/>
    <s v="Retail Sale"/>
    <n v="18"/>
    <n v="87221"/>
    <x v="50"/>
    <s v="Pulse"/>
    <s v="Novartis"/>
    <n v="3"/>
    <n v="22.33"/>
    <n v="37.83"/>
    <n v="1.89"/>
    <n v="1.89"/>
    <s v="BONUS_CARD"/>
    <n v="29"/>
    <n v="1"/>
    <n v="6"/>
    <n v="35.94"/>
    <n v="13130003500"/>
  </r>
  <r>
    <x v="11"/>
    <d v="1899-12-30T17:13:25"/>
    <n v="4501"/>
    <n v="13002561"/>
    <n v="13"/>
    <n v="22589"/>
    <s v="Retail Sale"/>
    <n v="18"/>
    <n v="85511"/>
    <x v="27"/>
    <s v="Pharmcomplect"/>
    <s v="KRKA"/>
    <n v="3"/>
    <n v="111.42"/>
    <n v="147.96"/>
    <n v="14.8"/>
    <n v="14.8"/>
    <s v="BONUS_CARD"/>
    <n v="29"/>
    <n v="1"/>
    <n v="1"/>
    <n v="133.16"/>
    <n v="13130003501"/>
  </r>
  <r>
    <x v="28"/>
    <d v="1899-12-30T11:56:47"/>
    <n v="4502"/>
    <n v="13002561"/>
    <n v="13"/>
    <n v="22589"/>
    <s v="Retail Sale"/>
    <n v="15"/>
    <n v="11374"/>
    <x v="31"/>
    <s v="Protek"/>
    <s v="KRKA"/>
    <n v="1"/>
    <n v="518.04"/>
    <n v="855.94"/>
    <n v="42.8"/>
    <n v="42.8"/>
    <s v="BONUS_CARD"/>
    <n v="29"/>
    <n v="1"/>
    <n v="4"/>
    <n v="813.14"/>
    <n v="13130003502"/>
  </r>
  <r>
    <x v="25"/>
    <d v="1899-12-30T19:40:27"/>
    <n v="4503"/>
    <n v="13002561"/>
    <n v="13"/>
    <n v="22589"/>
    <s v="Retail Sale"/>
    <n v="15"/>
    <n v="72258"/>
    <x v="46"/>
    <s v="Avesta"/>
    <s v="Takeda"/>
    <n v="3"/>
    <n v="413.88"/>
    <n v="550.67999999999995"/>
    <n v="0"/>
    <n v="0"/>
    <m/>
    <n v="29"/>
    <n v="1"/>
    <n v="1"/>
    <n v="550.67999999999995"/>
    <n v="13130003503"/>
  </r>
  <r>
    <x v="7"/>
    <d v="1899-12-30T15:50:20"/>
    <n v="4504"/>
    <n v="13002561"/>
    <n v="13"/>
    <n v="22589"/>
    <s v="Retail Sale"/>
    <n v="18"/>
    <n v="35375"/>
    <x v="16"/>
    <s v="Avesta"/>
    <s v="Bayer"/>
    <n v="1"/>
    <n v="223.8"/>
    <n v="311.82"/>
    <n v="0"/>
    <n v="0"/>
    <m/>
    <n v="29"/>
    <n v="1"/>
    <n v="6"/>
    <n v="311.82"/>
    <n v="13130003504"/>
  </r>
  <r>
    <x v="17"/>
    <d v="1899-12-30T22:10:04"/>
    <n v="4505"/>
    <n v="13002561"/>
    <n v="13"/>
    <n v="22589"/>
    <s v="Retail Sale"/>
    <n v="18"/>
    <n v="20426"/>
    <x v="58"/>
    <s v="Pulse"/>
    <s v="KRKA"/>
    <n v="3"/>
    <n v="382.83"/>
    <n v="595.02"/>
    <n v="29.75"/>
    <n v="29.75"/>
    <s v="BONUS_CARD"/>
    <n v="29"/>
    <n v="1"/>
    <n v="5"/>
    <n v="565.27"/>
    <n v="13130003505"/>
  </r>
  <r>
    <x v="24"/>
    <d v="1899-12-30T17:28:29"/>
    <n v="4506"/>
    <n v="13002561"/>
    <n v="13"/>
    <n v="22589"/>
    <s v="Retail Sale"/>
    <n v="18"/>
    <n v="66538"/>
    <x v="2"/>
    <s v="Avesta"/>
    <s v="Novartis"/>
    <n v="3"/>
    <n v="327.45"/>
    <n v="539.71"/>
    <n v="53.97"/>
    <n v="53.97"/>
    <s v="BONUS_CARD"/>
    <n v="29"/>
    <n v="1"/>
    <n v="1"/>
    <n v="485.74"/>
    <n v="13130003506"/>
  </r>
  <r>
    <x v="2"/>
    <d v="1899-12-30T14:44:49"/>
    <n v="4507"/>
    <n v="13002561"/>
    <n v="13"/>
    <n v="22589"/>
    <s v="Retail Sale"/>
    <n v="18"/>
    <n v="41952"/>
    <x v="58"/>
    <s v="Katren"/>
    <s v="Bayer"/>
    <n v="1"/>
    <n v="70.83"/>
    <n v="99.2"/>
    <n v="9.92"/>
    <n v="9.92"/>
    <s v="BONUS_CARD"/>
    <n v="29"/>
    <n v="1"/>
    <n v="4"/>
    <n v="89.28"/>
    <n v="13130003507"/>
  </r>
  <r>
    <x v="11"/>
    <d v="1899-12-30T20:18:11"/>
    <n v="4508"/>
    <n v="13002561"/>
    <n v="13"/>
    <n v="22589"/>
    <s v="Retail Sale"/>
    <n v="18"/>
    <n v="91523"/>
    <x v="67"/>
    <s v="Pulse"/>
    <s v="TEVA"/>
    <n v="2"/>
    <n v="297.64999999999998"/>
    <n v="376.64"/>
    <n v="37.659999999999997"/>
    <n v="37.659999999999997"/>
    <s v="BONUS_CARD"/>
    <n v="29"/>
    <n v="1"/>
    <n v="2"/>
    <n v="338.98"/>
    <n v="13130003508"/>
  </r>
  <r>
    <x v="3"/>
    <d v="1899-12-30T13:23:20"/>
    <n v="4509"/>
    <n v="13002561"/>
    <n v="13"/>
    <n v="22589"/>
    <s v="Retail Sale"/>
    <n v="15"/>
    <n v="40464"/>
    <x v="84"/>
    <s v="Pharmcomplect"/>
    <s v="Takeda"/>
    <n v="2"/>
    <n v="579.79"/>
    <n v="928.02"/>
    <n v="46.4"/>
    <n v="46.4"/>
    <s v="BONUS_CARD"/>
    <n v="29"/>
    <n v="1"/>
    <n v="6"/>
    <n v="881.62"/>
    <n v="13130003509"/>
  </r>
  <r>
    <x v="0"/>
    <d v="1899-12-30T21:57:44"/>
    <n v="4510"/>
    <n v="13002561"/>
    <n v="13"/>
    <n v="22589"/>
    <s v="Retail Sale"/>
    <n v="18"/>
    <n v="80102"/>
    <x v="0"/>
    <s v="Grand Capital"/>
    <s v="Dr. Reddy's"/>
    <n v="3"/>
    <n v="499.07"/>
    <n v="769.22"/>
    <n v="76.92"/>
    <n v="76.92"/>
    <s v="BONUS_CARD"/>
    <n v="29"/>
    <n v="1"/>
    <n v="3"/>
    <n v="692.3"/>
    <n v="13130003510"/>
  </r>
  <r>
    <x v="30"/>
    <d v="1899-12-30T10:05:58"/>
    <n v="4511"/>
    <n v="13002561"/>
    <n v="13"/>
    <n v="22589"/>
    <s v="Retail Sale"/>
    <n v="15"/>
    <n v="64468"/>
    <x v="62"/>
    <s v="Pulse"/>
    <s v="Bayer"/>
    <n v="3"/>
    <n v="445.14"/>
    <n v="635.01"/>
    <n v="63.5"/>
    <n v="63.5"/>
    <s v="BONUS_CARD"/>
    <n v="29"/>
    <n v="1"/>
    <n v="3"/>
    <n v="571.51"/>
    <n v="13130003511"/>
  </r>
  <r>
    <x v="8"/>
    <d v="1899-12-30T08:16:08"/>
    <n v="4512"/>
    <n v="13002561"/>
    <n v="13"/>
    <n v="22589"/>
    <s v="Retail Sale"/>
    <n v="18"/>
    <n v="24604"/>
    <x v="18"/>
    <s v="Protek"/>
    <s v="Dr. Reddy's"/>
    <n v="3"/>
    <n v="138.22999999999999"/>
    <n v="196.47"/>
    <n v="9.82"/>
    <n v="9.82"/>
    <s v="BONUS_CARD"/>
    <n v="29"/>
    <n v="1"/>
    <n v="6"/>
    <n v="186.65"/>
    <n v="13130003512"/>
  </r>
  <r>
    <x v="7"/>
    <d v="1899-12-30T11:52:39"/>
    <n v="4513"/>
    <n v="13002561"/>
    <n v="13"/>
    <n v="22589"/>
    <s v="Retail Sale"/>
    <n v="18"/>
    <n v="70913"/>
    <x v="22"/>
    <s v="Avesta"/>
    <s v="KRKA"/>
    <n v="2"/>
    <n v="416.24"/>
    <n v="664.53"/>
    <n v="66.45"/>
    <n v="66.45"/>
    <s v="BONUS_CARD"/>
    <n v="29"/>
    <n v="1"/>
    <n v="3"/>
    <n v="598.08000000000004"/>
    <n v="13130003513"/>
  </r>
  <r>
    <x v="17"/>
    <d v="1899-12-30T10:31:21"/>
    <n v="4514"/>
    <n v="13002561"/>
    <n v="13"/>
    <n v="22589"/>
    <s v="Retail Sale"/>
    <n v="15"/>
    <n v="11447"/>
    <x v="31"/>
    <s v="Pharmcomplect"/>
    <s v="Bayer"/>
    <n v="2"/>
    <n v="326.97000000000003"/>
    <n v="461.31"/>
    <n v="46.13"/>
    <n v="46.13"/>
    <s v="BONUS_CARD"/>
    <n v="29"/>
    <n v="1"/>
    <n v="4"/>
    <n v="415.18"/>
    <n v="13130003514"/>
  </r>
  <r>
    <x v="30"/>
    <d v="1899-12-30T21:21:51"/>
    <n v="4515"/>
    <n v="13002561"/>
    <n v="13"/>
    <n v="22589"/>
    <s v="Retail Sale"/>
    <n v="18"/>
    <n v="97884"/>
    <x v="55"/>
    <s v="Grand Capital"/>
    <s v="Pfizer"/>
    <n v="3"/>
    <n v="32.630000000000003"/>
    <n v="42.58"/>
    <n v="2.13"/>
    <n v="2.13"/>
    <s v="BONUS_CARD"/>
    <n v="29"/>
    <n v="1"/>
    <n v="1"/>
    <n v="40.450000000000003"/>
    <n v="13130003515"/>
  </r>
  <r>
    <x v="27"/>
    <d v="1899-12-30T22:58:00"/>
    <n v="4516"/>
    <n v="13002561"/>
    <n v="13"/>
    <n v="22589"/>
    <s v="Retail Sale"/>
    <n v="15"/>
    <n v="79580"/>
    <x v="16"/>
    <s v="Katren"/>
    <s v="TEVA"/>
    <n v="3"/>
    <n v="172.01"/>
    <n v="225.28"/>
    <n v="11.26"/>
    <n v="11.26"/>
    <s v="BONUS_CARD"/>
    <n v="29"/>
    <n v="1"/>
    <n v="1"/>
    <n v="214.02"/>
    <n v="13130003516"/>
  </r>
  <r>
    <x v="25"/>
    <d v="1899-12-30T13:34:50"/>
    <n v="4517"/>
    <n v="13002561"/>
    <n v="13"/>
    <n v="22589"/>
    <s v="Retail Sale"/>
    <n v="15"/>
    <n v="29640"/>
    <x v="82"/>
    <s v="Avesta"/>
    <s v="Sanofi"/>
    <n v="3"/>
    <n v="247.82"/>
    <n v="354.39"/>
    <n v="17.72"/>
    <n v="17.72"/>
    <s v="BONUS_CARD"/>
    <n v="29"/>
    <n v="1"/>
    <n v="3"/>
    <n v="336.67"/>
    <n v="13130003517"/>
  </r>
  <r>
    <x v="18"/>
    <d v="1899-12-30T19:14:30"/>
    <n v="4518"/>
    <n v="13002561"/>
    <n v="13"/>
    <n v="22589"/>
    <s v="Retail Sale"/>
    <n v="15"/>
    <n v="86130"/>
    <x v="53"/>
    <s v="Pulse"/>
    <s v="Bayer"/>
    <n v="2"/>
    <n v="589.62"/>
    <n v="876.6"/>
    <n v="0"/>
    <n v="0"/>
    <m/>
    <n v="29"/>
    <n v="1"/>
    <n v="1"/>
    <n v="876.6"/>
    <n v="13130003518"/>
  </r>
  <r>
    <x v="4"/>
    <d v="1899-12-30T09:31:53"/>
    <n v="4519"/>
    <n v="13002561"/>
    <n v="13"/>
    <n v="22589"/>
    <s v="Retail Sale"/>
    <n v="15"/>
    <n v="94350"/>
    <x v="55"/>
    <s v="Katren"/>
    <s v="Takeda"/>
    <n v="1"/>
    <n v="287.98"/>
    <n v="377.43"/>
    <n v="0"/>
    <n v="0"/>
    <m/>
    <n v="29"/>
    <n v="1"/>
    <n v="4"/>
    <n v="377.43"/>
    <n v="13130003519"/>
  </r>
  <r>
    <x v="6"/>
    <d v="1899-12-30T09:56:15"/>
    <n v="4520"/>
    <n v="13002561"/>
    <n v="13"/>
    <n v="22589"/>
    <s v="Retail Sale"/>
    <n v="18"/>
    <n v="79309"/>
    <x v="2"/>
    <s v="Protek"/>
    <s v="Novartis"/>
    <n v="3"/>
    <n v="553.96"/>
    <n v="917.99"/>
    <n v="91.8"/>
    <n v="91.8"/>
    <s v="BONUS_CARD"/>
    <n v="29"/>
    <n v="1"/>
    <n v="4"/>
    <n v="826.19"/>
    <n v="13130003520"/>
  </r>
  <r>
    <x v="17"/>
    <d v="1899-12-30T17:01:22"/>
    <n v="4521"/>
    <n v="13002561"/>
    <n v="13"/>
    <n v="22589"/>
    <s v="Retail Sale"/>
    <n v="15"/>
    <n v="78151"/>
    <x v="57"/>
    <s v="Pharmcomplect"/>
    <s v="Takeda"/>
    <n v="1"/>
    <n v="211.01"/>
    <n v="300.81"/>
    <n v="15.04"/>
    <n v="15.04"/>
    <s v="BONUS_CARD"/>
    <n v="29"/>
    <n v="1"/>
    <n v="1"/>
    <n v="285.77"/>
    <n v="13130003521"/>
  </r>
  <r>
    <x v="13"/>
    <d v="1899-12-30T15:29:35"/>
    <n v="4522"/>
    <n v="13002561"/>
    <n v="13"/>
    <n v="22589"/>
    <s v="Retail Sale"/>
    <n v="15"/>
    <n v="96145"/>
    <x v="42"/>
    <s v="Protek"/>
    <s v="Bayer"/>
    <n v="3"/>
    <n v="389.3"/>
    <n v="527.05999999999995"/>
    <n v="52.71"/>
    <n v="52.71"/>
    <s v="BONUS_CARD"/>
    <n v="29"/>
    <n v="1"/>
    <n v="1"/>
    <n v="474.35"/>
    <n v="13130003522"/>
  </r>
  <r>
    <x v="3"/>
    <d v="1899-12-30T08:51:37"/>
    <n v="4523"/>
    <n v="13002561"/>
    <n v="13"/>
    <n v="22589"/>
    <s v="Retail Sale"/>
    <n v="18"/>
    <n v="99696"/>
    <x v="59"/>
    <s v="Pharmcomplect"/>
    <s v="Bayer"/>
    <n v="2"/>
    <n v="89.25"/>
    <n v="144.12"/>
    <n v="7.21"/>
    <n v="7.21"/>
    <s v="BONUS_CARD"/>
    <n v="29"/>
    <n v="1"/>
    <n v="6"/>
    <n v="136.91"/>
    <n v="13130003523"/>
  </r>
  <r>
    <x v="11"/>
    <d v="1899-12-30T10:12:50"/>
    <n v="4524"/>
    <n v="13002561"/>
    <n v="13"/>
    <n v="22589"/>
    <s v="Retail Sale"/>
    <n v="15"/>
    <n v="50359"/>
    <x v="3"/>
    <s v="Protek"/>
    <s v="KRKA"/>
    <n v="1"/>
    <n v="20.84"/>
    <n v="33.630000000000003"/>
    <n v="3.36"/>
    <n v="3.36"/>
    <s v="BONUS_CARD"/>
    <n v="29"/>
    <n v="1"/>
    <n v="5"/>
    <n v="30.27"/>
    <n v="13130003524"/>
  </r>
  <r>
    <x v="20"/>
    <d v="1899-12-30T10:56:04"/>
    <n v="4525"/>
    <n v="13002561"/>
    <n v="13"/>
    <n v="22589"/>
    <s v="Retail Sale"/>
    <n v="15"/>
    <n v="60788"/>
    <x v="72"/>
    <s v="Avesta"/>
    <s v="TEVA"/>
    <n v="2"/>
    <n v="423.86"/>
    <n v="541.08000000000004"/>
    <n v="0"/>
    <n v="0"/>
    <m/>
    <n v="29"/>
    <n v="1"/>
    <n v="5"/>
    <n v="541.08000000000004"/>
    <n v="13130003525"/>
  </r>
  <r>
    <x v="4"/>
    <d v="1899-12-30T11:36:45"/>
    <n v="4526"/>
    <n v="13002561"/>
    <n v="13"/>
    <n v="22589"/>
    <s v="Retail Sale"/>
    <n v="18"/>
    <n v="42264"/>
    <x v="42"/>
    <s v="Avesta"/>
    <s v="Pfizer"/>
    <n v="2"/>
    <n v="5.07"/>
    <n v="6.39"/>
    <n v="0.32"/>
    <n v="0.32"/>
    <s v="BONUS_CARD"/>
    <n v="29"/>
    <n v="1"/>
    <n v="3"/>
    <n v="6.07"/>
    <n v="13130003526"/>
  </r>
  <r>
    <x v="13"/>
    <d v="1899-12-30T12:35:20"/>
    <n v="4527"/>
    <n v="13002561"/>
    <n v="13"/>
    <n v="22589"/>
    <s v="Retail Sale"/>
    <n v="18"/>
    <n v="14594"/>
    <x v="29"/>
    <s v="Pulse"/>
    <s v="KRKA"/>
    <n v="2"/>
    <n v="511.88"/>
    <n v="778.13"/>
    <n v="38.909999999999997"/>
    <n v="38.909999999999997"/>
    <s v="BONUS_CARD"/>
    <n v="29"/>
    <n v="1"/>
    <n v="6"/>
    <n v="739.22"/>
    <n v="13130003527"/>
  </r>
  <r>
    <x v="24"/>
    <d v="1899-12-30T19:39:37"/>
    <n v="4528"/>
    <n v="13002561"/>
    <n v="13"/>
    <n v="22589"/>
    <s v="Retail Sale"/>
    <n v="15"/>
    <n v="78623"/>
    <x v="35"/>
    <s v="Pulse"/>
    <s v="Dr. Reddy's"/>
    <n v="1"/>
    <n v="124.77"/>
    <n v="176.6"/>
    <n v="0"/>
    <n v="0"/>
    <m/>
    <n v="29"/>
    <n v="1"/>
    <n v="3"/>
    <n v="176.6"/>
    <n v="13130003528"/>
  </r>
  <r>
    <x v="27"/>
    <d v="1899-12-30T12:29:26"/>
    <n v="4529"/>
    <n v="13002561"/>
    <n v="13"/>
    <n v="22589"/>
    <s v="Retail Sale"/>
    <n v="15"/>
    <n v="43771"/>
    <x v="7"/>
    <s v="Katren"/>
    <s v="KRKA"/>
    <n v="1"/>
    <n v="456.04"/>
    <n v="747.48"/>
    <n v="37.369999999999997"/>
    <n v="37.369999999999997"/>
    <s v="BONUS_CARD"/>
    <n v="29"/>
    <n v="1"/>
    <n v="5"/>
    <n v="710.11"/>
    <n v="13130003529"/>
  </r>
  <r>
    <x v="19"/>
    <d v="1899-12-30T13:44:40"/>
    <n v="4530"/>
    <n v="13002561"/>
    <n v="13"/>
    <n v="22589"/>
    <s v="Retail Sale"/>
    <n v="18"/>
    <n v="31591"/>
    <x v="49"/>
    <s v="Avesta"/>
    <s v="Sanofi"/>
    <n v="3"/>
    <n v="323.79000000000002"/>
    <n v="484.17"/>
    <n v="48.42"/>
    <n v="48.42"/>
    <s v="BONUS_CARD"/>
    <n v="29"/>
    <n v="1"/>
    <n v="5"/>
    <n v="435.75"/>
    <n v="13130003530"/>
  </r>
  <r>
    <x v="30"/>
    <d v="1899-12-30T12:21:29"/>
    <n v="4531"/>
    <n v="13002561"/>
    <n v="13"/>
    <n v="22589"/>
    <s v="Retail Sale"/>
    <n v="18"/>
    <n v="74572"/>
    <x v="4"/>
    <s v="Protek"/>
    <s v="Sanofi"/>
    <n v="3"/>
    <n v="523.04999999999995"/>
    <n v="742.35"/>
    <n v="0"/>
    <n v="0"/>
    <m/>
    <n v="29"/>
    <n v="1"/>
    <n v="2"/>
    <n v="742.35"/>
    <n v="13130003531"/>
  </r>
  <r>
    <x v="27"/>
    <d v="1899-12-30T12:08:52"/>
    <n v="4532"/>
    <n v="13002561"/>
    <n v="13"/>
    <n v="22589"/>
    <s v="Retail Sale"/>
    <n v="15"/>
    <n v="45519"/>
    <x v="49"/>
    <s v="Pulse"/>
    <s v="Takeda"/>
    <n v="2"/>
    <n v="407.71"/>
    <n v="628.12"/>
    <n v="62.81"/>
    <n v="62.81"/>
    <s v="BONUS_CARD"/>
    <n v="29"/>
    <n v="1"/>
    <n v="2"/>
    <n v="565.30999999999995"/>
    <n v="13130003532"/>
  </r>
  <r>
    <x v="6"/>
    <d v="1899-12-30T09:20:58"/>
    <n v="4533"/>
    <n v="13002561"/>
    <n v="13"/>
    <n v="22589"/>
    <s v="Retail Sale"/>
    <n v="15"/>
    <n v="24212"/>
    <x v="64"/>
    <s v="Grand Capital"/>
    <s v="Pfizer"/>
    <n v="3"/>
    <n v="181.86"/>
    <n v="281.22000000000003"/>
    <n v="14.06"/>
    <n v="14.06"/>
    <s v="BONUS_CARD"/>
    <n v="29"/>
    <n v="1"/>
    <n v="6"/>
    <n v="267.16000000000003"/>
    <n v="13130003533"/>
  </r>
  <r>
    <x v="27"/>
    <d v="1899-12-30T09:43:08"/>
    <n v="4534"/>
    <n v="13002561"/>
    <n v="13"/>
    <n v="22589"/>
    <s v="Retail Sale"/>
    <n v="18"/>
    <n v="35984"/>
    <x v="42"/>
    <s v="Katren"/>
    <s v="Bayer"/>
    <n v="1"/>
    <n v="381.78"/>
    <n v="487.38"/>
    <n v="48.74"/>
    <n v="48.74"/>
    <s v="BONUS_CARD"/>
    <n v="29"/>
    <n v="1"/>
    <n v="5"/>
    <n v="438.64"/>
    <n v="13130003534"/>
  </r>
  <r>
    <x v="11"/>
    <d v="1899-12-30T19:56:40"/>
    <n v="4535"/>
    <n v="13002561"/>
    <n v="13"/>
    <n v="22589"/>
    <s v="Retail Sale"/>
    <n v="18"/>
    <n v="51857"/>
    <x v="34"/>
    <s v="Protek"/>
    <s v="Bayer"/>
    <n v="1"/>
    <n v="342.46"/>
    <n v="429.38"/>
    <n v="0"/>
    <n v="0"/>
    <m/>
    <n v="29"/>
    <n v="1"/>
    <n v="6"/>
    <n v="429.38"/>
    <n v="13130003535"/>
  </r>
  <r>
    <x v="6"/>
    <d v="1899-12-30T22:48:50"/>
    <n v="4536"/>
    <n v="13002561"/>
    <n v="13"/>
    <n v="22589"/>
    <s v="Retail Sale"/>
    <n v="18"/>
    <n v="85427"/>
    <x v="39"/>
    <s v="Pulse"/>
    <s v="KRKA"/>
    <n v="2"/>
    <n v="204.55"/>
    <n v="269.3"/>
    <n v="26.93"/>
    <n v="26.93"/>
    <s v="BONUS_CARD"/>
    <n v="29"/>
    <n v="1"/>
    <n v="5"/>
    <n v="242.37"/>
    <n v="13130003536"/>
  </r>
  <r>
    <x v="6"/>
    <d v="1899-12-30T11:43:47"/>
    <n v="4537"/>
    <n v="13002561"/>
    <n v="13"/>
    <n v="22589"/>
    <s v="Retail Sale"/>
    <n v="18"/>
    <n v="23735"/>
    <x v="12"/>
    <s v="Katren"/>
    <s v="Sanofi"/>
    <n v="3"/>
    <n v="76.3"/>
    <n v="123.43"/>
    <n v="6.17"/>
    <n v="6.17"/>
    <s v="BONUS_CARD"/>
    <n v="29"/>
    <n v="1"/>
    <n v="1"/>
    <n v="117.26"/>
    <n v="13130003537"/>
  </r>
  <r>
    <x v="12"/>
    <d v="1899-12-30T10:14:05"/>
    <n v="4538"/>
    <n v="13002561"/>
    <n v="13"/>
    <n v="22589"/>
    <s v="Retail Sale"/>
    <n v="15"/>
    <n v="61174"/>
    <x v="8"/>
    <s v="Pharmcomplect"/>
    <s v="Dr. Reddy's"/>
    <n v="1"/>
    <n v="449.68"/>
    <n v="677.98"/>
    <n v="67.8"/>
    <n v="67.8"/>
    <s v="BONUS_CARD"/>
    <n v="29"/>
    <n v="1"/>
    <n v="5"/>
    <n v="610.17999999999995"/>
    <n v="13130003538"/>
  </r>
  <r>
    <x v="7"/>
    <d v="1899-12-30T11:25:50"/>
    <n v="4539"/>
    <n v="13002561"/>
    <n v="13"/>
    <n v="22589"/>
    <s v="Retail Sale"/>
    <n v="18"/>
    <n v="87153"/>
    <x v="24"/>
    <s v="Pharmcomplect"/>
    <s v="Novartis"/>
    <n v="2"/>
    <n v="218.84"/>
    <n v="298.93"/>
    <n v="29.89"/>
    <n v="29.89"/>
    <s v="BONUS_CARD"/>
    <n v="29"/>
    <n v="1"/>
    <n v="2"/>
    <n v="269.04000000000002"/>
    <n v="13130003539"/>
  </r>
  <r>
    <x v="18"/>
    <d v="1899-12-30T11:39:57"/>
    <n v="4540"/>
    <n v="13002561"/>
    <n v="13"/>
    <n v="22589"/>
    <s v="Retail Sale"/>
    <n v="18"/>
    <n v="91303"/>
    <x v="51"/>
    <s v="Avesta"/>
    <s v="Bayer"/>
    <n v="1"/>
    <n v="181.36"/>
    <n v="258.58999999999997"/>
    <n v="0"/>
    <n v="0"/>
    <m/>
    <n v="29"/>
    <n v="1"/>
    <n v="4"/>
    <n v="258.58999999999997"/>
    <n v="13130003540"/>
  </r>
  <r>
    <x v="22"/>
    <d v="1899-12-30T13:24:11"/>
    <n v="4541"/>
    <n v="13002561"/>
    <n v="13"/>
    <n v="22589"/>
    <s v="Retail Sale"/>
    <n v="15"/>
    <n v="50766"/>
    <x v="21"/>
    <s v="Grand Capital"/>
    <s v="Dr. Reddy's"/>
    <n v="3"/>
    <n v="568"/>
    <n v="713.48"/>
    <n v="0"/>
    <n v="0"/>
    <m/>
    <n v="29"/>
    <n v="1"/>
    <n v="3"/>
    <n v="713.48"/>
    <n v="13130003541"/>
  </r>
  <r>
    <x v="14"/>
    <d v="1899-12-30T22:46:21"/>
    <n v="4542"/>
    <n v="13002561"/>
    <n v="13"/>
    <n v="22589"/>
    <s v="Retail Sale"/>
    <n v="18"/>
    <n v="89675"/>
    <x v="10"/>
    <s v="Pharmcomplect"/>
    <s v="Dr. Reddy's"/>
    <n v="2"/>
    <n v="43.77"/>
    <n v="61.85"/>
    <n v="6.19"/>
    <n v="6.19"/>
    <s v="BONUS_CARD"/>
    <n v="29"/>
    <n v="1"/>
    <n v="2"/>
    <n v="55.66"/>
    <n v="13130003542"/>
  </r>
  <r>
    <x v="23"/>
    <d v="1899-12-30T08:33:47"/>
    <n v="4543"/>
    <n v="13002561"/>
    <n v="13"/>
    <n v="22589"/>
    <s v="Retail Sale"/>
    <n v="18"/>
    <n v="38724"/>
    <x v="88"/>
    <s v="Grand Capital"/>
    <s v="TEVA"/>
    <n v="2"/>
    <n v="7.41"/>
    <n v="12.22"/>
    <n v="0.61"/>
    <n v="0.61"/>
    <s v="BONUS_CARD"/>
    <n v="29"/>
    <n v="1"/>
    <n v="6"/>
    <n v="11.61"/>
    <n v="13130003543"/>
  </r>
  <r>
    <x v="18"/>
    <d v="1899-12-30T13:37:32"/>
    <n v="4544"/>
    <n v="13002561"/>
    <n v="13"/>
    <n v="22589"/>
    <s v="Retail Sale"/>
    <n v="18"/>
    <n v="80700"/>
    <x v="70"/>
    <s v="Pharmcomplect"/>
    <s v="Sanofi"/>
    <n v="2"/>
    <n v="599.46"/>
    <n v="792.12"/>
    <n v="79.209999999999994"/>
    <n v="79.209999999999994"/>
    <s v="BONUS_CARD"/>
    <n v="29"/>
    <n v="1"/>
    <n v="2"/>
    <n v="712.91"/>
    <n v="13130003544"/>
  </r>
  <r>
    <x v="29"/>
    <d v="1899-12-30T19:04:12"/>
    <n v="4545"/>
    <n v="13002561"/>
    <n v="13"/>
    <n v="22589"/>
    <s v="Retail Sale"/>
    <n v="15"/>
    <n v="68333"/>
    <x v="39"/>
    <s v="Grand Capital"/>
    <s v="TEVA"/>
    <n v="2"/>
    <n v="26.96"/>
    <n v="38.07"/>
    <n v="1.9"/>
    <n v="1.9"/>
    <s v="BONUS_CARD"/>
    <n v="29"/>
    <n v="1"/>
    <n v="5"/>
    <n v="36.17"/>
    <n v="13130003545"/>
  </r>
  <r>
    <x v="4"/>
    <d v="1899-12-30T13:31:01"/>
    <n v="4546"/>
    <n v="13002561"/>
    <n v="13"/>
    <n v="22589"/>
    <s v="Retail Sale"/>
    <n v="18"/>
    <n v="99953"/>
    <x v="16"/>
    <s v="Pulse"/>
    <s v="TEVA"/>
    <n v="2"/>
    <n v="247.49"/>
    <n v="375.97"/>
    <n v="18.8"/>
    <n v="18.8"/>
    <s v="BONUS_CARD"/>
    <n v="29"/>
    <n v="1"/>
    <n v="2"/>
    <n v="357.17"/>
    <n v="13130003546"/>
  </r>
  <r>
    <x v="9"/>
    <d v="1899-12-30T16:43:23"/>
    <n v="4547"/>
    <n v="13002561"/>
    <n v="13"/>
    <n v="22589"/>
    <s v="Retail Sale"/>
    <n v="18"/>
    <n v="50069"/>
    <x v="87"/>
    <s v="Pulse"/>
    <s v="Bayer"/>
    <n v="1"/>
    <n v="178.76"/>
    <n v="257.22000000000003"/>
    <n v="12.86"/>
    <n v="12.86"/>
    <s v="BONUS_CARD"/>
    <n v="29"/>
    <n v="1"/>
    <n v="4"/>
    <n v="244.36"/>
    <n v="13130003547"/>
  </r>
  <r>
    <x v="17"/>
    <d v="1899-12-30T19:13:11"/>
    <n v="4548"/>
    <n v="13002561"/>
    <n v="13"/>
    <n v="22589"/>
    <s v="Retail Sale"/>
    <n v="15"/>
    <n v="12196"/>
    <x v="20"/>
    <s v="Katren"/>
    <s v="Pfizer"/>
    <n v="3"/>
    <n v="24.67"/>
    <n v="41.1"/>
    <n v="2.06"/>
    <n v="2.06"/>
    <s v="BONUS_CARD"/>
    <n v="29"/>
    <n v="1"/>
    <n v="2"/>
    <n v="39.04"/>
    <n v="13130003548"/>
  </r>
  <r>
    <x v="10"/>
    <d v="1899-12-30T10:20:16"/>
    <n v="4549"/>
    <n v="13002561"/>
    <n v="13"/>
    <n v="22589"/>
    <s v="Retail Sale"/>
    <n v="15"/>
    <n v="33687"/>
    <x v="31"/>
    <s v="Katren"/>
    <s v="Sanofi"/>
    <n v="1"/>
    <n v="220.19"/>
    <n v="311.08999999999997"/>
    <n v="31.11"/>
    <n v="31.11"/>
    <s v="BONUS_CARD"/>
    <n v="29"/>
    <n v="1"/>
    <n v="2"/>
    <n v="279.98"/>
    <n v="13130003549"/>
  </r>
  <r>
    <x v="8"/>
    <d v="1899-12-30T15:33:37"/>
    <n v="4550"/>
    <n v="13002561"/>
    <n v="13"/>
    <n v="22589"/>
    <s v="Retail Sale"/>
    <n v="18"/>
    <n v="42357"/>
    <x v="28"/>
    <s v="Avesta"/>
    <s v="Pfizer"/>
    <n v="2"/>
    <n v="399.48"/>
    <n v="611.67999999999995"/>
    <n v="0"/>
    <n v="0"/>
    <m/>
    <n v="29"/>
    <n v="1"/>
    <n v="1"/>
    <n v="611.67999999999995"/>
    <n v="13130003550"/>
  </r>
  <r>
    <x v="25"/>
    <d v="1899-12-30T17:55:19"/>
    <n v="4551"/>
    <n v="13002561"/>
    <n v="13"/>
    <n v="22589"/>
    <s v="Retail Sale"/>
    <n v="15"/>
    <n v="24415"/>
    <x v="21"/>
    <s v="Avesta"/>
    <s v="KRKA"/>
    <n v="1"/>
    <n v="166.2"/>
    <n v="262.44"/>
    <n v="13.12"/>
    <n v="13.12"/>
    <s v="BONUS_CARD"/>
    <n v="29"/>
    <n v="1"/>
    <n v="2"/>
    <n v="249.32"/>
    <n v="13130003551"/>
  </r>
  <r>
    <x v="30"/>
    <d v="1899-12-30T08:41:34"/>
    <n v="4552"/>
    <n v="13002561"/>
    <n v="13"/>
    <n v="22589"/>
    <s v="Retail Sale"/>
    <n v="18"/>
    <n v="58148"/>
    <x v="0"/>
    <s v="Pulse"/>
    <s v="TEVA"/>
    <n v="2"/>
    <n v="467.19"/>
    <n v="707.62"/>
    <n v="70.760000000000005"/>
    <n v="70.760000000000005"/>
    <s v="BONUS_CARD"/>
    <n v="29"/>
    <n v="1"/>
    <n v="3"/>
    <n v="636.86"/>
    <n v="13130003552"/>
  </r>
  <r>
    <x v="14"/>
    <d v="1899-12-30T12:25:25"/>
    <n v="4553"/>
    <n v="13002561"/>
    <n v="13"/>
    <n v="22589"/>
    <s v="Retail Sale"/>
    <n v="18"/>
    <n v="73580"/>
    <x v="7"/>
    <s v="Katren"/>
    <s v="KRKA"/>
    <n v="3"/>
    <n v="82.26"/>
    <n v="108.24"/>
    <n v="10.82"/>
    <n v="10.82"/>
    <s v="BONUS_CARD"/>
    <n v="29"/>
    <n v="1"/>
    <n v="6"/>
    <n v="97.42"/>
    <n v="13130003553"/>
  </r>
  <r>
    <x v="8"/>
    <d v="1899-12-30T20:26:52"/>
    <n v="4554"/>
    <n v="13002561"/>
    <n v="13"/>
    <n v="22589"/>
    <s v="Retail Sale"/>
    <n v="18"/>
    <n v="12806"/>
    <x v="23"/>
    <s v="Pulse"/>
    <s v="Sanofi"/>
    <n v="1"/>
    <n v="283.92"/>
    <n v="418"/>
    <n v="20.9"/>
    <n v="20.9"/>
    <s v="BONUS_CARD"/>
    <n v="29"/>
    <n v="1"/>
    <n v="2"/>
    <n v="397.1"/>
    <n v="13130003554"/>
  </r>
  <r>
    <x v="0"/>
    <d v="1899-12-30T18:23:48"/>
    <n v="4555"/>
    <n v="13002561"/>
    <n v="13"/>
    <n v="22589"/>
    <s v="Retail Sale"/>
    <n v="18"/>
    <n v="67129"/>
    <x v="3"/>
    <s v="Avesta"/>
    <s v="KRKA"/>
    <n v="2"/>
    <n v="241.92"/>
    <n v="355.95"/>
    <n v="0"/>
    <n v="0"/>
    <m/>
    <n v="29"/>
    <n v="1"/>
    <n v="2"/>
    <n v="355.95"/>
    <n v="13130003555"/>
  </r>
  <r>
    <x v="16"/>
    <d v="1899-12-30T20:36:06"/>
    <n v="4556"/>
    <n v="13002561"/>
    <n v="13"/>
    <n v="22589"/>
    <s v="Retail Sale"/>
    <n v="18"/>
    <n v="21143"/>
    <x v="84"/>
    <s v="Pulse"/>
    <s v="Novartis"/>
    <n v="1"/>
    <n v="541.47"/>
    <n v="791.04"/>
    <n v="79.099999999999994"/>
    <n v="79.099999999999994"/>
    <s v="BONUS_CARD"/>
    <n v="29"/>
    <n v="1"/>
    <n v="6"/>
    <n v="711.94"/>
    <n v="13130003556"/>
  </r>
  <r>
    <x v="12"/>
    <d v="1899-12-30T18:50:03"/>
    <n v="4557"/>
    <n v="13002561"/>
    <n v="13"/>
    <n v="22589"/>
    <s v="Retail Sale"/>
    <n v="15"/>
    <n v="74155"/>
    <x v="66"/>
    <s v="Pulse"/>
    <s v="Sanofi"/>
    <n v="3"/>
    <n v="474.32"/>
    <n v="782.55"/>
    <n v="39.130000000000003"/>
    <n v="39.130000000000003"/>
    <s v="BONUS_CARD"/>
    <n v="29"/>
    <n v="1"/>
    <n v="3"/>
    <n v="743.42"/>
    <n v="13130003557"/>
  </r>
  <r>
    <x v="28"/>
    <d v="1899-12-30T14:20:52"/>
    <n v="4558"/>
    <n v="13002561"/>
    <n v="13"/>
    <n v="22589"/>
    <s v="Retail Sale"/>
    <n v="15"/>
    <n v="23319"/>
    <x v="31"/>
    <s v="Avesta"/>
    <s v="KRKA"/>
    <n v="3"/>
    <n v="178.31"/>
    <n v="232.51"/>
    <n v="0"/>
    <n v="0"/>
    <m/>
    <n v="29"/>
    <n v="1"/>
    <n v="2"/>
    <n v="232.51"/>
    <n v="13130003558"/>
  </r>
  <r>
    <x v="12"/>
    <d v="1899-12-30T17:24:13"/>
    <n v="4559"/>
    <n v="13002561"/>
    <n v="13"/>
    <n v="22589"/>
    <s v="Retail Sale"/>
    <n v="15"/>
    <n v="85486"/>
    <x v="77"/>
    <s v="Protek"/>
    <s v="Bayer"/>
    <n v="2"/>
    <n v="296.58"/>
    <n v="463.05"/>
    <n v="23.15"/>
    <n v="23.15"/>
    <s v="BONUS_CARD"/>
    <n v="29"/>
    <n v="1"/>
    <n v="1"/>
    <n v="439.9"/>
    <n v="13130003559"/>
  </r>
  <r>
    <x v="22"/>
    <d v="1899-12-30T18:13:47"/>
    <n v="4560"/>
    <n v="13002561"/>
    <n v="13"/>
    <n v="22589"/>
    <s v="Retail Sale"/>
    <n v="18"/>
    <n v="15592"/>
    <x v="0"/>
    <s v="Grand Capital"/>
    <s v="Pfizer"/>
    <n v="1"/>
    <n v="409.41"/>
    <n v="519.23"/>
    <n v="0"/>
    <n v="0"/>
    <m/>
    <n v="29"/>
    <n v="1"/>
    <n v="4"/>
    <n v="519.23"/>
    <n v="13130003560"/>
  </r>
  <r>
    <x v="12"/>
    <d v="1899-12-30T20:04:50"/>
    <n v="4561"/>
    <n v="13002561"/>
    <n v="13"/>
    <n v="22589"/>
    <s v="Retail Sale"/>
    <n v="18"/>
    <n v="43004"/>
    <x v="21"/>
    <s v="Katren"/>
    <s v="Dr. Reddy's"/>
    <n v="2"/>
    <n v="524.67999999999995"/>
    <n v="780.34"/>
    <n v="0"/>
    <n v="0"/>
    <m/>
    <n v="29"/>
    <n v="1"/>
    <n v="6"/>
    <n v="780.34"/>
    <n v="13130003561"/>
  </r>
  <r>
    <x v="8"/>
    <d v="1899-12-30T16:43:06"/>
    <n v="4562"/>
    <n v="13002561"/>
    <n v="13"/>
    <n v="22589"/>
    <s v="Retail Sale"/>
    <n v="15"/>
    <n v="24675"/>
    <x v="26"/>
    <s v="Katren"/>
    <s v="Pfizer"/>
    <n v="3"/>
    <n v="134.07"/>
    <n v="179.15"/>
    <n v="8.9600000000000009"/>
    <n v="8.9600000000000009"/>
    <s v="BONUS_CARD"/>
    <n v="29"/>
    <n v="1"/>
    <n v="2"/>
    <n v="170.19"/>
    <n v="13130003562"/>
  </r>
  <r>
    <x v="23"/>
    <d v="1899-12-30T14:27:42"/>
    <n v="4563"/>
    <n v="13002561"/>
    <n v="13"/>
    <n v="22589"/>
    <s v="Retail Sale"/>
    <n v="15"/>
    <n v="55717"/>
    <x v="66"/>
    <s v="Katren"/>
    <s v="Novartis"/>
    <n v="1"/>
    <n v="562.14"/>
    <n v="860.25"/>
    <n v="0"/>
    <n v="0"/>
    <m/>
    <n v="29"/>
    <n v="1"/>
    <n v="5"/>
    <n v="860.25"/>
    <n v="13130003563"/>
  </r>
  <r>
    <x v="9"/>
    <d v="1899-12-30T11:06:55"/>
    <n v="4564"/>
    <n v="13002561"/>
    <n v="13"/>
    <n v="22589"/>
    <s v="Retail Sale"/>
    <n v="18"/>
    <n v="87959"/>
    <x v="0"/>
    <s v="Pulse"/>
    <s v="KRKA"/>
    <n v="1"/>
    <n v="120.54"/>
    <n v="175"/>
    <n v="8.75"/>
    <n v="8.75"/>
    <s v="BONUS_CARD"/>
    <n v="29"/>
    <n v="1"/>
    <n v="6"/>
    <n v="166.25"/>
    <n v="13130003564"/>
  </r>
  <r>
    <x v="15"/>
    <d v="1899-12-30T17:08:26"/>
    <n v="4565"/>
    <n v="13002561"/>
    <n v="13"/>
    <n v="22589"/>
    <s v="Retail Sale"/>
    <n v="15"/>
    <n v="46268"/>
    <x v="75"/>
    <s v="Pulse"/>
    <s v="Sanofi"/>
    <n v="1"/>
    <n v="379.56"/>
    <n v="586.79"/>
    <n v="58.68"/>
    <n v="58.68"/>
    <s v="BONUS_CARD"/>
    <n v="29"/>
    <n v="1"/>
    <n v="4"/>
    <n v="528.11"/>
    <n v="13130003565"/>
  </r>
  <r>
    <x v="27"/>
    <d v="1899-12-30T22:59:53"/>
    <n v="4566"/>
    <n v="13002561"/>
    <n v="13"/>
    <n v="22589"/>
    <s v="Retail Sale"/>
    <n v="18"/>
    <n v="15120"/>
    <x v="29"/>
    <s v="Katren"/>
    <s v="Pfizer"/>
    <n v="3"/>
    <n v="356.57"/>
    <n v="553.38"/>
    <n v="27.67"/>
    <n v="27.67"/>
    <s v="BONUS_CARD"/>
    <n v="29"/>
    <n v="1"/>
    <n v="2"/>
    <n v="525.71"/>
    <n v="13130003566"/>
  </r>
  <r>
    <x v="7"/>
    <d v="1899-12-30T10:23:12"/>
    <n v="4567"/>
    <n v="13002561"/>
    <n v="13"/>
    <n v="22589"/>
    <s v="Retail Sale"/>
    <n v="15"/>
    <n v="19171"/>
    <x v="87"/>
    <s v="Pulse"/>
    <s v="KRKA"/>
    <n v="2"/>
    <n v="176.14"/>
    <n v="222.64"/>
    <n v="0"/>
    <n v="0"/>
    <m/>
    <n v="29"/>
    <n v="1"/>
    <n v="6"/>
    <n v="222.64"/>
    <n v="13130003567"/>
  </r>
  <r>
    <x v="20"/>
    <d v="1899-12-30T10:10:38"/>
    <n v="4568"/>
    <n v="13002561"/>
    <n v="13"/>
    <n v="22589"/>
    <s v="Retail Sale"/>
    <n v="18"/>
    <n v="53016"/>
    <x v="78"/>
    <s v="Protek"/>
    <s v="Dr. Reddy's"/>
    <n v="3"/>
    <n v="83.13"/>
    <n v="104.38"/>
    <n v="0"/>
    <n v="0"/>
    <m/>
    <n v="29"/>
    <n v="1"/>
    <n v="5"/>
    <n v="104.38"/>
    <n v="13130003568"/>
  </r>
  <r>
    <x v="24"/>
    <d v="1899-12-30T19:48:04"/>
    <n v="4569"/>
    <n v="13002561"/>
    <n v="13"/>
    <n v="22589"/>
    <s v="Retail Sale"/>
    <n v="15"/>
    <n v="78548"/>
    <x v="40"/>
    <s v="Protek"/>
    <s v="KRKA"/>
    <n v="2"/>
    <n v="10.46"/>
    <n v="17.329999999999998"/>
    <n v="0.87"/>
    <n v="0.87"/>
    <s v="BONUS_CARD"/>
    <n v="29"/>
    <n v="1"/>
    <n v="6"/>
    <n v="16.46"/>
    <n v="13130003569"/>
  </r>
  <r>
    <x v="5"/>
    <d v="1899-12-30T11:39:45"/>
    <n v="4570"/>
    <n v="13002561"/>
    <n v="13"/>
    <n v="22589"/>
    <s v="Retail Sale"/>
    <n v="15"/>
    <n v="28392"/>
    <x v="61"/>
    <s v="Avesta"/>
    <s v="Bayer"/>
    <n v="1"/>
    <n v="472.81"/>
    <n v="697.76"/>
    <n v="0"/>
    <n v="0"/>
    <m/>
    <n v="29"/>
    <n v="1"/>
    <n v="5"/>
    <n v="697.76"/>
    <n v="13130003570"/>
  </r>
  <r>
    <x v="5"/>
    <d v="1899-12-30T08:24:39"/>
    <n v="4571"/>
    <n v="13002561"/>
    <n v="13"/>
    <n v="22589"/>
    <s v="Retail Sale"/>
    <n v="15"/>
    <n v="98388"/>
    <x v="18"/>
    <s v="Protek"/>
    <s v="Dr. Reddy's"/>
    <n v="2"/>
    <n v="79.959999999999994"/>
    <n v="132.91999999999999"/>
    <n v="0"/>
    <n v="0"/>
    <m/>
    <n v="29"/>
    <n v="1"/>
    <n v="4"/>
    <n v="132.91999999999999"/>
    <n v="13130003571"/>
  </r>
  <r>
    <x v="26"/>
    <d v="1899-12-30T16:36:34"/>
    <n v="4572"/>
    <n v="13002561"/>
    <n v="13"/>
    <n v="22589"/>
    <s v="Retail Sale"/>
    <n v="15"/>
    <n v="79310"/>
    <x v="45"/>
    <s v="Protek"/>
    <s v="Novartis"/>
    <n v="1"/>
    <n v="221.49"/>
    <n v="365.14"/>
    <n v="36.51"/>
    <n v="36.51"/>
    <s v="BONUS_CARD"/>
    <n v="29"/>
    <n v="1"/>
    <n v="1"/>
    <n v="328.63"/>
    <n v="13130003572"/>
  </r>
  <r>
    <x v="28"/>
    <d v="1899-12-30T19:14:31"/>
    <n v="4573"/>
    <n v="13002561"/>
    <n v="13"/>
    <n v="22589"/>
    <s v="Retail Sale"/>
    <n v="18"/>
    <n v="64441"/>
    <x v="84"/>
    <s v="Pharmcomplect"/>
    <s v="Sanofi"/>
    <n v="2"/>
    <n v="394.8"/>
    <n v="652.42999999999995"/>
    <n v="0"/>
    <n v="0"/>
    <m/>
    <n v="29"/>
    <n v="1"/>
    <n v="1"/>
    <n v="652.42999999999995"/>
    <n v="13130003573"/>
  </r>
  <r>
    <x v="26"/>
    <d v="1899-12-30T08:00:11"/>
    <n v="4574"/>
    <n v="13002561"/>
    <n v="13"/>
    <n v="22589"/>
    <s v="Retail Sale"/>
    <n v="15"/>
    <n v="30134"/>
    <x v="49"/>
    <s v="Grand Capital"/>
    <s v="Takeda"/>
    <n v="3"/>
    <n v="58.34"/>
    <n v="97.76"/>
    <n v="4.8899999999999997"/>
    <n v="4.8899999999999997"/>
    <s v="BONUS_CARD"/>
    <n v="29"/>
    <n v="1"/>
    <n v="4"/>
    <n v="92.87"/>
    <n v="13130003574"/>
  </r>
  <r>
    <x v="28"/>
    <d v="1899-12-30T15:37:45"/>
    <n v="4575"/>
    <n v="13002561"/>
    <n v="13"/>
    <n v="22589"/>
    <s v="Retail Sale"/>
    <n v="15"/>
    <n v="81633"/>
    <x v="55"/>
    <s v="Protek"/>
    <s v="TEVA"/>
    <n v="2"/>
    <n v="523.27"/>
    <n v="677.44"/>
    <n v="67.739999999999995"/>
    <n v="67.739999999999995"/>
    <s v="BONUS_CARD"/>
    <n v="29"/>
    <n v="1"/>
    <n v="5"/>
    <n v="609.70000000000005"/>
    <n v="13130003575"/>
  </r>
  <r>
    <x v="27"/>
    <d v="1899-12-30T16:11:06"/>
    <n v="4576"/>
    <n v="13002561"/>
    <n v="13"/>
    <n v="22589"/>
    <s v="Retail Sale"/>
    <n v="15"/>
    <n v="86590"/>
    <x v="54"/>
    <s v="Katren"/>
    <s v="Takeda"/>
    <n v="2"/>
    <n v="428.97"/>
    <n v="570.62"/>
    <n v="57.06"/>
    <n v="57.06"/>
    <s v="BONUS_CARD"/>
    <n v="29"/>
    <n v="1"/>
    <n v="1"/>
    <n v="513.55999999999995"/>
    <n v="13130003576"/>
  </r>
  <r>
    <x v="30"/>
    <d v="1899-12-30T21:37:01"/>
    <n v="4577"/>
    <n v="13002561"/>
    <n v="13"/>
    <n v="22589"/>
    <s v="Retail Sale"/>
    <n v="15"/>
    <n v="18341"/>
    <x v="74"/>
    <s v="Protek"/>
    <s v="Novartis"/>
    <n v="3"/>
    <n v="559.94000000000005"/>
    <n v="731.67"/>
    <n v="73.17"/>
    <n v="73.17"/>
    <s v="BONUS_CARD"/>
    <n v="29"/>
    <n v="1"/>
    <n v="1"/>
    <n v="658.5"/>
    <n v="13130003577"/>
  </r>
  <r>
    <x v="26"/>
    <d v="1899-12-30T10:43:34"/>
    <n v="4578"/>
    <n v="13002561"/>
    <n v="13"/>
    <n v="22589"/>
    <s v="Retail Sale"/>
    <n v="15"/>
    <n v="92423"/>
    <x v="4"/>
    <s v="Avesta"/>
    <s v="KRKA"/>
    <n v="3"/>
    <n v="61.61"/>
    <n v="78.739999999999995"/>
    <n v="7.87"/>
    <n v="7.87"/>
    <s v="BONUS_CARD"/>
    <n v="29"/>
    <n v="1"/>
    <n v="3"/>
    <n v="70.87"/>
    <n v="13130003578"/>
  </r>
  <r>
    <x v="28"/>
    <d v="1899-12-30T16:37:09"/>
    <n v="4579"/>
    <n v="13002561"/>
    <n v="13"/>
    <n v="22589"/>
    <s v="Retail Sale"/>
    <n v="18"/>
    <n v="45500"/>
    <x v="46"/>
    <s v="Protek"/>
    <s v="Bayer"/>
    <n v="3"/>
    <n v="215.1"/>
    <n v="293.63"/>
    <n v="14.68"/>
    <n v="14.68"/>
    <s v="BONUS_CARD"/>
    <n v="29"/>
    <n v="1"/>
    <n v="3"/>
    <n v="278.95"/>
    <n v="13130003579"/>
  </r>
  <r>
    <x v="11"/>
    <d v="1899-12-30T21:52:26"/>
    <n v="4580"/>
    <n v="13002561"/>
    <n v="13"/>
    <n v="22589"/>
    <s v="Retail Sale"/>
    <n v="15"/>
    <n v="56330"/>
    <x v="8"/>
    <s v="Katren"/>
    <s v="KRKA"/>
    <n v="2"/>
    <n v="245.57"/>
    <n v="397.87"/>
    <n v="19.89"/>
    <n v="19.89"/>
    <s v="BONUS_CARD"/>
    <n v="29"/>
    <n v="1"/>
    <n v="6"/>
    <n v="377.98"/>
    <n v="13130003580"/>
  </r>
  <r>
    <x v="13"/>
    <d v="1899-12-30T18:27:20"/>
    <n v="4581"/>
    <n v="13002561"/>
    <n v="13"/>
    <n v="22589"/>
    <s v="Retail Sale"/>
    <n v="18"/>
    <n v="85987"/>
    <x v="10"/>
    <s v="Grand Capital"/>
    <s v="TEVA"/>
    <n v="1"/>
    <n v="69.430000000000007"/>
    <n v="92.38"/>
    <n v="9.24"/>
    <n v="9.24"/>
    <s v="BONUS_CARD"/>
    <n v="29"/>
    <n v="1"/>
    <n v="3"/>
    <n v="83.14"/>
    <n v="13130003581"/>
  </r>
  <r>
    <x v="7"/>
    <d v="1899-12-30T11:37:08"/>
    <n v="4582"/>
    <n v="13002561"/>
    <n v="13"/>
    <n v="22589"/>
    <s v="Retail Sale"/>
    <n v="18"/>
    <n v="23532"/>
    <x v="61"/>
    <s v="Pulse"/>
    <s v="Bayer"/>
    <n v="3"/>
    <n v="199.38"/>
    <n v="274.52"/>
    <n v="13.73"/>
    <n v="13.73"/>
    <s v="BONUS_CARD"/>
    <n v="29"/>
    <n v="1"/>
    <n v="2"/>
    <n v="260.79000000000002"/>
    <n v="13130003582"/>
  </r>
  <r>
    <x v="19"/>
    <d v="1899-12-30T10:38:08"/>
    <n v="4583"/>
    <n v="13002561"/>
    <n v="13"/>
    <n v="22589"/>
    <s v="Retail Sale"/>
    <n v="15"/>
    <n v="13788"/>
    <x v="59"/>
    <s v="Protek"/>
    <s v="TEVA"/>
    <n v="3"/>
    <n v="124.46"/>
    <n v="190.84"/>
    <n v="19.079999999999998"/>
    <n v="19.079999999999998"/>
    <s v="BONUS_CARD"/>
    <n v="29"/>
    <n v="1"/>
    <n v="6"/>
    <n v="171.76"/>
    <n v="13130003583"/>
  </r>
  <r>
    <x v="18"/>
    <d v="1899-12-30T12:45:35"/>
    <n v="4584"/>
    <n v="13002561"/>
    <n v="13"/>
    <n v="22589"/>
    <s v="Retail Sale"/>
    <n v="18"/>
    <n v="97086"/>
    <x v="41"/>
    <s v="Protek"/>
    <s v="Pfizer"/>
    <n v="1"/>
    <n v="515.07000000000005"/>
    <n v="673.44"/>
    <n v="0"/>
    <n v="0"/>
    <m/>
    <n v="29"/>
    <n v="1"/>
    <n v="3"/>
    <n v="673.44"/>
    <n v="13130003584"/>
  </r>
  <r>
    <x v="7"/>
    <d v="1899-12-30T13:34:50"/>
    <n v="4585"/>
    <n v="13002561"/>
    <n v="13"/>
    <n v="22589"/>
    <s v="Retail Sale"/>
    <n v="15"/>
    <n v="19564"/>
    <x v="63"/>
    <s v="Protek"/>
    <s v="Pfizer"/>
    <n v="2"/>
    <n v="16.7"/>
    <n v="26.22"/>
    <n v="0"/>
    <n v="0"/>
    <m/>
    <n v="29"/>
    <n v="1"/>
    <n v="4"/>
    <n v="26.22"/>
    <n v="13130003585"/>
  </r>
  <r>
    <x v="29"/>
    <d v="1899-12-30T17:21:13"/>
    <n v="4586"/>
    <n v="13002561"/>
    <n v="13"/>
    <n v="22589"/>
    <s v="Retail Sale"/>
    <n v="15"/>
    <n v="70445"/>
    <x v="60"/>
    <s v="Grand Capital"/>
    <s v="Sanofi"/>
    <n v="3"/>
    <n v="169.52"/>
    <n v="285.58999999999997"/>
    <n v="0"/>
    <n v="0"/>
    <m/>
    <n v="29"/>
    <n v="1"/>
    <n v="5"/>
    <n v="285.58999999999997"/>
    <n v="13130003586"/>
  </r>
  <r>
    <x v="19"/>
    <d v="1899-12-30T15:42:47"/>
    <n v="4587"/>
    <n v="13002561"/>
    <n v="13"/>
    <n v="22589"/>
    <s v="Retail Sale"/>
    <n v="18"/>
    <n v="20849"/>
    <x v="73"/>
    <s v="Katren"/>
    <s v="TEVA"/>
    <n v="3"/>
    <n v="432.47"/>
    <n v="690.18"/>
    <n v="0"/>
    <n v="0"/>
    <m/>
    <n v="29"/>
    <n v="1"/>
    <n v="1"/>
    <n v="690.18"/>
    <n v="13130003587"/>
  </r>
  <r>
    <x v="10"/>
    <d v="1899-12-30T19:33:56"/>
    <n v="4588"/>
    <n v="13002561"/>
    <n v="13"/>
    <n v="22589"/>
    <s v="Retail Sale"/>
    <n v="18"/>
    <n v="46916"/>
    <x v="24"/>
    <s v="Pharmcomplect"/>
    <s v="Bayer"/>
    <n v="2"/>
    <n v="582.74"/>
    <n v="832.29"/>
    <n v="83.23"/>
    <n v="83.23"/>
    <s v="BONUS_CARD"/>
    <n v="29"/>
    <n v="1"/>
    <n v="6"/>
    <n v="749.06"/>
    <n v="13130003588"/>
  </r>
  <r>
    <x v="6"/>
    <d v="1899-12-30T16:28:02"/>
    <n v="4589"/>
    <n v="13002561"/>
    <n v="13"/>
    <n v="22589"/>
    <s v="Retail Sale"/>
    <n v="18"/>
    <n v="44396"/>
    <x v="55"/>
    <s v="Protek"/>
    <s v="Takeda"/>
    <n v="1"/>
    <n v="352.14"/>
    <n v="510.51"/>
    <n v="25.53"/>
    <n v="25.53"/>
    <s v="BONUS_CARD"/>
    <n v="29"/>
    <n v="1"/>
    <n v="1"/>
    <n v="484.98"/>
    <n v="13130003589"/>
  </r>
  <r>
    <x v="18"/>
    <d v="1899-12-30T18:19:19"/>
    <n v="4590"/>
    <n v="13002561"/>
    <n v="13"/>
    <n v="22589"/>
    <s v="Retail Sale"/>
    <n v="18"/>
    <n v="27384"/>
    <x v="57"/>
    <s v="Protek"/>
    <s v="Takeda"/>
    <n v="2"/>
    <n v="62.35"/>
    <n v="86.21"/>
    <n v="4.3099999999999996"/>
    <n v="4.3099999999999996"/>
    <s v="BONUS_CARD"/>
    <n v="29"/>
    <n v="1"/>
    <n v="1"/>
    <n v="81.900000000000006"/>
    <n v="13130003590"/>
  </r>
  <r>
    <x v="21"/>
    <d v="1899-12-30T11:09:40"/>
    <n v="4591"/>
    <n v="13002561"/>
    <n v="13"/>
    <n v="22589"/>
    <s v="Retail Sale"/>
    <n v="18"/>
    <n v="66997"/>
    <x v="40"/>
    <s v="Protek"/>
    <s v="Sanofi"/>
    <n v="3"/>
    <n v="427.3"/>
    <n v="658.28"/>
    <n v="32.909999999999997"/>
    <n v="32.909999999999997"/>
    <s v="BONUS_CARD"/>
    <n v="29"/>
    <n v="1"/>
    <n v="5"/>
    <n v="625.37"/>
    <n v="13130003591"/>
  </r>
  <r>
    <x v="28"/>
    <d v="1899-12-30T17:30:57"/>
    <n v="4592"/>
    <n v="13002561"/>
    <n v="13"/>
    <n v="22589"/>
    <s v="Retail Sale"/>
    <n v="18"/>
    <n v="50978"/>
    <x v="83"/>
    <s v="Pharmcomplect"/>
    <s v="Novartis"/>
    <n v="1"/>
    <n v="471.75"/>
    <n v="783.08"/>
    <n v="78.31"/>
    <n v="78.31"/>
    <s v="BONUS_CARD"/>
    <n v="29"/>
    <n v="1"/>
    <n v="3"/>
    <n v="704.77"/>
    <n v="13130003592"/>
  </r>
  <r>
    <x v="22"/>
    <d v="1899-12-30T12:39:46"/>
    <n v="4593"/>
    <n v="13002561"/>
    <n v="13"/>
    <n v="22589"/>
    <s v="Retail Sale"/>
    <n v="18"/>
    <n v="72177"/>
    <x v="5"/>
    <s v="Avesta"/>
    <s v="TEVA"/>
    <n v="1"/>
    <n v="429.15"/>
    <n v="631.58000000000004"/>
    <n v="0"/>
    <n v="0"/>
    <m/>
    <n v="29"/>
    <n v="1"/>
    <n v="1"/>
    <n v="631.58000000000004"/>
    <n v="13130003593"/>
  </r>
  <r>
    <x v="1"/>
    <d v="1899-12-30T21:55:39"/>
    <n v="4594"/>
    <n v="13002561"/>
    <n v="13"/>
    <n v="22589"/>
    <s v="Retail Sale"/>
    <n v="15"/>
    <n v="78847"/>
    <x v="0"/>
    <s v="Pharmcomplect"/>
    <s v="Pfizer"/>
    <n v="2"/>
    <n v="126.75"/>
    <n v="200.27"/>
    <n v="20.03"/>
    <n v="20.03"/>
    <s v="BONUS_CARD"/>
    <n v="29"/>
    <n v="1"/>
    <n v="2"/>
    <n v="180.24"/>
    <n v="13130003594"/>
  </r>
  <r>
    <x v="25"/>
    <d v="1899-12-30T11:41:38"/>
    <n v="4595"/>
    <n v="13002561"/>
    <n v="13"/>
    <n v="22589"/>
    <s v="Retail Sale"/>
    <n v="15"/>
    <n v="39822"/>
    <x v="44"/>
    <s v="Katren"/>
    <s v="Takeda"/>
    <n v="1"/>
    <n v="350.69"/>
    <n v="496.74"/>
    <n v="49.67"/>
    <n v="49.67"/>
    <s v="BONUS_CARD"/>
    <n v="29"/>
    <n v="1"/>
    <n v="1"/>
    <n v="447.07"/>
    <n v="13130003595"/>
  </r>
  <r>
    <x v="3"/>
    <d v="1899-12-30T11:56:22"/>
    <n v="4596"/>
    <n v="13002561"/>
    <n v="13"/>
    <n v="22589"/>
    <s v="Retail Sale"/>
    <n v="15"/>
    <n v="89367"/>
    <x v="42"/>
    <s v="Grand Capital"/>
    <s v="Bayer"/>
    <n v="2"/>
    <n v="500.53"/>
    <n v="686"/>
    <n v="34.299999999999997"/>
    <n v="34.299999999999997"/>
    <s v="BONUS_CARD"/>
    <n v="29"/>
    <n v="1"/>
    <n v="5"/>
    <n v="651.70000000000005"/>
    <n v="13130003596"/>
  </r>
  <r>
    <x v="0"/>
    <d v="1899-12-30T17:00:15"/>
    <n v="4597"/>
    <n v="13002561"/>
    <n v="13"/>
    <n v="22589"/>
    <s v="Retail Sale"/>
    <n v="18"/>
    <n v="25092"/>
    <x v="44"/>
    <s v="Grand Capital"/>
    <s v="Pfizer"/>
    <n v="2"/>
    <n v="530.86"/>
    <n v="804.44"/>
    <n v="40.22"/>
    <n v="40.22"/>
    <s v="BONUS_CARD"/>
    <n v="29"/>
    <n v="1"/>
    <n v="2"/>
    <n v="764.22"/>
    <n v="13130003597"/>
  </r>
  <r>
    <x v="25"/>
    <d v="1899-12-30T21:40:47"/>
    <n v="4598"/>
    <n v="13002561"/>
    <n v="13"/>
    <n v="22589"/>
    <s v="Retail Sale"/>
    <n v="15"/>
    <n v="77746"/>
    <x v="7"/>
    <s v="Pharmcomplect"/>
    <s v="KRKA"/>
    <n v="1"/>
    <n v="28.08"/>
    <n v="35.590000000000003"/>
    <n v="0"/>
    <n v="0"/>
    <m/>
    <n v="29"/>
    <n v="1"/>
    <n v="5"/>
    <n v="35.590000000000003"/>
    <n v="13130003598"/>
  </r>
  <r>
    <x v="1"/>
    <d v="1899-12-30T11:21:12"/>
    <n v="4599"/>
    <n v="13002561"/>
    <n v="13"/>
    <n v="22589"/>
    <s v="Retail Sale"/>
    <n v="15"/>
    <n v="44684"/>
    <x v="8"/>
    <s v="Avesta"/>
    <s v="Sanofi"/>
    <n v="3"/>
    <n v="207.44"/>
    <n v="314.29000000000002"/>
    <n v="0"/>
    <n v="0"/>
    <m/>
    <n v="29"/>
    <n v="1"/>
    <n v="3"/>
    <n v="314.29000000000002"/>
    <n v="13130003599"/>
  </r>
  <r>
    <x v="22"/>
    <d v="1899-12-30T20:05:23"/>
    <n v="4600"/>
    <n v="13002561"/>
    <n v="13"/>
    <n v="22589"/>
    <s v="Retail Sale"/>
    <n v="18"/>
    <n v="59101"/>
    <x v="87"/>
    <s v="Avesta"/>
    <s v="Takeda"/>
    <n v="2"/>
    <n v="28.97"/>
    <n v="39.090000000000003"/>
    <n v="1.95"/>
    <n v="1.95"/>
    <s v="BONUS_CARD"/>
    <n v="29"/>
    <n v="1"/>
    <n v="3"/>
    <n v="37.14"/>
    <n v="13130003600"/>
  </r>
  <r>
    <x v="15"/>
    <d v="1899-12-30T11:06:17"/>
    <n v="4601"/>
    <n v="13002561"/>
    <n v="13"/>
    <n v="22589"/>
    <s v="Retail Sale"/>
    <n v="15"/>
    <n v="91297"/>
    <x v="24"/>
    <s v="Pharmcomplect"/>
    <s v="Dr. Reddy's"/>
    <n v="1"/>
    <n v="189.63"/>
    <n v="245.51"/>
    <n v="24.55"/>
    <n v="24.55"/>
    <s v="BONUS_CARD"/>
    <n v="29"/>
    <n v="1"/>
    <n v="3"/>
    <n v="220.96"/>
    <n v="13130003601"/>
  </r>
  <r>
    <x v="25"/>
    <d v="1899-12-30T12:18:22"/>
    <n v="4602"/>
    <n v="13002561"/>
    <n v="13"/>
    <n v="22589"/>
    <s v="Retail Sale"/>
    <n v="18"/>
    <n v="29221"/>
    <x v="61"/>
    <s v="Avesta"/>
    <s v="Takeda"/>
    <n v="3"/>
    <n v="442.96"/>
    <n v="587.45000000000005"/>
    <n v="58.75"/>
    <n v="58.75"/>
    <s v="BONUS_CARD"/>
    <n v="29"/>
    <n v="1"/>
    <n v="2"/>
    <n v="528.70000000000005"/>
    <n v="13130003602"/>
  </r>
  <r>
    <x v="29"/>
    <d v="1899-12-30T19:45:47"/>
    <n v="4603"/>
    <n v="13002561"/>
    <n v="13"/>
    <n v="22589"/>
    <s v="Retail Sale"/>
    <n v="15"/>
    <n v="87619"/>
    <x v="78"/>
    <s v="Pulse"/>
    <s v="KRKA"/>
    <n v="2"/>
    <n v="122.01"/>
    <n v="186.95"/>
    <n v="9.35"/>
    <n v="9.35"/>
    <s v="BONUS_CARD"/>
    <n v="29"/>
    <n v="1"/>
    <n v="3"/>
    <n v="177.6"/>
    <n v="13130003603"/>
  </r>
  <r>
    <x v="6"/>
    <d v="1899-12-30T19:57:13"/>
    <n v="4604"/>
    <n v="13002561"/>
    <n v="13"/>
    <n v="22589"/>
    <s v="Retail Sale"/>
    <n v="15"/>
    <n v="80675"/>
    <x v="87"/>
    <s v="Protek"/>
    <s v="TEVA"/>
    <n v="1"/>
    <n v="213.54"/>
    <n v="329.3"/>
    <n v="32.93"/>
    <n v="32.93"/>
    <s v="BONUS_CARD"/>
    <n v="29"/>
    <n v="1"/>
    <n v="4"/>
    <n v="296.37"/>
    <n v="13130003604"/>
  </r>
  <r>
    <x v="14"/>
    <d v="1899-12-30T18:51:55"/>
    <n v="4605"/>
    <n v="13002561"/>
    <n v="13"/>
    <n v="22589"/>
    <s v="Retail Sale"/>
    <n v="15"/>
    <n v="25367"/>
    <x v="7"/>
    <s v="Protek"/>
    <s v="Dr. Reddy's"/>
    <n v="2"/>
    <n v="222.74"/>
    <n v="301.7"/>
    <n v="30.17"/>
    <n v="30.17"/>
    <s v="BONUS_CARD"/>
    <n v="29"/>
    <n v="1"/>
    <n v="6"/>
    <n v="271.52999999999997"/>
    <n v="13130003605"/>
  </r>
  <r>
    <x v="24"/>
    <d v="1899-12-30T18:07:49"/>
    <n v="4606"/>
    <n v="13002561"/>
    <n v="13"/>
    <n v="22589"/>
    <s v="Retail Sale"/>
    <n v="15"/>
    <n v="10951"/>
    <x v="44"/>
    <s v="Grand Capital"/>
    <s v="TEVA"/>
    <n v="2"/>
    <n v="178.29"/>
    <n v="259.61"/>
    <n v="12.98"/>
    <n v="12.98"/>
    <s v="BONUS_CARD"/>
    <n v="29"/>
    <n v="1"/>
    <n v="4"/>
    <n v="246.63"/>
    <n v="13130003606"/>
  </r>
  <r>
    <x v="21"/>
    <d v="1899-12-30T09:13:39"/>
    <n v="4607"/>
    <n v="13002561"/>
    <n v="13"/>
    <n v="22589"/>
    <s v="Retail Sale"/>
    <n v="18"/>
    <n v="75263"/>
    <x v="33"/>
    <s v="Protek"/>
    <s v="KRKA"/>
    <n v="1"/>
    <n v="262.18"/>
    <n v="388.49"/>
    <n v="38.85"/>
    <n v="38.85"/>
    <s v="BONUS_CARD"/>
    <n v="29"/>
    <n v="1"/>
    <n v="2"/>
    <n v="349.64"/>
    <n v="13130003607"/>
  </r>
  <r>
    <x v="16"/>
    <d v="1899-12-30T14:33:10"/>
    <n v="4608"/>
    <n v="13002561"/>
    <n v="13"/>
    <n v="22589"/>
    <s v="Retail Sale"/>
    <n v="18"/>
    <n v="43589"/>
    <x v="71"/>
    <s v="Pharmcomplect"/>
    <s v="KRKA"/>
    <n v="1"/>
    <n v="25.89"/>
    <n v="36.229999999999997"/>
    <n v="1.81"/>
    <n v="1.81"/>
    <s v="BONUS_CARD"/>
    <n v="29"/>
    <n v="1"/>
    <n v="3"/>
    <n v="34.42"/>
    <n v="13130003608"/>
  </r>
  <r>
    <x v="11"/>
    <d v="1899-12-30T17:39:39"/>
    <n v="4609"/>
    <n v="13002561"/>
    <n v="13"/>
    <n v="22589"/>
    <s v="Retail Sale"/>
    <n v="15"/>
    <n v="97622"/>
    <x v="76"/>
    <s v="Pharmcomplect"/>
    <s v="Bayer"/>
    <n v="1"/>
    <n v="131.82"/>
    <n v="182.08"/>
    <n v="9.1"/>
    <n v="9.1"/>
    <s v="BONUS_CARD"/>
    <n v="29"/>
    <n v="1"/>
    <n v="3"/>
    <n v="172.98"/>
    <n v="13130003609"/>
  </r>
  <r>
    <x v="0"/>
    <d v="1899-12-30T22:17:10"/>
    <n v="4610"/>
    <n v="13002561"/>
    <n v="13"/>
    <n v="22589"/>
    <s v="Retail Sale"/>
    <n v="18"/>
    <n v="84435"/>
    <x v="2"/>
    <s v="Pharmcomplect"/>
    <s v="Takeda"/>
    <n v="3"/>
    <n v="348.43"/>
    <n v="536.28"/>
    <n v="0"/>
    <n v="0"/>
    <m/>
    <n v="29"/>
    <n v="1"/>
    <n v="2"/>
    <n v="536.28"/>
    <n v="13130003610"/>
  </r>
  <r>
    <x v="16"/>
    <d v="1899-12-30T16:15:43"/>
    <n v="4611"/>
    <n v="13002561"/>
    <n v="13"/>
    <n v="22589"/>
    <s v="Retail Sale"/>
    <n v="18"/>
    <n v="16317"/>
    <x v="72"/>
    <s v="Protek"/>
    <s v="Bayer"/>
    <n v="1"/>
    <n v="310.10000000000002"/>
    <n v="523.84"/>
    <n v="26.19"/>
    <n v="26.19"/>
    <s v="BONUS_CARD"/>
    <n v="29"/>
    <n v="1"/>
    <n v="4"/>
    <n v="497.65"/>
    <n v="13130003611"/>
  </r>
  <r>
    <x v="2"/>
    <d v="1899-12-30T13:45:31"/>
    <n v="4612"/>
    <n v="13002561"/>
    <n v="13"/>
    <n v="22589"/>
    <s v="Retail Sale"/>
    <n v="18"/>
    <n v="92627"/>
    <x v="62"/>
    <s v="Grand Capital"/>
    <s v="Takeda"/>
    <n v="2"/>
    <n v="588.20000000000005"/>
    <n v="926.74"/>
    <n v="0"/>
    <n v="0"/>
    <m/>
    <n v="29"/>
    <n v="1"/>
    <n v="2"/>
    <n v="926.74"/>
    <n v="13130003612"/>
  </r>
  <r>
    <x v="30"/>
    <d v="1899-12-30T14:38:17"/>
    <n v="4613"/>
    <n v="13002561"/>
    <n v="13"/>
    <n v="22589"/>
    <s v="Retail Sale"/>
    <n v="18"/>
    <n v="32306"/>
    <x v="15"/>
    <s v="Grand Capital"/>
    <s v="Sanofi"/>
    <n v="3"/>
    <n v="529.27"/>
    <n v="675.89"/>
    <n v="33.79"/>
    <n v="33.79"/>
    <s v="BONUS_CARD"/>
    <n v="29"/>
    <n v="1"/>
    <n v="1"/>
    <n v="642.1"/>
    <n v="13130003613"/>
  </r>
  <r>
    <x v="30"/>
    <d v="1899-12-30T17:13:50"/>
    <n v="4614"/>
    <n v="13002561"/>
    <n v="13"/>
    <n v="22589"/>
    <s v="Retail Sale"/>
    <n v="18"/>
    <n v="28193"/>
    <x v="48"/>
    <s v="Grand Capital"/>
    <s v="Takeda"/>
    <n v="3"/>
    <n v="56.28"/>
    <n v="91.44"/>
    <n v="4.57"/>
    <n v="4.57"/>
    <s v="BONUS_CARD"/>
    <n v="29"/>
    <n v="1"/>
    <n v="6"/>
    <n v="86.87"/>
    <n v="13130003614"/>
  </r>
  <r>
    <x v="22"/>
    <d v="1899-12-30T09:23:09"/>
    <n v="4615"/>
    <n v="13002561"/>
    <n v="13"/>
    <n v="22589"/>
    <s v="Retail Sale"/>
    <n v="15"/>
    <n v="30580"/>
    <x v="83"/>
    <s v="Katren"/>
    <s v="Novartis"/>
    <n v="2"/>
    <n v="590.95000000000005"/>
    <n v="970.46"/>
    <n v="0"/>
    <n v="0"/>
    <m/>
    <n v="29"/>
    <n v="1"/>
    <n v="4"/>
    <n v="970.46"/>
    <n v="13130003615"/>
  </r>
  <r>
    <x v="16"/>
    <d v="1899-12-30T21:19:31"/>
    <n v="4616"/>
    <n v="13002561"/>
    <n v="13"/>
    <n v="22589"/>
    <s v="Retail Sale"/>
    <n v="18"/>
    <n v="40253"/>
    <x v="25"/>
    <s v="Pharmcomplect"/>
    <s v="Pfizer"/>
    <n v="3"/>
    <n v="410.71"/>
    <n v="560.88"/>
    <n v="56.09"/>
    <n v="56.09"/>
    <s v="BONUS_CARD"/>
    <n v="29"/>
    <n v="1"/>
    <n v="5"/>
    <n v="504.79"/>
    <n v="13130003616"/>
  </r>
  <r>
    <x v="10"/>
    <d v="1899-12-30T19:01:06"/>
    <n v="4617"/>
    <n v="13002561"/>
    <n v="13"/>
    <n v="22589"/>
    <s v="Retail Sale"/>
    <n v="18"/>
    <n v="30208"/>
    <x v="89"/>
    <s v="Grand Capital"/>
    <s v="Dr. Reddy's"/>
    <n v="3"/>
    <n v="435.16"/>
    <n v="692.71"/>
    <n v="0"/>
    <n v="0"/>
    <m/>
    <n v="29"/>
    <n v="1"/>
    <n v="6"/>
    <n v="692.71"/>
    <n v="13130003617"/>
  </r>
  <r>
    <x v="24"/>
    <d v="1899-12-30T18:23:53"/>
    <n v="4618"/>
    <n v="13002561"/>
    <n v="13"/>
    <n v="22589"/>
    <s v="Retail Sale"/>
    <n v="15"/>
    <n v="10738"/>
    <x v="3"/>
    <s v="Katren"/>
    <s v="Sanofi"/>
    <n v="1"/>
    <n v="303.27999999999997"/>
    <n v="381.56"/>
    <n v="0"/>
    <n v="0"/>
    <m/>
    <n v="29"/>
    <n v="1"/>
    <n v="6"/>
    <n v="381.56"/>
    <n v="13130003618"/>
  </r>
  <r>
    <x v="2"/>
    <d v="1899-12-30T22:37:44"/>
    <n v="4619"/>
    <n v="13002561"/>
    <n v="13"/>
    <n v="22589"/>
    <s v="Retail Sale"/>
    <n v="15"/>
    <n v="29425"/>
    <x v="53"/>
    <s v="Grand Capital"/>
    <s v="Sanofi"/>
    <n v="1"/>
    <n v="554.92999999999995"/>
    <n v="880.21"/>
    <n v="0"/>
    <n v="0"/>
    <m/>
    <n v="29"/>
    <n v="1"/>
    <n v="1"/>
    <n v="880.21"/>
    <n v="13130003619"/>
  </r>
  <r>
    <x v="18"/>
    <d v="1899-12-30T20:40:45"/>
    <n v="4620"/>
    <n v="13002561"/>
    <n v="13"/>
    <n v="22589"/>
    <s v="Retail Sale"/>
    <n v="18"/>
    <n v="90275"/>
    <x v="33"/>
    <s v="Pharmcomplect"/>
    <s v="KRKA"/>
    <n v="1"/>
    <n v="82.24"/>
    <n v="128.65"/>
    <n v="6.43"/>
    <n v="6.43"/>
    <s v="BONUS_CARD"/>
    <n v="29"/>
    <n v="1"/>
    <n v="3"/>
    <n v="122.22"/>
    <n v="13130003620"/>
  </r>
  <r>
    <x v="4"/>
    <d v="1899-12-30T20:19:43"/>
    <n v="4621"/>
    <n v="13002561"/>
    <n v="13"/>
    <n v="22589"/>
    <s v="Retail Sale"/>
    <n v="15"/>
    <n v="88697"/>
    <x v="78"/>
    <s v="Pulse"/>
    <s v="Takeda"/>
    <n v="2"/>
    <n v="585.6"/>
    <n v="747.88"/>
    <n v="74.790000000000006"/>
    <n v="74.790000000000006"/>
    <s v="BONUS_CARD"/>
    <n v="29"/>
    <n v="1"/>
    <n v="5"/>
    <n v="673.09"/>
    <n v="13130003621"/>
  </r>
  <r>
    <x v="25"/>
    <d v="1899-12-30T17:34:25"/>
    <n v="4622"/>
    <n v="13002561"/>
    <n v="13"/>
    <n v="22589"/>
    <s v="Retail Sale"/>
    <n v="15"/>
    <n v="19072"/>
    <x v="33"/>
    <s v="Protek"/>
    <s v="Sanofi"/>
    <n v="1"/>
    <n v="582.80999999999995"/>
    <n v="750.12"/>
    <n v="75.010000000000005"/>
    <n v="75.010000000000005"/>
    <s v="BONUS_CARD"/>
    <n v="29"/>
    <n v="1"/>
    <n v="1"/>
    <n v="675.11"/>
    <n v="13130003622"/>
  </r>
  <r>
    <x v="28"/>
    <d v="1899-12-30T11:06:46"/>
    <n v="4623"/>
    <n v="13002561"/>
    <n v="13"/>
    <n v="22589"/>
    <s v="Retail Sale"/>
    <n v="18"/>
    <n v="95069"/>
    <x v="38"/>
    <s v="Protek"/>
    <s v="Sanofi"/>
    <n v="1"/>
    <n v="320.3"/>
    <n v="402.08"/>
    <n v="40.21"/>
    <n v="40.21"/>
    <s v="BONUS_CARD"/>
    <n v="29"/>
    <n v="1"/>
    <n v="6"/>
    <n v="361.87"/>
    <n v="13130003623"/>
  </r>
  <r>
    <x v="8"/>
    <d v="1899-12-30T08:22:07"/>
    <n v="4624"/>
    <n v="13002561"/>
    <n v="13"/>
    <n v="22589"/>
    <s v="Retail Sale"/>
    <n v="18"/>
    <n v="63690"/>
    <x v="53"/>
    <s v="Pharmcomplect"/>
    <s v="Novartis"/>
    <n v="2"/>
    <n v="328.61"/>
    <n v="448.01"/>
    <n v="0"/>
    <n v="0"/>
    <m/>
    <n v="29"/>
    <n v="1"/>
    <n v="1"/>
    <n v="448.01"/>
    <n v="13130003624"/>
  </r>
  <r>
    <x v="11"/>
    <d v="1899-12-30T15:21:02"/>
    <n v="4625"/>
    <n v="13002561"/>
    <n v="13"/>
    <n v="22589"/>
    <s v="Retail Sale"/>
    <n v="18"/>
    <n v="28941"/>
    <x v="27"/>
    <s v="Protek"/>
    <s v="Novartis"/>
    <n v="2"/>
    <n v="235.52"/>
    <n v="370.48"/>
    <n v="37.049999999999997"/>
    <n v="37.049999999999997"/>
    <s v="BONUS_CARD"/>
    <n v="29"/>
    <n v="1"/>
    <n v="3"/>
    <n v="333.43"/>
    <n v="13130003625"/>
  </r>
  <r>
    <x v="13"/>
    <d v="1899-12-30T09:38:37"/>
    <n v="4626"/>
    <n v="13002561"/>
    <n v="13"/>
    <n v="22589"/>
    <s v="Retail Sale"/>
    <n v="18"/>
    <n v="72052"/>
    <x v="69"/>
    <s v="Pulse"/>
    <s v="Pfizer"/>
    <n v="1"/>
    <n v="97.99"/>
    <n v="149.09"/>
    <n v="7.45"/>
    <n v="7.45"/>
    <s v="BONUS_CARD"/>
    <n v="29"/>
    <n v="1"/>
    <n v="6"/>
    <n v="141.63999999999999"/>
    <n v="13130003626"/>
  </r>
  <r>
    <x v="16"/>
    <d v="1899-12-30T19:22:22"/>
    <n v="4627"/>
    <n v="13002561"/>
    <n v="13"/>
    <n v="22589"/>
    <s v="Retail Sale"/>
    <n v="18"/>
    <n v="46494"/>
    <x v="55"/>
    <s v="Grand Capital"/>
    <s v="Sanofi"/>
    <n v="2"/>
    <n v="539.09"/>
    <n v="679.02"/>
    <n v="0"/>
    <n v="0"/>
    <m/>
    <n v="29"/>
    <n v="1"/>
    <n v="3"/>
    <n v="679.02"/>
    <n v="13130003627"/>
  </r>
  <r>
    <x v="22"/>
    <d v="1899-12-30T17:40:16"/>
    <n v="4628"/>
    <n v="13002561"/>
    <n v="13"/>
    <n v="22589"/>
    <s v="Retail Sale"/>
    <n v="15"/>
    <n v="33545"/>
    <x v="58"/>
    <s v="Pharmcomplect"/>
    <s v="Takeda"/>
    <n v="2"/>
    <n v="374.74"/>
    <n v="571.77"/>
    <n v="57.18"/>
    <n v="57.18"/>
    <s v="BONUS_CARD"/>
    <n v="29"/>
    <n v="1"/>
    <n v="5"/>
    <n v="514.59"/>
    <n v="13130003628"/>
  </r>
  <r>
    <x v="10"/>
    <d v="1899-12-30T13:31:47"/>
    <n v="4629"/>
    <n v="13002561"/>
    <n v="13"/>
    <n v="22589"/>
    <s v="Retail Sale"/>
    <n v="18"/>
    <n v="75723"/>
    <x v="43"/>
    <s v="Pulse"/>
    <s v="Pfizer"/>
    <n v="1"/>
    <n v="342.91"/>
    <n v="457.11"/>
    <n v="22.86"/>
    <n v="22.86"/>
    <s v="BONUS_CARD"/>
    <n v="29"/>
    <n v="1"/>
    <n v="6"/>
    <n v="434.25"/>
    <n v="13130003629"/>
  </r>
  <r>
    <x v="15"/>
    <d v="1899-12-30T18:29:42"/>
    <n v="4630"/>
    <n v="13002561"/>
    <n v="13"/>
    <n v="22589"/>
    <s v="Retail Sale"/>
    <n v="15"/>
    <n v="75605"/>
    <x v="19"/>
    <s v="Grand Capital"/>
    <s v="TEVA"/>
    <n v="3"/>
    <n v="379.36"/>
    <n v="603.83000000000004"/>
    <n v="0"/>
    <n v="0"/>
    <m/>
    <n v="29"/>
    <n v="1"/>
    <n v="5"/>
    <n v="603.83000000000004"/>
    <n v="13130003630"/>
  </r>
  <r>
    <x v="29"/>
    <d v="1899-12-30T16:50:44"/>
    <n v="4631"/>
    <n v="13002561"/>
    <n v="13"/>
    <n v="22589"/>
    <s v="Retail Sale"/>
    <n v="15"/>
    <n v="30751"/>
    <x v="57"/>
    <s v="Grand Capital"/>
    <s v="Bayer"/>
    <n v="2"/>
    <n v="146.41999999999999"/>
    <n v="237.35"/>
    <n v="0"/>
    <n v="0"/>
    <m/>
    <n v="29"/>
    <n v="1"/>
    <n v="2"/>
    <n v="237.35"/>
    <n v="13130003631"/>
  </r>
  <r>
    <x v="10"/>
    <d v="1899-12-30T22:07:29"/>
    <n v="4632"/>
    <n v="13002561"/>
    <n v="13"/>
    <n v="22589"/>
    <s v="Retail Sale"/>
    <n v="18"/>
    <n v="30609"/>
    <x v="18"/>
    <s v="Katren"/>
    <s v="Dr. Reddy's"/>
    <n v="3"/>
    <n v="155.71"/>
    <n v="202.45"/>
    <n v="0"/>
    <n v="0"/>
    <m/>
    <n v="29"/>
    <n v="1"/>
    <n v="3"/>
    <n v="202.45"/>
    <n v="13130003632"/>
  </r>
  <r>
    <x v="13"/>
    <d v="1899-12-30T11:49:29"/>
    <n v="4633"/>
    <n v="13002561"/>
    <n v="13"/>
    <n v="22589"/>
    <s v="Retail Sale"/>
    <n v="15"/>
    <n v="25698"/>
    <x v="84"/>
    <s v="Katren"/>
    <s v="KRKA"/>
    <n v="1"/>
    <n v="369.73"/>
    <n v="506.97"/>
    <n v="50.7"/>
    <n v="50.7"/>
    <s v="BONUS_CARD"/>
    <n v="29"/>
    <n v="1"/>
    <n v="5"/>
    <n v="456.27"/>
    <n v="13130003633"/>
  </r>
  <r>
    <x v="13"/>
    <d v="1899-12-30T15:38:35"/>
    <n v="4634"/>
    <n v="13002561"/>
    <n v="13"/>
    <n v="22589"/>
    <s v="Retail Sale"/>
    <n v="15"/>
    <n v="41738"/>
    <x v="48"/>
    <s v="Protek"/>
    <s v="Dr. Reddy's"/>
    <n v="3"/>
    <n v="568.95000000000005"/>
    <n v="725.9"/>
    <n v="36.299999999999997"/>
    <n v="36.299999999999997"/>
    <s v="BONUS_CARD"/>
    <n v="29"/>
    <n v="1"/>
    <n v="6"/>
    <n v="689.6"/>
    <n v="13130003634"/>
  </r>
  <r>
    <x v="28"/>
    <d v="1899-12-30T13:49:54"/>
    <n v="4635"/>
    <n v="13002561"/>
    <n v="13"/>
    <n v="22589"/>
    <s v="Retail Sale"/>
    <n v="15"/>
    <n v="89401"/>
    <x v="59"/>
    <s v="Pulse"/>
    <s v="KRKA"/>
    <n v="1"/>
    <n v="315.05"/>
    <n v="482.48"/>
    <n v="0"/>
    <n v="0"/>
    <m/>
    <n v="29"/>
    <n v="1"/>
    <n v="6"/>
    <n v="482.48"/>
    <n v="13130003635"/>
  </r>
  <r>
    <x v="20"/>
    <d v="1899-12-30T19:07:27"/>
    <n v="4636"/>
    <n v="13002561"/>
    <n v="13"/>
    <n v="22589"/>
    <s v="Retail Sale"/>
    <n v="18"/>
    <n v="34123"/>
    <x v="66"/>
    <s v="Pharmcomplect"/>
    <s v="TEVA"/>
    <n v="1"/>
    <n v="376.78"/>
    <n v="534.05999999999995"/>
    <n v="53.41"/>
    <n v="53.41"/>
    <s v="BONUS_CARD"/>
    <n v="29"/>
    <n v="1"/>
    <n v="3"/>
    <n v="480.65"/>
    <n v="13130003636"/>
  </r>
  <r>
    <x v="13"/>
    <d v="1899-12-30T20:34:10"/>
    <n v="4637"/>
    <n v="13002561"/>
    <n v="13"/>
    <n v="22589"/>
    <s v="Retail Sale"/>
    <n v="15"/>
    <n v="63606"/>
    <x v="34"/>
    <s v="Pulse"/>
    <s v="Pfizer"/>
    <n v="1"/>
    <n v="541.48"/>
    <n v="734.7"/>
    <n v="0"/>
    <n v="0"/>
    <m/>
    <n v="29"/>
    <n v="1"/>
    <n v="6"/>
    <n v="734.7"/>
    <n v="13130003637"/>
  </r>
  <r>
    <x v="8"/>
    <d v="1899-12-30T21:04:00"/>
    <n v="4638"/>
    <n v="13002561"/>
    <n v="13"/>
    <n v="22589"/>
    <s v="Retail Sale"/>
    <n v="15"/>
    <n v="11620"/>
    <x v="30"/>
    <s v="Grand Capital"/>
    <s v="TEVA"/>
    <n v="3"/>
    <n v="153.72"/>
    <n v="256.04000000000002"/>
    <n v="12.8"/>
    <n v="12.8"/>
    <s v="BONUS_CARD"/>
    <n v="29"/>
    <n v="1"/>
    <n v="6"/>
    <n v="243.24"/>
    <n v="13130003638"/>
  </r>
  <r>
    <x v="16"/>
    <d v="1899-12-30T15:12:30"/>
    <n v="4639"/>
    <n v="13002561"/>
    <n v="13"/>
    <n v="22589"/>
    <s v="Retail Sale"/>
    <n v="15"/>
    <n v="68044"/>
    <x v="0"/>
    <s v="Avesta"/>
    <s v="TEVA"/>
    <n v="3"/>
    <n v="141.13"/>
    <n v="228.34"/>
    <n v="0"/>
    <n v="0"/>
    <m/>
    <n v="29"/>
    <n v="1"/>
    <n v="5"/>
    <n v="228.34"/>
    <n v="13130003639"/>
  </r>
  <r>
    <x v="9"/>
    <d v="1899-12-30T15:12:12"/>
    <n v="4640"/>
    <n v="13002561"/>
    <n v="13"/>
    <n v="22589"/>
    <s v="Retail Sale"/>
    <n v="18"/>
    <n v="83107"/>
    <x v="31"/>
    <s v="Grand Capital"/>
    <s v="Novartis"/>
    <n v="2"/>
    <n v="224.76"/>
    <n v="355.31"/>
    <n v="17.77"/>
    <n v="17.77"/>
    <s v="BONUS_CARD"/>
    <n v="29"/>
    <n v="1"/>
    <n v="4"/>
    <n v="337.54"/>
    <n v="13130003640"/>
  </r>
  <r>
    <x v="15"/>
    <d v="1899-12-30T19:45:56"/>
    <n v="4641"/>
    <n v="13002561"/>
    <n v="13"/>
    <n v="22589"/>
    <s v="Retail Sale"/>
    <n v="15"/>
    <n v="17488"/>
    <x v="38"/>
    <s v="Grand Capital"/>
    <s v="KRKA"/>
    <n v="3"/>
    <n v="237.06"/>
    <n v="310.57"/>
    <n v="15.53"/>
    <n v="15.53"/>
    <s v="BONUS_CARD"/>
    <n v="29"/>
    <n v="1"/>
    <n v="3"/>
    <n v="295.04000000000002"/>
    <n v="13130003641"/>
  </r>
  <r>
    <x v="26"/>
    <d v="1899-12-30T14:46:33"/>
    <n v="4642"/>
    <n v="13002561"/>
    <n v="13"/>
    <n v="22589"/>
    <s v="Retail Sale"/>
    <n v="15"/>
    <n v="40165"/>
    <x v="21"/>
    <s v="Grand Capital"/>
    <s v="Novartis"/>
    <n v="1"/>
    <n v="422.09"/>
    <n v="558.05999999999995"/>
    <n v="27.9"/>
    <n v="27.9"/>
    <s v="BONUS_CARD"/>
    <n v="29"/>
    <n v="1"/>
    <n v="6"/>
    <n v="530.16"/>
    <n v="13130003642"/>
  </r>
  <r>
    <x v="17"/>
    <d v="1899-12-30T09:27:34"/>
    <n v="4643"/>
    <n v="13002561"/>
    <n v="13"/>
    <n v="22589"/>
    <s v="Retail Sale"/>
    <n v="15"/>
    <n v="45134"/>
    <x v="66"/>
    <s v="Protek"/>
    <s v="Pfizer"/>
    <n v="2"/>
    <n v="210.29"/>
    <n v="333.97"/>
    <n v="16.7"/>
    <n v="16.7"/>
    <s v="BONUS_CARD"/>
    <n v="29"/>
    <n v="1"/>
    <n v="2"/>
    <n v="317.27"/>
    <n v="13130003643"/>
  </r>
  <r>
    <x v="3"/>
    <d v="1899-12-30T13:01:01"/>
    <n v="4644"/>
    <n v="13002561"/>
    <n v="13"/>
    <n v="22589"/>
    <s v="Retail Sale"/>
    <n v="15"/>
    <n v="61804"/>
    <x v="79"/>
    <s v="Pulse"/>
    <s v="Dr. Reddy's"/>
    <n v="1"/>
    <n v="402.77"/>
    <n v="554.41"/>
    <n v="55.44"/>
    <n v="55.44"/>
    <s v="BONUS_CARD"/>
    <n v="29"/>
    <n v="1"/>
    <n v="6"/>
    <n v="498.97"/>
    <n v="13130003644"/>
  </r>
  <r>
    <x v="3"/>
    <d v="1899-12-30T10:47:18"/>
    <n v="4645"/>
    <n v="13002561"/>
    <n v="13"/>
    <n v="22589"/>
    <s v="Retail Sale"/>
    <n v="18"/>
    <n v="43622"/>
    <x v="26"/>
    <s v="Protek"/>
    <s v="Bayer"/>
    <n v="3"/>
    <n v="377.96"/>
    <n v="579.59"/>
    <n v="0"/>
    <n v="0"/>
    <m/>
    <n v="29"/>
    <n v="1"/>
    <n v="4"/>
    <n v="579.59"/>
    <n v="13130003645"/>
  </r>
  <r>
    <x v="16"/>
    <d v="1899-12-30T13:08:47"/>
    <n v="4646"/>
    <n v="13002561"/>
    <n v="13"/>
    <n v="22589"/>
    <s v="Retail Sale"/>
    <n v="18"/>
    <n v="64643"/>
    <x v="51"/>
    <s v="Avesta"/>
    <s v="Novartis"/>
    <n v="2"/>
    <n v="517.84"/>
    <n v="736.9"/>
    <n v="36.840000000000003"/>
    <n v="36.840000000000003"/>
    <s v="BONUS_CARD"/>
    <n v="29"/>
    <n v="1"/>
    <n v="5"/>
    <n v="700.06"/>
    <n v="13130003646"/>
  </r>
  <r>
    <x v="18"/>
    <d v="1899-12-30T13:46:51"/>
    <n v="4647"/>
    <n v="13002561"/>
    <n v="13"/>
    <n v="22589"/>
    <s v="Retail Sale"/>
    <n v="15"/>
    <n v="66192"/>
    <x v="20"/>
    <s v="Katren"/>
    <s v="Pfizer"/>
    <n v="2"/>
    <n v="596.27"/>
    <n v="832.69"/>
    <n v="41.63"/>
    <n v="41.63"/>
    <s v="BONUS_CARD"/>
    <n v="29"/>
    <n v="1"/>
    <n v="6"/>
    <n v="791.06"/>
    <n v="13130003647"/>
  </r>
  <r>
    <x v="0"/>
    <d v="1899-12-30T16:46:05"/>
    <n v="4648"/>
    <n v="13002561"/>
    <n v="13"/>
    <n v="22589"/>
    <s v="Retail Sale"/>
    <n v="18"/>
    <n v="23710"/>
    <x v="73"/>
    <s v="Grand Capital"/>
    <s v="Bayer"/>
    <n v="2"/>
    <n v="139.84"/>
    <n v="209.12"/>
    <n v="10.46"/>
    <n v="10.46"/>
    <s v="BONUS_CARD"/>
    <n v="29"/>
    <n v="1"/>
    <n v="4"/>
    <n v="198.66"/>
    <n v="13130003648"/>
  </r>
  <r>
    <x v="29"/>
    <d v="1899-12-30T08:55:20"/>
    <n v="4649"/>
    <n v="13002561"/>
    <n v="13"/>
    <n v="22589"/>
    <s v="Retail Sale"/>
    <n v="15"/>
    <n v="16519"/>
    <x v="71"/>
    <s v="Katren"/>
    <s v="Dr. Reddy's"/>
    <n v="2"/>
    <n v="191.78"/>
    <n v="280.2"/>
    <n v="0"/>
    <n v="0"/>
    <m/>
    <n v="29"/>
    <n v="1"/>
    <n v="2"/>
    <n v="280.2"/>
    <n v="13130003649"/>
  </r>
  <r>
    <x v="2"/>
    <d v="1899-12-30T20:09:52"/>
    <n v="4650"/>
    <n v="13002561"/>
    <n v="13"/>
    <n v="22589"/>
    <s v="Retail Sale"/>
    <n v="15"/>
    <n v="53749"/>
    <x v="13"/>
    <s v="Pharmcomplect"/>
    <s v="Sanofi"/>
    <n v="1"/>
    <n v="584.37"/>
    <n v="966.96"/>
    <n v="96.7"/>
    <n v="96.7"/>
    <s v="BONUS_CARD"/>
    <n v="29"/>
    <n v="1"/>
    <n v="5"/>
    <n v="870.26"/>
    <n v="13130003650"/>
  </r>
  <r>
    <x v="18"/>
    <d v="1899-12-30T19:29:19"/>
    <n v="4651"/>
    <n v="13002561"/>
    <n v="13"/>
    <n v="22589"/>
    <s v="Retail Sale"/>
    <n v="15"/>
    <n v="25118"/>
    <x v="75"/>
    <s v="Grand Capital"/>
    <s v="TEVA"/>
    <n v="1"/>
    <n v="347.38"/>
    <n v="518.58000000000004"/>
    <n v="25.93"/>
    <n v="25.93"/>
    <s v="BONUS_CARD"/>
    <n v="29"/>
    <n v="1"/>
    <n v="3"/>
    <n v="492.65"/>
    <n v="13130003651"/>
  </r>
  <r>
    <x v="6"/>
    <d v="1899-12-30T14:49:39"/>
    <n v="4652"/>
    <n v="13002561"/>
    <n v="13"/>
    <n v="22589"/>
    <s v="Retail Sale"/>
    <n v="18"/>
    <n v="28060"/>
    <x v="64"/>
    <s v="Protek"/>
    <s v="TEVA"/>
    <n v="1"/>
    <n v="470.47"/>
    <n v="740.26"/>
    <n v="74.03"/>
    <n v="74.03"/>
    <s v="BONUS_CARD"/>
    <n v="29"/>
    <n v="1"/>
    <n v="5"/>
    <n v="666.23"/>
    <n v="13130003652"/>
  </r>
  <r>
    <x v="30"/>
    <d v="1899-12-30T11:53:42"/>
    <n v="4653"/>
    <n v="13002561"/>
    <n v="13"/>
    <n v="22589"/>
    <s v="Retail Sale"/>
    <n v="18"/>
    <n v="68421"/>
    <x v="19"/>
    <s v="Protek"/>
    <s v="Novartis"/>
    <n v="1"/>
    <n v="419.81"/>
    <n v="636.38"/>
    <n v="31.82"/>
    <n v="31.82"/>
    <s v="BONUS_CARD"/>
    <n v="29"/>
    <n v="1"/>
    <n v="2"/>
    <n v="604.55999999999995"/>
    <n v="13130003653"/>
  </r>
  <r>
    <x v="26"/>
    <d v="1899-12-30T19:07:26"/>
    <n v="4654"/>
    <n v="13002561"/>
    <n v="13"/>
    <n v="22589"/>
    <s v="Retail Sale"/>
    <n v="18"/>
    <n v="41209"/>
    <x v="59"/>
    <s v="Protek"/>
    <s v="Takeda"/>
    <n v="1"/>
    <n v="366.2"/>
    <n v="561.19000000000005"/>
    <n v="56.12"/>
    <n v="56.12"/>
    <s v="BONUS_CARD"/>
    <n v="29"/>
    <n v="1"/>
    <n v="5"/>
    <n v="505.07"/>
    <n v="13130003654"/>
  </r>
  <r>
    <x v="0"/>
    <d v="1899-12-30T16:30:39"/>
    <n v="4655"/>
    <n v="13002561"/>
    <n v="13"/>
    <n v="22589"/>
    <s v="Retail Sale"/>
    <n v="15"/>
    <n v="17436"/>
    <x v="85"/>
    <s v="Pulse"/>
    <s v="Dr. Reddy's"/>
    <n v="1"/>
    <n v="334.71"/>
    <n v="448.57"/>
    <n v="22.43"/>
    <n v="22.43"/>
    <s v="BONUS_CARD"/>
    <n v="29"/>
    <n v="1"/>
    <n v="2"/>
    <n v="426.14"/>
    <n v="13130003655"/>
  </r>
  <r>
    <x v="24"/>
    <d v="1899-12-30T10:07:07"/>
    <n v="4656"/>
    <n v="13002561"/>
    <n v="13"/>
    <n v="22589"/>
    <s v="Retail Sale"/>
    <n v="15"/>
    <n v="36453"/>
    <x v="40"/>
    <s v="Avesta"/>
    <s v="TEVA"/>
    <n v="3"/>
    <n v="153.47"/>
    <n v="220.2"/>
    <n v="11.01"/>
    <n v="11.01"/>
    <s v="BONUS_CARD"/>
    <n v="29"/>
    <n v="1"/>
    <n v="3"/>
    <n v="209.19"/>
    <n v="13130003656"/>
  </r>
  <r>
    <x v="21"/>
    <d v="1899-12-30T17:51:05"/>
    <n v="4657"/>
    <n v="13002561"/>
    <n v="13"/>
    <n v="22589"/>
    <s v="Retail Sale"/>
    <n v="15"/>
    <n v="87341"/>
    <x v="8"/>
    <s v="Pharmcomplect"/>
    <s v="Sanofi"/>
    <n v="1"/>
    <n v="279.26"/>
    <n v="397.68"/>
    <n v="19.88"/>
    <n v="19.88"/>
    <s v="BONUS_CARD"/>
    <n v="29"/>
    <n v="1"/>
    <n v="2"/>
    <n v="377.8"/>
    <n v="13130003657"/>
  </r>
  <r>
    <x v="29"/>
    <d v="1899-12-30T11:18:40"/>
    <n v="4658"/>
    <n v="13002561"/>
    <n v="13"/>
    <n v="22589"/>
    <s v="Retail Sale"/>
    <n v="15"/>
    <n v="22773"/>
    <x v="31"/>
    <s v="Katren"/>
    <s v="Novartis"/>
    <n v="3"/>
    <n v="520.22"/>
    <n v="756.29"/>
    <n v="75.63"/>
    <n v="75.63"/>
    <s v="BONUS_CARD"/>
    <n v="29"/>
    <n v="1"/>
    <n v="5"/>
    <n v="680.66"/>
    <n v="13130003658"/>
  </r>
  <r>
    <x v="17"/>
    <d v="1899-12-30T09:54:12"/>
    <n v="4659"/>
    <n v="13002561"/>
    <n v="13"/>
    <n v="22589"/>
    <s v="Retail Sale"/>
    <n v="15"/>
    <n v="13267"/>
    <x v="38"/>
    <s v="Katren"/>
    <s v="Bayer"/>
    <n v="1"/>
    <n v="61.93"/>
    <n v="94.71"/>
    <n v="0"/>
    <n v="0"/>
    <m/>
    <n v="29"/>
    <n v="1"/>
    <n v="3"/>
    <n v="94.71"/>
    <n v="13130003659"/>
  </r>
  <r>
    <x v="28"/>
    <d v="1899-12-30T09:26:50"/>
    <n v="4660"/>
    <n v="13002561"/>
    <n v="13"/>
    <n v="22589"/>
    <s v="Retail Sale"/>
    <n v="15"/>
    <n v="59084"/>
    <x v="69"/>
    <s v="Katren"/>
    <s v="TEVA"/>
    <n v="1"/>
    <n v="373.88"/>
    <n v="625.51"/>
    <n v="62.55"/>
    <n v="62.55"/>
    <s v="BONUS_CARD"/>
    <n v="29"/>
    <n v="1"/>
    <n v="3"/>
    <n v="562.96"/>
    <n v="13130003660"/>
  </r>
  <r>
    <x v="11"/>
    <d v="1899-12-30T13:04:56"/>
    <n v="4661"/>
    <n v="13002561"/>
    <n v="13"/>
    <n v="22589"/>
    <s v="Retail Sale"/>
    <n v="15"/>
    <n v="43789"/>
    <x v="5"/>
    <s v="Pharmcomplect"/>
    <s v="TEVA"/>
    <n v="1"/>
    <n v="237.96"/>
    <n v="344.67"/>
    <n v="17.23"/>
    <n v="17.23"/>
    <s v="BONUS_CARD"/>
    <n v="29"/>
    <n v="1"/>
    <n v="4"/>
    <n v="327.44"/>
    <n v="13130003661"/>
  </r>
  <r>
    <x v="16"/>
    <d v="1899-12-30T20:11:51"/>
    <n v="4662"/>
    <n v="13002561"/>
    <n v="13"/>
    <n v="22589"/>
    <s v="Retail Sale"/>
    <n v="15"/>
    <n v="17937"/>
    <x v="72"/>
    <s v="Protek"/>
    <s v="KRKA"/>
    <n v="2"/>
    <n v="270.66000000000003"/>
    <n v="392.26"/>
    <n v="0"/>
    <n v="0"/>
    <m/>
    <n v="29"/>
    <n v="1"/>
    <n v="4"/>
    <n v="392.26"/>
    <n v="13130003662"/>
  </r>
  <r>
    <x v="15"/>
    <d v="1899-12-30T21:02:29"/>
    <n v="4663"/>
    <n v="13002561"/>
    <n v="13"/>
    <n v="22589"/>
    <s v="Retail Sale"/>
    <n v="18"/>
    <n v="32089"/>
    <x v="68"/>
    <s v="Avesta"/>
    <s v="Novartis"/>
    <n v="2"/>
    <n v="222.38"/>
    <n v="295.01"/>
    <n v="14.75"/>
    <n v="14.75"/>
    <s v="BONUS_CARD"/>
    <n v="29"/>
    <n v="1"/>
    <n v="4"/>
    <n v="280.26"/>
    <n v="13130003663"/>
  </r>
  <r>
    <x v="25"/>
    <d v="1899-12-30T15:06:59"/>
    <n v="4664"/>
    <n v="13002561"/>
    <n v="13"/>
    <n v="22589"/>
    <s v="Retail Sale"/>
    <n v="18"/>
    <n v="47029"/>
    <x v="74"/>
    <s v="Protek"/>
    <s v="Bayer"/>
    <n v="2"/>
    <n v="562.79"/>
    <n v="956"/>
    <n v="95.6"/>
    <n v="95.6"/>
    <s v="BONUS_CARD"/>
    <n v="29"/>
    <n v="1"/>
    <n v="3"/>
    <n v="860.4"/>
    <n v="13130003664"/>
  </r>
  <r>
    <x v="7"/>
    <d v="1899-12-30T14:56:27"/>
    <n v="4665"/>
    <n v="13002561"/>
    <n v="13"/>
    <n v="22589"/>
    <s v="Retail Sale"/>
    <n v="15"/>
    <n v="43582"/>
    <x v="84"/>
    <s v="Katren"/>
    <s v="Dr. Reddy's"/>
    <n v="2"/>
    <n v="456.82"/>
    <n v="775.92"/>
    <n v="77.59"/>
    <n v="77.59"/>
    <s v="BONUS_CARD"/>
    <n v="29"/>
    <n v="1"/>
    <n v="3"/>
    <n v="698.33"/>
    <n v="13130003665"/>
  </r>
  <r>
    <x v="16"/>
    <d v="1899-12-30T22:25:54"/>
    <n v="4666"/>
    <n v="13002561"/>
    <n v="13"/>
    <n v="22589"/>
    <s v="Retail Sale"/>
    <n v="15"/>
    <n v="29516"/>
    <x v="40"/>
    <s v="Katren"/>
    <s v="Sanofi"/>
    <n v="1"/>
    <n v="399.87"/>
    <n v="632.45000000000005"/>
    <n v="0"/>
    <n v="0"/>
    <m/>
    <n v="29"/>
    <n v="1"/>
    <n v="3"/>
    <n v="632.45000000000005"/>
    <n v="13130003666"/>
  </r>
  <r>
    <x v="5"/>
    <d v="1899-12-30T20:40:27"/>
    <n v="4667"/>
    <n v="13002561"/>
    <n v="13"/>
    <n v="22589"/>
    <s v="Retail Sale"/>
    <n v="18"/>
    <n v="98486"/>
    <x v="34"/>
    <s v="Grand Capital"/>
    <s v="Sanofi"/>
    <n v="2"/>
    <n v="30.34"/>
    <n v="48.29"/>
    <n v="4.83"/>
    <n v="4.83"/>
    <s v="BONUS_CARD"/>
    <n v="29"/>
    <n v="1"/>
    <n v="3"/>
    <n v="43.46"/>
    <n v="13130003667"/>
  </r>
  <r>
    <x v="28"/>
    <d v="1899-12-30T21:18:06"/>
    <n v="4668"/>
    <n v="13002561"/>
    <n v="13"/>
    <n v="22589"/>
    <s v="Retail Sale"/>
    <n v="18"/>
    <n v="81475"/>
    <x v="55"/>
    <s v="Protek"/>
    <s v="Sanofi"/>
    <n v="1"/>
    <n v="426"/>
    <n v="604.45000000000005"/>
    <n v="0"/>
    <n v="0"/>
    <m/>
    <n v="29"/>
    <n v="1"/>
    <n v="2"/>
    <n v="604.45000000000005"/>
    <n v="13130003668"/>
  </r>
  <r>
    <x v="15"/>
    <d v="1899-12-30T14:37:06"/>
    <n v="4669"/>
    <n v="13002561"/>
    <n v="13"/>
    <n v="22589"/>
    <s v="Retail Sale"/>
    <n v="15"/>
    <n v="58738"/>
    <x v="86"/>
    <s v="Avesta"/>
    <s v="Takeda"/>
    <n v="2"/>
    <n v="182.33"/>
    <n v="291.29000000000002"/>
    <n v="14.56"/>
    <n v="14.56"/>
    <s v="BONUS_CARD"/>
    <n v="29"/>
    <n v="1"/>
    <n v="1"/>
    <n v="276.73"/>
    <n v="13130003669"/>
  </r>
  <r>
    <x v="26"/>
    <d v="1899-12-30T15:05:54"/>
    <n v="4670"/>
    <n v="13002561"/>
    <n v="13"/>
    <n v="22589"/>
    <s v="Retail Sale"/>
    <n v="15"/>
    <n v="95420"/>
    <x v="57"/>
    <s v="Pulse"/>
    <s v="Sanofi"/>
    <n v="2"/>
    <n v="491.75"/>
    <n v="678.81"/>
    <n v="0"/>
    <n v="0"/>
    <m/>
    <n v="29"/>
    <n v="1"/>
    <n v="3"/>
    <n v="678.81"/>
    <n v="13130003670"/>
  </r>
  <r>
    <x v="25"/>
    <d v="1899-12-30T13:39:34"/>
    <n v="4671"/>
    <n v="13002561"/>
    <n v="13"/>
    <n v="22589"/>
    <s v="Retail Sale"/>
    <n v="18"/>
    <n v="76767"/>
    <x v="88"/>
    <s v="Grand Capital"/>
    <s v="Takeda"/>
    <n v="3"/>
    <n v="46.14"/>
    <n v="65.59"/>
    <n v="0"/>
    <n v="0"/>
    <m/>
    <n v="29"/>
    <n v="1"/>
    <n v="5"/>
    <n v="65.59"/>
    <n v="13130003671"/>
  </r>
  <r>
    <x v="23"/>
    <d v="1899-12-30T18:03:18"/>
    <n v="4672"/>
    <n v="13002561"/>
    <n v="13"/>
    <n v="22589"/>
    <s v="Retail Sale"/>
    <n v="15"/>
    <n v="19200"/>
    <x v="53"/>
    <s v="Pharmcomplect"/>
    <s v="Dr. Reddy's"/>
    <n v="1"/>
    <n v="371"/>
    <n v="552.59"/>
    <n v="55.26"/>
    <n v="55.26"/>
    <s v="BONUS_CARD"/>
    <n v="29"/>
    <n v="1"/>
    <n v="1"/>
    <n v="497.33"/>
    <n v="13130003672"/>
  </r>
  <r>
    <x v="5"/>
    <d v="1899-12-30T09:04:21"/>
    <n v="4673"/>
    <n v="13002561"/>
    <n v="13"/>
    <n v="22589"/>
    <s v="Retail Sale"/>
    <n v="18"/>
    <n v="66171"/>
    <x v="52"/>
    <s v="Avesta"/>
    <s v="KRKA"/>
    <n v="3"/>
    <n v="252.58"/>
    <n v="427.89"/>
    <n v="42.79"/>
    <n v="42.79"/>
    <s v="BONUS_CARD"/>
    <n v="29"/>
    <n v="1"/>
    <n v="3"/>
    <n v="385.1"/>
    <n v="13130003673"/>
  </r>
  <r>
    <x v="29"/>
    <d v="1899-12-30T20:53:56"/>
    <n v="4674"/>
    <n v="13002561"/>
    <n v="13"/>
    <n v="22589"/>
    <s v="Retail Sale"/>
    <n v="18"/>
    <n v="61336"/>
    <x v="2"/>
    <s v="Grand Capital"/>
    <s v="KRKA"/>
    <n v="3"/>
    <n v="469.09"/>
    <n v="715.92"/>
    <n v="71.59"/>
    <n v="71.59"/>
    <s v="BONUS_CARD"/>
    <n v="29"/>
    <n v="1"/>
    <n v="1"/>
    <n v="644.33000000000004"/>
    <n v="13130003674"/>
  </r>
  <r>
    <x v="2"/>
    <d v="1899-12-30T22:06:27"/>
    <n v="4675"/>
    <n v="13002561"/>
    <n v="13"/>
    <n v="22589"/>
    <s v="Retail Sale"/>
    <n v="18"/>
    <n v="67434"/>
    <x v="35"/>
    <s v="Pulse"/>
    <s v="Sanofi"/>
    <n v="1"/>
    <n v="519.38"/>
    <n v="688.01"/>
    <n v="34.4"/>
    <n v="34.4"/>
    <s v="BONUS_CARD"/>
    <n v="29"/>
    <n v="1"/>
    <n v="2"/>
    <n v="653.61"/>
    <n v="13130003675"/>
  </r>
  <r>
    <x v="11"/>
    <d v="1899-12-30T22:50:15"/>
    <n v="4676"/>
    <n v="13002561"/>
    <n v="13"/>
    <n v="22589"/>
    <s v="Retail Sale"/>
    <n v="15"/>
    <n v="35093"/>
    <x v="59"/>
    <s v="Avesta"/>
    <s v="Dr. Reddy's"/>
    <n v="2"/>
    <n v="428.7"/>
    <n v="654.19000000000005"/>
    <n v="32.71"/>
    <n v="32.71"/>
    <s v="BONUS_CARD"/>
    <n v="29"/>
    <n v="1"/>
    <n v="6"/>
    <n v="621.48"/>
    <n v="13130003676"/>
  </r>
  <r>
    <x v="17"/>
    <d v="1899-12-30T20:51:19"/>
    <n v="4677"/>
    <n v="13002561"/>
    <n v="13"/>
    <n v="22589"/>
    <s v="Retail Sale"/>
    <n v="15"/>
    <n v="47209"/>
    <x v="23"/>
    <s v="Protek"/>
    <s v="Sanofi"/>
    <n v="2"/>
    <n v="505.14"/>
    <n v="658.51"/>
    <n v="32.93"/>
    <n v="32.93"/>
    <s v="BONUS_CARD"/>
    <n v="29"/>
    <n v="1"/>
    <n v="1"/>
    <n v="625.58000000000004"/>
    <n v="13130003677"/>
  </r>
  <r>
    <x v="20"/>
    <d v="1899-12-30T11:46:32"/>
    <n v="4678"/>
    <n v="13002561"/>
    <n v="13"/>
    <n v="22589"/>
    <s v="Retail Sale"/>
    <n v="18"/>
    <n v="45636"/>
    <x v="64"/>
    <s v="Avesta"/>
    <s v="Sanofi"/>
    <n v="2"/>
    <n v="572.54999999999995"/>
    <n v="732.17"/>
    <n v="36.61"/>
    <n v="36.61"/>
    <s v="BONUS_CARD"/>
    <n v="29"/>
    <n v="1"/>
    <n v="1"/>
    <n v="695.56"/>
    <n v="13130003678"/>
  </r>
  <r>
    <x v="17"/>
    <d v="1899-12-30T22:16:36"/>
    <n v="4679"/>
    <n v="13002561"/>
    <n v="13"/>
    <n v="22589"/>
    <s v="Retail Sale"/>
    <n v="18"/>
    <n v="92840"/>
    <x v="87"/>
    <s v="Avesta"/>
    <s v="KRKA"/>
    <n v="1"/>
    <n v="194.52"/>
    <n v="249.31"/>
    <n v="24.93"/>
    <n v="24.93"/>
    <s v="BONUS_CARD"/>
    <n v="29"/>
    <n v="1"/>
    <n v="1"/>
    <n v="224.38"/>
    <n v="13130003679"/>
  </r>
  <r>
    <x v="18"/>
    <d v="1899-12-30T21:10:25"/>
    <n v="4680"/>
    <n v="13002561"/>
    <n v="13"/>
    <n v="22589"/>
    <s v="Retail Sale"/>
    <n v="18"/>
    <n v="63894"/>
    <x v="15"/>
    <s v="Katren"/>
    <s v="Takeda"/>
    <n v="2"/>
    <n v="134.30000000000001"/>
    <n v="207.5"/>
    <n v="10.38"/>
    <n v="10.38"/>
    <s v="BONUS_CARD"/>
    <n v="29"/>
    <n v="1"/>
    <n v="1"/>
    <n v="197.12"/>
    <n v="13130003680"/>
  </r>
  <r>
    <x v="27"/>
    <d v="1899-12-30T13:24:09"/>
    <n v="4681"/>
    <n v="13002561"/>
    <n v="13"/>
    <n v="22589"/>
    <s v="Retail Sale"/>
    <n v="18"/>
    <n v="46476"/>
    <x v="13"/>
    <s v="Pulse"/>
    <s v="Pfizer"/>
    <n v="3"/>
    <n v="408.79"/>
    <n v="582.29"/>
    <n v="58.23"/>
    <n v="58.23"/>
    <s v="BONUS_CARD"/>
    <n v="29"/>
    <n v="1"/>
    <n v="4"/>
    <n v="524.05999999999995"/>
    <n v="13130003681"/>
  </r>
  <r>
    <x v="26"/>
    <d v="1899-12-30T09:59:26"/>
    <n v="4682"/>
    <n v="13002561"/>
    <n v="13"/>
    <n v="22589"/>
    <s v="Retail Sale"/>
    <n v="18"/>
    <n v="43697"/>
    <x v="14"/>
    <s v="Grand Capital"/>
    <s v="Bayer"/>
    <n v="1"/>
    <n v="20.68"/>
    <n v="34.78"/>
    <n v="1.74"/>
    <n v="1.74"/>
    <s v="BONUS_CARD"/>
    <n v="29"/>
    <n v="1"/>
    <n v="2"/>
    <n v="33.04"/>
    <n v="13130003682"/>
  </r>
  <r>
    <x v="27"/>
    <d v="1899-12-30T14:18:07"/>
    <n v="4683"/>
    <n v="13002561"/>
    <n v="13"/>
    <n v="22589"/>
    <s v="Retail Sale"/>
    <n v="15"/>
    <n v="92808"/>
    <x v="45"/>
    <s v="Protek"/>
    <s v="Dr. Reddy's"/>
    <n v="1"/>
    <n v="393.99"/>
    <n v="513.32000000000005"/>
    <n v="0"/>
    <n v="0"/>
    <m/>
    <n v="29"/>
    <n v="1"/>
    <n v="3"/>
    <n v="513.32000000000005"/>
    <n v="13130003683"/>
  </r>
  <r>
    <x v="18"/>
    <d v="1899-12-30T10:41:30"/>
    <n v="4684"/>
    <n v="13002561"/>
    <n v="13"/>
    <n v="22589"/>
    <s v="Retail Sale"/>
    <n v="15"/>
    <n v="63340"/>
    <x v="77"/>
    <s v="Pulse"/>
    <s v="Pfizer"/>
    <n v="2"/>
    <n v="462.86"/>
    <n v="710.62"/>
    <n v="35.53"/>
    <n v="35.53"/>
    <s v="BONUS_CARD"/>
    <n v="29"/>
    <n v="1"/>
    <n v="1"/>
    <n v="675.09"/>
    <n v="13130003684"/>
  </r>
  <r>
    <x v="20"/>
    <d v="1899-12-30T21:33:32"/>
    <n v="4685"/>
    <n v="13002561"/>
    <n v="13"/>
    <n v="22589"/>
    <s v="Retail Sale"/>
    <n v="15"/>
    <n v="11743"/>
    <x v="64"/>
    <s v="Protek"/>
    <s v="TEVA"/>
    <n v="2"/>
    <n v="405.55"/>
    <n v="621.97"/>
    <n v="62.2"/>
    <n v="62.2"/>
    <s v="BONUS_CARD"/>
    <n v="29"/>
    <n v="1"/>
    <n v="4"/>
    <n v="559.77"/>
    <n v="13130003685"/>
  </r>
  <r>
    <x v="21"/>
    <d v="1899-12-30T16:06:30"/>
    <n v="4686"/>
    <n v="13002561"/>
    <n v="13"/>
    <n v="22589"/>
    <s v="Retail Sale"/>
    <n v="15"/>
    <n v="44375"/>
    <x v="59"/>
    <s v="Pulse"/>
    <s v="TEVA"/>
    <n v="3"/>
    <n v="542.88"/>
    <n v="830.06"/>
    <n v="0"/>
    <n v="0"/>
    <m/>
    <n v="29"/>
    <n v="1"/>
    <n v="3"/>
    <n v="830.06"/>
    <n v="13130003686"/>
  </r>
  <r>
    <x v="16"/>
    <d v="1899-12-30T20:56:24"/>
    <n v="4687"/>
    <n v="13002561"/>
    <n v="13"/>
    <n v="22589"/>
    <s v="Retail Sale"/>
    <n v="15"/>
    <n v="49844"/>
    <x v="24"/>
    <s v="Pulse"/>
    <s v="Bayer"/>
    <n v="1"/>
    <n v="124.21"/>
    <n v="183.02"/>
    <n v="0"/>
    <n v="0"/>
    <m/>
    <n v="29"/>
    <n v="1"/>
    <n v="5"/>
    <n v="183.02"/>
    <n v="13130003687"/>
  </r>
  <r>
    <x v="8"/>
    <d v="1899-12-30T08:45:09"/>
    <n v="4688"/>
    <n v="13002561"/>
    <n v="13"/>
    <n v="22589"/>
    <s v="Retail Sale"/>
    <n v="18"/>
    <n v="51677"/>
    <x v="43"/>
    <s v="Pulse"/>
    <s v="Dr. Reddy's"/>
    <n v="2"/>
    <n v="172.23"/>
    <n v="288.33999999999997"/>
    <n v="0"/>
    <n v="0"/>
    <m/>
    <n v="29"/>
    <n v="1"/>
    <n v="5"/>
    <n v="288.33999999999997"/>
    <n v="13130003688"/>
  </r>
  <r>
    <x v="13"/>
    <d v="1899-12-30T20:15:19"/>
    <n v="4689"/>
    <n v="13002561"/>
    <n v="13"/>
    <n v="22589"/>
    <s v="Retail Sale"/>
    <n v="18"/>
    <n v="81549"/>
    <x v="44"/>
    <s v="Avesta"/>
    <s v="Takeda"/>
    <n v="2"/>
    <n v="327.42"/>
    <n v="482.6"/>
    <n v="0"/>
    <n v="0"/>
    <m/>
    <n v="29"/>
    <n v="1"/>
    <n v="1"/>
    <n v="482.6"/>
    <n v="13130003689"/>
  </r>
  <r>
    <x v="15"/>
    <d v="1899-12-30T10:31:15"/>
    <n v="4690"/>
    <n v="13002561"/>
    <n v="13"/>
    <n v="22589"/>
    <s v="Retail Sale"/>
    <n v="18"/>
    <n v="44690"/>
    <x v="73"/>
    <s v="Pharmcomplect"/>
    <s v="TEVA"/>
    <n v="2"/>
    <n v="17.329999999999998"/>
    <n v="28.49"/>
    <n v="2.85"/>
    <n v="2.85"/>
    <s v="BONUS_CARD"/>
    <n v="29"/>
    <n v="1"/>
    <n v="6"/>
    <n v="25.64"/>
    <n v="13130003690"/>
  </r>
  <r>
    <x v="14"/>
    <d v="1899-12-30T22:44:34"/>
    <n v="4691"/>
    <n v="13002561"/>
    <n v="13"/>
    <n v="22589"/>
    <s v="Retail Sale"/>
    <n v="18"/>
    <n v="14892"/>
    <x v="52"/>
    <s v="Avesta"/>
    <s v="TEVA"/>
    <n v="1"/>
    <n v="462.08"/>
    <n v="710.47"/>
    <n v="0"/>
    <n v="0"/>
    <m/>
    <n v="29"/>
    <n v="1"/>
    <n v="5"/>
    <n v="710.47"/>
    <n v="13130003691"/>
  </r>
  <r>
    <x v="11"/>
    <d v="1899-12-30T21:33:24"/>
    <n v="4692"/>
    <n v="13002561"/>
    <n v="13"/>
    <n v="22589"/>
    <s v="Retail Sale"/>
    <n v="15"/>
    <n v="48917"/>
    <x v="27"/>
    <s v="Katren"/>
    <s v="Bayer"/>
    <n v="3"/>
    <n v="242.49"/>
    <n v="311.54000000000002"/>
    <n v="15.58"/>
    <n v="15.58"/>
    <s v="BONUS_CARD"/>
    <n v="29"/>
    <n v="1"/>
    <n v="2"/>
    <n v="295.95999999999998"/>
    <n v="13130003692"/>
  </r>
  <r>
    <x v="24"/>
    <d v="1899-12-30T08:23:11"/>
    <n v="4693"/>
    <n v="13002561"/>
    <n v="13"/>
    <n v="22589"/>
    <s v="Retail Sale"/>
    <n v="15"/>
    <n v="12744"/>
    <x v="4"/>
    <s v="Pulse"/>
    <s v="Bayer"/>
    <n v="2"/>
    <n v="262.56"/>
    <n v="433.63"/>
    <n v="0"/>
    <n v="0"/>
    <m/>
    <n v="29"/>
    <n v="1"/>
    <n v="3"/>
    <n v="433.63"/>
    <n v="13130003693"/>
  </r>
  <r>
    <x v="7"/>
    <d v="1899-12-30T21:36:38"/>
    <n v="4694"/>
    <n v="13002561"/>
    <n v="13"/>
    <n v="22589"/>
    <s v="Retail Sale"/>
    <n v="15"/>
    <n v="74493"/>
    <x v="70"/>
    <s v="Pharmcomplect"/>
    <s v="Bayer"/>
    <n v="3"/>
    <n v="84.92"/>
    <n v="142.54"/>
    <n v="14.25"/>
    <n v="14.25"/>
    <s v="BONUS_CARD"/>
    <n v="29"/>
    <n v="1"/>
    <n v="6"/>
    <n v="128.29"/>
    <n v="13130003694"/>
  </r>
  <r>
    <x v="27"/>
    <d v="1899-12-30T16:30:07"/>
    <n v="4695"/>
    <n v="13002561"/>
    <n v="13"/>
    <n v="22589"/>
    <s v="Retail Sale"/>
    <n v="18"/>
    <n v="46366"/>
    <x v="89"/>
    <s v="Avesta"/>
    <s v="TEVA"/>
    <n v="3"/>
    <n v="433.48"/>
    <n v="554.42999999999995"/>
    <n v="55.44"/>
    <n v="55.44"/>
    <s v="BONUS_CARD"/>
    <n v="29"/>
    <n v="1"/>
    <n v="3"/>
    <n v="498.99"/>
    <n v="13130003695"/>
  </r>
  <r>
    <x v="3"/>
    <d v="1899-12-30T17:42:22"/>
    <n v="4696"/>
    <n v="13002561"/>
    <n v="13"/>
    <n v="22589"/>
    <s v="Retail Sale"/>
    <n v="18"/>
    <n v="82944"/>
    <x v="54"/>
    <s v="Protek"/>
    <s v="TEVA"/>
    <n v="1"/>
    <n v="495.14"/>
    <n v="715.45"/>
    <n v="0"/>
    <n v="0"/>
    <m/>
    <n v="29"/>
    <n v="1"/>
    <n v="3"/>
    <n v="715.45"/>
    <n v="13130003696"/>
  </r>
  <r>
    <x v="30"/>
    <d v="1899-12-30T13:11:53"/>
    <n v="4697"/>
    <n v="13002561"/>
    <n v="13"/>
    <n v="22589"/>
    <s v="Retail Sale"/>
    <n v="18"/>
    <n v="33853"/>
    <x v="0"/>
    <s v="Pharmcomplect"/>
    <s v="TEVA"/>
    <n v="3"/>
    <n v="333.14"/>
    <n v="476.49"/>
    <n v="0"/>
    <n v="0"/>
    <m/>
    <n v="29"/>
    <n v="1"/>
    <n v="2"/>
    <n v="476.49"/>
    <n v="13130003697"/>
  </r>
  <r>
    <x v="11"/>
    <d v="1899-12-30T22:08:35"/>
    <n v="4698"/>
    <n v="13002561"/>
    <n v="13"/>
    <n v="22589"/>
    <s v="Retail Sale"/>
    <n v="18"/>
    <n v="85593"/>
    <x v="1"/>
    <s v="Katren"/>
    <s v="Bayer"/>
    <n v="1"/>
    <n v="449.33"/>
    <n v="616.67999999999995"/>
    <n v="0"/>
    <n v="0"/>
    <m/>
    <n v="29"/>
    <n v="1"/>
    <n v="5"/>
    <n v="616.67999999999995"/>
    <n v="13130003698"/>
  </r>
  <r>
    <x v="30"/>
    <d v="1899-12-30T22:40:10"/>
    <n v="4699"/>
    <n v="13002561"/>
    <n v="13"/>
    <n v="22589"/>
    <s v="Retail Sale"/>
    <n v="18"/>
    <n v="88875"/>
    <x v="76"/>
    <s v="Pulse"/>
    <s v="Takeda"/>
    <n v="1"/>
    <n v="234.95"/>
    <n v="349.73"/>
    <n v="34.97"/>
    <n v="34.97"/>
    <s v="BONUS_CARD"/>
    <n v="29"/>
    <n v="1"/>
    <n v="1"/>
    <n v="314.76"/>
    <n v="13130003699"/>
  </r>
  <r>
    <x v="15"/>
    <d v="1899-12-30T17:32:12"/>
    <n v="4700"/>
    <n v="13002561"/>
    <n v="13"/>
    <n v="22589"/>
    <s v="Retail Sale"/>
    <n v="18"/>
    <n v="41063"/>
    <x v="67"/>
    <s v="Avesta"/>
    <s v="Takeda"/>
    <n v="2"/>
    <n v="339.35"/>
    <n v="524.15"/>
    <n v="26.21"/>
    <n v="26.21"/>
    <s v="BONUS_CARD"/>
    <n v="29"/>
    <n v="1"/>
    <n v="1"/>
    <n v="497.94"/>
    <n v="13130003700"/>
  </r>
  <r>
    <x v="21"/>
    <d v="1899-12-30T11:26:00"/>
    <n v="4701"/>
    <n v="13002561"/>
    <n v="13"/>
    <n v="22589"/>
    <s v="Retail Sale"/>
    <n v="18"/>
    <n v="72817"/>
    <x v="68"/>
    <s v="Katren"/>
    <s v="TEVA"/>
    <n v="3"/>
    <n v="185.94"/>
    <n v="300.36"/>
    <n v="15.02"/>
    <n v="15.02"/>
    <s v="BONUS_CARD"/>
    <n v="29"/>
    <n v="1"/>
    <n v="5"/>
    <n v="285.33999999999997"/>
    <n v="13130003701"/>
  </r>
  <r>
    <x v="11"/>
    <d v="1899-12-30T09:09:07"/>
    <n v="4702"/>
    <n v="13002561"/>
    <n v="13"/>
    <n v="22589"/>
    <s v="Retail Sale"/>
    <n v="18"/>
    <n v="57168"/>
    <x v="38"/>
    <s v="Katren"/>
    <s v="Dr. Reddy's"/>
    <n v="1"/>
    <n v="37.54"/>
    <n v="62.59"/>
    <n v="6.26"/>
    <n v="6.26"/>
    <s v="BONUS_CARD"/>
    <n v="29"/>
    <n v="1"/>
    <n v="1"/>
    <n v="56.33"/>
    <n v="13130003702"/>
  </r>
  <r>
    <x v="17"/>
    <d v="1899-12-30T10:17:00"/>
    <n v="4703"/>
    <n v="13002561"/>
    <n v="13"/>
    <n v="22589"/>
    <s v="Retail Sale"/>
    <n v="18"/>
    <n v="86857"/>
    <x v="37"/>
    <s v="Avesta"/>
    <s v="Novartis"/>
    <n v="1"/>
    <n v="481.08"/>
    <n v="605.85"/>
    <n v="0"/>
    <n v="0"/>
    <m/>
    <n v="29"/>
    <n v="1"/>
    <n v="3"/>
    <n v="605.85"/>
    <n v="13130003703"/>
  </r>
  <r>
    <x v="17"/>
    <d v="1899-12-30T10:42:30"/>
    <n v="4704"/>
    <n v="13002561"/>
    <n v="13"/>
    <n v="22589"/>
    <s v="Retail Sale"/>
    <n v="15"/>
    <n v="27849"/>
    <x v="22"/>
    <s v="Avesta"/>
    <s v="Dr. Reddy's"/>
    <n v="3"/>
    <n v="253.08"/>
    <n v="353.85"/>
    <n v="0"/>
    <n v="0"/>
    <m/>
    <n v="29"/>
    <n v="1"/>
    <n v="2"/>
    <n v="353.85"/>
    <n v="13130003704"/>
  </r>
  <r>
    <x v="4"/>
    <d v="1899-12-30T19:02:28"/>
    <n v="4705"/>
    <n v="13002561"/>
    <n v="13"/>
    <n v="22589"/>
    <s v="Retail Sale"/>
    <n v="15"/>
    <n v="99705"/>
    <x v="78"/>
    <s v="Pharmcomplect"/>
    <s v="TEVA"/>
    <n v="2"/>
    <n v="89.79"/>
    <n v="147.72999999999999"/>
    <n v="0"/>
    <n v="0"/>
    <m/>
    <n v="29"/>
    <n v="1"/>
    <n v="5"/>
    <n v="147.72999999999999"/>
    <n v="13130003705"/>
  </r>
  <r>
    <x v="21"/>
    <d v="1899-12-30T12:52:45"/>
    <n v="4706"/>
    <n v="13002561"/>
    <n v="13"/>
    <n v="22589"/>
    <s v="Retail Sale"/>
    <n v="15"/>
    <n v="43068"/>
    <x v="7"/>
    <s v="Pulse"/>
    <s v="Novartis"/>
    <n v="2"/>
    <n v="286.86"/>
    <n v="424.08"/>
    <n v="21.2"/>
    <n v="21.2"/>
    <s v="BONUS_CARD"/>
    <n v="29"/>
    <n v="1"/>
    <n v="6"/>
    <n v="402.88"/>
    <n v="13130003706"/>
  </r>
  <r>
    <x v="1"/>
    <d v="1899-12-30T14:50:00"/>
    <n v="4707"/>
    <n v="13002561"/>
    <n v="13"/>
    <n v="22589"/>
    <s v="Retail Sale"/>
    <n v="18"/>
    <n v="59129"/>
    <x v="27"/>
    <s v="Pulse"/>
    <s v="Bayer"/>
    <n v="2"/>
    <n v="421.58"/>
    <n v="551.51"/>
    <n v="0"/>
    <n v="0"/>
    <m/>
    <n v="29"/>
    <n v="1"/>
    <n v="4"/>
    <n v="551.51"/>
    <n v="13130003707"/>
  </r>
  <r>
    <x v="26"/>
    <d v="1899-12-30T18:08:23"/>
    <n v="4708"/>
    <n v="13002561"/>
    <n v="13"/>
    <n v="22589"/>
    <s v="Retail Sale"/>
    <n v="15"/>
    <n v="78852"/>
    <x v="89"/>
    <s v="Avesta"/>
    <s v="Takeda"/>
    <n v="1"/>
    <n v="384.7"/>
    <n v="599.92999999999995"/>
    <n v="59.99"/>
    <n v="59.99"/>
    <s v="BONUS_CARD"/>
    <n v="29"/>
    <n v="1"/>
    <n v="1"/>
    <n v="539.94000000000005"/>
    <n v="13130003708"/>
  </r>
  <r>
    <x v="16"/>
    <d v="1899-12-30T17:09:46"/>
    <n v="4709"/>
    <n v="13002561"/>
    <n v="13"/>
    <n v="22589"/>
    <s v="Retail Sale"/>
    <n v="18"/>
    <n v="43283"/>
    <x v="89"/>
    <s v="Pulse"/>
    <s v="Bayer"/>
    <n v="1"/>
    <n v="365.66"/>
    <n v="578.67999999999995"/>
    <n v="0"/>
    <n v="0"/>
    <m/>
    <n v="29"/>
    <n v="1"/>
    <n v="2"/>
    <n v="578.67999999999995"/>
    <n v="13130003709"/>
  </r>
  <r>
    <x v="10"/>
    <d v="1899-12-30T20:05:19"/>
    <n v="4710"/>
    <n v="13002561"/>
    <n v="13"/>
    <n v="22589"/>
    <s v="Retail Sale"/>
    <n v="18"/>
    <n v="36104"/>
    <x v="77"/>
    <s v="Protek"/>
    <s v="KRKA"/>
    <n v="3"/>
    <n v="5.67"/>
    <n v="9.52"/>
    <n v="0.48"/>
    <n v="0.48"/>
    <s v="BONUS_CARD"/>
    <n v="29"/>
    <n v="1"/>
    <n v="1"/>
    <n v="9.0399999999999991"/>
    <n v="13130003710"/>
  </r>
  <r>
    <x v="17"/>
    <d v="1899-12-30T11:53:08"/>
    <n v="4711"/>
    <n v="13002561"/>
    <n v="13"/>
    <n v="22589"/>
    <s v="Retail Sale"/>
    <n v="15"/>
    <n v="44706"/>
    <x v="6"/>
    <s v="Katren"/>
    <s v="Pfizer"/>
    <n v="2"/>
    <n v="497.25"/>
    <n v="819.64"/>
    <n v="0"/>
    <n v="0"/>
    <m/>
    <n v="29"/>
    <n v="1"/>
    <n v="3"/>
    <n v="819.64"/>
    <n v="13130003711"/>
  </r>
  <r>
    <x v="27"/>
    <d v="1899-12-30T08:31:55"/>
    <n v="4712"/>
    <n v="13002561"/>
    <n v="13"/>
    <n v="22589"/>
    <s v="Retail Sale"/>
    <n v="18"/>
    <n v="60136"/>
    <x v="38"/>
    <s v="Grand Capital"/>
    <s v="TEVA"/>
    <n v="3"/>
    <n v="208.62"/>
    <n v="269.51"/>
    <n v="13.48"/>
    <n v="13.48"/>
    <s v="BONUS_CARD"/>
    <n v="29"/>
    <n v="1"/>
    <n v="1"/>
    <n v="256.02999999999997"/>
    <n v="13130003712"/>
  </r>
  <r>
    <x v="6"/>
    <d v="1899-12-30T19:46:46"/>
    <n v="4713"/>
    <n v="13002561"/>
    <n v="13"/>
    <n v="22589"/>
    <s v="Retail Sale"/>
    <n v="18"/>
    <n v="64813"/>
    <x v="22"/>
    <s v="Avesta"/>
    <s v="TEVA"/>
    <n v="1"/>
    <n v="485.3"/>
    <n v="782.82"/>
    <n v="39.14"/>
    <n v="39.14"/>
    <s v="BONUS_CARD"/>
    <n v="29"/>
    <n v="1"/>
    <n v="6"/>
    <n v="743.68"/>
    <n v="13130003713"/>
  </r>
  <r>
    <x v="20"/>
    <d v="1899-12-30T10:44:56"/>
    <n v="4714"/>
    <n v="13002561"/>
    <n v="13"/>
    <n v="22589"/>
    <s v="Retail Sale"/>
    <n v="18"/>
    <n v="68778"/>
    <x v="21"/>
    <s v="Avesta"/>
    <s v="Bayer"/>
    <n v="3"/>
    <n v="125.71"/>
    <n v="208.28"/>
    <n v="10.41"/>
    <n v="10.41"/>
    <s v="BONUS_CARD"/>
    <n v="29"/>
    <n v="1"/>
    <n v="4"/>
    <n v="197.87"/>
    <n v="13130003714"/>
  </r>
  <r>
    <x v="1"/>
    <d v="1899-12-30T12:01:57"/>
    <n v="4715"/>
    <n v="13002561"/>
    <n v="13"/>
    <n v="22589"/>
    <s v="Retail Sale"/>
    <n v="18"/>
    <n v="70049"/>
    <x v="31"/>
    <s v="Avesta"/>
    <s v="Dr. Reddy's"/>
    <n v="1"/>
    <n v="310.18"/>
    <n v="482.78"/>
    <n v="48.28"/>
    <n v="48.28"/>
    <s v="BONUS_CARD"/>
    <n v="29"/>
    <n v="1"/>
    <n v="3"/>
    <n v="434.5"/>
    <n v="13130003715"/>
  </r>
  <r>
    <x v="6"/>
    <d v="1899-12-30T09:00:26"/>
    <n v="4716"/>
    <n v="13002561"/>
    <n v="13"/>
    <n v="22589"/>
    <s v="Retail Sale"/>
    <n v="18"/>
    <n v="31007"/>
    <x v="76"/>
    <s v="Pharmcomplect"/>
    <s v="Takeda"/>
    <n v="3"/>
    <n v="389.58"/>
    <n v="617.39"/>
    <n v="61.74"/>
    <n v="61.74"/>
    <s v="BONUS_CARD"/>
    <n v="29"/>
    <n v="1"/>
    <n v="2"/>
    <n v="555.65"/>
    <n v="13130003716"/>
  </r>
  <r>
    <x v="10"/>
    <d v="1899-12-30T08:47:20"/>
    <n v="4717"/>
    <n v="13002561"/>
    <n v="13"/>
    <n v="22589"/>
    <s v="Retail Sale"/>
    <n v="18"/>
    <n v="92779"/>
    <x v="61"/>
    <s v="Protek"/>
    <s v="Dr. Reddy's"/>
    <n v="3"/>
    <n v="136.72"/>
    <n v="221.03"/>
    <n v="22.1"/>
    <n v="22.1"/>
    <s v="BONUS_CARD"/>
    <n v="29"/>
    <n v="1"/>
    <n v="2"/>
    <n v="198.93"/>
    <n v="13130003717"/>
  </r>
  <r>
    <x v="19"/>
    <d v="1899-12-30T16:26:01"/>
    <n v="4718"/>
    <n v="13002561"/>
    <n v="13"/>
    <n v="22589"/>
    <s v="Retail Sale"/>
    <n v="15"/>
    <n v="38983"/>
    <x v="0"/>
    <s v="Pharmcomplect"/>
    <s v="Pfizer"/>
    <n v="3"/>
    <n v="589.79"/>
    <n v="986.7"/>
    <n v="49.34"/>
    <n v="49.34"/>
    <s v="BONUS_CARD"/>
    <n v="29"/>
    <n v="1"/>
    <n v="5"/>
    <n v="937.36"/>
    <n v="13130003718"/>
  </r>
  <r>
    <x v="28"/>
    <d v="1899-12-30T20:24:16"/>
    <n v="4719"/>
    <n v="13002561"/>
    <n v="13"/>
    <n v="22589"/>
    <s v="Retail Sale"/>
    <n v="18"/>
    <n v="20481"/>
    <x v="77"/>
    <s v="Protek"/>
    <s v="Dr. Reddy's"/>
    <n v="1"/>
    <n v="451.45"/>
    <n v="567.08000000000004"/>
    <n v="0"/>
    <n v="0"/>
    <m/>
    <n v="29"/>
    <n v="1"/>
    <n v="1"/>
    <n v="567.08000000000004"/>
    <n v="13130003719"/>
  </r>
  <r>
    <x v="7"/>
    <d v="1899-12-30T19:45:44"/>
    <n v="4720"/>
    <n v="13002561"/>
    <n v="13"/>
    <n v="22589"/>
    <s v="Retail Sale"/>
    <n v="15"/>
    <n v="13715"/>
    <x v="86"/>
    <s v="Avesta"/>
    <s v="TEVA"/>
    <n v="1"/>
    <n v="188.49"/>
    <n v="266.54000000000002"/>
    <n v="0"/>
    <n v="0"/>
    <m/>
    <n v="29"/>
    <n v="1"/>
    <n v="2"/>
    <n v="266.54000000000002"/>
    <n v="13130003720"/>
  </r>
  <r>
    <x v="19"/>
    <d v="1899-12-30T16:25:15"/>
    <n v="4721"/>
    <n v="13002561"/>
    <n v="13"/>
    <n v="22589"/>
    <s v="Retail Sale"/>
    <n v="15"/>
    <n v="91818"/>
    <x v="65"/>
    <s v="Pulse"/>
    <s v="Takeda"/>
    <n v="2"/>
    <n v="211.64"/>
    <n v="336.14"/>
    <n v="0"/>
    <n v="0"/>
    <m/>
    <n v="29"/>
    <n v="1"/>
    <n v="1"/>
    <n v="336.14"/>
    <n v="13130003721"/>
  </r>
  <r>
    <x v="4"/>
    <d v="1899-12-30T22:40:38"/>
    <n v="4722"/>
    <n v="13002561"/>
    <n v="13"/>
    <n v="22589"/>
    <s v="Retail Sale"/>
    <n v="15"/>
    <n v="37442"/>
    <x v="48"/>
    <s v="Grand Capital"/>
    <s v="Takeda"/>
    <n v="1"/>
    <n v="544.4"/>
    <n v="887.37"/>
    <n v="0"/>
    <n v="0"/>
    <m/>
    <n v="29"/>
    <n v="1"/>
    <n v="1"/>
    <n v="887.37"/>
    <n v="13130003722"/>
  </r>
  <r>
    <x v="18"/>
    <d v="1899-12-30T09:52:46"/>
    <n v="4723"/>
    <n v="13002561"/>
    <n v="13"/>
    <n v="22589"/>
    <s v="Retail Sale"/>
    <n v="18"/>
    <n v="51844"/>
    <x v="18"/>
    <s v="Grand Capital"/>
    <s v="Sanofi"/>
    <n v="2"/>
    <n v="216.35"/>
    <n v="347.95"/>
    <n v="34.799999999999997"/>
    <n v="34.799999999999997"/>
    <s v="BONUS_CARD"/>
    <n v="29"/>
    <n v="1"/>
    <n v="2"/>
    <n v="313.14999999999998"/>
    <n v="13130003723"/>
  </r>
  <r>
    <x v="19"/>
    <d v="1899-12-30T21:27:20"/>
    <n v="4724"/>
    <n v="13002561"/>
    <n v="13"/>
    <n v="22589"/>
    <s v="Retail Sale"/>
    <n v="15"/>
    <n v="74339"/>
    <x v="30"/>
    <s v="Pharmcomplect"/>
    <s v="Novartis"/>
    <n v="2"/>
    <n v="125.27"/>
    <n v="191.77"/>
    <n v="19.18"/>
    <n v="19.18"/>
    <s v="BONUS_CARD"/>
    <n v="29"/>
    <n v="1"/>
    <n v="3"/>
    <n v="172.59"/>
    <n v="13130003724"/>
  </r>
  <r>
    <x v="6"/>
    <d v="1899-12-30T15:27:42"/>
    <n v="4725"/>
    <n v="13002561"/>
    <n v="13"/>
    <n v="22589"/>
    <s v="Retail Sale"/>
    <n v="18"/>
    <n v="17093"/>
    <x v="15"/>
    <s v="Pulse"/>
    <s v="Takeda"/>
    <n v="2"/>
    <n v="480.97"/>
    <n v="680.64"/>
    <n v="68.06"/>
    <n v="68.06"/>
    <s v="BONUS_CARD"/>
    <n v="29"/>
    <n v="1"/>
    <n v="6"/>
    <n v="612.58000000000004"/>
    <n v="13130003725"/>
  </r>
  <r>
    <x v="29"/>
    <d v="1899-12-30T18:50:56"/>
    <n v="4726"/>
    <n v="13002561"/>
    <n v="13"/>
    <n v="22589"/>
    <s v="Retail Sale"/>
    <n v="18"/>
    <n v="45662"/>
    <x v="31"/>
    <s v="Grand Capital"/>
    <s v="Sanofi"/>
    <n v="3"/>
    <n v="300.42"/>
    <n v="454.89"/>
    <n v="22.74"/>
    <n v="22.74"/>
    <s v="BONUS_CARD"/>
    <n v="29"/>
    <n v="1"/>
    <n v="1"/>
    <n v="432.15"/>
    <n v="13130003726"/>
  </r>
  <r>
    <x v="26"/>
    <d v="1899-12-30T22:05:20"/>
    <n v="4727"/>
    <n v="13002561"/>
    <n v="13"/>
    <n v="22589"/>
    <s v="Retail Sale"/>
    <n v="15"/>
    <n v="74460"/>
    <x v="13"/>
    <s v="Grand Capital"/>
    <s v="Takeda"/>
    <n v="1"/>
    <n v="556.49"/>
    <n v="792.14"/>
    <n v="39.61"/>
    <n v="39.61"/>
    <s v="BONUS_CARD"/>
    <n v="29"/>
    <n v="1"/>
    <n v="4"/>
    <n v="752.53"/>
    <n v="13130003727"/>
  </r>
  <r>
    <x v="13"/>
    <d v="1899-12-30T15:35:42"/>
    <n v="4728"/>
    <n v="13002561"/>
    <n v="13"/>
    <n v="22589"/>
    <s v="Retail Sale"/>
    <n v="15"/>
    <n v="85243"/>
    <x v="83"/>
    <s v="Pulse"/>
    <s v="Novartis"/>
    <n v="3"/>
    <n v="77.48"/>
    <n v="108.98"/>
    <n v="0"/>
    <n v="0"/>
    <m/>
    <n v="29"/>
    <n v="1"/>
    <n v="2"/>
    <n v="108.98"/>
    <n v="13130003728"/>
  </r>
  <r>
    <x v="26"/>
    <d v="1899-12-30T11:51:14"/>
    <n v="4729"/>
    <n v="13002561"/>
    <n v="13"/>
    <n v="22589"/>
    <s v="Retail Sale"/>
    <n v="18"/>
    <n v="24412"/>
    <x v="7"/>
    <s v="Protek"/>
    <s v="Bayer"/>
    <n v="2"/>
    <n v="168.64"/>
    <n v="230.7"/>
    <n v="23.07"/>
    <n v="23.07"/>
    <s v="BONUS_CARD"/>
    <n v="29"/>
    <n v="1"/>
    <n v="2"/>
    <n v="207.63"/>
    <n v="13130003729"/>
  </r>
  <r>
    <x v="28"/>
    <d v="1899-12-30T19:12:00"/>
    <n v="4730"/>
    <n v="13002561"/>
    <n v="13"/>
    <n v="22589"/>
    <s v="Retail Sale"/>
    <n v="15"/>
    <n v="78839"/>
    <x v="20"/>
    <s v="Pulse"/>
    <s v="Dr. Reddy's"/>
    <n v="1"/>
    <n v="354.58"/>
    <n v="490.45"/>
    <n v="24.52"/>
    <n v="24.52"/>
    <s v="BONUS_CARD"/>
    <n v="29"/>
    <n v="1"/>
    <n v="5"/>
    <n v="465.93"/>
    <n v="13130003730"/>
  </r>
  <r>
    <x v="23"/>
    <d v="1899-12-30T17:57:41"/>
    <n v="4731"/>
    <n v="13002561"/>
    <n v="13"/>
    <n v="22589"/>
    <s v="Retail Sale"/>
    <n v="15"/>
    <n v="62418"/>
    <x v="52"/>
    <s v="Avesta"/>
    <s v="Sanofi"/>
    <n v="2"/>
    <n v="34.72"/>
    <n v="49.19"/>
    <n v="2.46"/>
    <n v="2.46"/>
    <s v="BONUS_CARD"/>
    <n v="29"/>
    <n v="1"/>
    <n v="3"/>
    <n v="46.73"/>
    <n v="13130003731"/>
  </r>
  <r>
    <x v="2"/>
    <d v="1899-12-30T22:41:26"/>
    <n v="4732"/>
    <n v="13002561"/>
    <n v="13"/>
    <n v="22589"/>
    <s v="Retail Sale"/>
    <n v="15"/>
    <n v="10212"/>
    <x v="75"/>
    <s v="Katren"/>
    <s v="Bayer"/>
    <n v="1"/>
    <n v="178.82"/>
    <n v="260.2"/>
    <n v="13.01"/>
    <n v="13.01"/>
    <s v="BONUS_CARD"/>
    <n v="29"/>
    <n v="1"/>
    <n v="2"/>
    <n v="247.19"/>
    <n v="13130003732"/>
  </r>
  <r>
    <x v="14"/>
    <d v="1899-12-30T13:48:27"/>
    <n v="4733"/>
    <n v="13002561"/>
    <n v="13"/>
    <n v="22589"/>
    <s v="Retail Sale"/>
    <n v="15"/>
    <n v="58797"/>
    <x v="54"/>
    <s v="Pharmcomplect"/>
    <s v="Takeda"/>
    <n v="1"/>
    <n v="376.2"/>
    <n v="551.12"/>
    <n v="0"/>
    <n v="0"/>
    <m/>
    <n v="29"/>
    <n v="1"/>
    <n v="1"/>
    <n v="551.12"/>
    <n v="13130003733"/>
  </r>
  <r>
    <x v="21"/>
    <d v="1899-12-30T16:15:46"/>
    <n v="4734"/>
    <n v="13002561"/>
    <n v="13"/>
    <n v="22589"/>
    <s v="Retail Sale"/>
    <n v="15"/>
    <n v="53164"/>
    <x v="29"/>
    <s v="Katren"/>
    <s v="Takeda"/>
    <n v="2"/>
    <n v="218.01"/>
    <n v="299.27"/>
    <n v="0"/>
    <n v="0"/>
    <m/>
    <n v="29"/>
    <n v="1"/>
    <n v="3"/>
    <n v="299.27"/>
    <n v="13130003734"/>
  </r>
  <r>
    <x v="2"/>
    <d v="1899-12-30T17:10:13"/>
    <n v="4735"/>
    <n v="13002561"/>
    <n v="13"/>
    <n v="22589"/>
    <s v="Retail Sale"/>
    <n v="15"/>
    <n v="59647"/>
    <x v="21"/>
    <s v="Grand Capital"/>
    <s v="Novartis"/>
    <n v="1"/>
    <n v="597.57000000000005"/>
    <n v="869.46"/>
    <n v="0"/>
    <n v="0"/>
    <m/>
    <n v="29"/>
    <n v="1"/>
    <n v="2"/>
    <n v="869.46"/>
    <n v="13130003735"/>
  </r>
  <r>
    <x v="30"/>
    <d v="1899-12-30T11:41:07"/>
    <n v="4736"/>
    <n v="13002561"/>
    <n v="13"/>
    <n v="22589"/>
    <s v="Retail Sale"/>
    <n v="15"/>
    <n v="60410"/>
    <x v="10"/>
    <s v="Pulse"/>
    <s v="Dr. Reddy's"/>
    <n v="1"/>
    <n v="82.08"/>
    <n v="126.74"/>
    <n v="6.34"/>
    <n v="6.34"/>
    <s v="BONUS_CARD"/>
    <n v="29"/>
    <n v="1"/>
    <n v="2"/>
    <n v="120.4"/>
    <n v="13130003736"/>
  </r>
  <r>
    <x v="4"/>
    <d v="1899-12-30T15:34:24"/>
    <n v="4737"/>
    <n v="13002561"/>
    <n v="13"/>
    <n v="22589"/>
    <s v="Retail Sale"/>
    <n v="15"/>
    <n v="58876"/>
    <x v="9"/>
    <s v="Protek"/>
    <s v="Pfizer"/>
    <n v="1"/>
    <n v="258.7"/>
    <n v="361.08"/>
    <n v="36.11"/>
    <n v="36.11"/>
    <s v="BONUS_CARD"/>
    <n v="29"/>
    <n v="1"/>
    <n v="4"/>
    <n v="324.97000000000003"/>
    <n v="13130003737"/>
  </r>
  <r>
    <x v="20"/>
    <d v="1899-12-30T19:30:40"/>
    <n v="4738"/>
    <n v="13002561"/>
    <n v="13"/>
    <n v="22589"/>
    <s v="Retail Sale"/>
    <n v="15"/>
    <n v="62526"/>
    <x v="66"/>
    <s v="Grand Capital"/>
    <s v="KRKA"/>
    <n v="3"/>
    <n v="84.38"/>
    <n v="123.22"/>
    <n v="12.32"/>
    <n v="12.32"/>
    <s v="BONUS_CARD"/>
    <n v="29"/>
    <n v="1"/>
    <n v="6"/>
    <n v="110.9"/>
    <n v="13130003738"/>
  </r>
  <r>
    <x v="28"/>
    <d v="1899-12-30T22:47:25"/>
    <n v="4739"/>
    <n v="13002561"/>
    <n v="13"/>
    <n v="22589"/>
    <s v="Retail Sale"/>
    <n v="18"/>
    <n v="91949"/>
    <x v="76"/>
    <s v="Protek"/>
    <s v="Takeda"/>
    <n v="1"/>
    <n v="63.71"/>
    <n v="95.02"/>
    <n v="9.5"/>
    <n v="9.5"/>
    <s v="BONUS_CARD"/>
    <n v="29"/>
    <n v="1"/>
    <n v="1"/>
    <n v="85.52"/>
    <n v="13130003739"/>
  </r>
  <r>
    <x v="28"/>
    <d v="1899-12-30T17:30:05"/>
    <n v="4740"/>
    <n v="13002561"/>
    <n v="13"/>
    <n v="22589"/>
    <s v="Retail Sale"/>
    <n v="18"/>
    <n v="36076"/>
    <x v="70"/>
    <s v="Avesta"/>
    <s v="Pfizer"/>
    <n v="3"/>
    <n v="315.92"/>
    <n v="403.7"/>
    <n v="40.369999999999997"/>
    <n v="40.369999999999997"/>
    <s v="BONUS_CARD"/>
    <n v="29"/>
    <n v="1"/>
    <n v="5"/>
    <n v="363.33"/>
    <n v="13130003740"/>
  </r>
  <r>
    <x v="7"/>
    <d v="1899-12-30T13:50:29"/>
    <n v="4741"/>
    <n v="13002561"/>
    <n v="13"/>
    <n v="22589"/>
    <s v="Retail Sale"/>
    <n v="15"/>
    <n v="29373"/>
    <x v="67"/>
    <s v="Katren"/>
    <s v="Novartis"/>
    <n v="2"/>
    <n v="213.01"/>
    <n v="294.27999999999997"/>
    <n v="29.43"/>
    <n v="29.43"/>
    <s v="BONUS_CARD"/>
    <n v="29"/>
    <n v="1"/>
    <n v="3"/>
    <n v="264.85000000000002"/>
    <n v="13130003741"/>
  </r>
  <r>
    <x v="1"/>
    <d v="1899-12-30T09:38:52"/>
    <n v="4742"/>
    <n v="13002561"/>
    <n v="13"/>
    <n v="22589"/>
    <s v="Retail Sale"/>
    <n v="15"/>
    <n v="23264"/>
    <x v="0"/>
    <s v="Pulse"/>
    <s v="Takeda"/>
    <n v="1"/>
    <n v="115.05"/>
    <n v="189.13"/>
    <n v="18.91"/>
    <n v="18.91"/>
    <s v="BONUS_CARD"/>
    <n v="29"/>
    <n v="1"/>
    <n v="1"/>
    <n v="170.22"/>
    <n v="13130003742"/>
  </r>
  <r>
    <x v="22"/>
    <d v="1899-12-30T10:01:39"/>
    <n v="4743"/>
    <n v="13002561"/>
    <n v="13"/>
    <n v="22589"/>
    <s v="Retail Sale"/>
    <n v="18"/>
    <n v="70141"/>
    <x v="84"/>
    <s v="Avesta"/>
    <s v="Pfizer"/>
    <n v="1"/>
    <n v="102.55"/>
    <n v="131.18"/>
    <n v="13.12"/>
    <n v="13.12"/>
    <s v="BONUS_CARD"/>
    <n v="29"/>
    <n v="1"/>
    <n v="4"/>
    <n v="118.06"/>
    <n v="13130003743"/>
  </r>
  <r>
    <x v="16"/>
    <d v="1899-12-30T19:27:01"/>
    <n v="4744"/>
    <n v="13002561"/>
    <n v="13"/>
    <n v="22589"/>
    <s v="Retail Sale"/>
    <n v="15"/>
    <n v="97385"/>
    <x v="75"/>
    <s v="Protek"/>
    <s v="Takeda"/>
    <n v="2"/>
    <n v="231.59"/>
    <n v="355.38"/>
    <n v="35.54"/>
    <n v="35.54"/>
    <s v="BONUS_CARD"/>
    <n v="29"/>
    <n v="1"/>
    <n v="5"/>
    <n v="319.83999999999997"/>
    <n v="13130003744"/>
  </r>
  <r>
    <x v="24"/>
    <d v="1899-12-30T22:21:47"/>
    <n v="4745"/>
    <n v="13002561"/>
    <n v="13"/>
    <n v="22589"/>
    <s v="Retail Sale"/>
    <n v="15"/>
    <n v="70638"/>
    <x v="1"/>
    <s v="Grand Capital"/>
    <s v="Sanofi"/>
    <n v="1"/>
    <n v="193.02"/>
    <n v="257.26"/>
    <n v="25.73"/>
    <n v="25.73"/>
    <s v="BONUS_CARD"/>
    <n v="29"/>
    <n v="1"/>
    <n v="5"/>
    <n v="231.53"/>
    <n v="13130003745"/>
  </r>
  <r>
    <x v="3"/>
    <d v="1899-12-30T15:23:47"/>
    <n v="4746"/>
    <n v="13002561"/>
    <n v="13"/>
    <n v="22589"/>
    <s v="Retail Sale"/>
    <n v="18"/>
    <n v="60848"/>
    <x v="60"/>
    <s v="Katren"/>
    <s v="Pfizer"/>
    <n v="3"/>
    <n v="92.03"/>
    <n v="149.02000000000001"/>
    <n v="0"/>
    <n v="0"/>
    <m/>
    <n v="29"/>
    <n v="1"/>
    <n v="2"/>
    <n v="149.02000000000001"/>
    <n v="13130003746"/>
  </r>
  <r>
    <x v="11"/>
    <d v="1899-12-30T08:03:17"/>
    <n v="4747"/>
    <n v="13002561"/>
    <n v="13"/>
    <n v="22589"/>
    <s v="Retail Sale"/>
    <n v="15"/>
    <n v="93898"/>
    <x v="67"/>
    <s v="Katren"/>
    <s v="Novartis"/>
    <n v="1"/>
    <n v="113.21"/>
    <n v="185.71"/>
    <n v="9.2899999999999991"/>
    <n v="9.2899999999999991"/>
    <s v="BONUS_CARD"/>
    <n v="29"/>
    <n v="1"/>
    <n v="4"/>
    <n v="176.42"/>
    <n v="13130003747"/>
  </r>
  <r>
    <x v="18"/>
    <d v="1899-12-30T13:46:27"/>
    <n v="4748"/>
    <n v="13002561"/>
    <n v="13"/>
    <n v="22589"/>
    <s v="Retail Sale"/>
    <n v="18"/>
    <n v="97130"/>
    <x v="36"/>
    <s v="Pulse"/>
    <s v="Dr. Reddy's"/>
    <n v="1"/>
    <n v="210.02"/>
    <n v="322.95"/>
    <n v="0"/>
    <n v="0"/>
    <m/>
    <n v="29"/>
    <n v="1"/>
    <n v="4"/>
    <n v="322.95"/>
    <n v="13130003748"/>
  </r>
  <r>
    <x v="21"/>
    <d v="1899-12-30T22:13:52"/>
    <n v="4749"/>
    <n v="13002561"/>
    <n v="13"/>
    <n v="22589"/>
    <s v="Retail Sale"/>
    <n v="18"/>
    <n v="32625"/>
    <x v="77"/>
    <s v="Pulse"/>
    <s v="KRKA"/>
    <n v="2"/>
    <n v="451.42"/>
    <n v="567.01"/>
    <n v="56.7"/>
    <n v="56.7"/>
    <s v="BONUS_CARD"/>
    <n v="29"/>
    <n v="1"/>
    <n v="2"/>
    <n v="510.31"/>
    <n v="13130003749"/>
  </r>
  <r>
    <x v="11"/>
    <d v="1899-12-30T17:05:52"/>
    <n v="4750"/>
    <n v="13002561"/>
    <n v="13"/>
    <n v="22589"/>
    <s v="Retail Sale"/>
    <n v="15"/>
    <n v="60837"/>
    <x v="27"/>
    <s v="Grand Capital"/>
    <s v="TEVA"/>
    <n v="3"/>
    <n v="110.46"/>
    <n v="155.6"/>
    <n v="15.56"/>
    <n v="15.56"/>
    <s v="BONUS_CARD"/>
    <n v="29"/>
    <n v="1"/>
    <n v="6"/>
    <n v="140.04"/>
    <n v="13130003750"/>
  </r>
  <r>
    <x v="16"/>
    <d v="1899-12-30T10:29:29"/>
    <n v="4751"/>
    <n v="13002561"/>
    <n v="13"/>
    <n v="22589"/>
    <s v="Retail Sale"/>
    <n v="18"/>
    <n v="61116"/>
    <x v="76"/>
    <s v="Katren"/>
    <s v="KRKA"/>
    <n v="2"/>
    <n v="112.04"/>
    <n v="184.27"/>
    <n v="18.43"/>
    <n v="18.43"/>
    <s v="BONUS_CARD"/>
    <n v="29"/>
    <n v="1"/>
    <n v="5"/>
    <n v="165.84"/>
    <n v="13130003751"/>
  </r>
  <r>
    <x v="26"/>
    <d v="1899-12-30T22:17:05"/>
    <n v="4752"/>
    <n v="13002561"/>
    <n v="13"/>
    <n v="22589"/>
    <s v="Retail Sale"/>
    <n v="15"/>
    <n v="74765"/>
    <x v="79"/>
    <s v="Grand Capital"/>
    <s v="TEVA"/>
    <n v="2"/>
    <n v="160.36000000000001"/>
    <n v="235.87"/>
    <n v="23.59"/>
    <n v="23.59"/>
    <s v="BONUS_CARD"/>
    <n v="29"/>
    <n v="1"/>
    <n v="6"/>
    <n v="212.28"/>
    <n v="13130003752"/>
  </r>
  <r>
    <x v="27"/>
    <d v="1899-12-30T12:28:22"/>
    <n v="4753"/>
    <n v="13002561"/>
    <n v="13"/>
    <n v="22589"/>
    <s v="Retail Sale"/>
    <n v="18"/>
    <n v="10134"/>
    <x v="52"/>
    <s v="Protek"/>
    <s v="Bayer"/>
    <n v="3"/>
    <n v="492.55"/>
    <n v="716.1"/>
    <n v="35.799999999999997"/>
    <n v="35.799999999999997"/>
    <s v="BONUS_CARD"/>
    <n v="29"/>
    <n v="1"/>
    <n v="2"/>
    <n v="680.3"/>
    <n v="13130003753"/>
  </r>
  <r>
    <x v="26"/>
    <d v="1899-12-30T11:36:13"/>
    <n v="4754"/>
    <n v="13002561"/>
    <n v="13"/>
    <n v="22589"/>
    <s v="Retail Sale"/>
    <n v="18"/>
    <n v="87711"/>
    <x v="50"/>
    <s v="Grand Capital"/>
    <s v="Takeda"/>
    <n v="3"/>
    <n v="260.11"/>
    <n v="385.57"/>
    <n v="0"/>
    <n v="0"/>
    <m/>
    <n v="29"/>
    <n v="1"/>
    <n v="6"/>
    <n v="385.57"/>
    <n v="13130003754"/>
  </r>
  <r>
    <x v="9"/>
    <d v="1899-12-30T16:17:01"/>
    <n v="4755"/>
    <n v="13002561"/>
    <n v="13"/>
    <n v="22589"/>
    <s v="Retail Sale"/>
    <n v="18"/>
    <n v="42726"/>
    <x v="22"/>
    <s v="Pulse"/>
    <s v="Dr. Reddy's"/>
    <n v="2"/>
    <n v="490.91"/>
    <n v="729.45"/>
    <n v="0"/>
    <n v="0"/>
    <m/>
    <n v="29"/>
    <n v="1"/>
    <n v="1"/>
    <n v="729.45"/>
    <n v="13130003755"/>
  </r>
  <r>
    <x v="28"/>
    <d v="1899-12-30T11:17:38"/>
    <n v="4756"/>
    <n v="13002561"/>
    <n v="13"/>
    <n v="22589"/>
    <s v="Retail Sale"/>
    <n v="18"/>
    <n v="54878"/>
    <x v="37"/>
    <s v="Avesta"/>
    <s v="Sanofi"/>
    <n v="2"/>
    <n v="359.63"/>
    <n v="584.04"/>
    <n v="58.4"/>
    <n v="58.4"/>
    <s v="BONUS_CARD"/>
    <n v="29"/>
    <n v="1"/>
    <n v="4"/>
    <n v="525.64"/>
    <n v="13130003756"/>
  </r>
  <r>
    <x v="13"/>
    <d v="1899-12-30T20:13:43"/>
    <n v="4757"/>
    <n v="13002561"/>
    <n v="13"/>
    <n v="22589"/>
    <s v="Retail Sale"/>
    <n v="18"/>
    <n v="72822"/>
    <x v="1"/>
    <s v="Grand Capital"/>
    <s v="TEVA"/>
    <n v="3"/>
    <n v="368.88"/>
    <n v="617.25"/>
    <n v="61.73"/>
    <n v="61.73"/>
    <s v="BONUS_CARD"/>
    <n v="29"/>
    <n v="1"/>
    <n v="4"/>
    <n v="555.52"/>
    <n v="13130003757"/>
  </r>
  <r>
    <x v="5"/>
    <d v="1899-12-30T17:57:02"/>
    <n v="4758"/>
    <n v="13002561"/>
    <n v="13"/>
    <n v="22589"/>
    <s v="Retail Sale"/>
    <n v="15"/>
    <n v="93940"/>
    <x v="82"/>
    <s v="Katren"/>
    <s v="KRKA"/>
    <n v="3"/>
    <n v="367.53"/>
    <n v="602.26"/>
    <n v="0"/>
    <n v="0"/>
    <m/>
    <n v="29"/>
    <n v="1"/>
    <n v="5"/>
    <n v="602.26"/>
    <n v="13130003758"/>
  </r>
  <r>
    <x v="26"/>
    <d v="1899-12-30T12:19:41"/>
    <n v="4759"/>
    <n v="13002561"/>
    <n v="13"/>
    <n v="22589"/>
    <s v="Retail Sale"/>
    <n v="15"/>
    <n v="78004"/>
    <x v="43"/>
    <s v="Avesta"/>
    <s v="Sanofi"/>
    <n v="2"/>
    <n v="257.98"/>
    <n v="389.2"/>
    <n v="0"/>
    <n v="0"/>
    <m/>
    <n v="29"/>
    <n v="1"/>
    <n v="1"/>
    <n v="389.2"/>
    <n v="13130003759"/>
  </r>
  <r>
    <x v="13"/>
    <d v="1899-12-30T19:43:08"/>
    <n v="4760"/>
    <n v="13002561"/>
    <n v="13"/>
    <n v="22589"/>
    <s v="Retail Sale"/>
    <n v="15"/>
    <n v="16987"/>
    <x v="19"/>
    <s v="Pulse"/>
    <s v="Takeda"/>
    <n v="3"/>
    <n v="425.99"/>
    <n v="662.15"/>
    <n v="0"/>
    <n v="0"/>
    <m/>
    <n v="29"/>
    <n v="1"/>
    <n v="2"/>
    <n v="662.15"/>
    <n v="13130003760"/>
  </r>
  <r>
    <x v="16"/>
    <d v="1899-12-30T12:27:04"/>
    <n v="4761"/>
    <n v="13002561"/>
    <n v="13"/>
    <n v="22589"/>
    <s v="Retail Sale"/>
    <n v="18"/>
    <n v="43514"/>
    <x v="52"/>
    <s v="Pulse"/>
    <s v="Sanofi"/>
    <n v="1"/>
    <n v="385.29"/>
    <n v="625.65"/>
    <n v="0"/>
    <n v="0"/>
    <m/>
    <n v="29"/>
    <n v="1"/>
    <n v="5"/>
    <n v="625.65"/>
    <n v="13130003761"/>
  </r>
  <r>
    <x v="23"/>
    <d v="1899-12-30T15:37:35"/>
    <n v="4762"/>
    <n v="13002561"/>
    <n v="13"/>
    <n v="22589"/>
    <s v="Retail Sale"/>
    <n v="18"/>
    <n v="60314"/>
    <x v="45"/>
    <s v="Grand Capital"/>
    <s v="Novartis"/>
    <n v="1"/>
    <n v="533.61"/>
    <n v="833.32"/>
    <n v="41.67"/>
    <n v="41.67"/>
    <s v="BONUS_CARD"/>
    <n v="29"/>
    <n v="1"/>
    <n v="1"/>
    <n v="791.65"/>
    <n v="13130003762"/>
  </r>
  <r>
    <x v="15"/>
    <d v="1899-12-30T15:46:04"/>
    <n v="4763"/>
    <n v="13002561"/>
    <n v="13"/>
    <n v="22589"/>
    <s v="Retail Sale"/>
    <n v="15"/>
    <n v="38216"/>
    <x v="83"/>
    <s v="Protek"/>
    <s v="Pfizer"/>
    <n v="2"/>
    <n v="117.95"/>
    <n v="196.1"/>
    <n v="19.61"/>
    <n v="19.61"/>
    <s v="BONUS_CARD"/>
    <n v="29"/>
    <n v="1"/>
    <n v="5"/>
    <n v="176.49"/>
    <n v="13130003763"/>
  </r>
  <r>
    <x v="7"/>
    <d v="1899-12-30T13:09:07"/>
    <n v="4764"/>
    <n v="13002561"/>
    <n v="13"/>
    <n v="22589"/>
    <s v="Retail Sale"/>
    <n v="18"/>
    <n v="67175"/>
    <x v="80"/>
    <s v="Protek"/>
    <s v="Dr. Reddy's"/>
    <n v="3"/>
    <n v="589.66"/>
    <n v="762.18"/>
    <n v="0"/>
    <n v="0"/>
    <m/>
    <n v="29"/>
    <n v="1"/>
    <n v="5"/>
    <n v="762.18"/>
    <n v="13130003764"/>
  </r>
  <r>
    <x v="17"/>
    <d v="1899-12-30T13:47:09"/>
    <n v="4765"/>
    <n v="13002561"/>
    <n v="13"/>
    <n v="22589"/>
    <s v="Retail Sale"/>
    <n v="18"/>
    <n v="10026"/>
    <x v="29"/>
    <s v="Avesta"/>
    <s v="Pfizer"/>
    <n v="3"/>
    <n v="282.02"/>
    <n v="478.34"/>
    <n v="0"/>
    <n v="0"/>
    <m/>
    <n v="29"/>
    <n v="1"/>
    <n v="1"/>
    <n v="478.34"/>
    <n v="13130003765"/>
  </r>
  <r>
    <x v="5"/>
    <d v="1899-12-30T15:35:19"/>
    <n v="4766"/>
    <n v="13002561"/>
    <n v="13"/>
    <n v="22589"/>
    <s v="Retail Sale"/>
    <n v="18"/>
    <n v="59560"/>
    <x v="3"/>
    <s v="Grand Capital"/>
    <s v="Pfizer"/>
    <n v="1"/>
    <n v="89.03"/>
    <n v="131.26"/>
    <n v="13.13"/>
    <n v="13.13"/>
    <s v="BONUS_CARD"/>
    <n v="29"/>
    <n v="1"/>
    <n v="3"/>
    <n v="118.13"/>
    <n v="13130003766"/>
  </r>
  <r>
    <x v="25"/>
    <d v="1899-12-30T10:15:26"/>
    <n v="4767"/>
    <n v="13002561"/>
    <n v="13"/>
    <n v="22589"/>
    <s v="Retail Sale"/>
    <n v="18"/>
    <n v="38661"/>
    <x v="50"/>
    <s v="Pharmcomplect"/>
    <s v="KRKA"/>
    <n v="3"/>
    <n v="365.63"/>
    <n v="600.98"/>
    <n v="0"/>
    <n v="0"/>
    <m/>
    <n v="29"/>
    <n v="1"/>
    <n v="1"/>
    <n v="600.98"/>
    <n v="13130003767"/>
  </r>
  <r>
    <x v="10"/>
    <d v="1899-12-30T09:44:50"/>
    <n v="4768"/>
    <n v="13002561"/>
    <n v="13"/>
    <n v="22589"/>
    <s v="Retail Sale"/>
    <n v="18"/>
    <n v="12970"/>
    <x v="33"/>
    <s v="Avesta"/>
    <s v="Dr. Reddy's"/>
    <n v="3"/>
    <n v="400.68"/>
    <n v="638.32000000000005"/>
    <n v="63.83"/>
    <n v="63.83"/>
    <s v="BONUS_CARD"/>
    <n v="29"/>
    <n v="1"/>
    <n v="3"/>
    <n v="574.49"/>
    <n v="13130003768"/>
  </r>
  <r>
    <x v="19"/>
    <d v="1899-12-30T18:42:52"/>
    <n v="4769"/>
    <n v="13002561"/>
    <n v="13"/>
    <n v="22589"/>
    <s v="Retail Sale"/>
    <n v="18"/>
    <n v="46278"/>
    <x v="44"/>
    <s v="Katren"/>
    <s v="Takeda"/>
    <n v="3"/>
    <n v="6.42"/>
    <n v="10.3"/>
    <n v="0.52"/>
    <n v="0.52"/>
    <s v="BONUS_CARD"/>
    <n v="29"/>
    <n v="1"/>
    <n v="2"/>
    <n v="9.7799999999999994"/>
    <n v="13130003769"/>
  </r>
  <r>
    <x v="22"/>
    <d v="1899-12-30T11:53:42"/>
    <n v="4770"/>
    <n v="13002561"/>
    <n v="13"/>
    <n v="22589"/>
    <s v="Retail Sale"/>
    <n v="15"/>
    <n v="43388"/>
    <x v="89"/>
    <s v="Pharmcomplect"/>
    <s v="KRKA"/>
    <n v="1"/>
    <n v="72.459999999999994"/>
    <n v="95.36"/>
    <n v="4.7699999999999996"/>
    <n v="4.7699999999999996"/>
    <s v="BONUS_CARD"/>
    <n v="29"/>
    <n v="1"/>
    <n v="3"/>
    <n v="90.59"/>
    <n v="13130003770"/>
  </r>
  <r>
    <x v="6"/>
    <d v="1899-12-30T22:59:59"/>
    <n v="4771"/>
    <n v="13002561"/>
    <n v="13"/>
    <n v="22589"/>
    <s v="Retail Sale"/>
    <n v="15"/>
    <n v="91508"/>
    <x v="87"/>
    <s v="Grand Capital"/>
    <s v="Sanofi"/>
    <n v="2"/>
    <n v="270.27"/>
    <n v="430.32"/>
    <n v="21.52"/>
    <n v="21.52"/>
    <s v="BONUS_CARD"/>
    <n v="29"/>
    <n v="1"/>
    <n v="1"/>
    <n v="408.8"/>
    <n v="13130003771"/>
  </r>
  <r>
    <x v="30"/>
    <d v="1899-12-30T17:06:03"/>
    <n v="4772"/>
    <n v="13002561"/>
    <n v="13"/>
    <n v="22589"/>
    <s v="Retail Sale"/>
    <n v="18"/>
    <n v="68277"/>
    <x v="43"/>
    <s v="Katren"/>
    <s v="TEVA"/>
    <n v="3"/>
    <n v="583.01"/>
    <n v="922.64"/>
    <n v="46.13"/>
    <n v="46.13"/>
    <s v="BONUS_CARD"/>
    <n v="29"/>
    <n v="1"/>
    <n v="1"/>
    <n v="876.51"/>
    <n v="13130003772"/>
  </r>
  <r>
    <x v="18"/>
    <d v="1899-12-30T11:04:42"/>
    <n v="4773"/>
    <n v="13002561"/>
    <n v="13"/>
    <n v="22589"/>
    <s v="Retail Sale"/>
    <n v="15"/>
    <n v="19491"/>
    <x v="42"/>
    <s v="Pharmcomplect"/>
    <s v="Sanofi"/>
    <n v="2"/>
    <n v="577.89"/>
    <n v="827.45"/>
    <n v="0"/>
    <n v="0"/>
    <m/>
    <n v="29"/>
    <n v="1"/>
    <n v="1"/>
    <n v="827.45"/>
    <n v="13130003773"/>
  </r>
  <r>
    <x v="4"/>
    <d v="1899-12-30T22:50:12"/>
    <n v="4774"/>
    <n v="13002561"/>
    <n v="13"/>
    <n v="22589"/>
    <s v="Retail Sale"/>
    <n v="15"/>
    <n v="52084"/>
    <x v="14"/>
    <s v="Pulse"/>
    <s v="Dr. Reddy's"/>
    <n v="3"/>
    <n v="346.15"/>
    <n v="476.21"/>
    <n v="47.62"/>
    <n v="47.62"/>
    <s v="BONUS_CARD"/>
    <n v="29"/>
    <n v="1"/>
    <n v="4"/>
    <n v="428.59"/>
    <n v="13130003774"/>
  </r>
  <r>
    <x v="0"/>
    <d v="1899-12-30T12:57:23"/>
    <n v="4775"/>
    <n v="13002561"/>
    <n v="13"/>
    <n v="22589"/>
    <s v="Retail Sale"/>
    <n v="15"/>
    <n v="18644"/>
    <x v="21"/>
    <s v="Protek"/>
    <s v="KRKA"/>
    <n v="2"/>
    <n v="528.77"/>
    <n v="693.63"/>
    <n v="34.68"/>
    <n v="34.68"/>
    <s v="BONUS_CARD"/>
    <n v="29"/>
    <n v="1"/>
    <n v="3"/>
    <n v="658.95"/>
    <n v="13130003775"/>
  </r>
  <r>
    <x v="25"/>
    <d v="1899-12-30T16:07:02"/>
    <n v="4776"/>
    <n v="13002561"/>
    <n v="13"/>
    <n v="22589"/>
    <s v="Retail Sale"/>
    <n v="15"/>
    <n v="19281"/>
    <x v="72"/>
    <s v="Grand Capital"/>
    <s v="Bayer"/>
    <n v="3"/>
    <n v="156.22999999999999"/>
    <n v="215.05"/>
    <n v="21.51"/>
    <n v="21.51"/>
    <s v="BONUS_CARD"/>
    <n v="29"/>
    <n v="1"/>
    <n v="5"/>
    <n v="193.54"/>
    <n v="13130003776"/>
  </r>
  <r>
    <x v="14"/>
    <d v="1899-12-30T14:47:10"/>
    <n v="4777"/>
    <n v="13002561"/>
    <n v="13"/>
    <n v="22589"/>
    <s v="Retail Sale"/>
    <n v="18"/>
    <n v="62181"/>
    <x v="33"/>
    <s v="Avesta"/>
    <s v="Pfizer"/>
    <n v="3"/>
    <n v="237.58"/>
    <n v="347.92"/>
    <n v="0"/>
    <n v="0"/>
    <m/>
    <n v="29"/>
    <n v="1"/>
    <n v="1"/>
    <n v="347.92"/>
    <n v="13130003777"/>
  </r>
  <r>
    <x v="23"/>
    <d v="1899-12-30T22:33:36"/>
    <n v="4778"/>
    <n v="13002561"/>
    <n v="13"/>
    <n v="22589"/>
    <s v="Retail Sale"/>
    <n v="15"/>
    <n v="33417"/>
    <x v="64"/>
    <s v="Katren"/>
    <s v="Sanofi"/>
    <n v="2"/>
    <n v="466.33"/>
    <n v="607.88"/>
    <n v="60.79"/>
    <n v="60.79"/>
    <s v="BONUS_CARD"/>
    <n v="29"/>
    <n v="1"/>
    <n v="5"/>
    <n v="547.09"/>
    <n v="13130003778"/>
  </r>
  <r>
    <x v="18"/>
    <d v="1899-12-30T11:27:00"/>
    <n v="4779"/>
    <n v="13002561"/>
    <n v="13"/>
    <n v="22589"/>
    <s v="Retail Sale"/>
    <n v="15"/>
    <n v="71636"/>
    <x v="33"/>
    <s v="Pharmcomplect"/>
    <s v="Pfizer"/>
    <n v="2"/>
    <n v="429.96"/>
    <n v="648.04"/>
    <n v="0"/>
    <n v="0"/>
    <m/>
    <n v="29"/>
    <n v="1"/>
    <n v="3"/>
    <n v="648.04"/>
    <n v="13130003779"/>
  </r>
  <r>
    <x v="20"/>
    <d v="1899-12-30T12:54:17"/>
    <n v="4780"/>
    <n v="13002561"/>
    <n v="13"/>
    <n v="22589"/>
    <s v="Retail Sale"/>
    <n v="18"/>
    <n v="47678"/>
    <x v="15"/>
    <s v="Protek"/>
    <s v="KRKA"/>
    <n v="1"/>
    <n v="151.47"/>
    <n v="234.92"/>
    <n v="11.75"/>
    <n v="11.75"/>
    <s v="BONUS_CARD"/>
    <n v="29"/>
    <n v="1"/>
    <n v="3"/>
    <n v="223.17"/>
    <n v="13130003780"/>
  </r>
  <r>
    <x v="29"/>
    <d v="1899-12-30T14:50:29"/>
    <n v="4781"/>
    <n v="13002561"/>
    <n v="13"/>
    <n v="22589"/>
    <s v="Retail Sale"/>
    <n v="15"/>
    <n v="19830"/>
    <x v="24"/>
    <s v="Avesta"/>
    <s v="Takeda"/>
    <n v="3"/>
    <n v="330.28"/>
    <n v="481.68"/>
    <n v="0"/>
    <n v="0"/>
    <m/>
    <n v="29"/>
    <n v="1"/>
    <n v="6"/>
    <n v="481.68"/>
    <n v="13130003781"/>
  </r>
  <r>
    <x v="20"/>
    <d v="1899-12-30T12:44:48"/>
    <n v="4782"/>
    <n v="13002561"/>
    <n v="13"/>
    <n v="22589"/>
    <s v="Retail Sale"/>
    <n v="18"/>
    <n v="78460"/>
    <x v="23"/>
    <s v="Pharmcomplect"/>
    <s v="Bayer"/>
    <n v="1"/>
    <n v="347.96"/>
    <n v="454.31"/>
    <n v="22.72"/>
    <n v="22.72"/>
    <s v="BONUS_CARD"/>
    <n v="29"/>
    <n v="1"/>
    <n v="5"/>
    <n v="431.59"/>
    <n v="13130003782"/>
  </r>
  <r>
    <x v="21"/>
    <d v="1899-12-30T22:31:55"/>
    <n v="4783"/>
    <n v="13002561"/>
    <n v="13"/>
    <n v="22589"/>
    <s v="Retail Sale"/>
    <n v="15"/>
    <n v="97714"/>
    <x v="17"/>
    <s v="Pharmcomplect"/>
    <s v="TEVA"/>
    <n v="2"/>
    <n v="423.11"/>
    <n v="582.46"/>
    <n v="58.25"/>
    <n v="58.25"/>
    <s v="BONUS_CARD"/>
    <n v="29"/>
    <n v="1"/>
    <n v="2"/>
    <n v="524.21"/>
    <n v="13130003783"/>
  </r>
  <r>
    <x v="16"/>
    <d v="1899-12-30T10:37:54"/>
    <n v="4784"/>
    <n v="13002561"/>
    <n v="13"/>
    <n v="22589"/>
    <s v="Retail Sale"/>
    <n v="15"/>
    <n v="60087"/>
    <x v="37"/>
    <s v="Protek"/>
    <s v="Dr. Reddy's"/>
    <n v="3"/>
    <n v="556.34"/>
    <n v="724.67"/>
    <n v="0"/>
    <n v="0"/>
    <m/>
    <n v="29"/>
    <n v="1"/>
    <n v="3"/>
    <n v="724.67"/>
    <n v="13130003784"/>
  </r>
  <r>
    <x v="20"/>
    <d v="1899-12-30T17:42:20"/>
    <n v="4785"/>
    <n v="13002561"/>
    <n v="13"/>
    <n v="22589"/>
    <s v="Retail Sale"/>
    <n v="18"/>
    <n v="10802"/>
    <x v="35"/>
    <s v="Pharmcomplect"/>
    <s v="TEVA"/>
    <n v="2"/>
    <n v="347.58"/>
    <n v="537.04999999999995"/>
    <n v="53.7"/>
    <n v="53.7"/>
    <s v="BONUS_CARD"/>
    <n v="29"/>
    <n v="1"/>
    <n v="1"/>
    <n v="483.35"/>
    <n v="13130003785"/>
  </r>
  <r>
    <x v="17"/>
    <d v="1899-12-30T14:17:18"/>
    <n v="4786"/>
    <n v="13002561"/>
    <n v="13"/>
    <n v="22589"/>
    <s v="Retail Sale"/>
    <n v="15"/>
    <n v="84511"/>
    <x v="23"/>
    <s v="Grand Capital"/>
    <s v="KRKA"/>
    <n v="1"/>
    <n v="521.5"/>
    <n v="744.16"/>
    <n v="37.21"/>
    <n v="37.21"/>
    <s v="BONUS_CARD"/>
    <n v="29"/>
    <n v="1"/>
    <n v="6"/>
    <n v="706.95"/>
    <n v="13130003786"/>
  </r>
  <r>
    <x v="13"/>
    <d v="1899-12-30T16:24:12"/>
    <n v="4787"/>
    <n v="13002561"/>
    <n v="13"/>
    <n v="22589"/>
    <s v="Retail Sale"/>
    <n v="15"/>
    <n v="97051"/>
    <x v="88"/>
    <s v="Avesta"/>
    <s v="Pfizer"/>
    <n v="1"/>
    <n v="209.63"/>
    <n v="281.56"/>
    <n v="28.16"/>
    <n v="28.16"/>
    <s v="BONUS_CARD"/>
    <n v="29"/>
    <n v="1"/>
    <n v="5"/>
    <n v="253.4"/>
    <n v="13130003787"/>
  </r>
  <r>
    <x v="27"/>
    <d v="1899-12-30T16:39:02"/>
    <n v="4788"/>
    <n v="13002561"/>
    <n v="13"/>
    <n v="22589"/>
    <s v="Retail Sale"/>
    <n v="15"/>
    <n v="93391"/>
    <x v="9"/>
    <s v="Protek"/>
    <s v="Sanofi"/>
    <n v="2"/>
    <n v="414.09"/>
    <n v="620.03"/>
    <n v="31"/>
    <n v="31"/>
    <s v="BONUS_CARD"/>
    <n v="29"/>
    <n v="1"/>
    <n v="2"/>
    <n v="589.03"/>
    <n v="13130003788"/>
  </r>
  <r>
    <x v="10"/>
    <d v="1899-12-30T09:42:35"/>
    <n v="4789"/>
    <n v="13002561"/>
    <n v="13"/>
    <n v="22589"/>
    <s v="Retail Sale"/>
    <n v="18"/>
    <n v="29042"/>
    <x v="45"/>
    <s v="Avesta"/>
    <s v="TEVA"/>
    <n v="3"/>
    <n v="203.42"/>
    <n v="315.01"/>
    <n v="31.5"/>
    <n v="31.5"/>
    <s v="BONUS_CARD"/>
    <n v="29"/>
    <n v="1"/>
    <n v="2"/>
    <n v="283.51"/>
    <n v="13130003789"/>
  </r>
  <r>
    <x v="18"/>
    <d v="1899-12-30T14:06:40"/>
    <n v="4790"/>
    <n v="13002561"/>
    <n v="13"/>
    <n v="22589"/>
    <s v="Retail Sale"/>
    <n v="15"/>
    <n v="16041"/>
    <x v="54"/>
    <s v="Protek"/>
    <s v="Sanofi"/>
    <n v="1"/>
    <n v="227.17"/>
    <n v="331.55"/>
    <n v="0"/>
    <n v="0"/>
    <m/>
    <n v="29"/>
    <n v="1"/>
    <n v="3"/>
    <n v="331.55"/>
    <n v="13130003790"/>
  </r>
  <r>
    <x v="21"/>
    <d v="1899-12-30T15:14:06"/>
    <n v="4791"/>
    <n v="13002561"/>
    <n v="13"/>
    <n v="22589"/>
    <s v="Retail Sale"/>
    <n v="15"/>
    <n v="15869"/>
    <x v="84"/>
    <s v="Protek"/>
    <s v="Novartis"/>
    <n v="1"/>
    <n v="131.57"/>
    <n v="168.61"/>
    <n v="0"/>
    <n v="0"/>
    <m/>
    <n v="29"/>
    <n v="1"/>
    <n v="1"/>
    <n v="168.61"/>
    <n v="13130003791"/>
  </r>
  <r>
    <x v="29"/>
    <d v="1899-12-30T21:14:53"/>
    <n v="4792"/>
    <n v="13002561"/>
    <n v="13"/>
    <n v="22589"/>
    <s v="Retail Sale"/>
    <n v="15"/>
    <n v="94895"/>
    <x v="30"/>
    <s v="Protek"/>
    <s v="Takeda"/>
    <n v="1"/>
    <n v="226.54"/>
    <n v="298.81"/>
    <n v="29.88"/>
    <n v="29.88"/>
    <s v="BONUS_CARD"/>
    <n v="29"/>
    <n v="1"/>
    <n v="3"/>
    <n v="268.93"/>
    <n v="13130003792"/>
  </r>
  <r>
    <x v="15"/>
    <d v="1899-12-30T20:16:34"/>
    <n v="4793"/>
    <n v="13002561"/>
    <n v="13"/>
    <n v="22589"/>
    <s v="Retail Sale"/>
    <n v="15"/>
    <n v="23144"/>
    <x v="84"/>
    <s v="Katren"/>
    <s v="TEVA"/>
    <n v="1"/>
    <n v="22.8"/>
    <n v="33.380000000000003"/>
    <n v="0"/>
    <n v="0"/>
    <m/>
    <n v="29"/>
    <n v="1"/>
    <n v="2"/>
    <n v="33.380000000000003"/>
    <n v="13130003793"/>
  </r>
  <r>
    <x v="5"/>
    <d v="1899-12-30T10:39:45"/>
    <n v="4794"/>
    <n v="13002561"/>
    <n v="13"/>
    <n v="22589"/>
    <s v="Retail Sale"/>
    <n v="18"/>
    <n v="60281"/>
    <x v="54"/>
    <s v="Pulse"/>
    <s v="TEVA"/>
    <n v="2"/>
    <n v="274.49"/>
    <n v="362.24"/>
    <n v="0"/>
    <n v="0"/>
    <m/>
    <n v="29"/>
    <n v="1"/>
    <n v="2"/>
    <n v="362.24"/>
    <n v="13130003794"/>
  </r>
  <r>
    <x v="4"/>
    <d v="1899-12-30T22:43:17"/>
    <n v="4795"/>
    <n v="13002561"/>
    <n v="13"/>
    <n v="22589"/>
    <s v="Retail Sale"/>
    <n v="15"/>
    <n v="81840"/>
    <x v="29"/>
    <s v="Pulse"/>
    <s v="TEVA"/>
    <n v="1"/>
    <n v="289.3"/>
    <n v="476.77"/>
    <n v="23.84"/>
    <n v="23.84"/>
    <s v="BONUS_CARD"/>
    <n v="29"/>
    <n v="1"/>
    <n v="2"/>
    <n v="452.93"/>
    <n v="13130003795"/>
  </r>
  <r>
    <x v="0"/>
    <d v="1899-12-30T16:52:38"/>
    <n v="4796"/>
    <n v="13002561"/>
    <n v="13"/>
    <n v="22589"/>
    <s v="Retail Sale"/>
    <n v="15"/>
    <n v="31465"/>
    <x v="7"/>
    <s v="Pulse"/>
    <s v="Pfizer"/>
    <n v="1"/>
    <n v="505.91"/>
    <n v="805.28"/>
    <n v="40.26"/>
    <n v="40.26"/>
    <s v="BONUS_CARD"/>
    <n v="29"/>
    <n v="1"/>
    <n v="3"/>
    <n v="765.02"/>
    <n v="13130003796"/>
  </r>
  <r>
    <x v="10"/>
    <d v="1899-12-30T13:28:11"/>
    <n v="4797"/>
    <n v="13002561"/>
    <n v="13"/>
    <n v="22589"/>
    <s v="Retail Sale"/>
    <n v="15"/>
    <n v="23279"/>
    <x v="35"/>
    <s v="Pharmcomplect"/>
    <s v="Sanofi"/>
    <n v="1"/>
    <n v="383.59"/>
    <n v="645.65"/>
    <n v="64.56"/>
    <n v="64.56"/>
    <s v="BONUS_CARD"/>
    <n v="29"/>
    <n v="1"/>
    <n v="4"/>
    <n v="581.09"/>
    <n v="13130003797"/>
  </r>
  <r>
    <x v="12"/>
    <d v="1899-12-30T11:53:18"/>
    <n v="4798"/>
    <n v="13002561"/>
    <n v="13"/>
    <n v="22589"/>
    <s v="Retail Sale"/>
    <n v="15"/>
    <n v="54348"/>
    <x v="33"/>
    <s v="Pulse"/>
    <s v="TEVA"/>
    <n v="3"/>
    <n v="573.39"/>
    <n v="741.34"/>
    <n v="0"/>
    <n v="0"/>
    <m/>
    <n v="29"/>
    <n v="1"/>
    <n v="1"/>
    <n v="741.34"/>
    <n v="13130003798"/>
  </r>
  <r>
    <x v="10"/>
    <d v="1899-12-30T12:22:14"/>
    <n v="4799"/>
    <n v="13002561"/>
    <n v="13"/>
    <n v="22589"/>
    <s v="Retail Sale"/>
    <n v="15"/>
    <n v="59572"/>
    <x v="26"/>
    <s v="Pulse"/>
    <s v="Sanofi"/>
    <n v="3"/>
    <n v="20.99"/>
    <n v="26.76"/>
    <n v="1.34"/>
    <n v="1.34"/>
    <s v="BONUS_CARD"/>
    <n v="29"/>
    <n v="1"/>
    <n v="3"/>
    <n v="25.42"/>
    <n v="13130003799"/>
  </r>
  <r>
    <x v="30"/>
    <d v="1899-12-30T22:43:27"/>
    <n v="4800"/>
    <n v="13002561"/>
    <n v="13"/>
    <n v="22589"/>
    <s v="Retail Sale"/>
    <n v="18"/>
    <n v="73618"/>
    <x v="23"/>
    <s v="Grand Capital"/>
    <s v="Novartis"/>
    <n v="3"/>
    <n v="50.73"/>
    <n v="68.08"/>
    <n v="3.4"/>
    <n v="3.4"/>
    <s v="BONUS_CARD"/>
    <n v="29"/>
    <n v="1"/>
    <n v="2"/>
    <n v="64.680000000000007"/>
    <n v="13130003800"/>
  </r>
  <r>
    <x v="25"/>
    <d v="1899-12-30T17:17:22"/>
    <n v="4801"/>
    <n v="13002561"/>
    <n v="13"/>
    <n v="22589"/>
    <s v="Retail Sale"/>
    <n v="18"/>
    <n v="32875"/>
    <x v="14"/>
    <s v="Avesta"/>
    <s v="Takeda"/>
    <n v="1"/>
    <n v="193.39"/>
    <n v="317.26"/>
    <n v="15.86"/>
    <n v="15.86"/>
    <s v="BONUS_CARD"/>
    <n v="29"/>
    <n v="1"/>
    <n v="4"/>
    <n v="301.39999999999998"/>
    <n v="13130003801"/>
  </r>
  <r>
    <x v="19"/>
    <d v="1899-12-30T15:39:50"/>
    <n v="4802"/>
    <n v="13002561"/>
    <n v="13"/>
    <n v="22589"/>
    <s v="Retail Sale"/>
    <n v="15"/>
    <n v="15403"/>
    <x v="65"/>
    <s v="Pulse"/>
    <s v="Bayer"/>
    <n v="2"/>
    <n v="26.54"/>
    <n v="39.770000000000003"/>
    <n v="3.98"/>
    <n v="3.98"/>
    <s v="BONUS_CARD"/>
    <n v="29"/>
    <n v="1"/>
    <n v="2"/>
    <n v="35.79"/>
    <n v="13130003802"/>
  </r>
  <r>
    <x v="6"/>
    <d v="1899-12-30T21:54:09"/>
    <n v="4803"/>
    <n v="13002561"/>
    <n v="13"/>
    <n v="22589"/>
    <s v="Retail Sale"/>
    <n v="18"/>
    <n v="95256"/>
    <x v="52"/>
    <s v="Katren"/>
    <s v="KRKA"/>
    <n v="2"/>
    <n v="457.33"/>
    <n v="589.87"/>
    <n v="29.49"/>
    <n v="29.49"/>
    <s v="BONUS_CARD"/>
    <n v="29"/>
    <n v="1"/>
    <n v="2"/>
    <n v="560.38"/>
    <n v="13130003803"/>
  </r>
  <r>
    <x v="25"/>
    <d v="1899-12-30T10:09:51"/>
    <n v="4804"/>
    <n v="13002561"/>
    <n v="13"/>
    <n v="22589"/>
    <s v="Retail Sale"/>
    <n v="15"/>
    <n v="57799"/>
    <x v="26"/>
    <s v="Avesta"/>
    <s v="Takeda"/>
    <n v="3"/>
    <n v="301.54000000000002"/>
    <n v="468.27"/>
    <n v="23.41"/>
    <n v="23.41"/>
    <s v="BONUS_CARD"/>
    <n v="29"/>
    <n v="1"/>
    <n v="5"/>
    <n v="444.86"/>
    <n v="13130003804"/>
  </r>
  <r>
    <x v="27"/>
    <d v="1899-12-30T19:33:50"/>
    <n v="4805"/>
    <n v="13002561"/>
    <n v="13"/>
    <n v="22589"/>
    <s v="Retail Sale"/>
    <n v="15"/>
    <n v="11372"/>
    <x v="18"/>
    <s v="Pulse"/>
    <s v="TEVA"/>
    <n v="3"/>
    <n v="383.07"/>
    <n v="632.69000000000005"/>
    <n v="0"/>
    <n v="0"/>
    <m/>
    <n v="29"/>
    <n v="1"/>
    <n v="4"/>
    <n v="632.69000000000005"/>
    <n v="13130003805"/>
  </r>
  <r>
    <x v="13"/>
    <d v="1899-12-30T15:26:41"/>
    <n v="4806"/>
    <n v="13002561"/>
    <n v="13"/>
    <n v="22589"/>
    <s v="Retail Sale"/>
    <n v="15"/>
    <n v="78675"/>
    <x v="69"/>
    <s v="Pulse"/>
    <s v="TEVA"/>
    <n v="3"/>
    <n v="148.26"/>
    <n v="240.3"/>
    <n v="24.03"/>
    <n v="24.03"/>
    <s v="BONUS_CARD"/>
    <n v="29"/>
    <n v="1"/>
    <n v="1"/>
    <n v="216.27"/>
    <n v="13130003806"/>
  </r>
  <r>
    <x v="2"/>
    <d v="1899-12-30T09:30:07"/>
    <n v="4807"/>
    <n v="13002561"/>
    <n v="13"/>
    <n v="22589"/>
    <s v="Retail Sale"/>
    <n v="18"/>
    <n v="12799"/>
    <x v="34"/>
    <s v="Protek"/>
    <s v="Pfizer"/>
    <n v="2"/>
    <n v="453.29"/>
    <n v="725.66"/>
    <n v="0"/>
    <n v="0"/>
    <m/>
    <n v="29"/>
    <n v="1"/>
    <n v="3"/>
    <n v="725.66"/>
    <n v="13130003807"/>
  </r>
  <r>
    <x v="18"/>
    <d v="1899-12-30T18:42:21"/>
    <n v="4808"/>
    <n v="13002561"/>
    <n v="13"/>
    <n v="22589"/>
    <s v="Retail Sale"/>
    <n v="15"/>
    <n v="40925"/>
    <x v="78"/>
    <s v="Protek"/>
    <s v="KRKA"/>
    <n v="2"/>
    <n v="90.49"/>
    <n v="124.01"/>
    <n v="0"/>
    <n v="0"/>
    <m/>
    <n v="29"/>
    <n v="1"/>
    <n v="1"/>
    <n v="124.01"/>
    <n v="13130003808"/>
  </r>
  <r>
    <x v="14"/>
    <d v="1899-12-30T09:15:04"/>
    <n v="4809"/>
    <n v="13002561"/>
    <n v="13"/>
    <n v="22589"/>
    <s v="Retail Sale"/>
    <n v="18"/>
    <n v="65026"/>
    <x v="84"/>
    <s v="Katren"/>
    <s v="Bayer"/>
    <n v="1"/>
    <n v="503.38"/>
    <n v="755.88"/>
    <n v="0"/>
    <n v="0"/>
    <m/>
    <n v="29"/>
    <n v="1"/>
    <n v="1"/>
    <n v="755.88"/>
    <n v="13130003809"/>
  </r>
  <r>
    <x v="6"/>
    <d v="1899-12-30T17:01:11"/>
    <n v="4810"/>
    <n v="13002561"/>
    <n v="13"/>
    <n v="22589"/>
    <s v="Retail Sale"/>
    <n v="18"/>
    <n v="28846"/>
    <x v="65"/>
    <s v="Pharmcomplect"/>
    <s v="Pfizer"/>
    <n v="1"/>
    <n v="331.13"/>
    <n v="507.61"/>
    <n v="25.38"/>
    <n v="25.38"/>
    <s v="BONUS_CARD"/>
    <n v="29"/>
    <n v="1"/>
    <n v="4"/>
    <n v="482.23"/>
    <n v="13130003810"/>
  </r>
  <r>
    <x v="12"/>
    <d v="1899-12-30T21:25:33"/>
    <n v="4811"/>
    <n v="13002561"/>
    <n v="13"/>
    <n v="22589"/>
    <s v="Retail Sale"/>
    <n v="18"/>
    <n v="95475"/>
    <x v="17"/>
    <s v="Avesta"/>
    <s v="Bayer"/>
    <n v="3"/>
    <n v="555.37"/>
    <n v="708.82"/>
    <n v="0"/>
    <n v="0"/>
    <m/>
    <n v="29"/>
    <n v="1"/>
    <n v="2"/>
    <n v="708.82"/>
    <n v="13130003811"/>
  </r>
  <r>
    <x v="9"/>
    <d v="1899-12-30T11:51:29"/>
    <n v="4812"/>
    <n v="13002561"/>
    <n v="13"/>
    <n v="22589"/>
    <s v="Retail Sale"/>
    <n v="18"/>
    <n v="21435"/>
    <x v="82"/>
    <s v="Pulse"/>
    <s v="Dr. Reddy's"/>
    <n v="1"/>
    <n v="454.63"/>
    <n v="611.73"/>
    <n v="61.17"/>
    <n v="61.17"/>
    <s v="BONUS_CARD"/>
    <n v="29"/>
    <n v="1"/>
    <n v="4"/>
    <n v="550.55999999999995"/>
    <n v="13130003812"/>
  </r>
  <r>
    <x v="14"/>
    <d v="1899-12-30T11:34:07"/>
    <n v="4813"/>
    <n v="13002561"/>
    <n v="13"/>
    <n v="22589"/>
    <s v="Retail Sale"/>
    <n v="18"/>
    <n v="33203"/>
    <x v="12"/>
    <s v="Protek"/>
    <s v="Dr. Reddy's"/>
    <n v="1"/>
    <n v="318.62"/>
    <n v="467.4"/>
    <n v="23.37"/>
    <n v="23.37"/>
    <s v="BONUS_CARD"/>
    <n v="29"/>
    <n v="1"/>
    <n v="1"/>
    <n v="444.03"/>
    <n v="13130003813"/>
  </r>
  <r>
    <x v="14"/>
    <d v="1899-12-30T11:19:04"/>
    <n v="4814"/>
    <n v="13002561"/>
    <n v="13"/>
    <n v="22589"/>
    <s v="Retail Sale"/>
    <n v="18"/>
    <n v="71057"/>
    <x v="63"/>
    <s v="Grand Capital"/>
    <s v="Pfizer"/>
    <n v="2"/>
    <n v="139.11000000000001"/>
    <n v="186.89"/>
    <n v="18.690000000000001"/>
    <n v="18.690000000000001"/>
    <s v="BONUS_CARD"/>
    <n v="29"/>
    <n v="1"/>
    <n v="2"/>
    <n v="168.2"/>
    <n v="13130003814"/>
  </r>
  <r>
    <x v="28"/>
    <d v="1899-12-30T17:09:51"/>
    <n v="4815"/>
    <n v="13002561"/>
    <n v="13"/>
    <n v="22589"/>
    <s v="Retail Sale"/>
    <n v="18"/>
    <n v="62594"/>
    <x v="74"/>
    <s v="Avesta"/>
    <s v="Takeda"/>
    <n v="2"/>
    <n v="71.78"/>
    <n v="104.27"/>
    <n v="5.21"/>
    <n v="5.21"/>
    <s v="BONUS_CARD"/>
    <n v="29"/>
    <n v="1"/>
    <n v="1"/>
    <n v="99.06"/>
    <n v="13130003815"/>
  </r>
  <r>
    <x v="29"/>
    <d v="1899-12-30T22:48:23"/>
    <n v="4816"/>
    <n v="13002561"/>
    <n v="13"/>
    <n v="22589"/>
    <s v="Retail Sale"/>
    <n v="18"/>
    <n v="97987"/>
    <x v="32"/>
    <s v="Pharmcomplect"/>
    <s v="Dr. Reddy's"/>
    <n v="2"/>
    <n v="297.79000000000002"/>
    <n v="398.47"/>
    <n v="39.85"/>
    <n v="39.85"/>
    <s v="BONUS_CARD"/>
    <n v="29"/>
    <n v="1"/>
    <n v="6"/>
    <n v="358.62"/>
    <n v="13130003816"/>
  </r>
  <r>
    <x v="26"/>
    <d v="1899-12-30T13:14:27"/>
    <n v="4817"/>
    <n v="13002561"/>
    <n v="13"/>
    <n v="22589"/>
    <s v="Retail Sale"/>
    <n v="18"/>
    <n v="86736"/>
    <x v="46"/>
    <s v="Pharmcomplect"/>
    <s v="Bayer"/>
    <n v="3"/>
    <n v="582.86"/>
    <n v="936.61"/>
    <n v="0"/>
    <n v="0"/>
    <m/>
    <n v="29"/>
    <n v="1"/>
    <n v="5"/>
    <n v="936.61"/>
    <n v="13130003817"/>
  </r>
  <r>
    <x v="28"/>
    <d v="1899-12-30T21:17:39"/>
    <n v="4818"/>
    <n v="13002561"/>
    <n v="13"/>
    <n v="22589"/>
    <s v="Retail Sale"/>
    <n v="15"/>
    <n v="53133"/>
    <x v="11"/>
    <s v="Grand Capital"/>
    <s v="Pfizer"/>
    <n v="1"/>
    <n v="489.32"/>
    <n v="827.98"/>
    <n v="82.8"/>
    <n v="82.8"/>
    <s v="BONUS_CARD"/>
    <n v="29"/>
    <n v="1"/>
    <n v="6"/>
    <n v="745.18"/>
    <n v="13130003818"/>
  </r>
  <r>
    <x v="0"/>
    <d v="1899-12-30T19:56:38"/>
    <n v="4819"/>
    <n v="13002561"/>
    <n v="13"/>
    <n v="22589"/>
    <s v="Retail Sale"/>
    <n v="18"/>
    <n v="44674"/>
    <x v="27"/>
    <s v="Katren"/>
    <s v="Novartis"/>
    <n v="2"/>
    <n v="285.33"/>
    <n v="463.2"/>
    <n v="46.32"/>
    <n v="46.32"/>
    <s v="BONUS_CARD"/>
    <n v="29"/>
    <n v="1"/>
    <n v="1"/>
    <n v="416.88"/>
    <n v="13130003819"/>
  </r>
  <r>
    <x v="22"/>
    <d v="1899-12-30T18:13:00"/>
    <n v="4820"/>
    <n v="13002561"/>
    <n v="13"/>
    <n v="22589"/>
    <s v="Retail Sale"/>
    <n v="18"/>
    <n v="36104"/>
    <x v="55"/>
    <s v="Avesta"/>
    <s v="Dr. Reddy's"/>
    <n v="1"/>
    <n v="576.82000000000005"/>
    <n v="801.25"/>
    <n v="0"/>
    <n v="0"/>
    <m/>
    <n v="29"/>
    <n v="1"/>
    <n v="5"/>
    <n v="801.25"/>
    <n v="13130003820"/>
  </r>
  <r>
    <x v="0"/>
    <d v="1899-12-30T18:44:42"/>
    <n v="4821"/>
    <n v="13002561"/>
    <n v="13"/>
    <n v="22589"/>
    <s v="Retail Sale"/>
    <n v="15"/>
    <n v="83376"/>
    <x v="48"/>
    <s v="Protek"/>
    <s v="Bayer"/>
    <n v="1"/>
    <n v="187.77"/>
    <n v="249.01"/>
    <n v="0"/>
    <n v="0"/>
    <m/>
    <n v="29"/>
    <n v="1"/>
    <n v="2"/>
    <n v="249.01"/>
    <n v="13130003821"/>
  </r>
  <r>
    <x v="6"/>
    <d v="1899-12-30T15:20:35"/>
    <n v="4822"/>
    <n v="13002561"/>
    <n v="13"/>
    <n v="22589"/>
    <s v="Retail Sale"/>
    <n v="18"/>
    <n v="19517"/>
    <x v="26"/>
    <s v="Protek"/>
    <s v="Pfizer"/>
    <n v="3"/>
    <n v="52.64"/>
    <n v="77.16"/>
    <n v="3.86"/>
    <n v="3.86"/>
    <s v="BONUS_CARD"/>
    <n v="29"/>
    <n v="1"/>
    <n v="1"/>
    <n v="73.3"/>
    <n v="13130003822"/>
  </r>
  <r>
    <x v="18"/>
    <d v="1899-12-30T10:00:09"/>
    <n v="4823"/>
    <n v="13002561"/>
    <n v="13"/>
    <n v="22589"/>
    <s v="Retail Sale"/>
    <n v="15"/>
    <n v="98599"/>
    <x v="82"/>
    <s v="Pharmcomplect"/>
    <s v="Sanofi"/>
    <n v="1"/>
    <n v="471.14"/>
    <n v="710.84"/>
    <n v="71.08"/>
    <n v="71.08"/>
    <s v="BONUS_CARD"/>
    <n v="29"/>
    <n v="1"/>
    <n v="2"/>
    <n v="639.76"/>
    <n v="13130003823"/>
  </r>
  <r>
    <x v="15"/>
    <d v="1899-12-30T17:07:32"/>
    <n v="4824"/>
    <n v="13002561"/>
    <n v="13"/>
    <n v="22589"/>
    <s v="Retail Sale"/>
    <n v="18"/>
    <n v="84911"/>
    <x v="2"/>
    <s v="Katren"/>
    <s v="KRKA"/>
    <n v="3"/>
    <n v="542.08000000000004"/>
    <n v="748.86"/>
    <n v="74.89"/>
    <n v="74.89"/>
    <s v="BONUS_CARD"/>
    <n v="29"/>
    <n v="1"/>
    <n v="5"/>
    <n v="673.97"/>
    <n v="13130003824"/>
  </r>
  <r>
    <x v="30"/>
    <d v="1899-12-30T18:09:44"/>
    <n v="4825"/>
    <n v="13002561"/>
    <n v="13"/>
    <n v="22589"/>
    <s v="Retail Sale"/>
    <n v="15"/>
    <n v="54359"/>
    <x v="28"/>
    <s v="Pulse"/>
    <s v="Bayer"/>
    <n v="2"/>
    <n v="302.11"/>
    <n v="502.75"/>
    <n v="50.28"/>
    <n v="50.28"/>
    <s v="BONUS_CARD"/>
    <n v="29"/>
    <n v="1"/>
    <n v="3"/>
    <n v="452.47"/>
    <n v="13130003825"/>
  </r>
  <r>
    <x v="6"/>
    <d v="1899-12-30T13:39:41"/>
    <n v="4826"/>
    <n v="13002561"/>
    <n v="13"/>
    <n v="22589"/>
    <s v="Retail Sale"/>
    <n v="15"/>
    <n v="98103"/>
    <x v="40"/>
    <s v="Grand Capital"/>
    <s v="Takeda"/>
    <n v="2"/>
    <n v="28.31"/>
    <n v="40.79"/>
    <n v="2.04"/>
    <n v="2.04"/>
    <s v="BONUS_CARD"/>
    <n v="29"/>
    <n v="1"/>
    <n v="5"/>
    <n v="38.75"/>
    <n v="13130003826"/>
  </r>
  <r>
    <x v="2"/>
    <d v="1899-12-30T17:07:28"/>
    <n v="4827"/>
    <n v="13002561"/>
    <n v="13"/>
    <n v="22589"/>
    <s v="Retail Sale"/>
    <n v="15"/>
    <n v="22493"/>
    <x v="62"/>
    <s v="Avesta"/>
    <s v="Takeda"/>
    <n v="2"/>
    <n v="48.55"/>
    <n v="80.05"/>
    <n v="4"/>
    <n v="4"/>
    <s v="BONUS_CARD"/>
    <n v="29"/>
    <n v="1"/>
    <n v="1"/>
    <n v="76.05"/>
    <n v="13130003827"/>
  </r>
  <r>
    <x v="2"/>
    <d v="1899-12-30T18:51:21"/>
    <n v="4828"/>
    <n v="13002561"/>
    <n v="13"/>
    <n v="22589"/>
    <s v="Retail Sale"/>
    <n v="15"/>
    <n v="85305"/>
    <x v="67"/>
    <s v="Grand Capital"/>
    <s v="Takeda"/>
    <n v="2"/>
    <n v="500.61"/>
    <n v="720.82"/>
    <n v="72.08"/>
    <n v="72.08"/>
    <s v="BONUS_CARD"/>
    <n v="29"/>
    <n v="1"/>
    <n v="5"/>
    <n v="648.74"/>
    <n v="13130003828"/>
  </r>
  <r>
    <x v="14"/>
    <d v="1899-12-30T18:32:10"/>
    <n v="4829"/>
    <n v="13002561"/>
    <n v="13"/>
    <n v="22589"/>
    <s v="Retail Sale"/>
    <n v="18"/>
    <n v="72004"/>
    <x v="59"/>
    <s v="Pulse"/>
    <s v="KRKA"/>
    <n v="3"/>
    <n v="590.38"/>
    <n v="921.91"/>
    <n v="92.19"/>
    <n v="92.19"/>
    <s v="BONUS_CARD"/>
    <n v="29"/>
    <n v="1"/>
    <n v="2"/>
    <n v="829.72"/>
    <n v="13130003829"/>
  </r>
  <r>
    <x v="13"/>
    <d v="1899-12-30T08:27:49"/>
    <n v="4830"/>
    <n v="13002561"/>
    <n v="13"/>
    <n v="22589"/>
    <s v="Retail Sale"/>
    <n v="18"/>
    <n v="87831"/>
    <x v="21"/>
    <s v="Katren"/>
    <s v="KRKA"/>
    <n v="1"/>
    <n v="181.41"/>
    <n v="255.17"/>
    <n v="0"/>
    <n v="0"/>
    <m/>
    <n v="29"/>
    <n v="1"/>
    <n v="5"/>
    <n v="255.17"/>
    <n v="13130003830"/>
  </r>
  <r>
    <x v="15"/>
    <d v="1899-12-30T14:49:09"/>
    <n v="4831"/>
    <n v="13002561"/>
    <n v="13"/>
    <n v="22589"/>
    <s v="Retail Sale"/>
    <n v="15"/>
    <n v="95024"/>
    <x v="80"/>
    <s v="Pulse"/>
    <s v="Bayer"/>
    <n v="1"/>
    <n v="130.21"/>
    <n v="173.76"/>
    <n v="8.69"/>
    <n v="8.69"/>
    <s v="BONUS_CARD"/>
    <n v="29"/>
    <n v="1"/>
    <n v="5"/>
    <n v="165.07"/>
    <n v="13130003831"/>
  </r>
  <r>
    <x v="21"/>
    <d v="1899-12-30T14:42:08"/>
    <n v="4832"/>
    <n v="13002561"/>
    <n v="13"/>
    <n v="22589"/>
    <s v="Retail Sale"/>
    <n v="18"/>
    <n v="69614"/>
    <x v="88"/>
    <s v="Avesta"/>
    <s v="TEVA"/>
    <n v="2"/>
    <n v="297.8"/>
    <n v="403.44"/>
    <n v="20.170000000000002"/>
    <n v="20.170000000000002"/>
    <s v="BONUS_CARD"/>
    <n v="29"/>
    <n v="1"/>
    <n v="3"/>
    <n v="383.27"/>
    <n v="13130003832"/>
  </r>
  <r>
    <x v="30"/>
    <d v="1899-12-30T20:26:47"/>
    <n v="4833"/>
    <n v="13002561"/>
    <n v="13"/>
    <n v="22589"/>
    <s v="Retail Sale"/>
    <n v="15"/>
    <n v="77855"/>
    <x v="26"/>
    <s v="Katren"/>
    <s v="Takeda"/>
    <n v="3"/>
    <n v="263.86"/>
    <n v="387.16"/>
    <n v="0"/>
    <n v="0"/>
    <m/>
    <n v="29"/>
    <n v="1"/>
    <n v="6"/>
    <n v="387.16"/>
    <n v="13130003833"/>
  </r>
  <r>
    <x v="1"/>
    <d v="1899-12-30T09:05:15"/>
    <n v="4834"/>
    <n v="13002561"/>
    <n v="13"/>
    <n v="22589"/>
    <s v="Retail Sale"/>
    <n v="18"/>
    <n v="97838"/>
    <x v="61"/>
    <s v="Grand Capital"/>
    <s v="KRKA"/>
    <n v="1"/>
    <n v="195.68"/>
    <n v="326.82"/>
    <n v="16.34"/>
    <n v="16.34"/>
    <s v="BONUS_CARD"/>
    <n v="29"/>
    <n v="1"/>
    <n v="2"/>
    <n v="310.48"/>
    <n v="13130003834"/>
  </r>
  <r>
    <x v="11"/>
    <d v="1899-12-30T14:59:42"/>
    <n v="4835"/>
    <n v="13002561"/>
    <n v="13"/>
    <n v="22589"/>
    <s v="Retail Sale"/>
    <n v="15"/>
    <n v="98136"/>
    <x v="79"/>
    <s v="Protek"/>
    <s v="TEVA"/>
    <n v="2"/>
    <n v="243.42"/>
    <n v="393.56"/>
    <n v="0"/>
    <n v="0"/>
    <m/>
    <n v="29"/>
    <n v="1"/>
    <n v="1"/>
    <n v="393.56"/>
    <n v="13130003835"/>
  </r>
  <r>
    <x v="24"/>
    <d v="1899-12-30T16:37:44"/>
    <n v="4836"/>
    <n v="13002561"/>
    <n v="13"/>
    <n v="22589"/>
    <s v="Retail Sale"/>
    <n v="15"/>
    <n v="80165"/>
    <x v="27"/>
    <s v="Protek"/>
    <s v="Bayer"/>
    <n v="2"/>
    <n v="22.43"/>
    <n v="35.799999999999997"/>
    <n v="1.79"/>
    <n v="1.79"/>
    <s v="BONUS_CARD"/>
    <n v="29"/>
    <n v="1"/>
    <n v="4"/>
    <n v="34.01"/>
    <n v="13130003836"/>
  </r>
  <r>
    <x v="8"/>
    <d v="1899-12-30T10:43:12"/>
    <n v="4837"/>
    <n v="13002561"/>
    <n v="13"/>
    <n v="22589"/>
    <s v="Retail Sale"/>
    <n v="18"/>
    <n v="13890"/>
    <x v="34"/>
    <s v="Grand Capital"/>
    <s v="Sanofi"/>
    <n v="1"/>
    <n v="297.62"/>
    <n v="421.91"/>
    <n v="42.19"/>
    <n v="42.19"/>
    <s v="BONUS_CARD"/>
    <n v="29"/>
    <n v="1"/>
    <n v="2"/>
    <n v="379.72"/>
    <n v="13130003837"/>
  </r>
  <r>
    <x v="18"/>
    <d v="1899-12-30T21:50:36"/>
    <n v="4838"/>
    <n v="13002561"/>
    <n v="13"/>
    <n v="22589"/>
    <s v="Retail Sale"/>
    <n v="15"/>
    <n v="36240"/>
    <x v="35"/>
    <s v="Pharmcomplect"/>
    <s v="Pfizer"/>
    <n v="3"/>
    <n v="5.93"/>
    <n v="8.77"/>
    <n v="0"/>
    <n v="0"/>
    <m/>
    <n v="29"/>
    <n v="1"/>
    <n v="5"/>
    <n v="8.77"/>
    <n v="13130003838"/>
  </r>
  <r>
    <x v="12"/>
    <d v="1899-12-30T17:29:57"/>
    <n v="4839"/>
    <n v="13002561"/>
    <n v="13"/>
    <n v="22589"/>
    <s v="Retail Sale"/>
    <n v="18"/>
    <n v="98114"/>
    <x v="16"/>
    <s v="Avesta"/>
    <s v="TEVA"/>
    <n v="3"/>
    <n v="184.79"/>
    <n v="278.23"/>
    <n v="27.82"/>
    <n v="27.82"/>
    <s v="BONUS_CARD"/>
    <n v="29"/>
    <n v="1"/>
    <n v="1"/>
    <n v="250.41"/>
    <n v="13130003839"/>
  </r>
  <r>
    <x v="23"/>
    <d v="1899-12-30T13:42:40"/>
    <n v="4840"/>
    <n v="13002561"/>
    <n v="13"/>
    <n v="22589"/>
    <s v="Retail Sale"/>
    <n v="18"/>
    <n v="29320"/>
    <x v="72"/>
    <s v="Avesta"/>
    <s v="Takeda"/>
    <n v="3"/>
    <n v="55.08"/>
    <n v="87.75"/>
    <n v="4.3899999999999997"/>
    <n v="4.3899999999999997"/>
    <s v="BONUS_CARD"/>
    <n v="29"/>
    <n v="1"/>
    <n v="1"/>
    <n v="83.36"/>
    <n v="13130003840"/>
  </r>
  <r>
    <x v="11"/>
    <d v="1899-12-30T21:46:01"/>
    <n v="4841"/>
    <n v="13002561"/>
    <n v="13"/>
    <n v="22589"/>
    <s v="Retail Sale"/>
    <n v="15"/>
    <n v="78998"/>
    <x v="74"/>
    <s v="Pharmcomplect"/>
    <s v="Pfizer"/>
    <n v="1"/>
    <n v="102.61"/>
    <n v="129.02000000000001"/>
    <n v="0"/>
    <n v="0"/>
    <m/>
    <n v="29"/>
    <n v="1"/>
    <n v="2"/>
    <n v="129.02000000000001"/>
    <n v="13130003841"/>
  </r>
  <r>
    <x v="9"/>
    <d v="1899-12-30T11:46:04"/>
    <n v="4842"/>
    <n v="13002561"/>
    <n v="13"/>
    <n v="22589"/>
    <s v="Retail Sale"/>
    <n v="15"/>
    <n v="61258"/>
    <x v="66"/>
    <s v="Grand Capital"/>
    <s v="Dr. Reddy's"/>
    <n v="1"/>
    <n v="76.19"/>
    <n v="116.3"/>
    <n v="5.82"/>
    <n v="5.82"/>
    <s v="BONUS_CARD"/>
    <n v="29"/>
    <n v="1"/>
    <n v="6"/>
    <n v="110.48"/>
    <n v="13130003842"/>
  </r>
  <r>
    <x v="20"/>
    <d v="1899-12-30T15:00:00"/>
    <n v="4843"/>
    <n v="13002561"/>
    <n v="13"/>
    <n v="22589"/>
    <s v="Retail Sale"/>
    <n v="15"/>
    <n v="11885"/>
    <x v="6"/>
    <s v="Avesta"/>
    <s v="Dr. Reddy's"/>
    <n v="1"/>
    <n v="583.70000000000005"/>
    <n v="853.63"/>
    <n v="85.36"/>
    <n v="85.36"/>
    <s v="BONUS_CARD"/>
    <n v="29"/>
    <n v="1"/>
    <n v="5"/>
    <n v="768.27"/>
    <n v="13130003843"/>
  </r>
  <r>
    <x v="18"/>
    <d v="1899-12-30T17:46:36"/>
    <n v="4844"/>
    <n v="13002561"/>
    <n v="13"/>
    <n v="22589"/>
    <s v="Retail Sale"/>
    <n v="15"/>
    <n v="67357"/>
    <x v="2"/>
    <s v="Avesta"/>
    <s v="TEVA"/>
    <n v="2"/>
    <n v="199.39"/>
    <n v="308.44"/>
    <n v="0"/>
    <n v="0"/>
    <m/>
    <n v="29"/>
    <n v="1"/>
    <n v="3"/>
    <n v="308.44"/>
    <n v="13130003844"/>
  </r>
  <r>
    <x v="4"/>
    <d v="1899-12-30T22:02:50"/>
    <n v="4845"/>
    <n v="13002561"/>
    <n v="13"/>
    <n v="22589"/>
    <s v="Retail Sale"/>
    <n v="18"/>
    <n v="12564"/>
    <x v="15"/>
    <s v="Katren"/>
    <s v="Bayer"/>
    <n v="3"/>
    <n v="17.399999999999999"/>
    <n v="24.55"/>
    <n v="1.23"/>
    <n v="1.23"/>
    <s v="BONUS_CARD"/>
    <n v="29"/>
    <n v="1"/>
    <n v="3"/>
    <n v="23.32"/>
    <n v="13130003845"/>
  </r>
  <r>
    <x v="30"/>
    <d v="1899-12-30T15:52:27"/>
    <n v="4846"/>
    <n v="13002561"/>
    <n v="13"/>
    <n v="22589"/>
    <s v="Retail Sale"/>
    <n v="18"/>
    <n v="46804"/>
    <x v="2"/>
    <s v="Pharmcomplect"/>
    <s v="Sanofi"/>
    <n v="1"/>
    <n v="25.99"/>
    <n v="41.95"/>
    <n v="2.1"/>
    <n v="2.1"/>
    <s v="BONUS_CARD"/>
    <n v="29"/>
    <n v="1"/>
    <n v="5"/>
    <n v="39.85"/>
    <n v="13130003846"/>
  </r>
  <r>
    <x v="22"/>
    <d v="1899-12-30T10:24:16"/>
    <n v="4847"/>
    <n v="13002561"/>
    <n v="13"/>
    <n v="22589"/>
    <s v="Retail Sale"/>
    <n v="15"/>
    <n v="59336"/>
    <x v="68"/>
    <s v="Protek"/>
    <s v="TEVA"/>
    <n v="3"/>
    <n v="225.88"/>
    <n v="304.31"/>
    <n v="15.22"/>
    <n v="15.22"/>
    <s v="BONUS_CARD"/>
    <n v="29"/>
    <n v="1"/>
    <n v="3"/>
    <n v="289.08999999999997"/>
    <n v="13130003847"/>
  </r>
  <r>
    <x v="18"/>
    <d v="1899-12-30T19:39:55"/>
    <n v="4848"/>
    <n v="13002561"/>
    <n v="13"/>
    <n v="22589"/>
    <s v="Retail Sale"/>
    <n v="15"/>
    <n v="16261"/>
    <x v="43"/>
    <s v="Protek"/>
    <s v="KRKA"/>
    <n v="3"/>
    <n v="314.95"/>
    <n v="485.55"/>
    <n v="48.56"/>
    <n v="48.56"/>
    <s v="BONUS_CARD"/>
    <n v="29"/>
    <n v="1"/>
    <n v="5"/>
    <n v="436.99"/>
    <n v="13130003848"/>
  </r>
  <r>
    <x v="8"/>
    <d v="1899-12-30T10:23:45"/>
    <n v="4849"/>
    <n v="13002561"/>
    <n v="13"/>
    <n v="22589"/>
    <s v="Retail Sale"/>
    <n v="15"/>
    <n v="89027"/>
    <x v="42"/>
    <s v="Protek"/>
    <s v="Sanofi"/>
    <n v="2"/>
    <n v="516.89"/>
    <n v="801.17"/>
    <n v="40.06"/>
    <n v="40.06"/>
    <s v="BONUS_CARD"/>
    <n v="29"/>
    <n v="1"/>
    <n v="4"/>
    <n v="761.11"/>
    <n v="13130003849"/>
  </r>
  <r>
    <x v="9"/>
    <d v="1899-12-30T22:02:00"/>
    <n v="4850"/>
    <n v="13002561"/>
    <n v="13"/>
    <n v="22589"/>
    <s v="Retail Sale"/>
    <n v="18"/>
    <n v="23989"/>
    <x v="38"/>
    <s v="Grand Capital"/>
    <s v="Pfizer"/>
    <n v="1"/>
    <n v="474.38"/>
    <n v="689.42"/>
    <n v="0"/>
    <n v="0"/>
    <m/>
    <n v="29"/>
    <n v="1"/>
    <n v="2"/>
    <n v="689.42"/>
    <n v="13130003850"/>
  </r>
  <r>
    <x v="5"/>
    <d v="1899-12-30T08:52:23"/>
    <n v="4851"/>
    <n v="13002561"/>
    <n v="13"/>
    <n v="22589"/>
    <s v="Retail Sale"/>
    <n v="18"/>
    <n v="84207"/>
    <x v="26"/>
    <s v="Protek"/>
    <s v="Takeda"/>
    <n v="2"/>
    <n v="483.44"/>
    <n v="696.13"/>
    <n v="0"/>
    <n v="0"/>
    <m/>
    <n v="29"/>
    <n v="1"/>
    <n v="5"/>
    <n v="696.13"/>
    <n v="13130003851"/>
  </r>
  <r>
    <x v="3"/>
    <d v="1899-12-30T13:43:04"/>
    <n v="4852"/>
    <n v="13002561"/>
    <n v="13"/>
    <n v="22589"/>
    <s v="Retail Sale"/>
    <n v="15"/>
    <n v="70321"/>
    <x v="38"/>
    <s v="Avesta"/>
    <s v="Pfizer"/>
    <n v="3"/>
    <n v="216.86"/>
    <n v="315.19"/>
    <n v="31.52"/>
    <n v="31.52"/>
    <s v="BONUS_CARD"/>
    <n v="29"/>
    <n v="1"/>
    <n v="5"/>
    <n v="283.67"/>
    <n v="13130003852"/>
  </r>
  <r>
    <x v="20"/>
    <d v="1899-12-30T12:06:01"/>
    <n v="4853"/>
    <n v="13002561"/>
    <n v="13"/>
    <n v="22589"/>
    <s v="Retail Sale"/>
    <n v="18"/>
    <n v="53547"/>
    <x v="54"/>
    <s v="Pharmcomplect"/>
    <s v="Novartis"/>
    <n v="1"/>
    <n v="113.34"/>
    <n v="187.36"/>
    <n v="9.3699999999999992"/>
    <n v="9.3699999999999992"/>
    <s v="BONUS_CARD"/>
    <n v="29"/>
    <n v="1"/>
    <n v="1"/>
    <n v="177.99"/>
    <n v="13130003853"/>
  </r>
  <r>
    <x v="18"/>
    <d v="1899-12-30T20:47:48"/>
    <n v="4854"/>
    <n v="13002561"/>
    <n v="13"/>
    <n v="22589"/>
    <s v="Retail Sale"/>
    <n v="18"/>
    <n v="63747"/>
    <x v="35"/>
    <s v="Protek"/>
    <s v="TEVA"/>
    <n v="3"/>
    <n v="319.54000000000002"/>
    <n v="464.92"/>
    <n v="23.25"/>
    <n v="23.25"/>
    <s v="BONUS_CARD"/>
    <n v="29"/>
    <n v="1"/>
    <n v="2"/>
    <n v="441.67"/>
    <n v="13130003854"/>
  </r>
  <r>
    <x v="28"/>
    <d v="1899-12-30T16:00:10"/>
    <n v="4855"/>
    <n v="13002561"/>
    <n v="13"/>
    <n v="22589"/>
    <s v="Retail Sale"/>
    <n v="18"/>
    <n v="98935"/>
    <x v="12"/>
    <s v="Grand Capital"/>
    <s v="Bayer"/>
    <n v="3"/>
    <n v="191.5"/>
    <n v="285.82"/>
    <n v="28.58"/>
    <n v="28.58"/>
    <s v="BONUS_CARD"/>
    <n v="29"/>
    <n v="1"/>
    <n v="1"/>
    <n v="257.24"/>
    <n v="13130003855"/>
  </r>
  <r>
    <x v="17"/>
    <d v="1899-12-30T13:59:31"/>
    <n v="4856"/>
    <n v="13002561"/>
    <n v="13"/>
    <n v="22589"/>
    <s v="Retail Sale"/>
    <n v="15"/>
    <n v="74900"/>
    <x v="38"/>
    <s v="Pharmcomplect"/>
    <s v="Dr. Reddy's"/>
    <n v="1"/>
    <n v="511.63"/>
    <n v="705.21"/>
    <n v="35.26"/>
    <n v="35.26"/>
    <s v="BONUS_CARD"/>
    <n v="29"/>
    <n v="1"/>
    <n v="3"/>
    <n v="669.95"/>
    <n v="13130003856"/>
  </r>
  <r>
    <x v="11"/>
    <d v="1899-12-30T16:26:46"/>
    <n v="4857"/>
    <n v="13002561"/>
    <n v="13"/>
    <n v="22589"/>
    <s v="Retail Sale"/>
    <n v="18"/>
    <n v="89752"/>
    <x v="78"/>
    <s v="Pulse"/>
    <s v="TEVA"/>
    <n v="3"/>
    <n v="97.35"/>
    <n v="141.11000000000001"/>
    <n v="7.06"/>
    <n v="7.06"/>
    <s v="BONUS_CARD"/>
    <n v="29"/>
    <n v="1"/>
    <n v="5"/>
    <n v="134.05000000000001"/>
    <n v="13130003857"/>
  </r>
  <r>
    <x v="9"/>
    <d v="1899-12-30T22:58:42"/>
    <n v="4858"/>
    <n v="13002561"/>
    <n v="13"/>
    <n v="22589"/>
    <s v="Retail Sale"/>
    <n v="18"/>
    <n v="98359"/>
    <x v="46"/>
    <s v="Avesta"/>
    <s v="TEVA"/>
    <n v="3"/>
    <n v="278.68"/>
    <n v="397.99"/>
    <n v="0"/>
    <n v="0"/>
    <m/>
    <n v="29"/>
    <n v="1"/>
    <n v="4"/>
    <n v="397.99"/>
    <n v="13130003858"/>
  </r>
  <r>
    <x v="8"/>
    <d v="1899-12-30T18:41:36"/>
    <n v="4859"/>
    <n v="13002561"/>
    <n v="13"/>
    <n v="22589"/>
    <s v="Retail Sale"/>
    <n v="18"/>
    <n v="76406"/>
    <x v="34"/>
    <s v="Pharmcomplect"/>
    <s v="Dr. Reddy's"/>
    <n v="2"/>
    <n v="345.95"/>
    <n v="562.03"/>
    <n v="0"/>
    <n v="0"/>
    <m/>
    <n v="29"/>
    <n v="1"/>
    <n v="6"/>
    <n v="562.03"/>
    <n v="13130003859"/>
  </r>
  <r>
    <x v="8"/>
    <d v="1899-12-30T20:38:09"/>
    <n v="4860"/>
    <n v="13002561"/>
    <n v="13"/>
    <n v="22589"/>
    <s v="Retail Sale"/>
    <n v="15"/>
    <n v="65031"/>
    <x v="71"/>
    <s v="Grand Capital"/>
    <s v="TEVA"/>
    <n v="1"/>
    <n v="497.54"/>
    <n v="640.22"/>
    <n v="64.02"/>
    <n v="64.02"/>
    <s v="BONUS_CARD"/>
    <n v="29"/>
    <n v="1"/>
    <n v="6"/>
    <n v="576.20000000000005"/>
    <n v="13130003860"/>
  </r>
  <r>
    <x v="2"/>
    <d v="1899-12-30T15:47:48"/>
    <n v="4861"/>
    <n v="13002561"/>
    <n v="13"/>
    <n v="22589"/>
    <s v="Retail Sale"/>
    <n v="15"/>
    <n v="20675"/>
    <x v="50"/>
    <s v="Katren"/>
    <s v="Sanofi"/>
    <n v="2"/>
    <n v="559.96"/>
    <n v="926.47"/>
    <n v="0"/>
    <n v="0"/>
    <m/>
    <n v="29"/>
    <n v="1"/>
    <n v="6"/>
    <n v="926.47"/>
    <n v="13130003861"/>
  </r>
  <r>
    <x v="17"/>
    <d v="1899-12-30T12:33:46"/>
    <n v="4862"/>
    <n v="13002561"/>
    <n v="13"/>
    <n v="22589"/>
    <s v="Retail Sale"/>
    <n v="15"/>
    <n v="97057"/>
    <x v="79"/>
    <s v="Pharmcomplect"/>
    <s v="Pfizer"/>
    <n v="3"/>
    <n v="546.66"/>
    <n v="697.04"/>
    <n v="69.7"/>
    <n v="69.7"/>
    <s v="BONUS_CARD"/>
    <n v="29"/>
    <n v="1"/>
    <n v="5"/>
    <n v="627.34"/>
    <n v="13130003862"/>
  </r>
  <r>
    <x v="14"/>
    <d v="1899-12-30T21:45:36"/>
    <n v="4863"/>
    <n v="13002561"/>
    <n v="13"/>
    <n v="22589"/>
    <s v="Retail Sale"/>
    <n v="15"/>
    <n v="30403"/>
    <x v="70"/>
    <s v="Pharmcomplect"/>
    <s v="Dr. Reddy's"/>
    <n v="3"/>
    <n v="257.99"/>
    <n v="381.17"/>
    <n v="0"/>
    <n v="0"/>
    <m/>
    <n v="29"/>
    <n v="1"/>
    <n v="2"/>
    <n v="381.17"/>
    <n v="13130003863"/>
  </r>
  <r>
    <x v="9"/>
    <d v="1899-12-30T20:46:01"/>
    <n v="4864"/>
    <n v="13002561"/>
    <n v="13"/>
    <n v="22589"/>
    <s v="Retail Sale"/>
    <n v="18"/>
    <n v="56523"/>
    <x v="85"/>
    <s v="Avesta"/>
    <s v="Novartis"/>
    <n v="1"/>
    <n v="561.95000000000005"/>
    <n v="791.94"/>
    <n v="39.6"/>
    <n v="39.6"/>
    <s v="BONUS_CARD"/>
    <n v="29"/>
    <n v="1"/>
    <n v="4"/>
    <n v="752.34"/>
    <n v="13130003864"/>
  </r>
  <r>
    <x v="20"/>
    <d v="1899-12-30T21:59:20"/>
    <n v="4865"/>
    <n v="13002561"/>
    <n v="13"/>
    <n v="22589"/>
    <s v="Retail Sale"/>
    <n v="18"/>
    <n v="68121"/>
    <x v="51"/>
    <s v="Pulse"/>
    <s v="Dr. Reddy's"/>
    <n v="3"/>
    <n v="109.69"/>
    <n v="141.63"/>
    <n v="14.16"/>
    <n v="14.16"/>
    <s v="BONUS_CARD"/>
    <n v="29"/>
    <n v="1"/>
    <n v="5"/>
    <n v="127.47"/>
    <n v="13130003865"/>
  </r>
  <r>
    <x v="22"/>
    <d v="1899-12-30T16:49:07"/>
    <n v="4866"/>
    <n v="13002561"/>
    <n v="13"/>
    <n v="22589"/>
    <s v="Retail Sale"/>
    <n v="15"/>
    <n v="13494"/>
    <x v="82"/>
    <s v="Avesta"/>
    <s v="Novartis"/>
    <n v="1"/>
    <n v="298.02999999999997"/>
    <n v="405.66"/>
    <n v="0"/>
    <n v="0"/>
    <m/>
    <n v="29"/>
    <n v="1"/>
    <n v="3"/>
    <n v="405.66"/>
    <n v="13130003866"/>
  </r>
  <r>
    <x v="5"/>
    <d v="1899-12-30T14:07:35"/>
    <n v="4867"/>
    <n v="13002561"/>
    <n v="13"/>
    <n v="22589"/>
    <s v="Retail Sale"/>
    <n v="18"/>
    <n v="43225"/>
    <x v="72"/>
    <s v="Avesta"/>
    <s v="Takeda"/>
    <n v="2"/>
    <n v="456.55"/>
    <n v="608.32000000000005"/>
    <n v="60.83"/>
    <n v="60.83"/>
    <s v="BONUS_CARD"/>
    <n v="29"/>
    <n v="1"/>
    <n v="3"/>
    <n v="547.49"/>
    <n v="13130003867"/>
  </r>
  <r>
    <x v="23"/>
    <d v="1899-12-30T22:53:03"/>
    <n v="4868"/>
    <n v="13002561"/>
    <n v="13"/>
    <n v="22589"/>
    <s v="Retail Sale"/>
    <n v="18"/>
    <n v="61535"/>
    <x v="37"/>
    <s v="Grand Capital"/>
    <s v="Bayer"/>
    <n v="3"/>
    <n v="293.95"/>
    <n v="418.87"/>
    <n v="41.89"/>
    <n v="41.89"/>
    <s v="BONUS_CARD"/>
    <n v="29"/>
    <n v="1"/>
    <n v="3"/>
    <n v="376.98"/>
    <n v="13130003868"/>
  </r>
  <r>
    <x v="3"/>
    <d v="1899-12-30T18:55:59"/>
    <n v="4869"/>
    <n v="13002561"/>
    <n v="13"/>
    <n v="22589"/>
    <s v="Retail Sale"/>
    <n v="18"/>
    <n v="97037"/>
    <x v="69"/>
    <s v="Avesta"/>
    <s v="Dr. Reddy's"/>
    <n v="1"/>
    <n v="96.64"/>
    <n v="126.97"/>
    <n v="0"/>
    <n v="0"/>
    <m/>
    <n v="29"/>
    <n v="1"/>
    <n v="6"/>
    <n v="126.97"/>
    <n v="13130003869"/>
  </r>
  <r>
    <x v="22"/>
    <d v="1899-12-30T21:25:14"/>
    <n v="4870"/>
    <n v="13002561"/>
    <n v="13"/>
    <n v="22589"/>
    <s v="Retail Sale"/>
    <n v="18"/>
    <n v="54792"/>
    <x v="51"/>
    <s v="Pharmcomplect"/>
    <s v="Novartis"/>
    <n v="2"/>
    <n v="104.62"/>
    <n v="166.27"/>
    <n v="16.63"/>
    <n v="16.63"/>
    <s v="BONUS_CARD"/>
    <n v="29"/>
    <n v="1"/>
    <n v="1"/>
    <n v="149.63999999999999"/>
    <n v="13130003870"/>
  </r>
  <r>
    <x v="30"/>
    <d v="1899-12-30T17:04:34"/>
    <n v="4871"/>
    <n v="13002561"/>
    <n v="13"/>
    <n v="22589"/>
    <s v="Retail Sale"/>
    <n v="18"/>
    <n v="48148"/>
    <x v="57"/>
    <s v="Avesta"/>
    <s v="Pfizer"/>
    <n v="1"/>
    <n v="366.95"/>
    <n v="517.20000000000005"/>
    <n v="0"/>
    <n v="0"/>
    <m/>
    <n v="29"/>
    <n v="1"/>
    <n v="5"/>
    <n v="517.20000000000005"/>
    <n v="13130003871"/>
  </r>
  <r>
    <x v="16"/>
    <d v="1899-12-30T08:06:06"/>
    <n v="4872"/>
    <n v="13002561"/>
    <n v="13"/>
    <n v="22589"/>
    <s v="Retail Sale"/>
    <n v="18"/>
    <n v="71259"/>
    <x v="26"/>
    <s v="Pulse"/>
    <s v="Novartis"/>
    <n v="3"/>
    <n v="154.77000000000001"/>
    <n v="202.69"/>
    <n v="0"/>
    <n v="0"/>
    <m/>
    <n v="29"/>
    <n v="1"/>
    <n v="2"/>
    <n v="202.69"/>
    <n v="13130003872"/>
  </r>
  <r>
    <x v="26"/>
    <d v="1899-12-30T12:27:25"/>
    <n v="4873"/>
    <n v="13002561"/>
    <n v="13"/>
    <n v="22589"/>
    <s v="Retail Sale"/>
    <n v="15"/>
    <n v="44282"/>
    <x v="46"/>
    <s v="Protek"/>
    <s v="TEVA"/>
    <n v="1"/>
    <n v="392.45"/>
    <n v="539.46"/>
    <n v="0"/>
    <n v="0"/>
    <m/>
    <n v="29"/>
    <n v="1"/>
    <n v="3"/>
    <n v="539.46"/>
    <n v="13130003873"/>
  </r>
  <r>
    <x v="13"/>
    <d v="1899-12-30T17:57:14"/>
    <n v="4874"/>
    <n v="13002561"/>
    <n v="13"/>
    <n v="22589"/>
    <s v="Retail Sale"/>
    <n v="18"/>
    <n v="44295"/>
    <x v="76"/>
    <s v="Protek"/>
    <s v="Sanofi"/>
    <n v="3"/>
    <n v="560.37"/>
    <n v="853.9"/>
    <n v="0"/>
    <n v="0"/>
    <m/>
    <n v="29"/>
    <n v="1"/>
    <n v="2"/>
    <n v="853.9"/>
    <n v="13130003874"/>
  </r>
  <r>
    <x v="21"/>
    <d v="1899-12-30T10:46:07"/>
    <n v="4875"/>
    <n v="13002561"/>
    <n v="13"/>
    <n v="22589"/>
    <s v="Retail Sale"/>
    <n v="18"/>
    <n v="85164"/>
    <x v="43"/>
    <s v="Protek"/>
    <s v="Dr. Reddy's"/>
    <n v="2"/>
    <n v="291.60000000000002"/>
    <n v="467.02"/>
    <n v="46.7"/>
    <n v="46.7"/>
    <s v="BONUS_CARD"/>
    <n v="29"/>
    <n v="1"/>
    <n v="2"/>
    <n v="420.32"/>
    <n v="13130003875"/>
  </r>
  <r>
    <x v="28"/>
    <d v="1899-12-30T21:42:02"/>
    <n v="4876"/>
    <n v="13002561"/>
    <n v="13"/>
    <n v="22589"/>
    <s v="Retail Sale"/>
    <n v="15"/>
    <n v="85081"/>
    <x v="14"/>
    <s v="Grand Capital"/>
    <s v="Sanofi"/>
    <n v="3"/>
    <n v="404.97"/>
    <n v="674.47"/>
    <n v="33.72"/>
    <n v="33.72"/>
    <s v="BONUS_CARD"/>
    <n v="29"/>
    <n v="1"/>
    <n v="1"/>
    <n v="640.75"/>
    <n v="13130003876"/>
  </r>
  <r>
    <x v="16"/>
    <d v="1899-12-30T22:17:31"/>
    <n v="4877"/>
    <n v="13002561"/>
    <n v="13"/>
    <n v="22589"/>
    <s v="Retail Sale"/>
    <n v="18"/>
    <n v="14667"/>
    <x v="83"/>
    <s v="Pulse"/>
    <s v="Dr. Reddy's"/>
    <n v="2"/>
    <n v="28.01"/>
    <n v="35.42"/>
    <n v="1.77"/>
    <n v="1.77"/>
    <s v="BONUS_CARD"/>
    <n v="29"/>
    <n v="1"/>
    <n v="2"/>
    <n v="33.65"/>
    <n v="13130003877"/>
  </r>
  <r>
    <x v="10"/>
    <d v="1899-12-30T12:07:35"/>
    <n v="4878"/>
    <n v="13002561"/>
    <n v="13"/>
    <n v="22589"/>
    <s v="Retail Sale"/>
    <n v="15"/>
    <n v="75076"/>
    <x v="70"/>
    <s v="Grand Capital"/>
    <s v="Takeda"/>
    <n v="3"/>
    <n v="79.55"/>
    <n v="122.49"/>
    <n v="6.12"/>
    <n v="6.12"/>
    <s v="BONUS_CARD"/>
    <n v="29"/>
    <n v="1"/>
    <n v="1"/>
    <n v="116.37"/>
    <n v="13130003878"/>
  </r>
  <r>
    <x v="3"/>
    <d v="1899-12-30T22:42:57"/>
    <n v="4879"/>
    <n v="13002561"/>
    <n v="13"/>
    <n v="22589"/>
    <s v="Retail Sale"/>
    <n v="15"/>
    <n v="21464"/>
    <x v="3"/>
    <s v="Grand Capital"/>
    <s v="Pfizer"/>
    <n v="2"/>
    <n v="427.22"/>
    <n v="704.39"/>
    <n v="70.44"/>
    <n v="70.44"/>
    <s v="BONUS_CARD"/>
    <n v="29"/>
    <n v="1"/>
    <n v="5"/>
    <n v="633.95000000000005"/>
    <n v="13130003879"/>
  </r>
  <r>
    <x v="16"/>
    <d v="1899-12-30T08:05:24"/>
    <n v="4880"/>
    <n v="13002561"/>
    <n v="13"/>
    <n v="22589"/>
    <s v="Retail Sale"/>
    <n v="15"/>
    <n v="56151"/>
    <x v="78"/>
    <s v="Katren"/>
    <s v="KRKA"/>
    <n v="2"/>
    <n v="352.07"/>
    <n v="441.87"/>
    <n v="22.09"/>
    <n v="22.09"/>
    <s v="BONUS_CARD"/>
    <n v="29"/>
    <n v="1"/>
    <n v="1"/>
    <n v="419.78"/>
    <n v="13130003880"/>
  </r>
  <r>
    <x v="15"/>
    <d v="1899-12-30T16:57:52"/>
    <n v="4881"/>
    <n v="13002561"/>
    <n v="13"/>
    <n v="22589"/>
    <s v="Retail Sale"/>
    <n v="15"/>
    <n v="45939"/>
    <x v="26"/>
    <s v="Protek"/>
    <s v="Dr. Reddy's"/>
    <n v="1"/>
    <n v="26.24"/>
    <n v="43.95"/>
    <n v="0"/>
    <n v="0"/>
    <m/>
    <n v="29"/>
    <n v="1"/>
    <n v="5"/>
    <n v="43.95"/>
    <n v="13130003881"/>
  </r>
  <r>
    <x v="17"/>
    <d v="1899-12-30T11:53:31"/>
    <n v="4882"/>
    <n v="13002561"/>
    <n v="13"/>
    <n v="22589"/>
    <s v="Retail Sale"/>
    <n v="15"/>
    <n v="42283"/>
    <x v="83"/>
    <s v="Protek"/>
    <s v="KRKA"/>
    <n v="2"/>
    <n v="408.94"/>
    <n v="605.12"/>
    <n v="0"/>
    <n v="0"/>
    <m/>
    <n v="29"/>
    <n v="1"/>
    <n v="6"/>
    <n v="605.12"/>
    <n v="13130003882"/>
  </r>
  <r>
    <x v="23"/>
    <d v="1899-12-30T21:07:29"/>
    <n v="4883"/>
    <n v="13002561"/>
    <n v="13"/>
    <n v="22589"/>
    <s v="Retail Sale"/>
    <n v="15"/>
    <n v="55006"/>
    <x v="54"/>
    <s v="Katren"/>
    <s v="Sanofi"/>
    <n v="1"/>
    <n v="126.91"/>
    <n v="208.51"/>
    <n v="20.85"/>
    <n v="20.85"/>
    <s v="BONUS_CARD"/>
    <n v="29"/>
    <n v="1"/>
    <n v="6"/>
    <n v="187.66"/>
    <n v="13130003883"/>
  </r>
  <r>
    <x v="9"/>
    <d v="1899-12-30T11:14:07"/>
    <n v="4884"/>
    <n v="13002561"/>
    <n v="13"/>
    <n v="22589"/>
    <s v="Retail Sale"/>
    <n v="18"/>
    <n v="55982"/>
    <x v="72"/>
    <s v="Protek"/>
    <s v="Pfizer"/>
    <n v="2"/>
    <n v="575.04"/>
    <n v="796.13"/>
    <n v="79.61"/>
    <n v="79.61"/>
    <s v="BONUS_CARD"/>
    <n v="29"/>
    <n v="1"/>
    <n v="6"/>
    <n v="716.52"/>
    <n v="13130003884"/>
  </r>
  <r>
    <x v="7"/>
    <d v="1899-12-30T09:45:05"/>
    <n v="4885"/>
    <n v="13002561"/>
    <n v="13"/>
    <n v="22589"/>
    <s v="Retail Sale"/>
    <n v="18"/>
    <n v="68798"/>
    <x v="12"/>
    <s v="Pharmcomplect"/>
    <s v="Takeda"/>
    <n v="1"/>
    <n v="87.75"/>
    <n v="112.07"/>
    <n v="11.21"/>
    <n v="11.21"/>
    <s v="BONUS_CARD"/>
    <n v="29"/>
    <n v="1"/>
    <n v="4"/>
    <n v="100.86"/>
    <n v="13130003885"/>
  </r>
  <r>
    <x v="29"/>
    <d v="1899-12-30T10:39:00"/>
    <n v="4886"/>
    <n v="13002561"/>
    <n v="13"/>
    <n v="22589"/>
    <s v="Retail Sale"/>
    <n v="18"/>
    <n v="97817"/>
    <x v="0"/>
    <s v="Grand Capital"/>
    <s v="Pfizer"/>
    <n v="3"/>
    <n v="16.940000000000001"/>
    <n v="22.57"/>
    <n v="2.2599999999999998"/>
    <n v="2.2599999999999998"/>
    <s v="BONUS_CARD"/>
    <n v="29"/>
    <n v="1"/>
    <n v="2"/>
    <n v="20.309999999999999"/>
    <n v="13130003886"/>
  </r>
  <r>
    <x v="18"/>
    <d v="1899-12-30T10:14:55"/>
    <n v="4887"/>
    <n v="13002561"/>
    <n v="13"/>
    <n v="22589"/>
    <s v="Retail Sale"/>
    <n v="15"/>
    <n v="27253"/>
    <x v="46"/>
    <s v="Protek"/>
    <s v="Novartis"/>
    <n v="2"/>
    <n v="55.12"/>
    <n v="76.790000000000006"/>
    <n v="0"/>
    <n v="0"/>
    <m/>
    <n v="29"/>
    <n v="1"/>
    <n v="2"/>
    <n v="76.790000000000006"/>
    <n v="13130003887"/>
  </r>
  <r>
    <x v="17"/>
    <d v="1899-12-30T16:52:05"/>
    <n v="4888"/>
    <n v="13002561"/>
    <n v="13"/>
    <n v="22589"/>
    <s v="Retail Sale"/>
    <n v="15"/>
    <n v="16124"/>
    <x v="34"/>
    <s v="Grand Capital"/>
    <s v="Pfizer"/>
    <n v="2"/>
    <n v="236.97"/>
    <n v="333.04"/>
    <n v="16.649999999999999"/>
    <n v="16.649999999999999"/>
    <s v="BONUS_CARD"/>
    <n v="29"/>
    <n v="1"/>
    <n v="2"/>
    <n v="316.39"/>
    <n v="13130003888"/>
  </r>
  <r>
    <x v="0"/>
    <d v="1899-12-30T22:05:24"/>
    <n v="4889"/>
    <n v="13002561"/>
    <n v="13"/>
    <n v="22589"/>
    <s v="Retail Sale"/>
    <n v="15"/>
    <n v="16577"/>
    <x v="43"/>
    <s v="Pulse"/>
    <s v="Novartis"/>
    <n v="1"/>
    <n v="584.88"/>
    <n v="937.95"/>
    <n v="46.9"/>
    <n v="46.9"/>
    <s v="BONUS_CARD"/>
    <n v="29"/>
    <n v="1"/>
    <n v="1"/>
    <n v="891.05"/>
    <n v="13130003889"/>
  </r>
  <r>
    <x v="1"/>
    <d v="1899-12-30T18:46:26"/>
    <n v="4890"/>
    <n v="13002561"/>
    <n v="13"/>
    <n v="22589"/>
    <s v="Retail Sale"/>
    <n v="15"/>
    <n v="58601"/>
    <x v="4"/>
    <s v="Grand Capital"/>
    <s v="Pfizer"/>
    <n v="3"/>
    <n v="448.78"/>
    <n v="612.33000000000004"/>
    <n v="30.62"/>
    <n v="30.62"/>
    <s v="BONUS_CARD"/>
    <n v="29"/>
    <n v="1"/>
    <n v="6"/>
    <n v="581.71"/>
    <n v="13130003890"/>
  </r>
  <r>
    <x v="4"/>
    <d v="1899-12-30T12:01:58"/>
    <n v="4891"/>
    <n v="13002561"/>
    <n v="13"/>
    <n v="22589"/>
    <s v="Retail Sale"/>
    <n v="18"/>
    <n v="77710"/>
    <x v="5"/>
    <s v="Pulse"/>
    <s v="Pfizer"/>
    <n v="2"/>
    <n v="257.68"/>
    <n v="401.29"/>
    <n v="20.059999999999999"/>
    <n v="20.059999999999999"/>
    <s v="BONUS_CARD"/>
    <n v="29"/>
    <n v="1"/>
    <n v="1"/>
    <n v="381.23"/>
    <n v="13130003891"/>
  </r>
  <r>
    <x v="19"/>
    <d v="1899-12-30T21:23:13"/>
    <n v="4892"/>
    <n v="13002561"/>
    <n v="13"/>
    <n v="22589"/>
    <s v="Retail Sale"/>
    <n v="18"/>
    <n v="11815"/>
    <x v="30"/>
    <s v="Pulse"/>
    <s v="TEVA"/>
    <n v="2"/>
    <n v="301.22000000000003"/>
    <n v="465.94"/>
    <n v="46.59"/>
    <n v="46.59"/>
    <s v="BONUS_CARD"/>
    <n v="29"/>
    <n v="1"/>
    <n v="5"/>
    <n v="419.35"/>
    <n v="13130003892"/>
  </r>
  <r>
    <x v="13"/>
    <d v="1899-12-30T22:26:19"/>
    <n v="4893"/>
    <n v="13002561"/>
    <n v="13"/>
    <n v="22589"/>
    <s v="Retail Sale"/>
    <n v="18"/>
    <n v="20212"/>
    <x v="44"/>
    <s v="Katren"/>
    <s v="Pfizer"/>
    <n v="2"/>
    <n v="98.07"/>
    <n v="128.16999999999999"/>
    <n v="12.82"/>
    <n v="12.82"/>
    <s v="BONUS_CARD"/>
    <n v="29"/>
    <n v="1"/>
    <n v="1"/>
    <n v="115.35"/>
    <n v="13130003893"/>
  </r>
  <r>
    <x v="27"/>
    <d v="1899-12-30T08:38:01"/>
    <n v="4894"/>
    <n v="13002561"/>
    <n v="13"/>
    <n v="22589"/>
    <s v="Retail Sale"/>
    <n v="18"/>
    <n v="50070"/>
    <x v="26"/>
    <s v="Protek"/>
    <s v="Takeda"/>
    <n v="2"/>
    <n v="257.32"/>
    <n v="414.11"/>
    <n v="0"/>
    <n v="0"/>
    <m/>
    <n v="29"/>
    <n v="1"/>
    <n v="1"/>
    <n v="414.11"/>
    <n v="13130003894"/>
  </r>
  <r>
    <x v="21"/>
    <d v="1899-12-30T09:17:16"/>
    <n v="4895"/>
    <n v="13002561"/>
    <n v="13"/>
    <n v="22589"/>
    <s v="Retail Sale"/>
    <n v="18"/>
    <n v="52959"/>
    <x v="8"/>
    <s v="Pharmcomplect"/>
    <s v="KRKA"/>
    <n v="3"/>
    <n v="484.2"/>
    <n v="620.36"/>
    <n v="62.04"/>
    <n v="62.04"/>
    <s v="BONUS_CARD"/>
    <n v="29"/>
    <n v="1"/>
    <n v="4"/>
    <n v="558.32000000000005"/>
    <n v="13130003895"/>
  </r>
  <r>
    <x v="8"/>
    <d v="1899-12-30T10:11:09"/>
    <n v="4896"/>
    <n v="13002561"/>
    <n v="13"/>
    <n v="22589"/>
    <s v="Retail Sale"/>
    <n v="15"/>
    <n v="54049"/>
    <x v="61"/>
    <s v="Pulse"/>
    <s v="Sanofi"/>
    <n v="2"/>
    <n v="75.319999999999993"/>
    <n v="118.59"/>
    <n v="11.86"/>
    <n v="11.86"/>
    <s v="BONUS_CARD"/>
    <n v="29"/>
    <n v="1"/>
    <n v="6"/>
    <n v="106.73"/>
    <n v="13130003896"/>
  </r>
  <r>
    <x v="27"/>
    <d v="1899-12-30T18:11:57"/>
    <n v="4897"/>
    <n v="13002561"/>
    <n v="13"/>
    <n v="22589"/>
    <s v="Retail Sale"/>
    <n v="15"/>
    <n v="25456"/>
    <x v="20"/>
    <s v="Avesta"/>
    <s v="Takeda"/>
    <n v="2"/>
    <n v="588.47"/>
    <n v="985.1"/>
    <n v="98.51"/>
    <n v="98.51"/>
    <s v="BONUS_CARD"/>
    <n v="29"/>
    <n v="1"/>
    <n v="1"/>
    <n v="886.59"/>
    <n v="13130003897"/>
  </r>
  <r>
    <x v="9"/>
    <d v="1899-12-30T22:58:06"/>
    <n v="4898"/>
    <n v="13002561"/>
    <n v="13"/>
    <n v="22589"/>
    <s v="Retail Sale"/>
    <n v="18"/>
    <n v="97330"/>
    <x v="32"/>
    <s v="Avesta"/>
    <s v="KRKA"/>
    <n v="3"/>
    <n v="305.64999999999998"/>
    <n v="449.39"/>
    <n v="44.94"/>
    <n v="44.94"/>
    <s v="BONUS_CARD"/>
    <n v="29"/>
    <n v="1"/>
    <n v="5"/>
    <n v="404.45"/>
    <n v="13130003898"/>
  </r>
  <r>
    <x v="3"/>
    <d v="1899-12-30T08:18:09"/>
    <n v="4899"/>
    <n v="13002561"/>
    <n v="13"/>
    <n v="22589"/>
    <s v="Retail Sale"/>
    <n v="18"/>
    <n v="11781"/>
    <x v="15"/>
    <s v="Pharmcomplect"/>
    <s v="KRKA"/>
    <n v="2"/>
    <n v="159.58000000000001"/>
    <n v="264.06"/>
    <n v="13.2"/>
    <n v="13.2"/>
    <s v="BONUS_CARD"/>
    <n v="29"/>
    <n v="1"/>
    <n v="6"/>
    <n v="250.86"/>
    <n v="13130003899"/>
  </r>
  <r>
    <x v="6"/>
    <d v="1899-12-30T10:13:53"/>
    <n v="4900"/>
    <n v="13002561"/>
    <n v="13"/>
    <n v="22589"/>
    <s v="Retail Sale"/>
    <n v="15"/>
    <n v="85592"/>
    <x v="19"/>
    <s v="Avesta"/>
    <s v="Dr. Reddy's"/>
    <n v="1"/>
    <n v="99.21"/>
    <n v="155.87"/>
    <n v="15.59"/>
    <n v="15.59"/>
    <s v="BONUS_CARD"/>
    <n v="29"/>
    <n v="1"/>
    <n v="1"/>
    <n v="140.28"/>
    <n v="13130003900"/>
  </r>
  <r>
    <x v="8"/>
    <d v="1899-12-30T17:28:57"/>
    <n v="4901"/>
    <n v="13002561"/>
    <n v="13"/>
    <n v="22589"/>
    <s v="Retail Sale"/>
    <n v="18"/>
    <n v="17502"/>
    <x v="4"/>
    <s v="Pulse"/>
    <s v="Takeda"/>
    <n v="2"/>
    <n v="160.26"/>
    <n v="225.27"/>
    <n v="22.53"/>
    <n v="22.53"/>
    <s v="BONUS_CARD"/>
    <n v="29"/>
    <n v="1"/>
    <n v="1"/>
    <n v="202.74"/>
    <n v="13130003901"/>
  </r>
  <r>
    <x v="21"/>
    <d v="1899-12-30T13:40:02"/>
    <n v="4902"/>
    <n v="13002561"/>
    <n v="13"/>
    <n v="22589"/>
    <s v="Retail Sale"/>
    <n v="15"/>
    <n v="61880"/>
    <x v="48"/>
    <s v="Katren"/>
    <s v="TEVA"/>
    <n v="3"/>
    <n v="469.85"/>
    <n v="759.71"/>
    <n v="0"/>
    <n v="0"/>
    <m/>
    <n v="29"/>
    <n v="1"/>
    <n v="2"/>
    <n v="759.71"/>
    <n v="13130003902"/>
  </r>
  <r>
    <x v="14"/>
    <d v="1899-12-30T15:24:42"/>
    <n v="4903"/>
    <n v="13002561"/>
    <n v="13"/>
    <n v="22589"/>
    <s v="Retail Sale"/>
    <n v="15"/>
    <n v="85212"/>
    <x v="16"/>
    <s v="Katren"/>
    <s v="Novartis"/>
    <n v="3"/>
    <n v="66.150000000000006"/>
    <n v="111.53"/>
    <n v="5.58"/>
    <n v="5.58"/>
    <s v="BONUS_CARD"/>
    <n v="29"/>
    <n v="1"/>
    <n v="5"/>
    <n v="105.95"/>
    <n v="13130003903"/>
  </r>
  <r>
    <x v="28"/>
    <d v="1899-12-30T13:29:23"/>
    <n v="4904"/>
    <n v="13002561"/>
    <n v="13"/>
    <n v="22589"/>
    <s v="Retail Sale"/>
    <n v="15"/>
    <n v="71214"/>
    <x v="56"/>
    <s v="Pharmcomplect"/>
    <s v="Sanofi"/>
    <n v="2"/>
    <n v="439.61"/>
    <n v="679.27"/>
    <n v="67.930000000000007"/>
    <n v="67.930000000000007"/>
    <s v="BONUS_CARD"/>
    <n v="29"/>
    <n v="1"/>
    <n v="6"/>
    <n v="611.34"/>
    <n v="13130003904"/>
  </r>
  <r>
    <x v="28"/>
    <d v="1899-12-30T12:06:01"/>
    <n v="4905"/>
    <n v="13002561"/>
    <n v="13"/>
    <n v="22589"/>
    <s v="Retail Sale"/>
    <n v="15"/>
    <n v="77358"/>
    <x v="34"/>
    <s v="Protek"/>
    <s v="Sanofi"/>
    <n v="3"/>
    <n v="360.8"/>
    <n v="541.97"/>
    <n v="27.1"/>
    <n v="27.1"/>
    <s v="BONUS_CARD"/>
    <n v="29"/>
    <n v="1"/>
    <n v="6"/>
    <n v="514.87"/>
    <n v="13130003905"/>
  </r>
  <r>
    <x v="26"/>
    <d v="1899-12-30T17:31:12"/>
    <n v="4906"/>
    <n v="13002561"/>
    <n v="13"/>
    <n v="22589"/>
    <s v="Retail Sale"/>
    <n v="18"/>
    <n v="52007"/>
    <x v="57"/>
    <s v="Pharmcomplect"/>
    <s v="TEVA"/>
    <n v="1"/>
    <n v="396.99"/>
    <n v="549"/>
    <n v="0"/>
    <n v="0"/>
    <m/>
    <n v="29"/>
    <n v="1"/>
    <n v="6"/>
    <n v="549"/>
    <n v="13130003906"/>
  </r>
  <r>
    <x v="28"/>
    <d v="1899-12-30T09:16:26"/>
    <n v="4907"/>
    <n v="13002561"/>
    <n v="13"/>
    <n v="22589"/>
    <s v="Retail Sale"/>
    <n v="18"/>
    <n v="35818"/>
    <x v="67"/>
    <s v="Grand Capital"/>
    <s v="TEVA"/>
    <n v="1"/>
    <n v="425.09"/>
    <n v="559.32000000000005"/>
    <n v="55.93"/>
    <n v="55.93"/>
    <s v="BONUS_CARD"/>
    <n v="29"/>
    <n v="1"/>
    <n v="4"/>
    <n v="503.39"/>
    <n v="13130003907"/>
  </r>
  <r>
    <x v="6"/>
    <d v="1899-12-30T16:15:00"/>
    <n v="4908"/>
    <n v="13002561"/>
    <n v="13"/>
    <n v="22589"/>
    <s v="Retail Sale"/>
    <n v="15"/>
    <n v="53139"/>
    <x v="16"/>
    <s v="Pharmcomplect"/>
    <s v="TEVA"/>
    <n v="1"/>
    <n v="476.19"/>
    <n v="682.31"/>
    <n v="68.23"/>
    <n v="68.23"/>
    <s v="BONUS_CARD"/>
    <n v="29"/>
    <n v="1"/>
    <n v="4"/>
    <n v="614.08000000000004"/>
    <n v="13130003908"/>
  </r>
  <r>
    <x v="2"/>
    <d v="1899-12-30T12:12:54"/>
    <n v="4909"/>
    <n v="13002561"/>
    <n v="13"/>
    <n v="22589"/>
    <s v="Retail Sale"/>
    <n v="15"/>
    <n v="30297"/>
    <x v="73"/>
    <s v="Grand Capital"/>
    <s v="KRKA"/>
    <n v="2"/>
    <n v="169.58"/>
    <n v="257.82"/>
    <n v="0"/>
    <n v="0"/>
    <m/>
    <n v="29"/>
    <n v="1"/>
    <n v="5"/>
    <n v="257.82"/>
    <n v="13130003909"/>
  </r>
  <r>
    <x v="18"/>
    <d v="1899-12-30T12:59:37"/>
    <n v="4910"/>
    <n v="13002561"/>
    <n v="13"/>
    <n v="22589"/>
    <s v="Retail Sale"/>
    <n v="15"/>
    <n v="22403"/>
    <x v="41"/>
    <s v="Pulse"/>
    <s v="Bayer"/>
    <n v="1"/>
    <n v="178.14"/>
    <n v="292.20999999999998"/>
    <n v="14.61"/>
    <n v="14.61"/>
    <s v="BONUS_CARD"/>
    <n v="29"/>
    <n v="1"/>
    <n v="5"/>
    <n v="277.60000000000002"/>
    <n v="13130003910"/>
  </r>
  <r>
    <x v="3"/>
    <d v="1899-12-30T16:45:23"/>
    <n v="4911"/>
    <n v="13002561"/>
    <n v="13"/>
    <n v="22589"/>
    <s v="Retail Sale"/>
    <n v="15"/>
    <n v="59019"/>
    <x v="4"/>
    <s v="Pharmcomplect"/>
    <s v="TEVA"/>
    <n v="2"/>
    <n v="196.85"/>
    <n v="328.66"/>
    <n v="16.43"/>
    <n v="16.43"/>
    <s v="BONUS_CARD"/>
    <n v="29"/>
    <n v="1"/>
    <n v="3"/>
    <n v="312.23"/>
    <n v="13130003911"/>
  </r>
  <r>
    <x v="3"/>
    <d v="1899-12-30T19:08:55"/>
    <n v="4912"/>
    <n v="13002561"/>
    <n v="13"/>
    <n v="22589"/>
    <s v="Retail Sale"/>
    <n v="18"/>
    <n v="82138"/>
    <x v="84"/>
    <s v="Grand Capital"/>
    <s v="TEVA"/>
    <n v="2"/>
    <n v="346.72"/>
    <n v="574.29"/>
    <n v="0"/>
    <n v="0"/>
    <m/>
    <n v="29"/>
    <n v="1"/>
    <n v="4"/>
    <n v="574.29"/>
    <n v="13130003912"/>
  </r>
  <r>
    <x v="16"/>
    <d v="1899-12-30T12:13:23"/>
    <n v="4913"/>
    <n v="13002561"/>
    <n v="13"/>
    <n v="22589"/>
    <s v="Retail Sale"/>
    <n v="15"/>
    <n v="89679"/>
    <x v="25"/>
    <s v="Avesta"/>
    <s v="Pfizer"/>
    <n v="2"/>
    <n v="326.95"/>
    <n v="459.06"/>
    <n v="22.95"/>
    <n v="22.95"/>
    <s v="BONUS_CARD"/>
    <n v="29"/>
    <n v="1"/>
    <n v="5"/>
    <n v="436.11"/>
    <n v="13130003913"/>
  </r>
  <r>
    <x v="11"/>
    <d v="1899-12-30T10:06:01"/>
    <n v="4914"/>
    <n v="13002561"/>
    <n v="13"/>
    <n v="22589"/>
    <s v="Retail Sale"/>
    <n v="18"/>
    <n v="99583"/>
    <x v="2"/>
    <s v="Pharmcomplect"/>
    <s v="Dr. Reddy's"/>
    <n v="1"/>
    <n v="364.86"/>
    <n v="563.12"/>
    <n v="0"/>
    <n v="0"/>
    <m/>
    <n v="29"/>
    <n v="1"/>
    <n v="5"/>
    <n v="563.12"/>
    <n v="13130003914"/>
  </r>
  <r>
    <x v="30"/>
    <d v="1899-12-30T16:56:38"/>
    <n v="4915"/>
    <n v="13002561"/>
    <n v="13"/>
    <n v="22589"/>
    <s v="Retail Sale"/>
    <n v="18"/>
    <n v="57070"/>
    <x v="23"/>
    <s v="Avesta"/>
    <s v="Novartis"/>
    <n v="1"/>
    <n v="67.03"/>
    <n v="105.82"/>
    <n v="10.58"/>
    <n v="10.58"/>
    <s v="BONUS_CARD"/>
    <n v="29"/>
    <n v="1"/>
    <n v="6"/>
    <n v="95.24"/>
    <n v="13130003915"/>
  </r>
  <r>
    <x v="9"/>
    <d v="1899-12-30T10:51:23"/>
    <n v="4916"/>
    <n v="13002561"/>
    <n v="13"/>
    <n v="22589"/>
    <s v="Retail Sale"/>
    <n v="18"/>
    <n v="79860"/>
    <x v="84"/>
    <s v="Protek"/>
    <s v="KRKA"/>
    <n v="2"/>
    <n v="446.57"/>
    <n v="633.71"/>
    <n v="31.69"/>
    <n v="31.69"/>
    <s v="BONUS_CARD"/>
    <n v="29"/>
    <n v="1"/>
    <n v="1"/>
    <n v="602.02"/>
    <n v="13130003916"/>
  </r>
  <r>
    <x v="25"/>
    <d v="1899-12-30T20:47:01"/>
    <n v="4917"/>
    <n v="13002561"/>
    <n v="13"/>
    <n v="22589"/>
    <s v="Retail Sale"/>
    <n v="18"/>
    <n v="49280"/>
    <x v="29"/>
    <s v="Avesta"/>
    <s v="Dr. Reddy's"/>
    <n v="1"/>
    <n v="69.25"/>
    <n v="103.92"/>
    <n v="0"/>
    <n v="0"/>
    <m/>
    <n v="29"/>
    <n v="1"/>
    <n v="6"/>
    <n v="103.92"/>
    <n v="13130003917"/>
  </r>
  <r>
    <x v="23"/>
    <d v="1899-12-30T11:34:07"/>
    <n v="4918"/>
    <n v="13002561"/>
    <n v="13"/>
    <n v="22589"/>
    <s v="Retail Sale"/>
    <n v="15"/>
    <n v="77145"/>
    <x v="39"/>
    <s v="Protek"/>
    <s v="TEVA"/>
    <n v="3"/>
    <n v="99.67"/>
    <n v="136.76"/>
    <n v="0"/>
    <n v="0"/>
    <m/>
    <n v="29"/>
    <n v="1"/>
    <n v="6"/>
    <n v="136.76"/>
    <n v="13130003918"/>
  </r>
  <r>
    <x v="2"/>
    <d v="1899-12-30T09:32:44"/>
    <n v="4919"/>
    <n v="13002561"/>
    <n v="13"/>
    <n v="22589"/>
    <s v="Retail Sale"/>
    <n v="15"/>
    <n v="19548"/>
    <x v="18"/>
    <s v="Katren"/>
    <s v="Dr. Reddy's"/>
    <n v="2"/>
    <n v="537.16999999999996"/>
    <n v="784"/>
    <n v="39.200000000000003"/>
    <n v="39.200000000000003"/>
    <s v="BONUS_CARD"/>
    <n v="29"/>
    <n v="1"/>
    <n v="6"/>
    <n v="744.8"/>
    <n v="13130003919"/>
  </r>
  <r>
    <x v="24"/>
    <d v="1899-12-30T22:45:36"/>
    <n v="4920"/>
    <n v="13002561"/>
    <n v="13"/>
    <n v="22589"/>
    <s v="Retail Sale"/>
    <n v="18"/>
    <n v="53860"/>
    <x v="52"/>
    <s v="Protek"/>
    <s v="Dr. Reddy's"/>
    <n v="3"/>
    <n v="471.8"/>
    <n v="772.4"/>
    <n v="77.239999999999995"/>
    <n v="77.239999999999995"/>
    <s v="BONUS_CARD"/>
    <n v="29"/>
    <n v="1"/>
    <n v="5"/>
    <n v="695.16"/>
    <n v="13130003920"/>
  </r>
  <r>
    <x v="6"/>
    <d v="1899-12-30T09:44:54"/>
    <n v="4921"/>
    <n v="13002561"/>
    <n v="13"/>
    <n v="22589"/>
    <s v="Retail Sale"/>
    <n v="15"/>
    <n v="22399"/>
    <x v="80"/>
    <s v="Avesta"/>
    <s v="TEVA"/>
    <n v="2"/>
    <n v="557.66999999999996"/>
    <n v="774.52"/>
    <n v="0"/>
    <n v="0"/>
    <m/>
    <n v="29"/>
    <n v="1"/>
    <n v="5"/>
    <n v="774.52"/>
    <n v="13130003921"/>
  </r>
  <r>
    <x v="1"/>
    <d v="1899-12-30T14:46:05"/>
    <n v="4922"/>
    <n v="13002561"/>
    <n v="13"/>
    <n v="22589"/>
    <s v="Retail Sale"/>
    <n v="18"/>
    <n v="91136"/>
    <x v="39"/>
    <s v="Katren"/>
    <s v="Novartis"/>
    <n v="1"/>
    <n v="365.72"/>
    <n v="508.44"/>
    <n v="50.84"/>
    <n v="50.84"/>
    <s v="BONUS_CARD"/>
    <n v="29"/>
    <n v="1"/>
    <n v="2"/>
    <n v="457.6"/>
    <n v="13130003922"/>
  </r>
  <r>
    <x v="16"/>
    <d v="1899-12-30T14:06:16"/>
    <n v="4923"/>
    <n v="13002561"/>
    <n v="13"/>
    <n v="22589"/>
    <s v="Retail Sale"/>
    <n v="15"/>
    <n v="26993"/>
    <x v="87"/>
    <s v="Avesta"/>
    <s v="Novartis"/>
    <n v="3"/>
    <n v="333.52"/>
    <n v="445.26"/>
    <n v="44.53"/>
    <n v="44.53"/>
    <s v="BONUS_CARD"/>
    <n v="29"/>
    <n v="1"/>
    <n v="3"/>
    <n v="400.73"/>
    <n v="13130003923"/>
  </r>
  <r>
    <x v="30"/>
    <d v="1899-12-30T19:11:23"/>
    <n v="4924"/>
    <n v="13002561"/>
    <n v="13"/>
    <n v="22589"/>
    <s v="Retail Sale"/>
    <n v="15"/>
    <n v="85592"/>
    <x v="38"/>
    <s v="Katren"/>
    <s v="TEVA"/>
    <n v="3"/>
    <n v="506.8"/>
    <n v="819.65"/>
    <n v="81.97"/>
    <n v="81.97"/>
    <s v="BONUS_CARD"/>
    <n v="29"/>
    <n v="1"/>
    <n v="1"/>
    <n v="737.68"/>
    <n v="13130003924"/>
  </r>
  <r>
    <x v="15"/>
    <d v="1899-12-30T12:15:57"/>
    <n v="4925"/>
    <n v="13002561"/>
    <n v="13"/>
    <n v="22589"/>
    <s v="Retail Sale"/>
    <n v="18"/>
    <n v="12425"/>
    <x v="36"/>
    <s v="Avesta"/>
    <s v="Takeda"/>
    <n v="3"/>
    <n v="584.08000000000004"/>
    <n v="815.96"/>
    <n v="81.599999999999994"/>
    <n v="81.599999999999994"/>
    <s v="BONUS_CARD"/>
    <n v="29"/>
    <n v="1"/>
    <n v="1"/>
    <n v="734.36"/>
    <n v="13130003925"/>
  </r>
  <r>
    <x v="22"/>
    <d v="1899-12-30T14:52:21"/>
    <n v="4926"/>
    <n v="13002561"/>
    <n v="13"/>
    <n v="22589"/>
    <s v="Retail Sale"/>
    <n v="18"/>
    <n v="59530"/>
    <x v="20"/>
    <s v="Avesta"/>
    <s v="Takeda"/>
    <n v="3"/>
    <n v="228.92"/>
    <n v="315.44"/>
    <n v="31.54"/>
    <n v="31.54"/>
    <s v="BONUS_CARD"/>
    <n v="29"/>
    <n v="1"/>
    <n v="1"/>
    <n v="283.89999999999998"/>
    <n v="13130003926"/>
  </r>
  <r>
    <x v="7"/>
    <d v="1899-12-30T12:26:44"/>
    <n v="4927"/>
    <n v="13002561"/>
    <n v="13"/>
    <n v="22589"/>
    <s v="Retail Sale"/>
    <n v="18"/>
    <n v="72772"/>
    <x v="67"/>
    <s v="Grand Capital"/>
    <s v="Pfizer"/>
    <n v="2"/>
    <n v="454.43"/>
    <n v="577.79999999999995"/>
    <n v="28.89"/>
    <n v="28.89"/>
    <s v="BONUS_CARD"/>
    <n v="29"/>
    <n v="1"/>
    <n v="4"/>
    <n v="548.91"/>
    <n v="13130003927"/>
  </r>
  <r>
    <x v="12"/>
    <d v="1899-12-30T12:15:14"/>
    <n v="4928"/>
    <n v="13002561"/>
    <n v="13"/>
    <n v="22589"/>
    <s v="Retail Sale"/>
    <n v="15"/>
    <n v="83040"/>
    <x v="69"/>
    <s v="Katren"/>
    <s v="Bayer"/>
    <n v="3"/>
    <n v="114.2"/>
    <n v="186.18"/>
    <n v="0"/>
    <n v="0"/>
    <m/>
    <n v="29"/>
    <n v="1"/>
    <n v="2"/>
    <n v="186.18"/>
    <n v="13130003928"/>
  </r>
  <r>
    <x v="21"/>
    <d v="1899-12-30T14:11:39"/>
    <n v="4929"/>
    <n v="13002561"/>
    <n v="13"/>
    <n v="22589"/>
    <s v="Retail Sale"/>
    <n v="15"/>
    <n v="29322"/>
    <x v="41"/>
    <s v="Pharmcomplect"/>
    <s v="Bayer"/>
    <n v="2"/>
    <n v="349.8"/>
    <n v="445.94"/>
    <n v="0"/>
    <n v="0"/>
    <m/>
    <n v="29"/>
    <n v="1"/>
    <n v="2"/>
    <n v="445.94"/>
    <n v="13130003929"/>
  </r>
  <r>
    <x v="19"/>
    <d v="1899-12-30T17:51:38"/>
    <n v="4930"/>
    <n v="13002561"/>
    <n v="13"/>
    <n v="22589"/>
    <s v="Retail Sale"/>
    <n v="18"/>
    <n v="34401"/>
    <x v="10"/>
    <s v="Grand Capital"/>
    <s v="Sanofi"/>
    <n v="2"/>
    <n v="464.29"/>
    <n v="694.35"/>
    <n v="69.44"/>
    <n v="69.44"/>
    <s v="BONUS_CARD"/>
    <n v="29"/>
    <n v="1"/>
    <n v="5"/>
    <n v="624.91"/>
    <n v="13130003930"/>
  </r>
  <r>
    <x v="15"/>
    <d v="1899-12-30T16:59:25"/>
    <n v="4931"/>
    <n v="13002561"/>
    <n v="13"/>
    <n v="22589"/>
    <s v="Retail Sale"/>
    <n v="18"/>
    <n v="80494"/>
    <x v="89"/>
    <s v="Katren"/>
    <s v="Bayer"/>
    <n v="1"/>
    <n v="426.76"/>
    <n v="723.28"/>
    <n v="36.159999999999997"/>
    <n v="36.159999999999997"/>
    <s v="BONUS_CARD"/>
    <n v="29"/>
    <n v="1"/>
    <n v="1"/>
    <n v="687.12"/>
    <n v="13130003931"/>
  </r>
  <r>
    <x v="1"/>
    <d v="1899-12-30T22:44:17"/>
    <n v="4932"/>
    <n v="13002561"/>
    <n v="13"/>
    <n v="22589"/>
    <s v="Retail Sale"/>
    <n v="15"/>
    <n v="82541"/>
    <x v="14"/>
    <s v="Avesta"/>
    <s v="Novartis"/>
    <n v="3"/>
    <n v="52.77"/>
    <n v="72.709999999999994"/>
    <n v="3.64"/>
    <n v="3.64"/>
    <s v="BONUS_CARD"/>
    <n v="29"/>
    <n v="1"/>
    <n v="1"/>
    <n v="69.069999999999993"/>
    <n v="13130003932"/>
  </r>
  <r>
    <x v="23"/>
    <d v="1899-12-30T14:21:24"/>
    <n v="4933"/>
    <n v="13002561"/>
    <n v="13"/>
    <n v="22589"/>
    <s v="Retail Sale"/>
    <n v="18"/>
    <n v="58605"/>
    <x v="34"/>
    <s v="Protek"/>
    <s v="Novartis"/>
    <n v="2"/>
    <n v="11.07"/>
    <n v="14.83"/>
    <n v="1.48"/>
    <n v="1.48"/>
    <s v="BONUS_CARD"/>
    <n v="29"/>
    <n v="1"/>
    <n v="5"/>
    <n v="13.35"/>
    <n v="13130003933"/>
  </r>
  <r>
    <x v="23"/>
    <d v="1899-12-30T13:01:51"/>
    <n v="4934"/>
    <n v="13002561"/>
    <n v="13"/>
    <n v="22589"/>
    <s v="Retail Sale"/>
    <n v="18"/>
    <n v="20649"/>
    <x v="76"/>
    <s v="Grand Capital"/>
    <s v="Pfizer"/>
    <n v="3"/>
    <n v="93.8"/>
    <n v="153.19999999999999"/>
    <n v="15.32"/>
    <n v="15.32"/>
    <s v="BONUS_CARD"/>
    <n v="29"/>
    <n v="1"/>
    <n v="5"/>
    <n v="137.88"/>
    <n v="13130003934"/>
  </r>
  <r>
    <x v="5"/>
    <d v="1899-12-30T16:07:19"/>
    <n v="4935"/>
    <n v="13002561"/>
    <n v="13"/>
    <n v="22589"/>
    <s v="Retail Sale"/>
    <n v="15"/>
    <n v="12881"/>
    <x v="24"/>
    <s v="Pulse"/>
    <s v="Bayer"/>
    <n v="1"/>
    <n v="384.54"/>
    <n v="604.29"/>
    <n v="30.21"/>
    <n v="30.21"/>
    <s v="BONUS_CARD"/>
    <n v="29"/>
    <n v="1"/>
    <n v="3"/>
    <n v="574.08000000000004"/>
    <n v="13130003935"/>
  </r>
  <r>
    <x v="22"/>
    <d v="1899-12-30T14:51:16"/>
    <n v="4936"/>
    <n v="13002561"/>
    <n v="13"/>
    <n v="22589"/>
    <s v="Retail Sale"/>
    <n v="18"/>
    <n v="23448"/>
    <x v="69"/>
    <s v="Pulse"/>
    <s v="Takeda"/>
    <n v="3"/>
    <n v="444.63"/>
    <n v="616.16"/>
    <n v="61.62"/>
    <n v="61.62"/>
    <s v="BONUS_CARD"/>
    <n v="29"/>
    <n v="1"/>
    <n v="1"/>
    <n v="554.54"/>
    <n v="13130003936"/>
  </r>
  <r>
    <x v="25"/>
    <d v="1899-12-30T22:50:42"/>
    <n v="4937"/>
    <n v="13002561"/>
    <n v="13"/>
    <n v="22589"/>
    <s v="Retail Sale"/>
    <n v="18"/>
    <n v="68088"/>
    <x v="30"/>
    <s v="Avesta"/>
    <s v="Sanofi"/>
    <n v="3"/>
    <n v="573.48"/>
    <n v="942.96"/>
    <n v="47.15"/>
    <n v="47.15"/>
    <s v="BONUS_CARD"/>
    <n v="29"/>
    <n v="1"/>
    <n v="4"/>
    <n v="895.81"/>
    <n v="13130003937"/>
  </r>
  <r>
    <x v="21"/>
    <d v="1899-12-30T15:45:11"/>
    <n v="4938"/>
    <n v="13002561"/>
    <n v="13"/>
    <n v="22589"/>
    <s v="Retail Sale"/>
    <n v="18"/>
    <n v="12765"/>
    <x v="34"/>
    <s v="Pharmcomplect"/>
    <s v="Novartis"/>
    <n v="1"/>
    <n v="563"/>
    <n v="886.14"/>
    <n v="0"/>
    <n v="0"/>
    <m/>
    <n v="29"/>
    <n v="1"/>
    <n v="1"/>
    <n v="886.14"/>
    <n v="13130003938"/>
  </r>
  <r>
    <x v="25"/>
    <d v="1899-12-30T20:14:25"/>
    <n v="4939"/>
    <n v="13002561"/>
    <n v="13"/>
    <n v="22589"/>
    <s v="Retail Sale"/>
    <n v="18"/>
    <n v="47140"/>
    <x v="72"/>
    <s v="Pulse"/>
    <s v="Novartis"/>
    <n v="3"/>
    <n v="330.9"/>
    <n v="525.72"/>
    <n v="52.57"/>
    <n v="52.57"/>
    <s v="BONUS_CARD"/>
    <n v="29"/>
    <n v="1"/>
    <n v="2"/>
    <n v="473.15"/>
    <n v="13130003939"/>
  </r>
  <r>
    <x v="16"/>
    <d v="1899-12-30T13:28:00"/>
    <n v="4940"/>
    <n v="13002561"/>
    <n v="13"/>
    <n v="22589"/>
    <s v="Retail Sale"/>
    <n v="15"/>
    <n v="96092"/>
    <x v="53"/>
    <s v="Avesta"/>
    <s v="TEVA"/>
    <n v="1"/>
    <n v="78.39"/>
    <n v="129.52000000000001"/>
    <n v="12.95"/>
    <n v="12.95"/>
    <s v="BONUS_CARD"/>
    <n v="29"/>
    <n v="1"/>
    <n v="2"/>
    <n v="116.57"/>
    <n v="13130003940"/>
  </r>
  <r>
    <x v="22"/>
    <d v="1899-12-30T15:08:28"/>
    <n v="4941"/>
    <n v="13002561"/>
    <n v="13"/>
    <n v="22589"/>
    <s v="Retail Sale"/>
    <n v="15"/>
    <n v="87469"/>
    <x v="65"/>
    <s v="Katren"/>
    <s v="Pfizer"/>
    <n v="2"/>
    <n v="393.66"/>
    <n v="528.37"/>
    <n v="52.84"/>
    <n v="52.84"/>
    <s v="BONUS_CARD"/>
    <n v="29"/>
    <n v="1"/>
    <n v="1"/>
    <n v="475.53"/>
    <n v="13130003941"/>
  </r>
  <r>
    <x v="6"/>
    <d v="1899-12-30T21:38:10"/>
    <n v="4942"/>
    <n v="13002561"/>
    <n v="13"/>
    <n v="22589"/>
    <s v="Retail Sale"/>
    <n v="18"/>
    <n v="38487"/>
    <x v="53"/>
    <s v="Avesta"/>
    <s v="TEVA"/>
    <n v="2"/>
    <n v="39.78"/>
    <n v="52.89"/>
    <n v="0"/>
    <n v="0"/>
    <m/>
    <n v="29"/>
    <n v="1"/>
    <n v="2"/>
    <n v="52.89"/>
    <n v="13130003942"/>
  </r>
  <r>
    <x v="3"/>
    <d v="1899-12-30T22:18:25"/>
    <n v="4943"/>
    <n v="13002561"/>
    <n v="13"/>
    <n v="22589"/>
    <s v="Retail Sale"/>
    <n v="15"/>
    <n v="94540"/>
    <x v="73"/>
    <s v="Grand Capital"/>
    <s v="Sanofi"/>
    <n v="1"/>
    <n v="557.46"/>
    <n v="937.86"/>
    <n v="93.79"/>
    <n v="93.79"/>
    <s v="BONUS_CARD"/>
    <n v="29"/>
    <n v="1"/>
    <n v="4"/>
    <n v="844.07"/>
    <n v="13130003943"/>
  </r>
  <r>
    <x v="17"/>
    <d v="1899-12-30T13:01:53"/>
    <n v="4944"/>
    <n v="13002561"/>
    <n v="13"/>
    <n v="22589"/>
    <s v="Retail Sale"/>
    <n v="15"/>
    <n v="25365"/>
    <x v="46"/>
    <s v="Pharmcomplect"/>
    <s v="Takeda"/>
    <n v="1"/>
    <n v="16.559999999999999"/>
    <n v="24.8"/>
    <n v="0"/>
    <n v="0"/>
    <m/>
    <n v="29"/>
    <n v="1"/>
    <n v="1"/>
    <n v="24.8"/>
    <n v="13130003944"/>
  </r>
  <r>
    <x v="7"/>
    <d v="1899-12-30T15:33:15"/>
    <n v="4945"/>
    <n v="13002561"/>
    <n v="13"/>
    <n v="22589"/>
    <s v="Retail Sale"/>
    <n v="18"/>
    <n v="33965"/>
    <x v="80"/>
    <s v="Katren"/>
    <s v="TEVA"/>
    <n v="3"/>
    <n v="13.35"/>
    <n v="20.149999999999999"/>
    <n v="2.02"/>
    <n v="2.02"/>
    <s v="BONUS_CARD"/>
    <n v="29"/>
    <n v="1"/>
    <n v="4"/>
    <n v="18.13"/>
    <n v="13130003945"/>
  </r>
  <r>
    <x v="26"/>
    <d v="1899-12-30T16:58:37"/>
    <n v="4946"/>
    <n v="13002561"/>
    <n v="13"/>
    <n v="22589"/>
    <s v="Retail Sale"/>
    <n v="15"/>
    <n v="18558"/>
    <x v="57"/>
    <s v="Grand Capital"/>
    <s v="TEVA"/>
    <n v="2"/>
    <n v="596.62"/>
    <n v="1002.62"/>
    <n v="50.13"/>
    <n v="50.13"/>
    <s v="BONUS_CARD"/>
    <n v="29"/>
    <n v="1"/>
    <n v="6"/>
    <n v="952.49"/>
    <n v="13130003946"/>
  </r>
  <r>
    <x v="30"/>
    <d v="1899-12-30T18:15:20"/>
    <n v="4947"/>
    <n v="13002561"/>
    <n v="13"/>
    <n v="22589"/>
    <s v="Retail Sale"/>
    <n v="15"/>
    <n v="15804"/>
    <x v="64"/>
    <s v="Katren"/>
    <s v="TEVA"/>
    <n v="1"/>
    <n v="149.86000000000001"/>
    <n v="202.13"/>
    <n v="0"/>
    <n v="0"/>
    <m/>
    <n v="29"/>
    <n v="1"/>
    <n v="4"/>
    <n v="202.13"/>
    <n v="13130003947"/>
  </r>
  <r>
    <x v="7"/>
    <d v="1899-12-30T16:49:22"/>
    <n v="4948"/>
    <n v="13002561"/>
    <n v="13"/>
    <n v="22589"/>
    <s v="Retail Sale"/>
    <n v="18"/>
    <n v="50323"/>
    <x v="83"/>
    <s v="Katren"/>
    <s v="TEVA"/>
    <n v="2"/>
    <n v="105.97"/>
    <n v="148.85"/>
    <n v="14.88"/>
    <n v="14.88"/>
    <s v="BONUS_CARD"/>
    <n v="29"/>
    <n v="1"/>
    <n v="1"/>
    <n v="133.97"/>
    <n v="13130003948"/>
  </r>
  <r>
    <x v="1"/>
    <d v="1899-12-30T15:31:50"/>
    <n v="4949"/>
    <n v="13002561"/>
    <n v="13"/>
    <n v="22589"/>
    <s v="Retail Sale"/>
    <n v="18"/>
    <n v="20912"/>
    <x v="89"/>
    <s v="Katren"/>
    <s v="TEVA"/>
    <n v="3"/>
    <n v="261.77999999999997"/>
    <n v="421.4"/>
    <n v="42.14"/>
    <n v="42.14"/>
    <s v="BONUS_CARD"/>
    <n v="29"/>
    <n v="1"/>
    <n v="5"/>
    <n v="379.26"/>
    <n v="13130003949"/>
  </r>
  <r>
    <x v="26"/>
    <d v="1899-12-30T22:47:36"/>
    <n v="4950"/>
    <n v="13002561"/>
    <n v="13"/>
    <n v="22589"/>
    <s v="Retail Sale"/>
    <n v="18"/>
    <n v="99388"/>
    <x v="69"/>
    <s v="Katren"/>
    <s v="Dr. Reddy's"/>
    <n v="1"/>
    <n v="76.12"/>
    <n v="101.56"/>
    <n v="10.16"/>
    <n v="10.16"/>
    <s v="BONUS_CARD"/>
    <n v="29"/>
    <n v="1"/>
    <n v="2"/>
    <n v="91.4"/>
    <n v="13130003950"/>
  </r>
  <r>
    <x v="6"/>
    <d v="1899-12-30T10:22:57"/>
    <n v="4951"/>
    <n v="13002561"/>
    <n v="13"/>
    <n v="22589"/>
    <s v="Retail Sale"/>
    <n v="15"/>
    <n v="95404"/>
    <x v="4"/>
    <s v="Avesta"/>
    <s v="Pfizer"/>
    <n v="3"/>
    <n v="104.09"/>
    <n v="133.71"/>
    <n v="0"/>
    <n v="0"/>
    <m/>
    <n v="29"/>
    <n v="1"/>
    <n v="1"/>
    <n v="133.71"/>
    <n v="13130003951"/>
  </r>
  <r>
    <x v="15"/>
    <d v="1899-12-30T17:41:16"/>
    <n v="4952"/>
    <n v="13002561"/>
    <n v="13"/>
    <n v="22589"/>
    <s v="Retail Sale"/>
    <n v="18"/>
    <n v="76190"/>
    <x v="66"/>
    <s v="Grand Capital"/>
    <s v="Pfizer"/>
    <n v="1"/>
    <n v="313.55"/>
    <n v="403.92"/>
    <n v="40.39"/>
    <n v="40.39"/>
    <s v="BONUS_CARD"/>
    <n v="29"/>
    <n v="1"/>
    <n v="4"/>
    <n v="363.53"/>
    <n v="13130003952"/>
  </r>
  <r>
    <x v="28"/>
    <d v="1899-12-30T18:33:43"/>
    <n v="4953"/>
    <n v="13002561"/>
    <n v="13"/>
    <n v="22589"/>
    <s v="Retail Sale"/>
    <n v="15"/>
    <n v="68987"/>
    <x v="22"/>
    <s v="Protek"/>
    <s v="KRKA"/>
    <n v="3"/>
    <n v="116.05"/>
    <n v="170.88"/>
    <n v="0"/>
    <n v="0"/>
    <m/>
    <n v="29"/>
    <n v="1"/>
    <n v="1"/>
    <n v="170.88"/>
    <n v="13130003953"/>
  </r>
  <r>
    <x v="27"/>
    <d v="1899-12-30T18:20:02"/>
    <n v="4954"/>
    <n v="13002561"/>
    <n v="13"/>
    <n v="22589"/>
    <s v="Retail Sale"/>
    <n v="18"/>
    <n v="30140"/>
    <x v="31"/>
    <s v="Protek"/>
    <s v="Novartis"/>
    <n v="3"/>
    <n v="255.08"/>
    <n v="399.55"/>
    <n v="19.98"/>
    <n v="19.98"/>
    <s v="BONUS_CARD"/>
    <n v="29"/>
    <n v="1"/>
    <n v="2"/>
    <n v="379.57"/>
    <n v="13130003954"/>
  </r>
  <r>
    <x v="16"/>
    <d v="1899-12-30T11:57:20"/>
    <n v="4955"/>
    <n v="13002561"/>
    <n v="13"/>
    <n v="22589"/>
    <s v="Retail Sale"/>
    <n v="15"/>
    <n v="84541"/>
    <x v="57"/>
    <s v="Protek"/>
    <s v="TEVA"/>
    <n v="1"/>
    <n v="421.47"/>
    <n v="598.54"/>
    <n v="0"/>
    <n v="0"/>
    <m/>
    <n v="29"/>
    <n v="1"/>
    <n v="5"/>
    <n v="598.54"/>
    <n v="13130003955"/>
  </r>
  <r>
    <x v="14"/>
    <d v="1899-12-30T18:06:03"/>
    <n v="4956"/>
    <n v="13002561"/>
    <n v="13"/>
    <n v="22589"/>
    <s v="Retail Sale"/>
    <n v="18"/>
    <n v="49062"/>
    <x v="23"/>
    <s v="Pharmcomplect"/>
    <s v="TEVA"/>
    <n v="3"/>
    <n v="549.53"/>
    <n v="919.02"/>
    <n v="45.95"/>
    <n v="45.95"/>
    <s v="BONUS_CARD"/>
    <n v="29"/>
    <n v="1"/>
    <n v="5"/>
    <n v="873.07"/>
    <n v="13130003956"/>
  </r>
  <r>
    <x v="18"/>
    <d v="1899-12-30T13:21:47"/>
    <n v="4957"/>
    <n v="13002561"/>
    <n v="13"/>
    <n v="22589"/>
    <s v="Retail Sale"/>
    <n v="15"/>
    <n v="74539"/>
    <x v="51"/>
    <s v="Grand Capital"/>
    <s v="Takeda"/>
    <n v="1"/>
    <n v="364.06"/>
    <n v="578.29999999999995"/>
    <n v="0"/>
    <n v="0"/>
    <m/>
    <n v="29"/>
    <n v="1"/>
    <n v="3"/>
    <n v="578.29999999999995"/>
    <n v="13130003957"/>
  </r>
  <r>
    <x v="25"/>
    <d v="1899-12-30T13:57:41"/>
    <n v="4958"/>
    <n v="13002561"/>
    <n v="13"/>
    <n v="22589"/>
    <s v="Retail Sale"/>
    <n v="15"/>
    <n v="53945"/>
    <x v="12"/>
    <s v="Protek"/>
    <s v="Pfizer"/>
    <n v="3"/>
    <n v="9.27"/>
    <n v="11.6"/>
    <n v="0"/>
    <n v="0"/>
    <m/>
    <n v="29"/>
    <n v="1"/>
    <n v="2"/>
    <n v="11.6"/>
    <n v="13130003958"/>
  </r>
  <r>
    <x v="19"/>
    <d v="1899-12-30T18:25:06"/>
    <n v="4959"/>
    <n v="13002561"/>
    <n v="13"/>
    <n v="22589"/>
    <s v="Retail Sale"/>
    <n v="18"/>
    <n v="11130"/>
    <x v="12"/>
    <s v="Avesta"/>
    <s v="Dr. Reddy's"/>
    <n v="3"/>
    <n v="318.89999999999998"/>
    <n v="421.43"/>
    <n v="42.14"/>
    <n v="42.14"/>
    <s v="BONUS_CARD"/>
    <n v="29"/>
    <n v="1"/>
    <n v="6"/>
    <n v="379.29"/>
    <n v="13130003959"/>
  </r>
  <r>
    <x v="20"/>
    <d v="1899-12-30T18:24:47"/>
    <n v="4960"/>
    <n v="13002561"/>
    <n v="13"/>
    <n v="22589"/>
    <s v="Retail Sale"/>
    <n v="18"/>
    <n v="81141"/>
    <x v="44"/>
    <s v="Avesta"/>
    <s v="KRKA"/>
    <n v="3"/>
    <n v="555.54"/>
    <n v="711.52"/>
    <n v="0"/>
    <n v="0"/>
    <m/>
    <n v="29"/>
    <n v="1"/>
    <n v="6"/>
    <n v="711.52"/>
    <n v="13130003960"/>
  </r>
  <r>
    <x v="22"/>
    <d v="1899-12-30T17:17:50"/>
    <n v="4961"/>
    <n v="13002561"/>
    <n v="13"/>
    <n v="22589"/>
    <s v="Retail Sale"/>
    <n v="15"/>
    <n v="92272"/>
    <x v="53"/>
    <s v="Protek"/>
    <s v="KRKA"/>
    <n v="2"/>
    <n v="347.74"/>
    <n v="531.66999999999996"/>
    <n v="53.17"/>
    <n v="53.17"/>
    <s v="BONUS_CARD"/>
    <n v="29"/>
    <n v="1"/>
    <n v="1"/>
    <n v="478.5"/>
    <n v="13130003961"/>
  </r>
  <r>
    <x v="4"/>
    <d v="1899-12-30T09:36:40"/>
    <n v="4962"/>
    <n v="13002561"/>
    <n v="13"/>
    <n v="22589"/>
    <s v="Retail Sale"/>
    <n v="18"/>
    <n v="44390"/>
    <x v="69"/>
    <s v="Avesta"/>
    <s v="Sanofi"/>
    <n v="2"/>
    <n v="413.13"/>
    <n v="521.37"/>
    <n v="26.07"/>
    <n v="26.07"/>
    <s v="BONUS_CARD"/>
    <n v="29"/>
    <n v="1"/>
    <n v="5"/>
    <n v="495.3"/>
    <n v="13130003962"/>
  </r>
  <r>
    <x v="9"/>
    <d v="1899-12-30T17:49:34"/>
    <n v="4963"/>
    <n v="13002561"/>
    <n v="13"/>
    <n v="22589"/>
    <s v="Retail Sale"/>
    <n v="15"/>
    <n v="31935"/>
    <x v="22"/>
    <s v="Grand Capital"/>
    <s v="Pfizer"/>
    <n v="2"/>
    <n v="241.87"/>
    <n v="319.07"/>
    <n v="31.91"/>
    <n v="31.91"/>
    <s v="BONUS_CARD"/>
    <n v="29"/>
    <n v="1"/>
    <n v="4"/>
    <n v="287.16000000000003"/>
    <n v="13130003963"/>
  </r>
  <r>
    <x v="29"/>
    <d v="1899-12-30T08:53:18"/>
    <n v="4964"/>
    <n v="13002561"/>
    <n v="13"/>
    <n v="22589"/>
    <s v="Retail Sale"/>
    <n v="15"/>
    <n v="87407"/>
    <x v="47"/>
    <s v="Grand Capital"/>
    <s v="Dr. Reddy's"/>
    <n v="1"/>
    <n v="458.91"/>
    <n v="778.56"/>
    <n v="38.93"/>
    <n v="38.93"/>
    <s v="BONUS_CARD"/>
    <n v="29"/>
    <n v="1"/>
    <n v="6"/>
    <n v="739.63"/>
    <n v="13130003964"/>
  </r>
  <r>
    <x v="6"/>
    <d v="1899-12-30T08:43:35"/>
    <n v="4965"/>
    <n v="13002561"/>
    <n v="13"/>
    <n v="22589"/>
    <s v="Retail Sale"/>
    <n v="15"/>
    <n v="58036"/>
    <x v="6"/>
    <s v="Grand Capital"/>
    <s v="Novartis"/>
    <n v="1"/>
    <n v="447.9"/>
    <n v="631.54"/>
    <n v="63.15"/>
    <n v="63.15"/>
    <s v="BONUS_CARD"/>
    <n v="29"/>
    <n v="1"/>
    <n v="4"/>
    <n v="568.39"/>
    <n v="13130003965"/>
  </r>
  <r>
    <x v="30"/>
    <d v="1899-12-30T13:23:30"/>
    <n v="4966"/>
    <n v="13002561"/>
    <n v="13"/>
    <n v="22589"/>
    <s v="Retail Sale"/>
    <n v="15"/>
    <n v="90196"/>
    <x v="26"/>
    <s v="Pulse"/>
    <s v="Pfizer"/>
    <n v="3"/>
    <n v="406.31"/>
    <n v="674.68"/>
    <n v="33.729999999999997"/>
    <n v="33.729999999999997"/>
    <s v="BONUS_CARD"/>
    <n v="29"/>
    <n v="1"/>
    <n v="4"/>
    <n v="640.95000000000005"/>
    <n v="13130003966"/>
  </r>
  <r>
    <x v="22"/>
    <d v="1899-12-30T11:20:14"/>
    <n v="4967"/>
    <n v="13002561"/>
    <n v="13"/>
    <n v="22589"/>
    <s v="Retail Sale"/>
    <n v="18"/>
    <n v="80625"/>
    <x v="47"/>
    <s v="Protek"/>
    <s v="KRKA"/>
    <n v="2"/>
    <n v="487.4"/>
    <n v="728.67"/>
    <n v="0"/>
    <n v="0"/>
    <m/>
    <n v="29"/>
    <n v="1"/>
    <n v="6"/>
    <n v="728.67"/>
    <n v="13130003967"/>
  </r>
  <r>
    <x v="22"/>
    <d v="1899-12-30T16:05:25"/>
    <n v="4968"/>
    <n v="13002561"/>
    <n v="13"/>
    <n v="22589"/>
    <s v="Retail Sale"/>
    <n v="18"/>
    <n v="15874"/>
    <x v="15"/>
    <s v="Pulse"/>
    <s v="Sanofi"/>
    <n v="1"/>
    <n v="513.6"/>
    <n v="675.1"/>
    <n v="33.76"/>
    <n v="33.76"/>
    <s v="BONUS_CARD"/>
    <n v="29"/>
    <n v="1"/>
    <n v="3"/>
    <n v="641.34"/>
    <n v="13130003968"/>
  </r>
  <r>
    <x v="13"/>
    <d v="1899-12-30T20:05:41"/>
    <n v="4969"/>
    <n v="13002561"/>
    <n v="13"/>
    <n v="22589"/>
    <s v="Retail Sale"/>
    <n v="18"/>
    <n v="57198"/>
    <x v="20"/>
    <s v="Katren"/>
    <s v="KRKA"/>
    <n v="1"/>
    <n v="324.75"/>
    <n v="415.1"/>
    <n v="41.51"/>
    <n v="41.51"/>
    <s v="BONUS_CARD"/>
    <n v="29"/>
    <n v="1"/>
    <n v="3"/>
    <n v="373.59"/>
    <n v="13130003969"/>
  </r>
  <r>
    <x v="19"/>
    <d v="1899-12-30T21:47:42"/>
    <n v="4970"/>
    <n v="13002561"/>
    <n v="13"/>
    <n v="22589"/>
    <s v="Retail Sale"/>
    <n v="18"/>
    <n v="59931"/>
    <x v="19"/>
    <s v="Katren"/>
    <s v="KRKA"/>
    <n v="3"/>
    <n v="55.18"/>
    <n v="76.25"/>
    <n v="7.62"/>
    <n v="7.62"/>
    <s v="BONUS_CARD"/>
    <n v="29"/>
    <n v="1"/>
    <n v="5"/>
    <n v="68.63"/>
    <n v="13130003970"/>
  </r>
  <r>
    <x v="1"/>
    <d v="1899-12-30T15:17:29"/>
    <n v="4971"/>
    <n v="13002561"/>
    <n v="13"/>
    <n v="22589"/>
    <s v="Retail Sale"/>
    <n v="18"/>
    <n v="47413"/>
    <x v="38"/>
    <s v="Katren"/>
    <s v="Bayer"/>
    <n v="3"/>
    <n v="49.06"/>
    <n v="69.08"/>
    <n v="3.45"/>
    <n v="3.45"/>
    <s v="BONUS_CARD"/>
    <n v="29"/>
    <n v="1"/>
    <n v="1"/>
    <n v="65.63"/>
    <n v="13130003971"/>
  </r>
  <r>
    <x v="25"/>
    <d v="1899-12-30T16:59:34"/>
    <n v="4972"/>
    <n v="13002561"/>
    <n v="13"/>
    <n v="22589"/>
    <s v="Retail Sale"/>
    <n v="15"/>
    <n v="46416"/>
    <x v="29"/>
    <s v="Pharmcomplect"/>
    <s v="KRKA"/>
    <n v="2"/>
    <n v="399.26"/>
    <n v="536.79"/>
    <n v="0"/>
    <n v="0"/>
    <m/>
    <n v="29"/>
    <n v="1"/>
    <n v="4"/>
    <n v="536.79"/>
    <n v="13130003972"/>
  </r>
  <r>
    <x v="12"/>
    <d v="1899-12-30T09:00:22"/>
    <n v="4973"/>
    <n v="13002561"/>
    <n v="13"/>
    <n v="22589"/>
    <s v="Retail Sale"/>
    <n v="15"/>
    <n v="79811"/>
    <x v="2"/>
    <s v="Pharmcomplect"/>
    <s v="Pfizer"/>
    <n v="1"/>
    <n v="492.6"/>
    <n v="799.54"/>
    <n v="39.979999999999997"/>
    <n v="39.979999999999997"/>
    <s v="BONUS_CARD"/>
    <n v="29"/>
    <n v="1"/>
    <n v="6"/>
    <n v="759.56"/>
    <n v="13130003973"/>
  </r>
  <r>
    <x v="1"/>
    <d v="1899-12-30T21:57:18"/>
    <n v="4974"/>
    <n v="13002561"/>
    <n v="13"/>
    <n v="22589"/>
    <s v="Retail Sale"/>
    <n v="18"/>
    <n v="43205"/>
    <x v="45"/>
    <s v="Avesta"/>
    <s v="Novartis"/>
    <n v="1"/>
    <n v="590.45000000000005"/>
    <n v="895.05"/>
    <n v="44.75"/>
    <n v="44.75"/>
    <s v="BONUS_CARD"/>
    <n v="29"/>
    <n v="1"/>
    <n v="4"/>
    <n v="850.3"/>
    <n v="13130003974"/>
  </r>
  <r>
    <x v="8"/>
    <d v="1899-12-30T22:31:50"/>
    <n v="4975"/>
    <n v="13002561"/>
    <n v="13"/>
    <n v="22589"/>
    <s v="Retail Sale"/>
    <n v="15"/>
    <n v="25888"/>
    <x v="72"/>
    <s v="Grand Capital"/>
    <s v="Takeda"/>
    <n v="2"/>
    <n v="19.399999999999999"/>
    <n v="25.89"/>
    <n v="2.59"/>
    <n v="2.59"/>
    <s v="BONUS_CARD"/>
    <n v="29"/>
    <n v="1"/>
    <n v="4"/>
    <n v="23.3"/>
    <n v="13130003975"/>
  </r>
  <r>
    <x v="15"/>
    <d v="1899-12-30T13:47:39"/>
    <n v="4976"/>
    <n v="13002561"/>
    <n v="13"/>
    <n v="22589"/>
    <s v="Retail Sale"/>
    <n v="18"/>
    <n v="14852"/>
    <x v="43"/>
    <s v="Protek"/>
    <s v="TEVA"/>
    <n v="3"/>
    <n v="527.73"/>
    <n v="740.06"/>
    <n v="0"/>
    <n v="0"/>
    <m/>
    <n v="29"/>
    <n v="1"/>
    <n v="1"/>
    <n v="740.06"/>
    <n v="13130003976"/>
  </r>
  <r>
    <x v="22"/>
    <d v="1899-12-30T08:48:01"/>
    <n v="4977"/>
    <n v="13002561"/>
    <n v="13"/>
    <n v="22589"/>
    <s v="Retail Sale"/>
    <n v="18"/>
    <n v="76410"/>
    <x v="75"/>
    <s v="Grand Capital"/>
    <s v="Takeda"/>
    <n v="1"/>
    <n v="132.83000000000001"/>
    <n v="222.52"/>
    <n v="22.25"/>
    <n v="22.25"/>
    <s v="BONUS_CARD"/>
    <n v="29"/>
    <n v="1"/>
    <n v="5"/>
    <n v="200.27"/>
    <n v="13130003977"/>
  </r>
  <r>
    <x v="9"/>
    <d v="1899-12-30T09:49:02"/>
    <n v="4978"/>
    <n v="13002561"/>
    <n v="13"/>
    <n v="22589"/>
    <s v="Retail Sale"/>
    <n v="15"/>
    <n v="57845"/>
    <x v="52"/>
    <s v="Katren"/>
    <s v="Sanofi"/>
    <n v="3"/>
    <n v="346.65"/>
    <n v="455.97"/>
    <n v="0"/>
    <n v="0"/>
    <m/>
    <n v="29"/>
    <n v="1"/>
    <n v="6"/>
    <n v="455.97"/>
    <n v="13130003978"/>
  </r>
  <r>
    <x v="26"/>
    <d v="1899-12-30T22:25:44"/>
    <n v="4979"/>
    <n v="13002561"/>
    <n v="13"/>
    <n v="22589"/>
    <s v="Retail Sale"/>
    <n v="15"/>
    <n v="15006"/>
    <x v="74"/>
    <s v="Grand Capital"/>
    <s v="Sanofi"/>
    <n v="3"/>
    <n v="94"/>
    <n v="136.82"/>
    <n v="6.84"/>
    <n v="6.84"/>
    <s v="BONUS_CARD"/>
    <n v="29"/>
    <n v="1"/>
    <n v="3"/>
    <n v="129.97999999999999"/>
    <n v="13130003979"/>
  </r>
  <r>
    <x v="24"/>
    <d v="1899-12-30T14:45:01"/>
    <n v="4980"/>
    <n v="13002561"/>
    <n v="13"/>
    <n v="22589"/>
    <s v="Retail Sale"/>
    <n v="15"/>
    <n v="80405"/>
    <x v="51"/>
    <s v="Pulse"/>
    <s v="Sanofi"/>
    <n v="3"/>
    <n v="97.7"/>
    <n v="151.72"/>
    <n v="0"/>
    <n v="0"/>
    <m/>
    <n v="29"/>
    <n v="1"/>
    <n v="6"/>
    <n v="151.72"/>
    <n v="13130003980"/>
  </r>
  <r>
    <x v="5"/>
    <d v="1899-12-30T21:24:32"/>
    <n v="4981"/>
    <n v="13002561"/>
    <n v="13"/>
    <n v="22589"/>
    <s v="Retail Sale"/>
    <n v="18"/>
    <n v="90877"/>
    <x v="82"/>
    <s v="Katren"/>
    <s v="Novartis"/>
    <n v="2"/>
    <n v="486.59"/>
    <n v="694.21"/>
    <n v="69.42"/>
    <n v="69.42"/>
    <s v="BONUS_CARD"/>
    <n v="29"/>
    <n v="1"/>
    <n v="3"/>
    <n v="624.79"/>
    <n v="13130003981"/>
  </r>
  <r>
    <x v="14"/>
    <d v="1899-12-30T21:21:42"/>
    <n v="4982"/>
    <n v="13002561"/>
    <n v="13"/>
    <n v="22589"/>
    <s v="Retail Sale"/>
    <n v="18"/>
    <n v="85621"/>
    <x v="54"/>
    <s v="Katren"/>
    <s v="Dr. Reddy's"/>
    <n v="1"/>
    <n v="494.9"/>
    <n v="625.42999999999995"/>
    <n v="0"/>
    <n v="0"/>
    <m/>
    <n v="29"/>
    <n v="1"/>
    <n v="3"/>
    <n v="625.42999999999995"/>
    <n v="13130003982"/>
  </r>
  <r>
    <x v="30"/>
    <d v="1899-12-30T11:31:16"/>
    <n v="4983"/>
    <n v="13002561"/>
    <n v="13"/>
    <n v="22589"/>
    <s v="Retail Sale"/>
    <n v="15"/>
    <n v="47755"/>
    <x v="46"/>
    <s v="Pharmcomplect"/>
    <s v="TEVA"/>
    <n v="1"/>
    <n v="207.1"/>
    <n v="295.98"/>
    <n v="14.8"/>
    <n v="14.8"/>
    <s v="BONUS_CARD"/>
    <n v="29"/>
    <n v="1"/>
    <n v="3"/>
    <n v="281.18"/>
    <n v="13130003983"/>
  </r>
  <r>
    <x v="14"/>
    <d v="1899-12-30T11:27:50"/>
    <n v="4984"/>
    <n v="13002561"/>
    <n v="13"/>
    <n v="22589"/>
    <s v="Retail Sale"/>
    <n v="15"/>
    <n v="17104"/>
    <x v="24"/>
    <s v="Grand Capital"/>
    <s v="Novartis"/>
    <n v="1"/>
    <n v="211.23"/>
    <n v="326.62"/>
    <n v="0"/>
    <n v="0"/>
    <m/>
    <n v="29"/>
    <n v="1"/>
    <n v="1"/>
    <n v="326.62"/>
    <n v="13130003984"/>
  </r>
  <r>
    <x v="8"/>
    <d v="1899-12-30T13:16:16"/>
    <n v="4985"/>
    <n v="13002561"/>
    <n v="13"/>
    <n v="22589"/>
    <s v="Retail Sale"/>
    <n v="18"/>
    <n v="81884"/>
    <x v="7"/>
    <s v="Katren"/>
    <s v="TEVA"/>
    <n v="1"/>
    <n v="314.79000000000002"/>
    <n v="526.86"/>
    <n v="52.69"/>
    <n v="52.69"/>
    <s v="BONUS_CARD"/>
    <n v="29"/>
    <n v="1"/>
    <n v="5"/>
    <n v="474.17"/>
    <n v="13130003985"/>
  </r>
  <r>
    <x v="10"/>
    <d v="1899-12-30T19:59:44"/>
    <n v="4986"/>
    <n v="13002561"/>
    <n v="13"/>
    <n v="22589"/>
    <s v="Retail Sale"/>
    <n v="18"/>
    <n v="78608"/>
    <x v="5"/>
    <s v="Katren"/>
    <s v="Sanofi"/>
    <n v="1"/>
    <n v="427.62"/>
    <n v="655"/>
    <n v="32.75"/>
    <n v="32.75"/>
    <s v="BONUS_CARD"/>
    <n v="29"/>
    <n v="1"/>
    <n v="6"/>
    <n v="622.25"/>
    <n v="13130003986"/>
  </r>
  <r>
    <x v="25"/>
    <d v="1899-12-30T14:56:52"/>
    <n v="4987"/>
    <n v="13002561"/>
    <n v="13"/>
    <n v="22589"/>
    <s v="Retail Sale"/>
    <n v="18"/>
    <n v="74501"/>
    <x v="52"/>
    <s v="Pharmcomplect"/>
    <s v="Dr. Reddy's"/>
    <n v="3"/>
    <n v="35.18"/>
    <n v="56.09"/>
    <n v="5.61"/>
    <n v="5.61"/>
    <s v="BONUS_CARD"/>
    <n v="29"/>
    <n v="1"/>
    <n v="3"/>
    <n v="50.48"/>
    <n v="13130003987"/>
  </r>
  <r>
    <x v="1"/>
    <d v="1899-12-30T19:24:09"/>
    <n v="4988"/>
    <n v="13002561"/>
    <n v="13"/>
    <n v="22589"/>
    <s v="Retail Sale"/>
    <n v="18"/>
    <n v="32584"/>
    <x v="16"/>
    <s v="Grand Capital"/>
    <s v="Sanofi"/>
    <n v="1"/>
    <n v="115.38"/>
    <n v="194.53"/>
    <n v="9.73"/>
    <n v="9.73"/>
    <s v="BONUS_CARD"/>
    <n v="29"/>
    <n v="1"/>
    <n v="3"/>
    <n v="184.8"/>
    <n v="13130003988"/>
  </r>
  <r>
    <x v="20"/>
    <d v="1899-12-30T18:43:14"/>
    <n v="4989"/>
    <n v="13002561"/>
    <n v="13"/>
    <n v="22589"/>
    <s v="Retail Sale"/>
    <n v="18"/>
    <n v="38465"/>
    <x v="31"/>
    <s v="Katren"/>
    <s v="Dr. Reddy's"/>
    <n v="1"/>
    <n v="311.95"/>
    <n v="471.37"/>
    <n v="0"/>
    <n v="0"/>
    <m/>
    <n v="29"/>
    <n v="1"/>
    <n v="6"/>
    <n v="471.37"/>
    <n v="13130003989"/>
  </r>
  <r>
    <x v="4"/>
    <d v="1899-12-30T17:05:34"/>
    <n v="4990"/>
    <n v="13002561"/>
    <n v="13"/>
    <n v="22589"/>
    <s v="Retail Sale"/>
    <n v="18"/>
    <n v="82360"/>
    <x v="23"/>
    <s v="Pulse"/>
    <s v="Dr. Reddy's"/>
    <n v="2"/>
    <n v="567.29999999999995"/>
    <n v="950.18"/>
    <n v="0"/>
    <n v="0"/>
    <m/>
    <n v="29"/>
    <n v="1"/>
    <n v="3"/>
    <n v="950.18"/>
    <n v="13130003990"/>
  </r>
  <r>
    <x v="21"/>
    <d v="1899-12-30T16:55:48"/>
    <n v="4991"/>
    <n v="13002561"/>
    <n v="13"/>
    <n v="22589"/>
    <s v="Retail Sale"/>
    <n v="18"/>
    <n v="56096"/>
    <x v="11"/>
    <s v="Pharmcomplect"/>
    <s v="Takeda"/>
    <n v="1"/>
    <n v="383.92"/>
    <n v="487.83"/>
    <n v="48.78"/>
    <n v="48.78"/>
    <s v="BONUS_CARD"/>
    <n v="29"/>
    <n v="1"/>
    <n v="4"/>
    <n v="439.05"/>
    <n v="13130003991"/>
  </r>
  <r>
    <x v="23"/>
    <d v="1899-12-30T21:24:39"/>
    <n v="4992"/>
    <n v="13002561"/>
    <n v="13"/>
    <n v="22589"/>
    <s v="Retail Sale"/>
    <n v="15"/>
    <n v="96958"/>
    <x v="63"/>
    <s v="Katren"/>
    <s v="Sanofi"/>
    <n v="2"/>
    <n v="497.28"/>
    <n v="818.86"/>
    <n v="40.94"/>
    <n v="40.94"/>
    <s v="BONUS_CARD"/>
    <n v="29"/>
    <n v="1"/>
    <n v="3"/>
    <n v="777.92"/>
    <n v="13130003992"/>
  </r>
  <r>
    <x v="26"/>
    <d v="1899-12-30T21:14:49"/>
    <n v="4993"/>
    <n v="13002561"/>
    <n v="13"/>
    <n v="22589"/>
    <s v="Retail Sale"/>
    <n v="18"/>
    <n v="99607"/>
    <x v="89"/>
    <s v="Pharmcomplect"/>
    <s v="TEVA"/>
    <n v="2"/>
    <n v="373.49"/>
    <n v="473.77"/>
    <n v="0"/>
    <n v="0"/>
    <m/>
    <n v="29"/>
    <n v="1"/>
    <n v="1"/>
    <n v="473.77"/>
    <n v="13130003993"/>
  </r>
  <r>
    <x v="15"/>
    <d v="1899-12-30T20:29:24"/>
    <n v="4994"/>
    <n v="13002561"/>
    <n v="13"/>
    <n v="22589"/>
    <s v="Retail Sale"/>
    <n v="15"/>
    <n v="94310"/>
    <x v="13"/>
    <s v="Pharmcomplect"/>
    <s v="Takeda"/>
    <n v="1"/>
    <n v="167.22"/>
    <n v="238.02"/>
    <n v="11.9"/>
    <n v="11.9"/>
    <s v="BONUS_CARD"/>
    <n v="29"/>
    <n v="1"/>
    <n v="2"/>
    <n v="226.12"/>
    <n v="13130003994"/>
  </r>
  <r>
    <x v="6"/>
    <d v="1899-12-30T22:21:54"/>
    <n v="4995"/>
    <n v="13002561"/>
    <n v="13"/>
    <n v="22589"/>
    <s v="Retail Sale"/>
    <n v="18"/>
    <n v="70551"/>
    <x v="36"/>
    <s v="Pharmcomplect"/>
    <s v="Bayer"/>
    <n v="2"/>
    <n v="592.41"/>
    <n v="811.84"/>
    <n v="40.590000000000003"/>
    <n v="40.590000000000003"/>
    <s v="BONUS_CARD"/>
    <n v="29"/>
    <n v="1"/>
    <n v="3"/>
    <n v="771.25"/>
    <n v="13130003995"/>
  </r>
  <r>
    <x v="29"/>
    <d v="1899-12-30T20:57:10"/>
    <n v="4996"/>
    <n v="13002561"/>
    <n v="13"/>
    <n v="22589"/>
    <s v="Retail Sale"/>
    <n v="18"/>
    <n v="69045"/>
    <x v="52"/>
    <s v="Avesta"/>
    <s v="Sanofi"/>
    <n v="3"/>
    <n v="34.85"/>
    <n v="58.6"/>
    <n v="2.93"/>
    <n v="2.93"/>
    <s v="BONUS_CARD"/>
    <n v="29"/>
    <n v="1"/>
    <n v="3"/>
    <n v="55.67"/>
    <n v="13130003996"/>
  </r>
  <r>
    <x v="26"/>
    <d v="1899-12-30T18:33:56"/>
    <n v="4997"/>
    <n v="13002561"/>
    <n v="13"/>
    <n v="22589"/>
    <s v="Retail Sale"/>
    <n v="18"/>
    <n v="36709"/>
    <x v="51"/>
    <s v="Katren"/>
    <s v="Dr. Reddy's"/>
    <n v="3"/>
    <n v="398.61"/>
    <n v="572.66999999999996"/>
    <n v="57.27"/>
    <n v="57.27"/>
    <s v="BONUS_CARD"/>
    <n v="29"/>
    <n v="1"/>
    <n v="6"/>
    <n v="515.4"/>
    <n v="13130003997"/>
  </r>
  <r>
    <x v="1"/>
    <d v="1899-12-30T20:41:41"/>
    <n v="4998"/>
    <n v="13002561"/>
    <n v="13"/>
    <n v="22589"/>
    <s v="Retail Sale"/>
    <n v="15"/>
    <n v="83739"/>
    <x v="31"/>
    <s v="Pharmcomplect"/>
    <s v="TEVA"/>
    <n v="1"/>
    <n v="65.5"/>
    <n v="86.8"/>
    <n v="0"/>
    <n v="0"/>
    <m/>
    <n v="29"/>
    <n v="1"/>
    <n v="1"/>
    <n v="86.8"/>
    <n v="13130003998"/>
  </r>
  <r>
    <x v="24"/>
    <d v="1899-12-30T22:12:20"/>
    <n v="4999"/>
    <n v="13002561"/>
    <n v="13"/>
    <n v="22589"/>
    <s v="Retail Sale"/>
    <n v="18"/>
    <n v="53771"/>
    <x v="71"/>
    <s v="Pharmcomplect"/>
    <s v="Sanofi"/>
    <n v="2"/>
    <n v="43.51"/>
    <n v="56.81"/>
    <n v="2.84"/>
    <n v="2.84"/>
    <s v="BONUS_CARD"/>
    <n v="29"/>
    <n v="1"/>
    <n v="3"/>
    <n v="53.97"/>
    <n v="13130003999"/>
  </r>
  <r>
    <x v="16"/>
    <d v="1899-12-30T11:08:29"/>
    <n v="5000"/>
    <n v="13002561"/>
    <n v="13"/>
    <n v="22589"/>
    <s v="Retail Sale"/>
    <n v="18"/>
    <n v="54490"/>
    <x v="59"/>
    <s v="Pharmcomplect"/>
    <s v="Bayer"/>
    <n v="2"/>
    <n v="524.96"/>
    <n v="885.83"/>
    <n v="44.29"/>
    <n v="44.29"/>
    <s v="BONUS_CARD"/>
    <n v="29"/>
    <n v="1"/>
    <n v="2"/>
    <n v="841.54"/>
    <n v="13130004000"/>
  </r>
  <r>
    <x v="11"/>
    <d v="1899-12-30T16:56:04"/>
    <n v="5001"/>
    <n v="13002561"/>
    <n v="13"/>
    <n v="22589"/>
    <s v="Retail Sale"/>
    <n v="18"/>
    <n v="99672"/>
    <x v="89"/>
    <s v="Pulse"/>
    <s v="Takeda"/>
    <n v="1"/>
    <n v="249.21"/>
    <n v="325.77"/>
    <n v="32.58"/>
    <n v="32.58"/>
    <s v="BONUS_CARD"/>
    <n v="29"/>
    <n v="1"/>
    <n v="5"/>
    <n v="293.19"/>
    <n v="13130004001"/>
  </r>
  <r>
    <x v="18"/>
    <d v="1899-12-30T08:02:02"/>
    <n v="5002"/>
    <n v="13002561"/>
    <n v="13"/>
    <n v="22589"/>
    <s v="Retail Sale"/>
    <n v="18"/>
    <n v="14246"/>
    <x v="69"/>
    <s v="Avesta"/>
    <s v="Dr. Reddy's"/>
    <n v="2"/>
    <n v="512.71"/>
    <n v="795.9"/>
    <n v="39.799999999999997"/>
    <n v="39.799999999999997"/>
    <s v="BONUS_CARD"/>
    <n v="29"/>
    <n v="1"/>
    <n v="4"/>
    <n v="756.1"/>
    <n v="13130004002"/>
  </r>
  <r>
    <x v="25"/>
    <d v="1899-12-30T11:56:55"/>
    <n v="5003"/>
    <n v="13002561"/>
    <n v="13"/>
    <n v="22589"/>
    <s v="Retail Sale"/>
    <n v="18"/>
    <n v="84046"/>
    <x v="49"/>
    <s v="Grand Capital"/>
    <s v="Novartis"/>
    <n v="2"/>
    <n v="519.28"/>
    <n v="777.25"/>
    <n v="0"/>
    <n v="0"/>
    <m/>
    <n v="29"/>
    <n v="1"/>
    <n v="6"/>
    <n v="777.25"/>
    <n v="13130004003"/>
  </r>
  <r>
    <x v="30"/>
    <d v="1899-12-30T21:11:53"/>
    <n v="5004"/>
    <n v="13002561"/>
    <n v="13"/>
    <n v="22589"/>
    <s v="Retail Sale"/>
    <n v="18"/>
    <n v="81842"/>
    <x v="2"/>
    <s v="Pharmcomplect"/>
    <s v="Takeda"/>
    <n v="3"/>
    <n v="368.05"/>
    <n v="510.17"/>
    <n v="51.02"/>
    <n v="51.02"/>
    <s v="BONUS_CARD"/>
    <n v="29"/>
    <n v="1"/>
    <n v="5"/>
    <n v="459.15"/>
    <n v="13130004004"/>
  </r>
  <r>
    <x v="2"/>
    <d v="1899-12-30T10:31:53"/>
    <n v="5005"/>
    <n v="13002561"/>
    <n v="13"/>
    <n v="22589"/>
    <s v="Retail Sale"/>
    <n v="15"/>
    <n v="16583"/>
    <x v="66"/>
    <s v="Katren"/>
    <s v="Pfizer"/>
    <n v="2"/>
    <n v="243.16"/>
    <n v="336.09"/>
    <n v="0"/>
    <n v="0"/>
    <m/>
    <n v="29"/>
    <n v="1"/>
    <n v="1"/>
    <n v="336.09"/>
    <n v="13130004005"/>
  </r>
  <r>
    <x v="25"/>
    <d v="1899-12-30T13:15:48"/>
    <n v="5006"/>
    <n v="13002561"/>
    <n v="13"/>
    <n v="22589"/>
    <s v="Retail Sale"/>
    <n v="18"/>
    <n v="80724"/>
    <x v="83"/>
    <s v="Katren"/>
    <s v="KRKA"/>
    <n v="1"/>
    <n v="287.58999999999997"/>
    <n v="368.18"/>
    <n v="18.41"/>
    <n v="18.41"/>
    <s v="BONUS_CARD"/>
    <n v="29"/>
    <n v="1"/>
    <n v="5"/>
    <n v="349.77"/>
    <n v="13130004006"/>
  </r>
  <r>
    <x v="20"/>
    <d v="1899-12-30T16:36:14"/>
    <n v="5007"/>
    <n v="13002561"/>
    <n v="13"/>
    <n v="22589"/>
    <s v="Retail Sale"/>
    <n v="15"/>
    <n v="25839"/>
    <x v="59"/>
    <s v="Katren"/>
    <s v="Sanofi"/>
    <n v="3"/>
    <n v="136.83000000000001"/>
    <n v="223.94"/>
    <n v="22.39"/>
    <n v="22.39"/>
    <s v="BONUS_CARD"/>
    <n v="29"/>
    <n v="1"/>
    <n v="3"/>
    <n v="201.55"/>
    <n v="13130004007"/>
  </r>
  <r>
    <x v="2"/>
    <d v="1899-12-30T15:50:27"/>
    <n v="5008"/>
    <n v="13002561"/>
    <n v="13"/>
    <n v="22589"/>
    <s v="Retail Sale"/>
    <n v="18"/>
    <n v="44003"/>
    <x v="22"/>
    <s v="Grand Capital"/>
    <s v="Sanofi"/>
    <n v="3"/>
    <n v="7.14"/>
    <n v="9.7100000000000009"/>
    <n v="0.49"/>
    <n v="0.49"/>
    <s v="BONUS_CARD"/>
    <n v="29"/>
    <n v="1"/>
    <n v="6"/>
    <n v="9.2200000000000006"/>
    <n v="13130004008"/>
  </r>
  <r>
    <x v="15"/>
    <d v="1899-12-30T16:21:17"/>
    <n v="5009"/>
    <n v="13002561"/>
    <n v="13"/>
    <n v="22589"/>
    <s v="Retail Sale"/>
    <n v="18"/>
    <n v="14753"/>
    <x v="6"/>
    <s v="Pharmcomplect"/>
    <s v="KRKA"/>
    <n v="3"/>
    <n v="383.36"/>
    <n v="601.96"/>
    <n v="60.2"/>
    <n v="60.2"/>
    <s v="BONUS_CARD"/>
    <n v="29"/>
    <n v="1"/>
    <n v="3"/>
    <n v="541.76"/>
    <n v="13130004009"/>
  </r>
  <r>
    <x v="29"/>
    <d v="1899-12-30T15:50:08"/>
    <n v="5010"/>
    <n v="13002561"/>
    <n v="13"/>
    <n v="22589"/>
    <s v="Retail Sale"/>
    <n v="15"/>
    <n v="99293"/>
    <x v="75"/>
    <s v="Avesta"/>
    <s v="Dr. Reddy's"/>
    <n v="1"/>
    <n v="344.77"/>
    <n v="463.4"/>
    <n v="23.17"/>
    <n v="23.17"/>
    <s v="BONUS_CARD"/>
    <n v="29"/>
    <n v="1"/>
    <n v="5"/>
    <n v="440.23"/>
    <n v="13130004010"/>
  </r>
  <r>
    <x v="9"/>
    <d v="1899-12-30T22:52:03"/>
    <n v="5011"/>
    <n v="13002561"/>
    <n v="13"/>
    <n v="22589"/>
    <s v="Retail Sale"/>
    <n v="15"/>
    <n v="75900"/>
    <x v="62"/>
    <s v="Pulse"/>
    <s v="Novartis"/>
    <n v="2"/>
    <n v="213.66"/>
    <n v="304.39"/>
    <n v="15.22"/>
    <n v="15.22"/>
    <s v="BONUS_CARD"/>
    <n v="29"/>
    <n v="1"/>
    <n v="5"/>
    <n v="289.17"/>
    <n v="13130004011"/>
  </r>
  <r>
    <x v="24"/>
    <d v="1899-12-30T12:24:47"/>
    <n v="5012"/>
    <n v="13002561"/>
    <n v="13"/>
    <n v="22589"/>
    <s v="Retail Sale"/>
    <n v="18"/>
    <n v="58685"/>
    <x v="72"/>
    <s v="Pulse"/>
    <s v="Takeda"/>
    <n v="1"/>
    <n v="132.63999999999999"/>
    <n v="194.88"/>
    <n v="19.489999999999998"/>
    <n v="19.489999999999998"/>
    <s v="BONUS_CARD"/>
    <n v="29"/>
    <n v="1"/>
    <n v="2"/>
    <n v="175.39"/>
    <n v="13130004012"/>
  </r>
  <r>
    <x v="9"/>
    <d v="1899-12-30T10:32:53"/>
    <n v="5013"/>
    <n v="13002561"/>
    <n v="13"/>
    <n v="22589"/>
    <s v="Retail Sale"/>
    <n v="18"/>
    <n v="68973"/>
    <x v="68"/>
    <s v="Protek"/>
    <s v="Takeda"/>
    <n v="3"/>
    <n v="225.87"/>
    <n v="381.58"/>
    <n v="38.159999999999997"/>
    <n v="38.159999999999997"/>
    <s v="BONUS_CARD"/>
    <n v="29"/>
    <n v="1"/>
    <n v="1"/>
    <n v="343.42"/>
    <n v="13130004013"/>
  </r>
  <r>
    <x v="6"/>
    <d v="1899-12-30T16:06:34"/>
    <n v="5014"/>
    <n v="13002561"/>
    <n v="13"/>
    <n v="22589"/>
    <s v="Retail Sale"/>
    <n v="15"/>
    <n v="73721"/>
    <x v="21"/>
    <s v="Katren"/>
    <s v="Pfizer"/>
    <n v="3"/>
    <n v="377.07"/>
    <n v="473.15"/>
    <n v="0"/>
    <n v="0"/>
    <m/>
    <n v="29"/>
    <n v="1"/>
    <n v="4"/>
    <n v="473.15"/>
    <n v="13130004014"/>
  </r>
  <r>
    <x v="24"/>
    <d v="1899-12-30T18:26:00"/>
    <n v="5015"/>
    <n v="13002561"/>
    <n v="13"/>
    <n v="22589"/>
    <s v="Retail Sale"/>
    <n v="15"/>
    <n v="27287"/>
    <x v="81"/>
    <s v="Pharmcomplect"/>
    <s v="Novartis"/>
    <n v="2"/>
    <n v="48.99"/>
    <n v="73.28"/>
    <n v="7.33"/>
    <n v="7.33"/>
    <s v="BONUS_CARD"/>
    <n v="29"/>
    <n v="1"/>
    <n v="1"/>
    <n v="65.95"/>
    <n v="13130004015"/>
  </r>
  <r>
    <x v="10"/>
    <d v="1899-12-30T13:00:49"/>
    <n v="5016"/>
    <n v="13002561"/>
    <n v="13"/>
    <n v="22589"/>
    <s v="Retail Sale"/>
    <n v="15"/>
    <n v="36736"/>
    <x v="84"/>
    <s v="Katren"/>
    <s v="Sanofi"/>
    <n v="1"/>
    <n v="554.34"/>
    <n v="937.66"/>
    <n v="93.77"/>
    <n v="93.77"/>
    <s v="BONUS_CARD"/>
    <n v="29"/>
    <n v="1"/>
    <n v="6"/>
    <n v="843.89"/>
    <n v="13130004016"/>
  </r>
  <r>
    <x v="10"/>
    <d v="1899-12-30T22:34:27"/>
    <n v="5017"/>
    <n v="13002561"/>
    <n v="13"/>
    <n v="22589"/>
    <s v="Retail Sale"/>
    <n v="18"/>
    <n v="67767"/>
    <x v="78"/>
    <s v="Pharmcomplect"/>
    <s v="Takeda"/>
    <n v="2"/>
    <n v="566.69000000000005"/>
    <n v="824.4"/>
    <n v="82.44"/>
    <n v="82.44"/>
    <s v="BONUS_CARD"/>
    <n v="29"/>
    <n v="1"/>
    <n v="4"/>
    <n v="741.96"/>
    <n v="13130004017"/>
  </r>
  <r>
    <x v="29"/>
    <d v="1899-12-30T22:45:30"/>
    <n v="5018"/>
    <n v="13002561"/>
    <n v="13"/>
    <n v="22589"/>
    <s v="Retail Sale"/>
    <n v="18"/>
    <n v="37676"/>
    <x v="27"/>
    <s v="Avesta"/>
    <s v="Novartis"/>
    <n v="1"/>
    <n v="318.31"/>
    <n v="515.04"/>
    <n v="0"/>
    <n v="0"/>
    <m/>
    <n v="29"/>
    <n v="1"/>
    <n v="5"/>
    <n v="515.04"/>
    <n v="13130004018"/>
  </r>
  <r>
    <x v="19"/>
    <d v="1899-12-30T11:52:14"/>
    <n v="5019"/>
    <n v="13002561"/>
    <n v="13"/>
    <n v="22589"/>
    <s v="Retail Sale"/>
    <n v="15"/>
    <n v="34455"/>
    <x v="9"/>
    <s v="Katren"/>
    <s v="Sanofi"/>
    <n v="2"/>
    <n v="513.17999999999995"/>
    <n v="648.12"/>
    <n v="32.409999999999997"/>
    <n v="32.409999999999997"/>
    <s v="BONUS_CARD"/>
    <n v="29"/>
    <n v="1"/>
    <n v="6"/>
    <n v="615.71"/>
    <n v="13130004019"/>
  </r>
  <r>
    <x v="21"/>
    <d v="1899-12-30T08:02:26"/>
    <n v="5020"/>
    <n v="13002561"/>
    <n v="13"/>
    <n v="22589"/>
    <s v="Retail Sale"/>
    <n v="18"/>
    <n v="93914"/>
    <x v="46"/>
    <s v="Pulse"/>
    <s v="Novartis"/>
    <n v="1"/>
    <n v="119.19"/>
    <n v="166.47"/>
    <n v="16.649999999999999"/>
    <n v="16.649999999999999"/>
    <s v="BONUS_CARD"/>
    <n v="29"/>
    <n v="1"/>
    <n v="2"/>
    <n v="149.82"/>
    <n v="13130004020"/>
  </r>
  <r>
    <x v="11"/>
    <d v="1899-12-30T09:59:24"/>
    <n v="5021"/>
    <n v="13002561"/>
    <n v="13"/>
    <n v="22589"/>
    <s v="Retail Sale"/>
    <n v="15"/>
    <n v="83590"/>
    <x v="18"/>
    <s v="Pharmcomplect"/>
    <s v="Dr. Reddy's"/>
    <n v="3"/>
    <n v="272.08"/>
    <n v="393.2"/>
    <n v="39.32"/>
    <n v="39.32"/>
    <s v="BONUS_CARD"/>
    <n v="29"/>
    <n v="1"/>
    <n v="6"/>
    <n v="353.88"/>
    <n v="13130004021"/>
  </r>
  <r>
    <x v="1"/>
    <d v="1899-12-30T08:41:50"/>
    <n v="5022"/>
    <n v="13002561"/>
    <n v="13"/>
    <n v="22589"/>
    <s v="Retail Sale"/>
    <n v="15"/>
    <n v="64190"/>
    <x v="11"/>
    <s v="Pharmcomplect"/>
    <s v="TEVA"/>
    <n v="1"/>
    <n v="590.38"/>
    <n v="805.2"/>
    <n v="80.52"/>
    <n v="80.52"/>
    <s v="BONUS_CARD"/>
    <n v="29"/>
    <n v="1"/>
    <n v="2"/>
    <n v="724.68"/>
    <n v="13130004022"/>
  </r>
  <r>
    <x v="26"/>
    <d v="1899-12-30T14:21:57"/>
    <n v="5023"/>
    <n v="13002561"/>
    <n v="13"/>
    <n v="22589"/>
    <s v="Retail Sale"/>
    <n v="18"/>
    <n v="83575"/>
    <x v="31"/>
    <s v="Katren"/>
    <s v="TEVA"/>
    <n v="1"/>
    <n v="93.72"/>
    <n v="139.56"/>
    <n v="6.98"/>
    <n v="6.98"/>
    <s v="BONUS_CARD"/>
    <n v="29"/>
    <n v="1"/>
    <n v="3"/>
    <n v="132.58000000000001"/>
    <n v="13130004023"/>
  </r>
  <r>
    <x v="0"/>
    <d v="1899-12-30T12:48:49"/>
    <n v="5024"/>
    <n v="13002561"/>
    <n v="13"/>
    <n v="22589"/>
    <s v="Retail Sale"/>
    <n v="18"/>
    <n v="45947"/>
    <x v="67"/>
    <s v="Grand Capital"/>
    <s v="Sanofi"/>
    <n v="3"/>
    <n v="144.03"/>
    <n v="232.51"/>
    <n v="23.25"/>
    <n v="23.25"/>
    <s v="BONUS_CARD"/>
    <n v="29"/>
    <n v="1"/>
    <n v="1"/>
    <n v="209.26"/>
    <n v="13130004024"/>
  </r>
  <r>
    <x v="7"/>
    <d v="1899-12-30T12:03:02"/>
    <n v="5025"/>
    <n v="13002561"/>
    <n v="13"/>
    <n v="22589"/>
    <s v="Retail Sale"/>
    <n v="18"/>
    <n v="68981"/>
    <x v="31"/>
    <s v="Protek"/>
    <s v="Dr. Reddy's"/>
    <n v="1"/>
    <n v="154.16999999999999"/>
    <n v="218.58"/>
    <n v="21.86"/>
    <n v="21.86"/>
    <s v="BONUS_CARD"/>
    <n v="29"/>
    <n v="1"/>
    <n v="1"/>
    <n v="196.72"/>
    <n v="13130004025"/>
  </r>
  <r>
    <x v="1"/>
    <d v="1899-12-30T08:32:33"/>
    <n v="5026"/>
    <n v="13002561"/>
    <n v="13"/>
    <n v="22589"/>
    <s v="Retail Sale"/>
    <n v="18"/>
    <n v="47014"/>
    <x v="73"/>
    <s v="Avesta"/>
    <s v="Dr. Reddy's"/>
    <n v="1"/>
    <n v="442.58"/>
    <n v="597.28"/>
    <n v="59.73"/>
    <n v="59.73"/>
    <s v="BONUS_CARD"/>
    <n v="29"/>
    <n v="1"/>
    <n v="6"/>
    <n v="537.54999999999995"/>
    <n v="13130004026"/>
  </r>
  <r>
    <x v="19"/>
    <d v="1899-12-30T20:39:05"/>
    <n v="5027"/>
    <n v="13002561"/>
    <n v="13"/>
    <n v="22589"/>
    <s v="Retail Sale"/>
    <n v="15"/>
    <n v="36438"/>
    <x v="73"/>
    <s v="Avesta"/>
    <s v="Sanofi"/>
    <n v="2"/>
    <n v="124.44"/>
    <n v="193.78"/>
    <n v="19.38"/>
    <n v="19.38"/>
    <s v="BONUS_CARD"/>
    <n v="29"/>
    <n v="1"/>
    <n v="5"/>
    <n v="174.4"/>
    <n v="13130004027"/>
  </r>
  <r>
    <x v="4"/>
    <d v="1899-12-30T10:57:15"/>
    <n v="5028"/>
    <n v="13002561"/>
    <n v="13"/>
    <n v="22589"/>
    <s v="Retail Sale"/>
    <n v="18"/>
    <n v="98281"/>
    <x v="51"/>
    <s v="Katren"/>
    <s v="Sanofi"/>
    <n v="2"/>
    <n v="133.61000000000001"/>
    <n v="204.23"/>
    <n v="20.420000000000002"/>
    <n v="20.420000000000002"/>
    <s v="BONUS_CARD"/>
    <n v="29"/>
    <n v="1"/>
    <n v="3"/>
    <n v="183.81"/>
    <n v="13130004028"/>
  </r>
  <r>
    <x v="19"/>
    <d v="1899-12-30T22:38:52"/>
    <n v="5029"/>
    <n v="13002561"/>
    <n v="13"/>
    <n v="22589"/>
    <s v="Retail Sale"/>
    <n v="15"/>
    <n v="91054"/>
    <x v="38"/>
    <s v="Pharmcomplect"/>
    <s v="Novartis"/>
    <n v="1"/>
    <n v="472.53"/>
    <n v="794.84"/>
    <n v="79.48"/>
    <n v="79.48"/>
    <s v="BONUS_CARD"/>
    <n v="29"/>
    <n v="1"/>
    <n v="2"/>
    <n v="715.36"/>
    <n v="13130004029"/>
  </r>
  <r>
    <x v="9"/>
    <d v="1899-12-30T08:30:52"/>
    <n v="5030"/>
    <n v="13002561"/>
    <n v="13"/>
    <n v="22589"/>
    <s v="Retail Sale"/>
    <n v="15"/>
    <n v="71637"/>
    <x v="55"/>
    <s v="Katren"/>
    <s v="Novartis"/>
    <n v="1"/>
    <n v="254.68"/>
    <n v="398.18"/>
    <n v="0"/>
    <n v="0"/>
    <m/>
    <n v="29"/>
    <n v="1"/>
    <n v="6"/>
    <n v="398.18"/>
    <n v="13130004030"/>
  </r>
  <r>
    <x v="18"/>
    <d v="1899-12-30T13:14:42"/>
    <n v="5031"/>
    <n v="13002561"/>
    <n v="13"/>
    <n v="22589"/>
    <s v="Retail Sale"/>
    <n v="15"/>
    <n v="81650"/>
    <x v="84"/>
    <s v="Avesta"/>
    <s v="Sanofi"/>
    <n v="3"/>
    <n v="331.87"/>
    <n v="474.4"/>
    <n v="47.44"/>
    <n v="47.44"/>
    <s v="BONUS_CARD"/>
    <n v="29"/>
    <n v="1"/>
    <n v="5"/>
    <n v="426.96"/>
    <n v="13130004031"/>
  </r>
  <r>
    <x v="16"/>
    <d v="1899-12-30T08:59:15"/>
    <n v="5032"/>
    <n v="13002561"/>
    <n v="13"/>
    <n v="22589"/>
    <s v="Retail Sale"/>
    <n v="15"/>
    <n v="78885"/>
    <x v="10"/>
    <s v="Grand Capital"/>
    <s v="Bayer"/>
    <n v="1"/>
    <n v="511.64"/>
    <n v="783.6"/>
    <n v="78.36"/>
    <n v="78.36"/>
    <s v="BONUS_CARD"/>
    <n v="29"/>
    <n v="1"/>
    <n v="5"/>
    <n v="705.24"/>
    <n v="13130004032"/>
  </r>
  <r>
    <x v="22"/>
    <d v="1899-12-30T12:21:58"/>
    <n v="5033"/>
    <n v="13002561"/>
    <n v="13"/>
    <n v="22589"/>
    <s v="Retail Sale"/>
    <n v="15"/>
    <n v="50451"/>
    <x v="71"/>
    <s v="Avesta"/>
    <s v="Novartis"/>
    <n v="2"/>
    <n v="585.04999999999995"/>
    <n v="763.23"/>
    <n v="0"/>
    <n v="0"/>
    <m/>
    <n v="29"/>
    <n v="1"/>
    <n v="6"/>
    <n v="763.23"/>
    <n v="13130004033"/>
  </r>
  <r>
    <x v="23"/>
    <d v="1899-12-30T19:47:56"/>
    <n v="5034"/>
    <n v="13002561"/>
    <n v="13"/>
    <n v="22589"/>
    <s v="Retail Sale"/>
    <n v="18"/>
    <n v="13649"/>
    <x v="54"/>
    <s v="Grand Capital"/>
    <s v="Sanofi"/>
    <n v="2"/>
    <n v="79.42"/>
    <n v="100.42"/>
    <n v="5.0199999999999996"/>
    <n v="5.0199999999999996"/>
    <s v="BONUS_CARD"/>
    <n v="29"/>
    <n v="1"/>
    <n v="3"/>
    <n v="95.4"/>
    <n v="13130004034"/>
  </r>
  <r>
    <x v="3"/>
    <d v="1899-12-30T18:55:56"/>
    <n v="5035"/>
    <n v="13002561"/>
    <n v="13"/>
    <n v="22589"/>
    <s v="Retail Sale"/>
    <n v="18"/>
    <n v="91576"/>
    <x v="82"/>
    <s v="Katren"/>
    <s v="Dr. Reddy's"/>
    <n v="1"/>
    <n v="253.94"/>
    <n v="349.42"/>
    <n v="0"/>
    <n v="0"/>
    <m/>
    <n v="29"/>
    <n v="1"/>
    <n v="5"/>
    <n v="349.42"/>
    <n v="13130004035"/>
  </r>
  <r>
    <x v="14"/>
    <d v="1899-12-30T14:16:08"/>
    <n v="5036"/>
    <n v="13002561"/>
    <n v="13"/>
    <n v="22589"/>
    <s v="Retail Sale"/>
    <n v="18"/>
    <n v="56124"/>
    <x v="47"/>
    <s v="Grand Capital"/>
    <s v="KRKA"/>
    <n v="1"/>
    <n v="401.79"/>
    <n v="526.94000000000005"/>
    <n v="52.69"/>
    <n v="52.69"/>
    <s v="BONUS_CARD"/>
    <n v="29"/>
    <n v="1"/>
    <n v="5"/>
    <n v="474.25"/>
    <n v="13130004036"/>
  </r>
  <r>
    <x v="27"/>
    <d v="1899-12-30T10:31:42"/>
    <n v="5037"/>
    <n v="13002561"/>
    <n v="13"/>
    <n v="22589"/>
    <s v="Retail Sale"/>
    <n v="15"/>
    <n v="87880"/>
    <x v="46"/>
    <s v="Pharmcomplect"/>
    <s v="Takeda"/>
    <n v="1"/>
    <n v="484.55"/>
    <n v="661.41"/>
    <n v="66.14"/>
    <n v="66.14"/>
    <s v="BONUS_CARD"/>
    <n v="29"/>
    <n v="1"/>
    <n v="3"/>
    <n v="595.27"/>
    <n v="13130004037"/>
  </r>
  <r>
    <x v="23"/>
    <d v="1899-12-30T21:33:48"/>
    <n v="5038"/>
    <n v="13002561"/>
    <n v="13"/>
    <n v="22589"/>
    <s v="Retail Sale"/>
    <n v="15"/>
    <n v="99012"/>
    <x v="13"/>
    <s v="Avesta"/>
    <s v="Novartis"/>
    <n v="1"/>
    <n v="462.04"/>
    <n v="625.25"/>
    <n v="62.53"/>
    <n v="62.53"/>
    <s v="BONUS_CARD"/>
    <n v="29"/>
    <n v="1"/>
    <n v="1"/>
    <n v="562.72"/>
    <n v="13130004038"/>
  </r>
  <r>
    <x v="4"/>
    <d v="1899-12-30T19:01:29"/>
    <n v="5039"/>
    <n v="13002561"/>
    <n v="13"/>
    <n v="22589"/>
    <s v="Retail Sale"/>
    <n v="18"/>
    <n v="42032"/>
    <x v="10"/>
    <s v="Avesta"/>
    <s v="TEVA"/>
    <n v="1"/>
    <n v="127.59"/>
    <n v="171.54"/>
    <n v="0"/>
    <n v="0"/>
    <m/>
    <n v="29"/>
    <n v="1"/>
    <n v="1"/>
    <n v="171.54"/>
    <n v="13130004039"/>
  </r>
  <r>
    <x v="10"/>
    <d v="1899-12-30T08:51:06"/>
    <n v="5040"/>
    <n v="13002561"/>
    <n v="13"/>
    <n v="22589"/>
    <s v="Retail Sale"/>
    <n v="18"/>
    <n v="93442"/>
    <x v="70"/>
    <s v="Avesta"/>
    <s v="KRKA"/>
    <n v="3"/>
    <n v="92.87"/>
    <n v="125.07"/>
    <n v="12.51"/>
    <n v="12.51"/>
    <s v="BONUS_CARD"/>
    <n v="29"/>
    <n v="1"/>
    <n v="2"/>
    <n v="112.56"/>
    <n v="13130004040"/>
  </r>
  <r>
    <x v="14"/>
    <d v="1899-12-30T20:03:48"/>
    <n v="5041"/>
    <n v="13002561"/>
    <n v="13"/>
    <n v="22589"/>
    <s v="Retail Sale"/>
    <n v="18"/>
    <n v="75229"/>
    <x v="53"/>
    <s v="Pharmcomplect"/>
    <s v="Bayer"/>
    <n v="2"/>
    <n v="225.57"/>
    <n v="377.43"/>
    <n v="0"/>
    <n v="0"/>
    <m/>
    <n v="29"/>
    <n v="1"/>
    <n v="6"/>
    <n v="377.43"/>
    <n v="13130004041"/>
  </r>
  <r>
    <x v="17"/>
    <d v="1899-12-30T19:16:29"/>
    <n v="5042"/>
    <n v="13002561"/>
    <n v="13"/>
    <n v="22589"/>
    <s v="Retail Sale"/>
    <n v="15"/>
    <n v="58091"/>
    <x v="58"/>
    <s v="Pulse"/>
    <s v="KRKA"/>
    <n v="3"/>
    <n v="315.52"/>
    <n v="530.03"/>
    <n v="53"/>
    <n v="53"/>
    <s v="BONUS_CARD"/>
    <n v="29"/>
    <n v="1"/>
    <n v="4"/>
    <n v="477.03"/>
    <n v="13130004042"/>
  </r>
  <r>
    <x v="20"/>
    <d v="1899-12-30T19:48:39"/>
    <n v="5043"/>
    <n v="13002561"/>
    <n v="13"/>
    <n v="22589"/>
    <s v="Retail Sale"/>
    <n v="15"/>
    <n v="51568"/>
    <x v="10"/>
    <s v="Grand Capital"/>
    <s v="Bayer"/>
    <n v="3"/>
    <n v="570.36"/>
    <n v="901.69"/>
    <n v="0"/>
    <n v="0"/>
    <m/>
    <n v="29"/>
    <n v="1"/>
    <n v="4"/>
    <n v="901.69"/>
    <n v="13130004043"/>
  </r>
  <r>
    <x v="8"/>
    <d v="1899-12-30T15:25:32"/>
    <n v="5044"/>
    <n v="13002561"/>
    <n v="13"/>
    <n v="22589"/>
    <s v="Retail Sale"/>
    <n v="18"/>
    <n v="98222"/>
    <x v="5"/>
    <s v="Katren"/>
    <s v="Dr. Reddy's"/>
    <n v="1"/>
    <n v="58.9"/>
    <n v="95.5"/>
    <n v="9.5500000000000007"/>
    <n v="9.5500000000000007"/>
    <s v="BONUS_CARD"/>
    <n v="29"/>
    <n v="1"/>
    <n v="3"/>
    <n v="85.95"/>
    <n v="13130004044"/>
  </r>
  <r>
    <x v="25"/>
    <d v="1899-12-30T20:48:11"/>
    <n v="5045"/>
    <n v="13002561"/>
    <n v="13"/>
    <n v="22589"/>
    <s v="Retail Sale"/>
    <n v="15"/>
    <n v="52168"/>
    <x v="54"/>
    <s v="Protek"/>
    <s v="TEVA"/>
    <n v="3"/>
    <n v="271.25"/>
    <n v="405.55"/>
    <n v="20.28"/>
    <n v="20.28"/>
    <s v="BONUS_CARD"/>
    <n v="29"/>
    <n v="1"/>
    <n v="6"/>
    <n v="385.27"/>
    <n v="13130004045"/>
  </r>
  <r>
    <x v="19"/>
    <d v="1899-12-30T10:36:20"/>
    <n v="5046"/>
    <n v="13002561"/>
    <n v="13"/>
    <n v="22589"/>
    <s v="Retail Sale"/>
    <n v="15"/>
    <n v="23279"/>
    <x v="3"/>
    <s v="Avesta"/>
    <s v="Sanofi"/>
    <n v="2"/>
    <n v="502.48"/>
    <n v="704.44"/>
    <n v="0"/>
    <n v="0"/>
    <m/>
    <n v="29"/>
    <n v="1"/>
    <n v="6"/>
    <n v="704.44"/>
    <n v="13130004046"/>
  </r>
  <r>
    <x v="6"/>
    <d v="1899-12-30T13:51:34"/>
    <n v="5047"/>
    <n v="13002561"/>
    <n v="13"/>
    <n v="22589"/>
    <s v="Retail Sale"/>
    <n v="18"/>
    <n v="65370"/>
    <x v="70"/>
    <s v="Pharmcomplect"/>
    <s v="Takeda"/>
    <n v="1"/>
    <n v="437.29"/>
    <n v="728.24"/>
    <n v="36.409999999999997"/>
    <n v="36.409999999999997"/>
    <s v="BONUS_CARD"/>
    <n v="29"/>
    <n v="1"/>
    <n v="3"/>
    <n v="691.83"/>
    <n v="13130004047"/>
  </r>
  <r>
    <x v="26"/>
    <d v="1899-12-30T19:44:04"/>
    <n v="5048"/>
    <n v="13002561"/>
    <n v="13"/>
    <n v="22589"/>
    <s v="Retail Sale"/>
    <n v="18"/>
    <n v="84164"/>
    <x v="87"/>
    <s v="Avesta"/>
    <s v="Takeda"/>
    <n v="3"/>
    <n v="262.31"/>
    <n v="372.83"/>
    <n v="0"/>
    <n v="0"/>
    <m/>
    <n v="29"/>
    <n v="1"/>
    <n v="1"/>
    <n v="372.83"/>
    <n v="13130004048"/>
  </r>
  <r>
    <x v="30"/>
    <d v="1899-12-30T18:15:20"/>
    <n v="5049"/>
    <n v="13002561"/>
    <n v="13"/>
    <n v="22589"/>
    <s v="Retail Sale"/>
    <n v="18"/>
    <n v="21434"/>
    <x v="76"/>
    <s v="Protek"/>
    <s v="Novartis"/>
    <n v="2"/>
    <n v="41.95"/>
    <n v="53.77"/>
    <n v="2.69"/>
    <n v="2.69"/>
    <s v="BONUS_CARD"/>
    <n v="29"/>
    <n v="1"/>
    <n v="4"/>
    <n v="51.08"/>
    <n v="13130004049"/>
  </r>
  <r>
    <x v="7"/>
    <d v="1899-12-30T08:24:51"/>
    <n v="5050"/>
    <n v="13002561"/>
    <n v="13"/>
    <n v="22589"/>
    <s v="Retail Sale"/>
    <n v="18"/>
    <n v="55061"/>
    <x v="51"/>
    <s v="Avesta"/>
    <s v="Novartis"/>
    <n v="1"/>
    <n v="511.61"/>
    <n v="797.85"/>
    <n v="0"/>
    <n v="0"/>
    <m/>
    <n v="29"/>
    <n v="1"/>
    <n v="4"/>
    <n v="797.85"/>
    <n v="13130004050"/>
  </r>
  <r>
    <x v="8"/>
    <d v="1899-12-30T11:53:10"/>
    <n v="5051"/>
    <n v="13002561"/>
    <n v="13"/>
    <n v="22589"/>
    <s v="Retail Sale"/>
    <n v="15"/>
    <n v="37842"/>
    <x v="3"/>
    <s v="Pharmcomplect"/>
    <s v="KRKA"/>
    <n v="2"/>
    <n v="401.1"/>
    <n v="508.31"/>
    <n v="25.42"/>
    <n v="25.42"/>
    <s v="BONUS_CARD"/>
    <n v="29"/>
    <n v="1"/>
    <n v="2"/>
    <n v="482.89"/>
    <n v="13130004051"/>
  </r>
  <r>
    <x v="11"/>
    <d v="1899-12-30T15:00:24"/>
    <n v="5052"/>
    <n v="13002561"/>
    <n v="13"/>
    <n v="22589"/>
    <s v="Retail Sale"/>
    <n v="18"/>
    <n v="30181"/>
    <x v="21"/>
    <s v="Avesta"/>
    <s v="Dr. Reddy's"/>
    <n v="3"/>
    <n v="229.54"/>
    <n v="358.4"/>
    <n v="35.840000000000003"/>
    <n v="35.840000000000003"/>
    <s v="BONUS_CARD"/>
    <n v="29"/>
    <n v="1"/>
    <n v="1"/>
    <n v="322.56"/>
    <n v="13130004052"/>
  </r>
  <r>
    <x v="28"/>
    <d v="1899-12-30T22:48:14"/>
    <n v="5053"/>
    <n v="13002561"/>
    <n v="13"/>
    <n v="22589"/>
    <s v="Retail Sale"/>
    <n v="15"/>
    <n v="71229"/>
    <x v="62"/>
    <s v="Pharmcomplect"/>
    <s v="KRKA"/>
    <n v="3"/>
    <n v="405.48"/>
    <n v="579.86"/>
    <n v="57.99"/>
    <n v="57.99"/>
    <s v="BONUS_CARD"/>
    <n v="29"/>
    <n v="1"/>
    <n v="4"/>
    <n v="521.87"/>
    <n v="13130004053"/>
  </r>
  <r>
    <x v="2"/>
    <d v="1899-12-30T11:59:32"/>
    <n v="5054"/>
    <n v="13002561"/>
    <n v="13"/>
    <n v="22589"/>
    <s v="Retail Sale"/>
    <n v="15"/>
    <n v="93995"/>
    <x v="13"/>
    <s v="Pulse"/>
    <s v="TEVA"/>
    <n v="1"/>
    <n v="392.04"/>
    <n v="539.14"/>
    <n v="26.96"/>
    <n v="26.96"/>
    <s v="BONUS_CARD"/>
    <n v="29"/>
    <n v="1"/>
    <n v="4"/>
    <n v="512.17999999999995"/>
    <n v="13130004054"/>
  </r>
  <r>
    <x v="11"/>
    <d v="1899-12-30T20:16:32"/>
    <n v="5055"/>
    <n v="13002561"/>
    <n v="13"/>
    <n v="22589"/>
    <s v="Retail Sale"/>
    <n v="18"/>
    <n v="35286"/>
    <x v="64"/>
    <s v="Grand Capital"/>
    <s v="Bayer"/>
    <n v="2"/>
    <n v="43.04"/>
    <n v="61.26"/>
    <n v="0"/>
    <n v="0"/>
    <m/>
    <n v="29"/>
    <n v="1"/>
    <n v="4"/>
    <n v="61.26"/>
    <n v="13130004055"/>
  </r>
  <r>
    <x v="25"/>
    <d v="1899-12-30T12:54:36"/>
    <n v="5056"/>
    <n v="13002561"/>
    <n v="13"/>
    <n v="22589"/>
    <s v="Retail Sale"/>
    <n v="18"/>
    <n v="26447"/>
    <x v="30"/>
    <s v="Avesta"/>
    <s v="TEVA"/>
    <n v="3"/>
    <n v="134.4"/>
    <n v="219.09"/>
    <n v="0"/>
    <n v="0"/>
    <m/>
    <n v="29"/>
    <n v="1"/>
    <n v="5"/>
    <n v="219.09"/>
    <n v="13130004056"/>
  </r>
  <r>
    <x v="18"/>
    <d v="1899-12-30T13:15:41"/>
    <n v="5057"/>
    <n v="13002561"/>
    <n v="13"/>
    <n v="22589"/>
    <s v="Retail Sale"/>
    <n v="15"/>
    <n v="69588"/>
    <x v="27"/>
    <s v="Grand Capital"/>
    <s v="TEVA"/>
    <n v="1"/>
    <n v="100.11"/>
    <n v="138.72"/>
    <n v="0"/>
    <n v="0"/>
    <m/>
    <n v="29"/>
    <n v="1"/>
    <n v="3"/>
    <n v="138.72"/>
    <n v="13130004057"/>
  </r>
  <r>
    <x v="22"/>
    <d v="1899-12-30T11:24:28"/>
    <n v="5058"/>
    <n v="13002561"/>
    <n v="13"/>
    <n v="22589"/>
    <s v="Retail Sale"/>
    <n v="18"/>
    <n v="66652"/>
    <x v="15"/>
    <s v="Pharmcomplect"/>
    <s v="TEVA"/>
    <n v="3"/>
    <n v="45.22"/>
    <n v="76.14"/>
    <n v="0"/>
    <n v="0"/>
    <m/>
    <n v="29"/>
    <n v="1"/>
    <n v="2"/>
    <n v="76.14"/>
    <n v="13130004058"/>
  </r>
  <r>
    <x v="14"/>
    <d v="1899-12-30T11:44:18"/>
    <n v="5059"/>
    <n v="13002561"/>
    <n v="13"/>
    <n v="22589"/>
    <s v="Retail Sale"/>
    <n v="15"/>
    <n v="36591"/>
    <x v="3"/>
    <s v="Katren"/>
    <s v="Dr. Reddy's"/>
    <n v="2"/>
    <n v="96.7"/>
    <n v="123.79"/>
    <n v="0"/>
    <n v="0"/>
    <m/>
    <n v="29"/>
    <n v="1"/>
    <n v="5"/>
    <n v="123.79"/>
    <n v="13130004059"/>
  </r>
  <r>
    <x v="1"/>
    <d v="1899-12-30T22:56:35"/>
    <n v="5060"/>
    <n v="13002561"/>
    <n v="13"/>
    <n v="22589"/>
    <s v="Retail Sale"/>
    <n v="15"/>
    <n v="42498"/>
    <x v="16"/>
    <s v="Pulse"/>
    <s v="KRKA"/>
    <n v="3"/>
    <n v="457.07"/>
    <n v="707.09"/>
    <n v="70.709999999999994"/>
    <n v="70.709999999999994"/>
    <s v="BONUS_CARD"/>
    <n v="29"/>
    <n v="1"/>
    <n v="4"/>
    <n v="636.38"/>
    <n v="13130004060"/>
  </r>
  <r>
    <x v="0"/>
    <d v="1899-12-30T21:03:40"/>
    <n v="5061"/>
    <n v="13002561"/>
    <n v="13"/>
    <n v="22589"/>
    <s v="Retail Sale"/>
    <n v="18"/>
    <n v="42491"/>
    <x v="88"/>
    <s v="Protek"/>
    <s v="Bayer"/>
    <n v="3"/>
    <n v="79.819999999999993"/>
    <n v="108.7"/>
    <n v="0"/>
    <n v="0"/>
    <m/>
    <n v="29"/>
    <n v="1"/>
    <n v="5"/>
    <n v="108.7"/>
    <n v="13130004061"/>
  </r>
  <r>
    <x v="23"/>
    <d v="1899-12-30T19:23:16"/>
    <n v="5062"/>
    <n v="13002561"/>
    <n v="13"/>
    <n v="22589"/>
    <s v="Retail Sale"/>
    <n v="15"/>
    <n v="24666"/>
    <x v="0"/>
    <s v="Pulse"/>
    <s v="Pfizer"/>
    <n v="2"/>
    <n v="427.59"/>
    <n v="535.15"/>
    <n v="0"/>
    <n v="0"/>
    <m/>
    <n v="29"/>
    <n v="1"/>
    <n v="2"/>
    <n v="535.15"/>
    <n v="13130004062"/>
  </r>
  <r>
    <x v="22"/>
    <d v="1899-12-30T12:05:46"/>
    <n v="5063"/>
    <n v="13002561"/>
    <n v="13"/>
    <n v="22589"/>
    <s v="Retail Sale"/>
    <n v="15"/>
    <n v="59522"/>
    <x v="17"/>
    <s v="Avesta"/>
    <s v="Novartis"/>
    <n v="2"/>
    <n v="556.61"/>
    <n v="845.01"/>
    <n v="84.5"/>
    <n v="84.5"/>
    <s v="BONUS_CARD"/>
    <n v="29"/>
    <n v="1"/>
    <n v="3"/>
    <n v="760.51"/>
    <n v="13130004063"/>
  </r>
  <r>
    <x v="7"/>
    <d v="1899-12-30T11:23:57"/>
    <n v="5064"/>
    <n v="13002561"/>
    <n v="13"/>
    <n v="22589"/>
    <s v="Retail Sale"/>
    <n v="15"/>
    <n v="43511"/>
    <x v="68"/>
    <s v="Grand Capital"/>
    <s v="Sanofi"/>
    <n v="3"/>
    <n v="14.25"/>
    <n v="21.93"/>
    <n v="2.19"/>
    <n v="2.19"/>
    <s v="BONUS_CARD"/>
    <n v="29"/>
    <n v="1"/>
    <n v="4"/>
    <n v="19.739999999999998"/>
    <n v="13130004064"/>
  </r>
  <r>
    <x v="15"/>
    <d v="1899-12-30T22:10:58"/>
    <n v="5065"/>
    <n v="13002561"/>
    <n v="13"/>
    <n v="22589"/>
    <s v="Retail Sale"/>
    <n v="18"/>
    <n v="15883"/>
    <x v="81"/>
    <s v="Pharmcomplect"/>
    <s v="Sanofi"/>
    <n v="2"/>
    <n v="391.56"/>
    <n v="632.79"/>
    <n v="63.28"/>
    <n v="63.28"/>
    <s v="BONUS_CARD"/>
    <n v="29"/>
    <n v="1"/>
    <n v="3"/>
    <n v="569.51"/>
    <n v="13130004065"/>
  </r>
  <r>
    <x v="22"/>
    <d v="1899-12-30T12:22:39"/>
    <n v="5066"/>
    <n v="13002561"/>
    <n v="13"/>
    <n v="22589"/>
    <s v="Retail Sale"/>
    <n v="18"/>
    <n v="30611"/>
    <x v="28"/>
    <s v="Pulse"/>
    <s v="Novartis"/>
    <n v="1"/>
    <n v="287.5"/>
    <n v="419.74"/>
    <n v="41.97"/>
    <n v="41.97"/>
    <s v="BONUS_CARD"/>
    <n v="29"/>
    <n v="1"/>
    <n v="3"/>
    <n v="377.77"/>
    <n v="13130004066"/>
  </r>
  <r>
    <x v="14"/>
    <d v="1899-12-30T22:23:24"/>
    <n v="5067"/>
    <n v="13002561"/>
    <n v="13"/>
    <n v="22589"/>
    <s v="Retail Sale"/>
    <n v="18"/>
    <n v="28165"/>
    <x v="88"/>
    <s v="Protek"/>
    <s v="Novartis"/>
    <n v="2"/>
    <n v="460.87"/>
    <n v="610.72"/>
    <n v="61.07"/>
    <n v="61.07"/>
    <s v="BONUS_CARD"/>
    <n v="29"/>
    <n v="1"/>
    <n v="1"/>
    <n v="549.65"/>
    <n v="13130004067"/>
  </r>
  <r>
    <x v="18"/>
    <d v="1899-12-30T08:47:24"/>
    <n v="5068"/>
    <n v="13002561"/>
    <n v="13"/>
    <n v="22589"/>
    <s v="Retail Sale"/>
    <n v="15"/>
    <n v="87594"/>
    <x v="83"/>
    <s v="Avesta"/>
    <s v="Sanofi"/>
    <n v="2"/>
    <n v="407.66"/>
    <n v="510.19"/>
    <n v="25.51"/>
    <n v="25.51"/>
    <s v="BONUS_CARD"/>
    <n v="29"/>
    <n v="1"/>
    <n v="3"/>
    <n v="484.68"/>
    <n v="13130004068"/>
  </r>
  <r>
    <x v="25"/>
    <d v="1899-12-30T09:48:03"/>
    <n v="5069"/>
    <n v="13002561"/>
    <n v="13"/>
    <n v="22589"/>
    <s v="Retail Sale"/>
    <n v="15"/>
    <n v="72315"/>
    <x v="21"/>
    <s v="Katren"/>
    <s v="Takeda"/>
    <n v="2"/>
    <n v="222"/>
    <n v="306.04000000000002"/>
    <n v="0"/>
    <n v="0"/>
    <m/>
    <n v="29"/>
    <n v="1"/>
    <n v="1"/>
    <n v="306.04000000000002"/>
    <n v="13130004069"/>
  </r>
  <r>
    <x v="6"/>
    <d v="1899-12-30T17:23:08"/>
    <n v="5070"/>
    <n v="13002561"/>
    <n v="13"/>
    <n v="22589"/>
    <s v="Retail Sale"/>
    <n v="18"/>
    <n v="34844"/>
    <x v="19"/>
    <s v="Avesta"/>
    <s v="Takeda"/>
    <n v="3"/>
    <n v="60.2"/>
    <n v="92.15"/>
    <n v="0"/>
    <n v="0"/>
    <m/>
    <n v="29"/>
    <n v="1"/>
    <n v="1"/>
    <n v="92.15"/>
    <n v="13130004070"/>
  </r>
  <r>
    <x v="28"/>
    <d v="1899-12-30T11:50:17"/>
    <n v="5071"/>
    <n v="13002561"/>
    <n v="13"/>
    <n v="22589"/>
    <s v="Retail Sale"/>
    <n v="15"/>
    <n v="93395"/>
    <x v="62"/>
    <s v="Avesta"/>
    <s v="Sanofi"/>
    <n v="1"/>
    <n v="551.69000000000005"/>
    <n v="816.89"/>
    <n v="0"/>
    <n v="0"/>
    <m/>
    <n v="29"/>
    <n v="1"/>
    <n v="3"/>
    <n v="816.89"/>
    <n v="13130004071"/>
  </r>
  <r>
    <x v="0"/>
    <d v="1899-12-30T08:01:28"/>
    <n v="5072"/>
    <n v="13002561"/>
    <n v="13"/>
    <n v="22589"/>
    <s v="Retail Sale"/>
    <n v="18"/>
    <n v="13236"/>
    <x v="51"/>
    <s v="Pulse"/>
    <s v="Takeda"/>
    <n v="3"/>
    <n v="437.27"/>
    <n v="585.77"/>
    <n v="29.29"/>
    <n v="29.29"/>
    <s v="BONUS_CARD"/>
    <n v="29"/>
    <n v="1"/>
    <n v="3"/>
    <n v="556.48"/>
    <n v="13130004072"/>
  </r>
  <r>
    <x v="25"/>
    <d v="1899-12-30T13:01:19"/>
    <n v="5073"/>
    <n v="13002561"/>
    <n v="13"/>
    <n v="22589"/>
    <s v="Retail Sale"/>
    <n v="18"/>
    <n v="65882"/>
    <x v="25"/>
    <s v="Katren"/>
    <s v="KRKA"/>
    <n v="1"/>
    <n v="14.02"/>
    <n v="23.42"/>
    <n v="2.34"/>
    <n v="2.34"/>
    <s v="BONUS_CARD"/>
    <n v="29"/>
    <n v="1"/>
    <n v="2"/>
    <n v="21.08"/>
    <n v="13130004073"/>
  </r>
  <r>
    <x v="3"/>
    <d v="1899-12-30T12:52:19"/>
    <n v="5074"/>
    <n v="13002561"/>
    <n v="13"/>
    <n v="22589"/>
    <s v="Retail Sale"/>
    <n v="18"/>
    <n v="91658"/>
    <x v="68"/>
    <s v="Katren"/>
    <s v="TEVA"/>
    <n v="2"/>
    <n v="198.2"/>
    <n v="275.45999999999998"/>
    <n v="13.77"/>
    <n v="13.77"/>
    <s v="BONUS_CARD"/>
    <n v="29"/>
    <n v="1"/>
    <n v="4"/>
    <n v="261.69"/>
    <n v="13130004074"/>
  </r>
  <r>
    <x v="16"/>
    <d v="1899-12-30T14:52:23"/>
    <n v="5075"/>
    <n v="13002561"/>
    <n v="13"/>
    <n v="22589"/>
    <s v="Retail Sale"/>
    <n v="18"/>
    <n v="15811"/>
    <x v="59"/>
    <s v="Katren"/>
    <s v="TEVA"/>
    <n v="3"/>
    <n v="159.38999999999999"/>
    <n v="210.64"/>
    <n v="10.53"/>
    <n v="10.53"/>
    <s v="BONUS_CARD"/>
    <n v="29"/>
    <n v="1"/>
    <n v="5"/>
    <n v="200.11"/>
    <n v="13130004075"/>
  </r>
  <r>
    <x v="17"/>
    <d v="1899-12-30T16:33:18"/>
    <n v="5076"/>
    <n v="13002561"/>
    <n v="13"/>
    <n v="22589"/>
    <s v="Retail Sale"/>
    <n v="18"/>
    <n v="90330"/>
    <x v="41"/>
    <s v="Avesta"/>
    <s v="Takeda"/>
    <n v="1"/>
    <n v="456.58"/>
    <n v="707.24"/>
    <n v="0"/>
    <n v="0"/>
    <m/>
    <n v="29"/>
    <n v="1"/>
    <n v="5"/>
    <n v="707.24"/>
    <n v="13130004076"/>
  </r>
  <r>
    <x v="24"/>
    <d v="1899-12-30T20:18:56"/>
    <n v="5077"/>
    <n v="13002561"/>
    <n v="13"/>
    <n v="22589"/>
    <s v="Retail Sale"/>
    <n v="18"/>
    <n v="75483"/>
    <x v="74"/>
    <s v="Pulse"/>
    <s v="KRKA"/>
    <n v="1"/>
    <n v="593.55999999999995"/>
    <n v="954.45"/>
    <n v="0"/>
    <n v="0"/>
    <m/>
    <n v="29"/>
    <n v="1"/>
    <n v="6"/>
    <n v="954.45"/>
    <n v="13130004077"/>
  </r>
  <r>
    <x v="14"/>
    <d v="1899-12-30T22:07:58"/>
    <n v="5078"/>
    <n v="13002561"/>
    <n v="13"/>
    <n v="22589"/>
    <s v="Retail Sale"/>
    <n v="15"/>
    <n v="99950"/>
    <x v="12"/>
    <s v="Protek"/>
    <s v="Bayer"/>
    <n v="1"/>
    <n v="533.28"/>
    <n v="803.11"/>
    <n v="0"/>
    <n v="0"/>
    <m/>
    <n v="29"/>
    <n v="1"/>
    <n v="6"/>
    <n v="803.11"/>
    <n v="13130004078"/>
  </r>
  <r>
    <x v="18"/>
    <d v="1899-12-30T09:30:08"/>
    <n v="5079"/>
    <n v="13002561"/>
    <n v="13"/>
    <n v="22589"/>
    <s v="Retail Sale"/>
    <n v="18"/>
    <n v="94791"/>
    <x v="1"/>
    <s v="Katren"/>
    <s v="Pfizer"/>
    <n v="2"/>
    <n v="535.04"/>
    <n v="840.05"/>
    <n v="0"/>
    <n v="0"/>
    <m/>
    <n v="29"/>
    <n v="1"/>
    <n v="1"/>
    <n v="840.05"/>
    <n v="13130004079"/>
  </r>
  <r>
    <x v="25"/>
    <d v="1899-12-30T20:34:05"/>
    <n v="5080"/>
    <n v="13002561"/>
    <n v="13"/>
    <n v="22589"/>
    <s v="Retail Sale"/>
    <n v="18"/>
    <n v="81655"/>
    <x v="71"/>
    <s v="Pharmcomplect"/>
    <s v="Pfizer"/>
    <n v="3"/>
    <n v="577.9"/>
    <n v="761.36"/>
    <n v="38.07"/>
    <n v="38.07"/>
    <s v="BONUS_CARD"/>
    <n v="29"/>
    <n v="1"/>
    <n v="2"/>
    <n v="723.29"/>
    <n v="13130004080"/>
  </r>
  <r>
    <x v="27"/>
    <d v="1899-12-30T08:50:09"/>
    <n v="5081"/>
    <n v="13002561"/>
    <n v="13"/>
    <n v="22589"/>
    <s v="Retail Sale"/>
    <n v="18"/>
    <n v="69085"/>
    <x v="17"/>
    <s v="Katren"/>
    <s v="Dr. Reddy's"/>
    <n v="2"/>
    <n v="34.21"/>
    <n v="47.05"/>
    <n v="0"/>
    <n v="0"/>
    <m/>
    <n v="29"/>
    <n v="1"/>
    <n v="2"/>
    <n v="47.05"/>
    <n v="13130004081"/>
  </r>
  <r>
    <x v="8"/>
    <d v="1899-12-30T18:12:55"/>
    <n v="5082"/>
    <n v="13002561"/>
    <n v="13"/>
    <n v="22589"/>
    <s v="Retail Sale"/>
    <n v="15"/>
    <n v="96767"/>
    <x v="31"/>
    <s v="Grand Capital"/>
    <s v="Novartis"/>
    <n v="3"/>
    <n v="164.02"/>
    <n v="261.2"/>
    <n v="0"/>
    <n v="0"/>
    <m/>
    <n v="29"/>
    <n v="1"/>
    <n v="1"/>
    <n v="261.2"/>
    <n v="13130004082"/>
  </r>
  <r>
    <x v="5"/>
    <d v="1899-12-30T13:13:58"/>
    <n v="5083"/>
    <n v="13002561"/>
    <n v="13"/>
    <n v="22589"/>
    <s v="Retail Sale"/>
    <n v="15"/>
    <n v="86229"/>
    <x v="87"/>
    <s v="Pharmcomplect"/>
    <s v="KRKA"/>
    <n v="2"/>
    <n v="351.87"/>
    <n v="526.16"/>
    <n v="0"/>
    <n v="0"/>
    <m/>
    <n v="29"/>
    <n v="1"/>
    <n v="3"/>
    <n v="526.16"/>
    <n v="13130004083"/>
  </r>
  <r>
    <x v="14"/>
    <d v="1899-12-30T22:22:56"/>
    <n v="5084"/>
    <n v="13002561"/>
    <n v="13"/>
    <n v="22589"/>
    <s v="Retail Sale"/>
    <n v="15"/>
    <n v="62801"/>
    <x v="10"/>
    <s v="Katren"/>
    <s v="Takeda"/>
    <n v="1"/>
    <n v="519.09"/>
    <n v="785.7"/>
    <n v="78.569999999999993"/>
    <n v="78.569999999999993"/>
    <s v="BONUS_CARD"/>
    <n v="29"/>
    <n v="1"/>
    <n v="5"/>
    <n v="707.13"/>
    <n v="13130004084"/>
  </r>
  <r>
    <x v="16"/>
    <d v="1899-12-30T16:01:57"/>
    <n v="5085"/>
    <n v="13002561"/>
    <n v="13"/>
    <n v="22589"/>
    <s v="Retail Sale"/>
    <n v="15"/>
    <n v="45384"/>
    <x v="43"/>
    <s v="Avesta"/>
    <s v="Pfizer"/>
    <n v="3"/>
    <n v="273.56"/>
    <n v="439.19"/>
    <n v="21.96"/>
    <n v="21.96"/>
    <s v="BONUS_CARD"/>
    <n v="29"/>
    <n v="1"/>
    <n v="4"/>
    <n v="417.23"/>
    <n v="13130004085"/>
  </r>
  <r>
    <x v="28"/>
    <d v="1899-12-30T14:22:32"/>
    <n v="5086"/>
    <n v="13002561"/>
    <n v="13"/>
    <n v="22589"/>
    <s v="Retail Sale"/>
    <n v="15"/>
    <n v="38008"/>
    <x v="36"/>
    <s v="Avesta"/>
    <s v="Takeda"/>
    <n v="1"/>
    <n v="435.48"/>
    <n v="596.99"/>
    <n v="29.85"/>
    <n v="29.85"/>
    <s v="BONUS_CARD"/>
    <n v="29"/>
    <n v="1"/>
    <n v="3"/>
    <n v="567.14"/>
    <n v="13130004086"/>
  </r>
  <r>
    <x v="19"/>
    <d v="1899-12-30T21:10:34"/>
    <n v="5087"/>
    <n v="13002561"/>
    <n v="13"/>
    <n v="22589"/>
    <s v="Retail Sale"/>
    <n v="15"/>
    <n v="86674"/>
    <x v="26"/>
    <s v="Katren"/>
    <s v="TEVA"/>
    <n v="1"/>
    <n v="599.36"/>
    <n v="769.6"/>
    <n v="0"/>
    <n v="0"/>
    <m/>
    <n v="29"/>
    <n v="1"/>
    <n v="2"/>
    <n v="769.6"/>
    <n v="13130004087"/>
  </r>
  <r>
    <x v="13"/>
    <d v="1899-12-30T12:35:34"/>
    <n v="5088"/>
    <n v="13002561"/>
    <n v="13"/>
    <n v="22589"/>
    <s v="Retail Sale"/>
    <n v="15"/>
    <n v="17125"/>
    <x v="86"/>
    <s v="Pharmcomplect"/>
    <s v="Novartis"/>
    <n v="1"/>
    <n v="70.55"/>
    <n v="104.64"/>
    <n v="10.46"/>
    <n v="10.46"/>
    <s v="BONUS_CARD"/>
    <n v="29"/>
    <n v="1"/>
    <n v="5"/>
    <n v="94.18"/>
    <n v="13130004088"/>
  </r>
  <r>
    <x v="6"/>
    <d v="1899-12-30T10:44:24"/>
    <n v="5089"/>
    <n v="13002561"/>
    <n v="13"/>
    <n v="22589"/>
    <s v="Retail Sale"/>
    <n v="15"/>
    <n v="27087"/>
    <x v="63"/>
    <s v="Pulse"/>
    <s v="Bayer"/>
    <n v="2"/>
    <n v="539.49"/>
    <n v="758.43"/>
    <n v="37.92"/>
    <n v="37.92"/>
    <s v="BONUS_CARD"/>
    <n v="29"/>
    <n v="1"/>
    <n v="4"/>
    <n v="720.51"/>
    <n v="13130004089"/>
  </r>
  <r>
    <x v="12"/>
    <d v="1899-12-30T16:46:34"/>
    <n v="5090"/>
    <n v="13002561"/>
    <n v="13"/>
    <n v="22589"/>
    <s v="Retail Sale"/>
    <n v="18"/>
    <n v="59074"/>
    <x v="5"/>
    <s v="Protek"/>
    <s v="Dr. Reddy's"/>
    <n v="2"/>
    <n v="490.67"/>
    <n v="620.76"/>
    <n v="0"/>
    <n v="0"/>
    <m/>
    <n v="29"/>
    <n v="1"/>
    <n v="2"/>
    <n v="620.76"/>
    <n v="13130004090"/>
  </r>
  <r>
    <x v="26"/>
    <d v="1899-12-30T15:34:48"/>
    <n v="5091"/>
    <n v="13002561"/>
    <n v="13"/>
    <n v="22589"/>
    <s v="Retail Sale"/>
    <n v="18"/>
    <n v="79023"/>
    <x v="29"/>
    <s v="Avesta"/>
    <s v="Takeda"/>
    <n v="3"/>
    <n v="526"/>
    <n v="887.23"/>
    <n v="88.72"/>
    <n v="88.72"/>
    <s v="BONUS_CARD"/>
    <n v="29"/>
    <n v="1"/>
    <n v="2"/>
    <n v="798.51"/>
    <n v="13130004091"/>
  </r>
  <r>
    <x v="20"/>
    <d v="1899-12-30T19:43:19"/>
    <n v="5092"/>
    <n v="13002561"/>
    <n v="13"/>
    <n v="22589"/>
    <s v="Retail Sale"/>
    <n v="18"/>
    <n v="67094"/>
    <x v="49"/>
    <s v="Pharmcomplect"/>
    <s v="Novartis"/>
    <n v="1"/>
    <n v="161.97999999999999"/>
    <n v="202.58"/>
    <n v="10.130000000000001"/>
    <n v="10.130000000000001"/>
    <s v="BONUS_CARD"/>
    <n v="29"/>
    <n v="1"/>
    <n v="3"/>
    <n v="192.45"/>
    <n v="13130004092"/>
  </r>
  <r>
    <x v="3"/>
    <d v="1899-12-30T16:53:07"/>
    <n v="5093"/>
    <n v="13002561"/>
    <n v="13"/>
    <n v="22589"/>
    <s v="Retail Sale"/>
    <n v="18"/>
    <n v="17813"/>
    <x v="51"/>
    <s v="Protek"/>
    <s v="TEVA"/>
    <n v="3"/>
    <n v="281.47000000000003"/>
    <n v="369.75"/>
    <n v="36.979999999999997"/>
    <n v="36.979999999999997"/>
    <s v="BONUS_CARD"/>
    <n v="29"/>
    <n v="1"/>
    <n v="3"/>
    <n v="332.77"/>
    <n v="13130004093"/>
  </r>
  <r>
    <x v="15"/>
    <d v="1899-12-30T17:07:13"/>
    <n v="5094"/>
    <n v="13002561"/>
    <n v="13"/>
    <n v="22589"/>
    <s v="Retail Sale"/>
    <n v="18"/>
    <n v="49922"/>
    <x v="75"/>
    <s v="Protek"/>
    <s v="Sanofi"/>
    <n v="3"/>
    <n v="479.94"/>
    <n v="632.71"/>
    <n v="63.27"/>
    <n v="63.27"/>
    <s v="BONUS_CARD"/>
    <n v="29"/>
    <n v="1"/>
    <n v="6"/>
    <n v="569.44000000000005"/>
    <n v="13130004094"/>
  </r>
  <r>
    <x v="10"/>
    <d v="1899-12-30T11:07:59"/>
    <n v="5095"/>
    <n v="13002561"/>
    <n v="13"/>
    <n v="22589"/>
    <s v="Retail Sale"/>
    <n v="15"/>
    <n v="92581"/>
    <x v="70"/>
    <s v="Pulse"/>
    <s v="Takeda"/>
    <n v="2"/>
    <n v="171.09"/>
    <n v="217.23"/>
    <n v="21.72"/>
    <n v="21.72"/>
    <s v="BONUS_CARD"/>
    <n v="29"/>
    <n v="1"/>
    <n v="5"/>
    <n v="195.51"/>
    <n v="13130004095"/>
  </r>
  <r>
    <x v="8"/>
    <d v="1899-12-30T18:50:08"/>
    <n v="5096"/>
    <n v="13002561"/>
    <n v="13"/>
    <n v="22589"/>
    <s v="Retail Sale"/>
    <n v="18"/>
    <n v="75276"/>
    <x v="6"/>
    <s v="Protek"/>
    <s v="Dr. Reddy's"/>
    <n v="3"/>
    <n v="124.13"/>
    <n v="205.88"/>
    <n v="0"/>
    <n v="0"/>
    <m/>
    <n v="29"/>
    <n v="1"/>
    <n v="2"/>
    <n v="205.88"/>
    <n v="13130004096"/>
  </r>
  <r>
    <x v="19"/>
    <d v="1899-12-30T09:01:49"/>
    <n v="5097"/>
    <n v="13002561"/>
    <n v="13"/>
    <n v="22589"/>
    <s v="Retail Sale"/>
    <n v="15"/>
    <n v="71865"/>
    <x v="42"/>
    <s v="Avesta"/>
    <s v="Takeda"/>
    <n v="2"/>
    <n v="229.79"/>
    <n v="310.42"/>
    <n v="15.52"/>
    <n v="15.52"/>
    <s v="BONUS_CARD"/>
    <n v="29"/>
    <n v="1"/>
    <n v="4"/>
    <n v="294.89999999999998"/>
    <n v="13130004097"/>
  </r>
  <r>
    <x v="10"/>
    <d v="1899-12-30T22:40:29"/>
    <n v="5098"/>
    <n v="13002561"/>
    <n v="13"/>
    <n v="22589"/>
    <s v="Retail Sale"/>
    <n v="15"/>
    <n v="83126"/>
    <x v="72"/>
    <s v="Pharmcomplect"/>
    <s v="Novartis"/>
    <n v="3"/>
    <n v="202.38"/>
    <n v="297.14999999999998"/>
    <n v="29.71"/>
    <n v="29.71"/>
    <s v="BONUS_CARD"/>
    <n v="29"/>
    <n v="1"/>
    <n v="4"/>
    <n v="267.44"/>
    <n v="13130004098"/>
  </r>
  <r>
    <x v="7"/>
    <d v="1899-12-30T19:54:45"/>
    <n v="5099"/>
    <n v="13002561"/>
    <n v="13"/>
    <n v="22589"/>
    <s v="Retail Sale"/>
    <n v="15"/>
    <n v="15526"/>
    <x v="76"/>
    <s v="Pharmcomplect"/>
    <s v="Dr. Reddy's"/>
    <n v="1"/>
    <n v="141.41999999999999"/>
    <n v="198.86"/>
    <n v="0"/>
    <n v="0"/>
    <m/>
    <n v="29"/>
    <n v="1"/>
    <n v="3"/>
    <n v="198.86"/>
    <n v="13130004099"/>
  </r>
  <r>
    <x v="0"/>
    <d v="1899-12-30T12:29:07"/>
    <n v="5100"/>
    <n v="13002561"/>
    <n v="13"/>
    <n v="22589"/>
    <s v="Retail Sale"/>
    <n v="18"/>
    <n v="55338"/>
    <x v="71"/>
    <s v="Grand Capital"/>
    <s v="Novartis"/>
    <n v="1"/>
    <n v="383.31"/>
    <n v="519.74"/>
    <n v="51.97"/>
    <n v="51.97"/>
    <s v="BONUS_CARD"/>
    <n v="29"/>
    <n v="1"/>
    <n v="5"/>
    <n v="467.77"/>
    <n v="13130004100"/>
  </r>
  <r>
    <x v="9"/>
    <d v="1899-12-30T16:23:30"/>
    <n v="5101"/>
    <n v="13002561"/>
    <n v="13"/>
    <n v="22589"/>
    <s v="Retail Sale"/>
    <n v="15"/>
    <n v="18077"/>
    <x v="46"/>
    <s v="Katren"/>
    <s v="Pfizer"/>
    <n v="2"/>
    <n v="83.72"/>
    <n v="133.13"/>
    <n v="6.66"/>
    <n v="6.66"/>
    <s v="BONUS_CARD"/>
    <n v="29"/>
    <n v="1"/>
    <n v="5"/>
    <n v="126.47"/>
    <n v="13130004101"/>
  </r>
  <r>
    <x v="23"/>
    <d v="1899-12-30T14:04:38"/>
    <n v="5102"/>
    <n v="13002561"/>
    <n v="13"/>
    <n v="22589"/>
    <s v="Retail Sale"/>
    <n v="15"/>
    <n v="95501"/>
    <x v="52"/>
    <s v="Protek"/>
    <s v="Sanofi"/>
    <n v="3"/>
    <n v="251.98"/>
    <n v="319.42"/>
    <n v="0"/>
    <n v="0"/>
    <m/>
    <n v="29"/>
    <n v="1"/>
    <n v="4"/>
    <n v="319.42"/>
    <n v="13130004102"/>
  </r>
  <r>
    <x v="9"/>
    <d v="1899-12-30T16:37:15"/>
    <n v="5103"/>
    <n v="13002561"/>
    <n v="13"/>
    <n v="22589"/>
    <s v="Retail Sale"/>
    <n v="15"/>
    <n v="45288"/>
    <x v="10"/>
    <s v="Katren"/>
    <s v="Takeda"/>
    <n v="2"/>
    <n v="367.15"/>
    <n v="570.71"/>
    <n v="28.54"/>
    <n v="28.54"/>
    <s v="BONUS_CARD"/>
    <n v="29"/>
    <n v="1"/>
    <n v="2"/>
    <n v="542.16999999999996"/>
    <n v="13130004103"/>
  </r>
  <r>
    <x v="11"/>
    <d v="1899-12-30T19:31:05"/>
    <n v="5104"/>
    <n v="13002561"/>
    <n v="13"/>
    <n v="22589"/>
    <s v="Retail Sale"/>
    <n v="15"/>
    <n v="26301"/>
    <x v="55"/>
    <s v="Pulse"/>
    <s v="KRKA"/>
    <n v="3"/>
    <n v="454.32"/>
    <n v="624.75"/>
    <n v="31.24"/>
    <n v="31.24"/>
    <s v="BONUS_CARD"/>
    <n v="29"/>
    <n v="1"/>
    <n v="1"/>
    <n v="593.51"/>
    <n v="13130004104"/>
  </r>
  <r>
    <x v="11"/>
    <d v="1899-12-30T09:55:23"/>
    <n v="5105"/>
    <n v="13002561"/>
    <n v="13"/>
    <n v="22589"/>
    <s v="Retail Sale"/>
    <n v="18"/>
    <n v="78655"/>
    <x v="56"/>
    <s v="Katren"/>
    <s v="Takeda"/>
    <n v="2"/>
    <n v="336.46"/>
    <n v="568.07000000000005"/>
    <n v="28.4"/>
    <n v="28.4"/>
    <s v="BONUS_CARD"/>
    <n v="29"/>
    <n v="1"/>
    <n v="3"/>
    <n v="539.66999999999996"/>
    <n v="13130004105"/>
  </r>
  <r>
    <x v="12"/>
    <d v="1899-12-30T18:50:46"/>
    <n v="5106"/>
    <n v="13002561"/>
    <n v="13"/>
    <n v="22589"/>
    <s v="Retail Sale"/>
    <n v="18"/>
    <n v="93563"/>
    <x v="47"/>
    <s v="Protek"/>
    <s v="Sanofi"/>
    <n v="3"/>
    <n v="56.28"/>
    <n v="93.15"/>
    <n v="9.32"/>
    <n v="9.32"/>
    <s v="BONUS_CARD"/>
    <n v="29"/>
    <n v="1"/>
    <n v="4"/>
    <n v="83.83"/>
    <n v="13130004106"/>
  </r>
  <r>
    <x v="9"/>
    <d v="1899-12-30T17:51:07"/>
    <n v="5107"/>
    <n v="13002561"/>
    <n v="13"/>
    <n v="22589"/>
    <s v="Retail Sale"/>
    <n v="18"/>
    <n v="46446"/>
    <x v="87"/>
    <s v="Protek"/>
    <s v="Takeda"/>
    <n v="2"/>
    <n v="356.03"/>
    <n v="499.31"/>
    <n v="0"/>
    <n v="0"/>
    <m/>
    <n v="29"/>
    <n v="1"/>
    <n v="6"/>
    <n v="499.31"/>
    <n v="13130004107"/>
  </r>
  <r>
    <x v="19"/>
    <d v="1899-12-30T08:34:05"/>
    <n v="5108"/>
    <n v="13002561"/>
    <n v="13"/>
    <n v="22589"/>
    <s v="Retail Sale"/>
    <n v="15"/>
    <n v="44297"/>
    <x v="87"/>
    <s v="Grand Capital"/>
    <s v="KRKA"/>
    <n v="2"/>
    <n v="453.98"/>
    <n v="727.5"/>
    <n v="72.75"/>
    <n v="72.75"/>
    <s v="BONUS_CARD"/>
    <n v="29"/>
    <n v="1"/>
    <n v="2"/>
    <n v="654.75"/>
    <n v="13130004108"/>
  </r>
  <r>
    <x v="13"/>
    <d v="1899-12-30T18:30:29"/>
    <n v="5109"/>
    <n v="13002561"/>
    <n v="13"/>
    <n v="22589"/>
    <s v="Retail Sale"/>
    <n v="15"/>
    <n v="88325"/>
    <x v="60"/>
    <s v="Pulse"/>
    <s v="Pfizer"/>
    <n v="2"/>
    <n v="181.8"/>
    <n v="292.08"/>
    <n v="14.6"/>
    <n v="14.6"/>
    <s v="BONUS_CARD"/>
    <n v="29"/>
    <n v="1"/>
    <n v="3"/>
    <n v="277.48"/>
    <n v="13130004109"/>
  </r>
  <r>
    <x v="12"/>
    <d v="1899-12-30T18:45:06"/>
    <n v="5110"/>
    <n v="13002561"/>
    <n v="13"/>
    <n v="22589"/>
    <s v="Retail Sale"/>
    <n v="18"/>
    <n v="31103"/>
    <x v="30"/>
    <s v="Katren"/>
    <s v="KRKA"/>
    <n v="1"/>
    <n v="110.25"/>
    <n v="186.65"/>
    <n v="9.33"/>
    <n v="9.33"/>
    <s v="BONUS_CARD"/>
    <n v="29"/>
    <n v="1"/>
    <n v="5"/>
    <n v="177.32"/>
    <n v="13130004110"/>
  </r>
  <r>
    <x v="4"/>
    <d v="1899-12-30T15:33:25"/>
    <n v="5111"/>
    <n v="13002561"/>
    <n v="13"/>
    <n v="22589"/>
    <s v="Retail Sale"/>
    <n v="18"/>
    <n v="20385"/>
    <x v="9"/>
    <s v="Avesta"/>
    <s v="Novartis"/>
    <n v="3"/>
    <n v="49.97"/>
    <n v="70.08"/>
    <n v="7.01"/>
    <n v="7.01"/>
    <s v="BONUS_CARD"/>
    <n v="29"/>
    <n v="1"/>
    <n v="6"/>
    <n v="63.07"/>
    <n v="13130004111"/>
  </r>
  <r>
    <x v="26"/>
    <d v="1899-12-30T11:02:14"/>
    <n v="5112"/>
    <n v="13002561"/>
    <n v="13"/>
    <n v="22589"/>
    <s v="Retail Sale"/>
    <n v="15"/>
    <n v="72167"/>
    <x v="0"/>
    <s v="Pulse"/>
    <s v="Sanofi"/>
    <n v="3"/>
    <n v="389.1"/>
    <n v="527.23"/>
    <n v="26.36"/>
    <n v="26.36"/>
    <s v="BONUS_CARD"/>
    <n v="29"/>
    <n v="1"/>
    <n v="1"/>
    <n v="500.87"/>
    <n v="13130004112"/>
  </r>
  <r>
    <x v="5"/>
    <d v="1899-12-30T17:59:55"/>
    <n v="5113"/>
    <n v="13002561"/>
    <n v="13"/>
    <n v="22589"/>
    <s v="Retail Sale"/>
    <n v="18"/>
    <n v="22359"/>
    <x v="29"/>
    <s v="Protek"/>
    <s v="Dr. Reddy's"/>
    <n v="1"/>
    <n v="418.09"/>
    <n v="547.98"/>
    <n v="0"/>
    <n v="0"/>
    <m/>
    <n v="29"/>
    <n v="1"/>
    <n v="2"/>
    <n v="547.98"/>
    <n v="13130004113"/>
  </r>
  <r>
    <x v="9"/>
    <d v="1899-12-30T20:36:26"/>
    <n v="5114"/>
    <n v="13002561"/>
    <n v="13"/>
    <n v="22589"/>
    <s v="Retail Sale"/>
    <n v="15"/>
    <n v="85791"/>
    <x v="49"/>
    <s v="Pharmcomplect"/>
    <s v="KRKA"/>
    <n v="1"/>
    <n v="176.68"/>
    <n v="284.98"/>
    <n v="0"/>
    <n v="0"/>
    <m/>
    <n v="29"/>
    <n v="1"/>
    <n v="1"/>
    <n v="284.98"/>
    <n v="13130004114"/>
  </r>
  <r>
    <x v="6"/>
    <d v="1899-12-30T21:07:55"/>
    <n v="5115"/>
    <n v="13002561"/>
    <n v="13"/>
    <n v="22589"/>
    <s v="Retail Sale"/>
    <n v="18"/>
    <n v="21143"/>
    <x v="50"/>
    <s v="Pulse"/>
    <s v="Takeda"/>
    <n v="2"/>
    <n v="47.36"/>
    <n v="73.31"/>
    <n v="0"/>
    <n v="0"/>
    <m/>
    <n v="29"/>
    <n v="1"/>
    <n v="1"/>
    <n v="73.31"/>
    <n v="13130004115"/>
  </r>
  <r>
    <x v="28"/>
    <d v="1899-12-30T10:26:36"/>
    <n v="5116"/>
    <n v="13002561"/>
    <n v="13"/>
    <n v="22589"/>
    <s v="Retail Sale"/>
    <n v="18"/>
    <n v="50724"/>
    <x v="45"/>
    <s v="Pulse"/>
    <s v="Pfizer"/>
    <n v="1"/>
    <n v="200.74"/>
    <n v="292.39"/>
    <n v="14.62"/>
    <n v="14.62"/>
    <s v="BONUS_CARD"/>
    <n v="29"/>
    <n v="1"/>
    <n v="4"/>
    <n v="277.77"/>
    <n v="13130004116"/>
  </r>
  <r>
    <x v="16"/>
    <d v="1899-12-30T19:26:08"/>
    <n v="5117"/>
    <n v="13002561"/>
    <n v="13"/>
    <n v="22589"/>
    <s v="Retail Sale"/>
    <n v="15"/>
    <n v="97654"/>
    <x v="12"/>
    <s v="Grand Capital"/>
    <s v="Bayer"/>
    <n v="3"/>
    <n v="252.05"/>
    <n v="400.79"/>
    <n v="40.08"/>
    <n v="40.08"/>
    <s v="BONUS_CARD"/>
    <n v="29"/>
    <n v="1"/>
    <n v="5"/>
    <n v="360.71"/>
    <n v="13130004117"/>
  </r>
  <r>
    <x v="11"/>
    <d v="1899-12-30T18:55:57"/>
    <n v="5118"/>
    <n v="13002561"/>
    <n v="13"/>
    <n v="22589"/>
    <s v="Retail Sale"/>
    <n v="18"/>
    <n v="77109"/>
    <x v="54"/>
    <s v="Pharmcomplect"/>
    <s v="Dr. Reddy's"/>
    <n v="3"/>
    <n v="378.64"/>
    <n v="535.27"/>
    <n v="26.76"/>
    <n v="26.76"/>
    <s v="BONUS_CARD"/>
    <n v="29"/>
    <n v="1"/>
    <n v="2"/>
    <n v="508.51"/>
    <n v="13130004118"/>
  </r>
  <r>
    <x v="9"/>
    <d v="1899-12-30T20:38:16"/>
    <n v="5119"/>
    <n v="13002561"/>
    <n v="13"/>
    <n v="22589"/>
    <s v="Retail Sale"/>
    <n v="15"/>
    <n v="97708"/>
    <x v="79"/>
    <s v="Pharmcomplect"/>
    <s v="Sanofi"/>
    <n v="3"/>
    <n v="132.78"/>
    <n v="219.7"/>
    <n v="10.98"/>
    <n v="10.98"/>
    <s v="BONUS_CARD"/>
    <n v="29"/>
    <n v="1"/>
    <n v="6"/>
    <n v="208.72"/>
    <n v="13130004119"/>
  </r>
  <r>
    <x v="3"/>
    <d v="1899-12-30T08:52:13"/>
    <n v="5120"/>
    <n v="13002561"/>
    <n v="13"/>
    <n v="22589"/>
    <s v="Retail Sale"/>
    <n v="18"/>
    <n v="97185"/>
    <x v="19"/>
    <s v="Pulse"/>
    <s v="Pfizer"/>
    <n v="3"/>
    <n v="483.71"/>
    <n v="798.83"/>
    <n v="0"/>
    <n v="0"/>
    <m/>
    <n v="29"/>
    <n v="1"/>
    <n v="6"/>
    <n v="798.83"/>
    <n v="13130004120"/>
  </r>
  <r>
    <x v="13"/>
    <d v="1899-12-30T12:22:46"/>
    <n v="5121"/>
    <n v="13002561"/>
    <n v="13"/>
    <n v="22589"/>
    <s v="Retail Sale"/>
    <n v="15"/>
    <n v="30517"/>
    <x v="45"/>
    <s v="Katren"/>
    <s v="Novartis"/>
    <n v="3"/>
    <n v="43.25"/>
    <n v="64.64"/>
    <n v="0"/>
    <n v="0"/>
    <m/>
    <n v="29"/>
    <n v="1"/>
    <n v="5"/>
    <n v="64.64"/>
    <n v="13130004121"/>
  </r>
  <r>
    <x v="22"/>
    <d v="1899-12-30T15:31:36"/>
    <n v="5122"/>
    <n v="13002561"/>
    <n v="13"/>
    <n v="22589"/>
    <s v="Retail Sale"/>
    <n v="15"/>
    <n v="78846"/>
    <x v="8"/>
    <s v="Avesta"/>
    <s v="KRKA"/>
    <n v="2"/>
    <n v="294.97000000000003"/>
    <n v="481.85"/>
    <n v="0"/>
    <n v="0"/>
    <m/>
    <n v="29"/>
    <n v="1"/>
    <n v="2"/>
    <n v="481.85"/>
    <n v="13130004122"/>
  </r>
  <r>
    <x v="26"/>
    <d v="1899-12-30T09:23:04"/>
    <n v="5123"/>
    <n v="13002561"/>
    <n v="13"/>
    <n v="22589"/>
    <s v="Retail Sale"/>
    <n v="18"/>
    <n v="67103"/>
    <x v="39"/>
    <s v="Protek"/>
    <s v="Takeda"/>
    <n v="1"/>
    <n v="453.82"/>
    <n v="731"/>
    <n v="73.099999999999994"/>
    <n v="73.099999999999994"/>
    <s v="BONUS_CARD"/>
    <n v="29"/>
    <n v="1"/>
    <n v="3"/>
    <n v="657.9"/>
    <n v="13130004123"/>
  </r>
  <r>
    <x v="8"/>
    <d v="1899-12-30T13:34:28"/>
    <n v="5124"/>
    <n v="13002561"/>
    <n v="13"/>
    <n v="22589"/>
    <s v="Retail Sale"/>
    <n v="18"/>
    <n v="40603"/>
    <x v="25"/>
    <s v="Pharmcomplect"/>
    <s v="TEVA"/>
    <n v="2"/>
    <n v="11.12"/>
    <n v="14.69"/>
    <n v="0"/>
    <n v="0"/>
    <m/>
    <n v="29"/>
    <n v="1"/>
    <n v="6"/>
    <n v="14.69"/>
    <n v="13130004124"/>
  </r>
  <r>
    <x v="15"/>
    <d v="1899-12-30T15:29:23"/>
    <n v="5125"/>
    <n v="13002561"/>
    <n v="13"/>
    <n v="22589"/>
    <s v="Retail Sale"/>
    <n v="18"/>
    <n v="56140"/>
    <x v="78"/>
    <s v="Grand Capital"/>
    <s v="Bayer"/>
    <n v="3"/>
    <n v="309.10000000000002"/>
    <n v="410.34"/>
    <n v="41.03"/>
    <n v="41.03"/>
    <s v="BONUS_CARD"/>
    <n v="29"/>
    <n v="1"/>
    <n v="5"/>
    <n v="369.31"/>
    <n v="13130004125"/>
  </r>
  <r>
    <x v="4"/>
    <d v="1899-12-30T16:22:16"/>
    <n v="5126"/>
    <n v="13002561"/>
    <n v="13"/>
    <n v="22589"/>
    <s v="Retail Sale"/>
    <n v="15"/>
    <n v="44252"/>
    <x v="65"/>
    <s v="Pharmcomplect"/>
    <s v="Pfizer"/>
    <n v="2"/>
    <n v="574.97"/>
    <n v="764.15"/>
    <n v="76.42"/>
    <n v="76.42"/>
    <s v="BONUS_CARD"/>
    <n v="29"/>
    <n v="1"/>
    <n v="4"/>
    <n v="687.73"/>
    <n v="13130004126"/>
  </r>
  <r>
    <x v="11"/>
    <d v="1899-12-30T13:15:12"/>
    <n v="5127"/>
    <n v="13002561"/>
    <n v="13"/>
    <n v="22589"/>
    <s v="Retail Sale"/>
    <n v="15"/>
    <n v="78019"/>
    <x v="80"/>
    <s v="Avesta"/>
    <s v="Sanofi"/>
    <n v="3"/>
    <n v="326.42"/>
    <n v="441.56"/>
    <n v="0"/>
    <n v="0"/>
    <m/>
    <n v="29"/>
    <n v="1"/>
    <n v="4"/>
    <n v="441.56"/>
    <n v="13130004127"/>
  </r>
  <r>
    <x v="4"/>
    <d v="1899-12-30T22:32:19"/>
    <n v="5128"/>
    <n v="13002561"/>
    <n v="13"/>
    <n v="22589"/>
    <s v="Retail Sale"/>
    <n v="15"/>
    <n v="80485"/>
    <x v="62"/>
    <s v="Protek"/>
    <s v="Bayer"/>
    <n v="3"/>
    <n v="229.88"/>
    <n v="326.05"/>
    <n v="0"/>
    <n v="0"/>
    <m/>
    <n v="29"/>
    <n v="1"/>
    <n v="4"/>
    <n v="326.05"/>
    <n v="13130004128"/>
  </r>
  <r>
    <x v="25"/>
    <d v="1899-12-30T13:34:39"/>
    <n v="5129"/>
    <n v="13002561"/>
    <n v="13"/>
    <n v="22589"/>
    <s v="Retail Sale"/>
    <n v="18"/>
    <n v="77609"/>
    <x v="75"/>
    <s v="Avesta"/>
    <s v="Dr. Reddy's"/>
    <n v="3"/>
    <n v="202.97"/>
    <n v="271.79000000000002"/>
    <n v="0"/>
    <n v="0"/>
    <m/>
    <n v="29"/>
    <n v="1"/>
    <n v="1"/>
    <n v="271.79000000000002"/>
    <n v="13130004129"/>
  </r>
  <r>
    <x v="10"/>
    <d v="1899-12-30T21:07:49"/>
    <n v="5130"/>
    <n v="13002561"/>
    <n v="13"/>
    <n v="22589"/>
    <s v="Retail Sale"/>
    <n v="18"/>
    <n v="25816"/>
    <x v="28"/>
    <s v="Protek"/>
    <s v="Pfizer"/>
    <n v="1"/>
    <n v="386.61"/>
    <n v="504.88"/>
    <n v="0"/>
    <n v="0"/>
    <m/>
    <n v="29"/>
    <n v="1"/>
    <n v="6"/>
    <n v="504.88"/>
    <n v="13130004130"/>
  </r>
  <r>
    <x v="8"/>
    <d v="1899-12-30T12:47:09"/>
    <n v="5131"/>
    <n v="13002561"/>
    <n v="13"/>
    <n v="22589"/>
    <s v="Retail Sale"/>
    <n v="15"/>
    <n v="56250"/>
    <x v="9"/>
    <s v="Avesta"/>
    <s v="Bayer"/>
    <n v="1"/>
    <n v="220.55"/>
    <n v="370.02"/>
    <n v="37"/>
    <n v="37"/>
    <s v="BONUS_CARD"/>
    <n v="29"/>
    <n v="1"/>
    <n v="1"/>
    <n v="333.02"/>
    <n v="13130004131"/>
  </r>
  <r>
    <x v="17"/>
    <d v="1899-12-30T11:56:42"/>
    <n v="5132"/>
    <n v="13002561"/>
    <n v="13"/>
    <n v="22589"/>
    <s v="Retail Sale"/>
    <n v="18"/>
    <n v="48168"/>
    <x v="59"/>
    <s v="Grand Capital"/>
    <s v="TEVA"/>
    <n v="1"/>
    <n v="468.93"/>
    <n v="753.01"/>
    <n v="0"/>
    <n v="0"/>
    <m/>
    <n v="29"/>
    <n v="1"/>
    <n v="3"/>
    <n v="753.01"/>
    <n v="13130004132"/>
  </r>
  <r>
    <x v="22"/>
    <d v="1899-12-30T19:20:10"/>
    <n v="5133"/>
    <n v="13002561"/>
    <n v="13"/>
    <n v="22589"/>
    <s v="Retail Sale"/>
    <n v="15"/>
    <n v="61553"/>
    <x v="73"/>
    <s v="Katren"/>
    <s v="Takeda"/>
    <n v="3"/>
    <n v="412.04"/>
    <n v="548.77"/>
    <n v="27.44"/>
    <n v="27.44"/>
    <s v="BONUS_CARD"/>
    <n v="29"/>
    <n v="1"/>
    <n v="6"/>
    <n v="521.33000000000004"/>
    <n v="13130004133"/>
  </r>
  <r>
    <x v="12"/>
    <d v="1899-12-30T12:07:09"/>
    <n v="5134"/>
    <n v="13002561"/>
    <n v="13"/>
    <n v="22589"/>
    <s v="Retail Sale"/>
    <n v="18"/>
    <n v="60692"/>
    <x v="16"/>
    <s v="Protek"/>
    <s v="Dr. Reddy's"/>
    <n v="2"/>
    <n v="119.16"/>
    <n v="153.79"/>
    <n v="15.38"/>
    <n v="15.38"/>
    <s v="BONUS_CARD"/>
    <n v="29"/>
    <n v="1"/>
    <n v="6"/>
    <n v="138.41"/>
    <n v="13130004134"/>
  </r>
  <r>
    <x v="24"/>
    <d v="1899-12-30T18:18:36"/>
    <n v="5135"/>
    <n v="13002561"/>
    <n v="13"/>
    <n v="22589"/>
    <s v="Retail Sale"/>
    <n v="15"/>
    <n v="59616"/>
    <x v="2"/>
    <s v="Grand Capital"/>
    <s v="Sanofi"/>
    <n v="1"/>
    <n v="133.91"/>
    <n v="211.61"/>
    <n v="10.58"/>
    <n v="10.58"/>
    <s v="BONUS_CARD"/>
    <n v="29"/>
    <n v="1"/>
    <n v="5"/>
    <n v="201.03"/>
    <n v="13130004135"/>
  </r>
  <r>
    <x v="18"/>
    <d v="1899-12-30T13:32:43"/>
    <n v="5136"/>
    <n v="13002561"/>
    <n v="13"/>
    <n v="22589"/>
    <s v="Retail Sale"/>
    <n v="15"/>
    <n v="85020"/>
    <x v="88"/>
    <s v="Grand Capital"/>
    <s v="Bayer"/>
    <n v="1"/>
    <n v="536.78"/>
    <n v="896.59"/>
    <n v="44.83"/>
    <n v="44.83"/>
    <s v="BONUS_CARD"/>
    <n v="29"/>
    <n v="1"/>
    <n v="1"/>
    <n v="851.76"/>
    <n v="13130004136"/>
  </r>
  <r>
    <x v="2"/>
    <d v="1899-12-30T16:02:18"/>
    <n v="5137"/>
    <n v="13002561"/>
    <n v="13"/>
    <n v="22589"/>
    <s v="Retail Sale"/>
    <n v="15"/>
    <n v="45909"/>
    <x v="9"/>
    <s v="Protek"/>
    <s v="Pfizer"/>
    <n v="3"/>
    <n v="459.24"/>
    <n v="684.4"/>
    <n v="34.22"/>
    <n v="34.22"/>
    <s v="BONUS_CARD"/>
    <n v="29"/>
    <n v="1"/>
    <n v="3"/>
    <n v="650.17999999999995"/>
    <n v="13130004137"/>
  </r>
  <r>
    <x v="3"/>
    <d v="1899-12-30T14:39:00"/>
    <n v="5138"/>
    <n v="13002561"/>
    <n v="13"/>
    <n v="22589"/>
    <s v="Retail Sale"/>
    <n v="15"/>
    <n v="17929"/>
    <x v="64"/>
    <s v="Pulse"/>
    <s v="Takeda"/>
    <n v="3"/>
    <n v="57.22"/>
    <n v="87.5"/>
    <n v="4.38"/>
    <n v="4.38"/>
    <s v="BONUS_CARD"/>
    <n v="29"/>
    <n v="1"/>
    <n v="5"/>
    <n v="83.12"/>
    <n v="13130004138"/>
  </r>
  <r>
    <x v="30"/>
    <d v="1899-12-30T18:18:13"/>
    <n v="5139"/>
    <n v="13002561"/>
    <n v="13"/>
    <n v="22589"/>
    <s v="Retail Sale"/>
    <n v="15"/>
    <n v="34575"/>
    <x v="55"/>
    <s v="Pulse"/>
    <s v="TEVA"/>
    <n v="2"/>
    <n v="118.76"/>
    <n v="191.69"/>
    <n v="19.170000000000002"/>
    <n v="19.170000000000002"/>
    <s v="BONUS_CARD"/>
    <n v="29"/>
    <n v="1"/>
    <n v="4"/>
    <n v="172.52"/>
    <n v="13130004139"/>
  </r>
  <r>
    <x v="15"/>
    <d v="1899-12-30T19:40:26"/>
    <n v="5140"/>
    <n v="13002561"/>
    <n v="13"/>
    <n v="22589"/>
    <s v="Retail Sale"/>
    <n v="15"/>
    <n v="19452"/>
    <x v="64"/>
    <s v="Protek"/>
    <s v="KRKA"/>
    <n v="3"/>
    <n v="576.55999999999995"/>
    <n v="725.97"/>
    <n v="36.299999999999997"/>
    <n v="36.299999999999997"/>
    <s v="BONUS_CARD"/>
    <n v="29"/>
    <n v="1"/>
    <n v="2"/>
    <n v="689.67"/>
    <n v="13130004140"/>
  </r>
  <r>
    <x v="30"/>
    <d v="1899-12-30T17:31:20"/>
    <n v="5141"/>
    <n v="13002561"/>
    <n v="13"/>
    <n v="22589"/>
    <s v="Retail Sale"/>
    <n v="18"/>
    <n v="88698"/>
    <x v="11"/>
    <s v="Grand Capital"/>
    <s v="KRKA"/>
    <n v="2"/>
    <n v="572.37"/>
    <n v="959.5"/>
    <n v="47.98"/>
    <n v="47.98"/>
    <s v="BONUS_CARD"/>
    <n v="29"/>
    <n v="1"/>
    <n v="2"/>
    <n v="911.52"/>
    <n v="13130004141"/>
  </r>
  <r>
    <x v="9"/>
    <d v="1899-12-30T12:46:12"/>
    <n v="5142"/>
    <n v="13002561"/>
    <n v="13"/>
    <n v="22589"/>
    <s v="Retail Sale"/>
    <n v="15"/>
    <n v="59866"/>
    <x v="17"/>
    <s v="Pharmcomplect"/>
    <s v="KRKA"/>
    <n v="2"/>
    <n v="523.39"/>
    <n v="886.51"/>
    <n v="0"/>
    <n v="0"/>
    <m/>
    <n v="29"/>
    <n v="1"/>
    <n v="4"/>
    <n v="886.51"/>
    <n v="13130004142"/>
  </r>
  <r>
    <x v="30"/>
    <d v="1899-12-30T22:16:37"/>
    <n v="5143"/>
    <n v="13002561"/>
    <n v="13"/>
    <n v="22589"/>
    <s v="Retail Sale"/>
    <n v="18"/>
    <n v="70271"/>
    <x v="1"/>
    <s v="Pharmcomplect"/>
    <s v="TEVA"/>
    <n v="2"/>
    <n v="353.46"/>
    <n v="573.1"/>
    <n v="57.31"/>
    <n v="57.31"/>
    <s v="BONUS_CARD"/>
    <n v="29"/>
    <n v="1"/>
    <n v="2"/>
    <n v="515.79"/>
    <n v="13130004143"/>
  </r>
  <r>
    <x v="14"/>
    <d v="1899-12-30T10:50:34"/>
    <n v="5144"/>
    <n v="13002561"/>
    <n v="13"/>
    <n v="22589"/>
    <s v="Retail Sale"/>
    <n v="15"/>
    <n v="96721"/>
    <x v="12"/>
    <s v="Katren"/>
    <s v="Pfizer"/>
    <n v="3"/>
    <n v="309.52999999999997"/>
    <n v="509.78"/>
    <n v="25.49"/>
    <n v="25.49"/>
    <s v="BONUS_CARD"/>
    <n v="29"/>
    <n v="1"/>
    <n v="5"/>
    <n v="484.29"/>
    <n v="13130004144"/>
  </r>
  <r>
    <x v="12"/>
    <d v="1899-12-30T20:33:40"/>
    <n v="5145"/>
    <n v="13002561"/>
    <n v="13"/>
    <n v="22589"/>
    <s v="Retail Sale"/>
    <n v="15"/>
    <n v="44035"/>
    <x v="29"/>
    <s v="Pulse"/>
    <s v="Takeda"/>
    <n v="2"/>
    <n v="507.66"/>
    <n v="739.05"/>
    <n v="0"/>
    <n v="0"/>
    <m/>
    <n v="29"/>
    <n v="1"/>
    <n v="3"/>
    <n v="739.05"/>
    <n v="13130004145"/>
  </r>
  <r>
    <x v="13"/>
    <d v="1899-12-30T11:29:40"/>
    <n v="5146"/>
    <n v="13002561"/>
    <n v="13"/>
    <n v="22589"/>
    <s v="Retail Sale"/>
    <n v="18"/>
    <n v="10182"/>
    <x v="65"/>
    <s v="Pharmcomplect"/>
    <s v="Bayer"/>
    <n v="3"/>
    <n v="391.88"/>
    <n v="529.13"/>
    <n v="52.91"/>
    <n v="52.91"/>
    <s v="BONUS_CARD"/>
    <n v="29"/>
    <n v="1"/>
    <n v="6"/>
    <n v="476.22"/>
    <n v="13130004146"/>
  </r>
  <r>
    <x v="22"/>
    <d v="1899-12-30T20:12:42"/>
    <n v="5147"/>
    <n v="13002561"/>
    <n v="13"/>
    <n v="22589"/>
    <s v="Retail Sale"/>
    <n v="18"/>
    <n v="88865"/>
    <x v="39"/>
    <s v="Katren"/>
    <s v="KRKA"/>
    <n v="2"/>
    <n v="367.25"/>
    <n v="572.57000000000005"/>
    <n v="0"/>
    <n v="0"/>
    <m/>
    <n v="29"/>
    <n v="1"/>
    <n v="5"/>
    <n v="572.57000000000005"/>
    <n v="13130004147"/>
  </r>
  <r>
    <x v="20"/>
    <d v="1899-12-30T14:33:25"/>
    <n v="5148"/>
    <n v="13002561"/>
    <n v="13"/>
    <n v="22589"/>
    <s v="Retail Sale"/>
    <n v="15"/>
    <n v="62663"/>
    <x v="43"/>
    <s v="Avesta"/>
    <s v="Takeda"/>
    <n v="3"/>
    <n v="32.840000000000003"/>
    <n v="52.36"/>
    <n v="2.62"/>
    <n v="2.62"/>
    <s v="BONUS_CARD"/>
    <n v="29"/>
    <n v="1"/>
    <n v="4"/>
    <n v="49.74"/>
    <n v="13130004148"/>
  </r>
  <r>
    <x v="22"/>
    <d v="1899-12-30T18:21:30"/>
    <n v="5149"/>
    <n v="13002561"/>
    <n v="13"/>
    <n v="22589"/>
    <s v="Retail Sale"/>
    <n v="18"/>
    <n v="28490"/>
    <x v="12"/>
    <s v="Avesta"/>
    <s v="Novartis"/>
    <n v="3"/>
    <n v="69.09"/>
    <n v="87.95"/>
    <n v="8.7899999999999991"/>
    <n v="8.7899999999999991"/>
    <s v="BONUS_CARD"/>
    <n v="29"/>
    <n v="1"/>
    <n v="1"/>
    <n v="79.16"/>
    <n v="13130004149"/>
  </r>
  <r>
    <x v="0"/>
    <d v="1899-12-30T15:52:19"/>
    <n v="5150"/>
    <n v="13002561"/>
    <n v="13"/>
    <n v="22589"/>
    <s v="Retail Sale"/>
    <n v="15"/>
    <n v="72352"/>
    <x v="6"/>
    <s v="Grand Capital"/>
    <s v="Novartis"/>
    <n v="3"/>
    <n v="206.38"/>
    <n v="350.16"/>
    <n v="0"/>
    <n v="0"/>
    <m/>
    <n v="29"/>
    <n v="1"/>
    <n v="4"/>
    <n v="350.16"/>
    <n v="13130004150"/>
  </r>
  <r>
    <x v="4"/>
    <d v="1899-12-30T17:24:42"/>
    <n v="5151"/>
    <n v="13002561"/>
    <n v="13"/>
    <n v="22589"/>
    <s v="Retail Sale"/>
    <n v="15"/>
    <n v="19395"/>
    <x v="40"/>
    <s v="Protek"/>
    <s v="Bayer"/>
    <n v="1"/>
    <n v="486.22"/>
    <n v="652.14"/>
    <n v="32.61"/>
    <n v="32.61"/>
    <s v="BONUS_CARD"/>
    <n v="29"/>
    <n v="1"/>
    <n v="5"/>
    <n v="619.53"/>
    <n v="13130004151"/>
  </r>
  <r>
    <x v="25"/>
    <d v="1899-12-30T11:03:21"/>
    <n v="5152"/>
    <n v="13002561"/>
    <n v="13"/>
    <n v="22589"/>
    <s v="Retail Sale"/>
    <n v="15"/>
    <n v="38108"/>
    <x v="18"/>
    <s v="Pharmcomplect"/>
    <s v="Pfizer"/>
    <n v="1"/>
    <n v="72.489999999999995"/>
    <n v="107.8"/>
    <n v="5.39"/>
    <n v="5.39"/>
    <s v="BONUS_CARD"/>
    <n v="29"/>
    <n v="1"/>
    <n v="1"/>
    <n v="102.41"/>
    <n v="13130004152"/>
  </r>
  <r>
    <x v="22"/>
    <d v="1899-12-30T12:53:14"/>
    <n v="5153"/>
    <n v="13002561"/>
    <n v="13"/>
    <n v="22589"/>
    <s v="Retail Sale"/>
    <n v="18"/>
    <n v="69290"/>
    <x v="74"/>
    <s v="Grand Capital"/>
    <s v="Pfizer"/>
    <n v="2"/>
    <n v="20.34"/>
    <n v="26.94"/>
    <n v="1.35"/>
    <n v="1.35"/>
    <s v="BONUS_CARD"/>
    <n v="29"/>
    <n v="1"/>
    <n v="3"/>
    <n v="25.59"/>
    <n v="13130004153"/>
  </r>
  <r>
    <x v="14"/>
    <d v="1899-12-30T20:01:29"/>
    <n v="5154"/>
    <n v="13002561"/>
    <n v="13"/>
    <n v="22589"/>
    <s v="Retail Sale"/>
    <n v="18"/>
    <n v="10719"/>
    <x v="53"/>
    <s v="Katren"/>
    <s v="Takeda"/>
    <n v="1"/>
    <n v="242.49"/>
    <n v="358.22"/>
    <n v="35.82"/>
    <n v="35.82"/>
    <s v="BONUS_CARD"/>
    <n v="29"/>
    <n v="1"/>
    <n v="5"/>
    <n v="322.39999999999998"/>
    <n v="13130004154"/>
  </r>
  <r>
    <x v="9"/>
    <d v="1899-12-30T22:32:38"/>
    <n v="5155"/>
    <n v="13002561"/>
    <n v="13"/>
    <n v="22589"/>
    <s v="Retail Sale"/>
    <n v="18"/>
    <n v="51165"/>
    <x v="50"/>
    <s v="Pharmcomplect"/>
    <s v="Bayer"/>
    <n v="1"/>
    <n v="588.91999999999996"/>
    <n v="969.96"/>
    <n v="97"/>
    <n v="97"/>
    <s v="BONUS_CARD"/>
    <n v="29"/>
    <n v="1"/>
    <n v="2"/>
    <n v="872.96"/>
    <n v="13130004155"/>
  </r>
  <r>
    <x v="15"/>
    <d v="1899-12-30T09:18:37"/>
    <n v="5156"/>
    <n v="13002561"/>
    <n v="13"/>
    <n v="22589"/>
    <s v="Retail Sale"/>
    <n v="15"/>
    <n v="56096"/>
    <x v="0"/>
    <s v="Protek"/>
    <s v="Sanofi"/>
    <n v="3"/>
    <n v="374.26"/>
    <n v="504.4"/>
    <n v="25.22"/>
    <n v="25.22"/>
    <s v="BONUS_CARD"/>
    <n v="29"/>
    <n v="1"/>
    <n v="3"/>
    <n v="479.18"/>
    <n v="13130004156"/>
  </r>
  <r>
    <x v="17"/>
    <d v="1899-12-30T11:56:54"/>
    <n v="5157"/>
    <n v="13002561"/>
    <n v="13"/>
    <n v="22589"/>
    <s v="Retail Sale"/>
    <n v="18"/>
    <n v="54705"/>
    <x v="17"/>
    <s v="Pharmcomplect"/>
    <s v="KRKA"/>
    <n v="3"/>
    <n v="596.58000000000004"/>
    <n v="941.19"/>
    <n v="0"/>
    <n v="0"/>
    <m/>
    <n v="29"/>
    <n v="1"/>
    <n v="6"/>
    <n v="941.19"/>
    <n v="13130004157"/>
  </r>
  <r>
    <x v="6"/>
    <d v="1899-12-30T08:48:01"/>
    <n v="5158"/>
    <n v="13002561"/>
    <n v="13"/>
    <n v="22589"/>
    <s v="Retail Sale"/>
    <n v="15"/>
    <n v="73662"/>
    <x v="84"/>
    <s v="Grand Capital"/>
    <s v="KRKA"/>
    <n v="2"/>
    <n v="537.96"/>
    <n v="713.92"/>
    <n v="71.39"/>
    <n v="71.39"/>
    <s v="BONUS_CARD"/>
    <n v="29"/>
    <n v="1"/>
    <n v="3"/>
    <n v="642.53"/>
    <n v="13130004158"/>
  </r>
  <r>
    <x v="24"/>
    <d v="1899-12-30T20:28:01"/>
    <n v="5159"/>
    <n v="13002561"/>
    <n v="13"/>
    <n v="22589"/>
    <s v="Retail Sale"/>
    <n v="18"/>
    <n v="29467"/>
    <x v="47"/>
    <s v="Avesta"/>
    <s v="TEVA"/>
    <n v="2"/>
    <n v="467.78"/>
    <n v="766.85"/>
    <n v="0"/>
    <n v="0"/>
    <m/>
    <n v="29"/>
    <n v="1"/>
    <n v="2"/>
    <n v="766.85"/>
    <n v="13130004159"/>
  </r>
  <r>
    <x v="0"/>
    <d v="1899-12-30T21:42:28"/>
    <n v="5160"/>
    <n v="13002561"/>
    <n v="13"/>
    <n v="22589"/>
    <s v="Retail Sale"/>
    <n v="18"/>
    <n v="35179"/>
    <x v="68"/>
    <s v="Pharmcomplect"/>
    <s v="Novartis"/>
    <n v="1"/>
    <n v="284.35000000000002"/>
    <n v="422.02"/>
    <n v="42.2"/>
    <n v="42.2"/>
    <s v="BONUS_CARD"/>
    <n v="29"/>
    <n v="1"/>
    <n v="4"/>
    <n v="379.82"/>
    <n v="13130004160"/>
  </r>
  <r>
    <x v="3"/>
    <d v="1899-12-30T10:08:25"/>
    <n v="5161"/>
    <n v="13002561"/>
    <n v="13"/>
    <n v="22589"/>
    <s v="Retail Sale"/>
    <n v="18"/>
    <n v="99796"/>
    <x v="69"/>
    <s v="Protek"/>
    <s v="Dr. Reddy's"/>
    <n v="1"/>
    <n v="194.88"/>
    <n v="303.58"/>
    <n v="30.36"/>
    <n v="30.36"/>
    <s v="BONUS_CARD"/>
    <n v="29"/>
    <n v="1"/>
    <n v="4"/>
    <n v="273.22000000000003"/>
    <n v="13130004161"/>
  </r>
  <r>
    <x v="12"/>
    <d v="1899-12-30T10:52:02"/>
    <n v="5162"/>
    <n v="13002561"/>
    <n v="13"/>
    <n v="22589"/>
    <s v="Retail Sale"/>
    <n v="15"/>
    <n v="21753"/>
    <x v="56"/>
    <s v="Avesta"/>
    <s v="Novartis"/>
    <n v="2"/>
    <n v="21.55"/>
    <n v="27.5"/>
    <n v="2.75"/>
    <n v="2.75"/>
    <s v="BONUS_CARD"/>
    <n v="29"/>
    <n v="1"/>
    <n v="3"/>
    <n v="24.75"/>
    <n v="13130004162"/>
  </r>
  <r>
    <x v="24"/>
    <d v="1899-12-30T13:44:15"/>
    <n v="5163"/>
    <n v="13002561"/>
    <n v="13"/>
    <n v="22589"/>
    <s v="Retail Sale"/>
    <n v="18"/>
    <n v="69194"/>
    <x v="42"/>
    <s v="Grand Capital"/>
    <s v="Pfizer"/>
    <n v="1"/>
    <n v="433.69"/>
    <n v="725.73"/>
    <n v="72.569999999999993"/>
    <n v="72.569999999999993"/>
    <s v="BONUS_CARD"/>
    <n v="29"/>
    <n v="1"/>
    <n v="4"/>
    <n v="653.16"/>
    <n v="13130004163"/>
  </r>
  <r>
    <x v="20"/>
    <d v="1899-12-30T12:16:20"/>
    <n v="5164"/>
    <n v="13002561"/>
    <n v="13"/>
    <n v="22589"/>
    <s v="Retail Sale"/>
    <n v="18"/>
    <n v="92492"/>
    <x v="63"/>
    <s v="Katren"/>
    <s v="Novartis"/>
    <n v="3"/>
    <n v="549.19000000000005"/>
    <n v="828.38"/>
    <n v="82.84"/>
    <n v="82.84"/>
    <s v="BONUS_CARD"/>
    <n v="29"/>
    <n v="1"/>
    <n v="6"/>
    <n v="745.54"/>
    <n v="13130004164"/>
  </r>
  <r>
    <x v="24"/>
    <d v="1899-12-30T12:52:47"/>
    <n v="5165"/>
    <n v="13002561"/>
    <n v="13"/>
    <n v="22589"/>
    <s v="Retail Sale"/>
    <n v="18"/>
    <n v="46443"/>
    <x v="53"/>
    <s v="Avesta"/>
    <s v="Bayer"/>
    <n v="3"/>
    <n v="98.71"/>
    <n v="139.68"/>
    <n v="6.98"/>
    <n v="6.98"/>
    <s v="BONUS_CARD"/>
    <n v="29"/>
    <n v="1"/>
    <n v="1"/>
    <n v="132.69999999999999"/>
    <n v="13130004165"/>
  </r>
  <r>
    <x v="13"/>
    <d v="1899-12-30T14:44:30"/>
    <n v="5166"/>
    <n v="13002561"/>
    <n v="13"/>
    <n v="22589"/>
    <s v="Retail Sale"/>
    <n v="15"/>
    <n v="20801"/>
    <x v="77"/>
    <s v="Avesta"/>
    <s v="KRKA"/>
    <n v="1"/>
    <n v="229.09"/>
    <n v="328.23"/>
    <n v="0"/>
    <n v="0"/>
    <m/>
    <n v="29"/>
    <n v="1"/>
    <n v="5"/>
    <n v="328.23"/>
    <n v="13130004166"/>
  </r>
  <r>
    <x v="27"/>
    <d v="1899-12-30T11:41:53"/>
    <n v="5167"/>
    <n v="13002561"/>
    <n v="13"/>
    <n v="22589"/>
    <s v="Retail Sale"/>
    <n v="18"/>
    <n v="67373"/>
    <x v="83"/>
    <s v="Protek"/>
    <s v="Pfizer"/>
    <n v="3"/>
    <n v="250.99"/>
    <n v="415.96"/>
    <n v="0"/>
    <n v="0"/>
    <m/>
    <n v="29"/>
    <n v="1"/>
    <n v="2"/>
    <n v="415.96"/>
    <n v="13130004167"/>
  </r>
  <r>
    <x v="4"/>
    <d v="1899-12-30T15:59:30"/>
    <n v="5168"/>
    <n v="13002561"/>
    <n v="13"/>
    <n v="22589"/>
    <s v="Retail Sale"/>
    <n v="15"/>
    <n v="77705"/>
    <x v="35"/>
    <s v="Avesta"/>
    <s v="Bayer"/>
    <n v="2"/>
    <n v="171.34"/>
    <n v="250.85"/>
    <n v="12.54"/>
    <n v="12.54"/>
    <s v="BONUS_CARD"/>
    <n v="29"/>
    <n v="1"/>
    <n v="5"/>
    <n v="238.31"/>
    <n v="13130004168"/>
  </r>
  <r>
    <x v="18"/>
    <d v="1899-12-30T13:34:26"/>
    <n v="5169"/>
    <n v="13002561"/>
    <n v="13"/>
    <n v="22589"/>
    <s v="Retail Sale"/>
    <n v="15"/>
    <n v="82099"/>
    <x v="68"/>
    <s v="Katren"/>
    <s v="Takeda"/>
    <n v="2"/>
    <n v="492.63"/>
    <n v="644.53"/>
    <n v="64.45"/>
    <n v="64.45"/>
    <s v="BONUS_CARD"/>
    <n v="29"/>
    <n v="1"/>
    <n v="3"/>
    <n v="580.08000000000004"/>
    <n v="13130004169"/>
  </r>
  <r>
    <x v="23"/>
    <d v="1899-12-30T18:54:28"/>
    <n v="5170"/>
    <n v="13002561"/>
    <n v="13"/>
    <n v="22589"/>
    <s v="Retail Sale"/>
    <n v="15"/>
    <n v="67442"/>
    <x v="59"/>
    <s v="Avesta"/>
    <s v="Takeda"/>
    <n v="3"/>
    <n v="97.7"/>
    <n v="154.08000000000001"/>
    <n v="15.41"/>
    <n v="15.41"/>
    <s v="BONUS_CARD"/>
    <n v="29"/>
    <n v="1"/>
    <n v="6"/>
    <n v="138.66999999999999"/>
    <n v="13130004170"/>
  </r>
  <r>
    <x v="8"/>
    <d v="1899-12-30T13:23:35"/>
    <n v="5171"/>
    <n v="13002561"/>
    <n v="13"/>
    <n v="22589"/>
    <s v="Retail Sale"/>
    <n v="18"/>
    <n v="19115"/>
    <x v="66"/>
    <s v="Avesta"/>
    <s v="Dr. Reddy's"/>
    <n v="1"/>
    <n v="147.41999999999999"/>
    <n v="244.27"/>
    <n v="24.43"/>
    <n v="24.43"/>
    <s v="BONUS_CARD"/>
    <n v="29"/>
    <n v="1"/>
    <n v="4"/>
    <n v="219.84"/>
    <n v="13130004171"/>
  </r>
  <r>
    <x v="22"/>
    <d v="1899-12-30T19:24:15"/>
    <n v="5172"/>
    <n v="13002561"/>
    <n v="13"/>
    <n v="22589"/>
    <s v="Retail Sale"/>
    <n v="15"/>
    <n v="94534"/>
    <x v="74"/>
    <s v="Avesta"/>
    <s v="Takeda"/>
    <n v="2"/>
    <n v="549.20000000000005"/>
    <n v="802.98"/>
    <n v="0"/>
    <n v="0"/>
    <m/>
    <n v="29"/>
    <n v="1"/>
    <n v="6"/>
    <n v="802.98"/>
    <n v="13130004172"/>
  </r>
  <r>
    <x v="0"/>
    <d v="1899-12-30T09:41:11"/>
    <n v="5173"/>
    <n v="13002561"/>
    <n v="13"/>
    <n v="22589"/>
    <s v="Retail Sale"/>
    <n v="18"/>
    <n v="25311"/>
    <x v="79"/>
    <s v="Pulse"/>
    <s v="Sanofi"/>
    <n v="1"/>
    <n v="591.1"/>
    <n v="917.94"/>
    <n v="91.79"/>
    <n v="91.79"/>
    <s v="BONUS_CARD"/>
    <n v="29"/>
    <n v="1"/>
    <n v="6"/>
    <n v="826.15"/>
    <n v="13130004173"/>
  </r>
  <r>
    <x v="20"/>
    <d v="1899-12-30T08:28:00"/>
    <n v="5174"/>
    <n v="13002561"/>
    <n v="13"/>
    <n v="22589"/>
    <s v="Retail Sale"/>
    <n v="18"/>
    <n v="63803"/>
    <x v="47"/>
    <s v="Grand Capital"/>
    <s v="Dr. Reddy's"/>
    <n v="2"/>
    <n v="490.74"/>
    <n v="817.52"/>
    <n v="81.75"/>
    <n v="81.75"/>
    <s v="BONUS_CARD"/>
    <n v="29"/>
    <n v="1"/>
    <n v="4"/>
    <n v="735.77"/>
    <n v="13130004174"/>
  </r>
  <r>
    <x v="0"/>
    <d v="1899-12-30T20:41:20"/>
    <n v="5175"/>
    <n v="13002561"/>
    <n v="13"/>
    <n v="22589"/>
    <s v="Retail Sale"/>
    <n v="15"/>
    <n v="54538"/>
    <x v="57"/>
    <s v="Pulse"/>
    <s v="Dr. Reddy's"/>
    <n v="2"/>
    <n v="569.30999999999995"/>
    <n v="806.83"/>
    <n v="40.340000000000003"/>
    <n v="40.340000000000003"/>
    <s v="BONUS_CARD"/>
    <n v="29"/>
    <n v="1"/>
    <n v="2"/>
    <n v="766.49"/>
    <n v="13130004175"/>
  </r>
  <r>
    <x v="23"/>
    <d v="1899-12-30T22:12:09"/>
    <n v="5176"/>
    <n v="13002561"/>
    <n v="13"/>
    <n v="22589"/>
    <s v="Retail Sale"/>
    <n v="18"/>
    <n v="44311"/>
    <x v="42"/>
    <s v="Pharmcomplect"/>
    <s v="Novartis"/>
    <n v="3"/>
    <n v="138.96"/>
    <n v="186.93"/>
    <n v="9.35"/>
    <n v="9.35"/>
    <s v="BONUS_CARD"/>
    <n v="29"/>
    <n v="1"/>
    <n v="5"/>
    <n v="177.58"/>
    <n v="13130004176"/>
  </r>
  <r>
    <x v="22"/>
    <d v="1899-12-30T21:54:19"/>
    <n v="5177"/>
    <n v="13002561"/>
    <n v="13"/>
    <n v="22589"/>
    <s v="Retail Sale"/>
    <n v="18"/>
    <n v="84429"/>
    <x v="77"/>
    <s v="Protek"/>
    <s v="Pfizer"/>
    <n v="1"/>
    <n v="227.61"/>
    <n v="374.02"/>
    <n v="0"/>
    <n v="0"/>
    <m/>
    <n v="29"/>
    <n v="1"/>
    <n v="3"/>
    <n v="374.02"/>
    <n v="13130004177"/>
  </r>
  <r>
    <x v="10"/>
    <d v="1899-12-30T09:20:36"/>
    <n v="5178"/>
    <n v="13002561"/>
    <n v="13"/>
    <n v="22589"/>
    <s v="Retail Sale"/>
    <n v="15"/>
    <n v="98925"/>
    <x v="25"/>
    <s v="Avesta"/>
    <s v="Sanofi"/>
    <n v="3"/>
    <n v="591.54"/>
    <n v="948.34"/>
    <n v="47.42"/>
    <n v="47.42"/>
    <s v="BONUS_CARD"/>
    <n v="29"/>
    <n v="1"/>
    <n v="3"/>
    <n v="900.92"/>
    <n v="13130004178"/>
  </r>
  <r>
    <x v="26"/>
    <d v="1899-12-30T08:45:01"/>
    <n v="5179"/>
    <n v="13002561"/>
    <n v="13"/>
    <n v="22589"/>
    <s v="Retail Sale"/>
    <n v="15"/>
    <n v="84407"/>
    <x v="63"/>
    <s v="Pharmcomplect"/>
    <s v="Takeda"/>
    <n v="1"/>
    <n v="319.48"/>
    <n v="414.77"/>
    <n v="20.74"/>
    <n v="20.74"/>
    <s v="BONUS_CARD"/>
    <n v="29"/>
    <n v="1"/>
    <n v="4"/>
    <n v="394.03"/>
    <n v="13130004179"/>
  </r>
  <r>
    <x v="15"/>
    <d v="1899-12-30T08:38:17"/>
    <n v="5180"/>
    <n v="13002561"/>
    <n v="13"/>
    <n v="22589"/>
    <s v="Retail Sale"/>
    <n v="15"/>
    <n v="61036"/>
    <x v="24"/>
    <s v="Grand Capital"/>
    <s v="Sanofi"/>
    <n v="3"/>
    <n v="328.02"/>
    <n v="550.62"/>
    <n v="55.06"/>
    <n v="55.06"/>
    <s v="BONUS_CARD"/>
    <n v="29"/>
    <n v="1"/>
    <n v="6"/>
    <n v="495.56"/>
    <n v="13130004180"/>
  </r>
  <r>
    <x v="1"/>
    <d v="1899-12-30T09:48:17"/>
    <n v="5181"/>
    <n v="13002561"/>
    <n v="13"/>
    <n v="22589"/>
    <s v="Retail Sale"/>
    <n v="18"/>
    <n v="25289"/>
    <x v="84"/>
    <s v="Grand Capital"/>
    <s v="Dr. Reddy's"/>
    <n v="1"/>
    <n v="379.44"/>
    <n v="519.04"/>
    <n v="0"/>
    <n v="0"/>
    <m/>
    <n v="29"/>
    <n v="1"/>
    <n v="4"/>
    <n v="519.04"/>
    <n v="13130004181"/>
  </r>
  <r>
    <x v="2"/>
    <d v="1899-12-30T13:52:31"/>
    <n v="5182"/>
    <n v="13002561"/>
    <n v="13"/>
    <n v="22589"/>
    <s v="Retail Sale"/>
    <n v="15"/>
    <n v="76082"/>
    <x v="50"/>
    <s v="Katren"/>
    <s v="TEVA"/>
    <n v="1"/>
    <n v="195.13"/>
    <n v="317.48"/>
    <n v="0"/>
    <n v="0"/>
    <m/>
    <n v="29"/>
    <n v="1"/>
    <n v="1"/>
    <n v="317.48"/>
    <n v="13130004182"/>
  </r>
  <r>
    <x v="16"/>
    <d v="1899-12-30T15:11:44"/>
    <n v="5183"/>
    <n v="13002561"/>
    <n v="13"/>
    <n v="22589"/>
    <s v="Retail Sale"/>
    <n v="15"/>
    <n v="96433"/>
    <x v="85"/>
    <s v="Pulse"/>
    <s v="TEVA"/>
    <n v="2"/>
    <n v="210.33"/>
    <n v="310.94"/>
    <n v="31.09"/>
    <n v="31.09"/>
    <s v="BONUS_CARD"/>
    <n v="29"/>
    <n v="1"/>
    <n v="6"/>
    <n v="279.85000000000002"/>
    <n v="13130004183"/>
  </r>
  <r>
    <x v="16"/>
    <d v="1899-12-30T12:33:53"/>
    <n v="5184"/>
    <n v="13002561"/>
    <n v="13"/>
    <n v="22589"/>
    <s v="Retail Sale"/>
    <n v="15"/>
    <n v="49893"/>
    <x v="48"/>
    <s v="Grand Capital"/>
    <s v="TEVA"/>
    <n v="1"/>
    <n v="472.26"/>
    <n v="635.12"/>
    <n v="0"/>
    <n v="0"/>
    <m/>
    <n v="29"/>
    <n v="1"/>
    <n v="6"/>
    <n v="635.12"/>
    <n v="13130004184"/>
  </r>
  <r>
    <x v="21"/>
    <d v="1899-12-30T14:52:49"/>
    <n v="5185"/>
    <n v="13002561"/>
    <n v="13"/>
    <n v="22589"/>
    <s v="Retail Sale"/>
    <n v="15"/>
    <n v="34458"/>
    <x v="45"/>
    <s v="Grand Capital"/>
    <s v="Bayer"/>
    <n v="3"/>
    <n v="17.12"/>
    <n v="22.01"/>
    <n v="0"/>
    <n v="0"/>
    <m/>
    <n v="29"/>
    <n v="1"/>
    <n v="4"/>
    <n v="22.01"/>
    <n v="13130004185"/>
  </r>
  <r>
    <x v="22"/>
    <d v="1899-12-30T21:05:20"/>
    <n v="5186"/>
    <n v="13002561"/>
    <n v="13"/>
    <n v="22589"/>
    <s v="Retail Sale"/>
    <n v="18"/>
    <n v="22262"/>
    <x v="81"/>
    <s v="Pharmcomplect"/>
    <s v="TEVA"/>
    <n v="3"/>
    <n v="472.5"/>
    <n v="602.16999999999996"/>
    <n v="60.22"/>
    <n v="60.22"/>
    <s v="BONUS_CARD"/>
    <n v="29"/>
    <n v="1"/>
    <n v="6"/>
    <n v="541.95000000000005"/>
    <n v="13130004186"/>
  </r>
  <r>
    <x v="4"/>
    <d v="1899-12-30T18:02:38"/>
    <n v="5187"/>
    <n v="13002561"/>
    <n v="13"/>
    <n v="22589"/>
    <s v="Retail Sale"/>
    <n v="18"/>
    <n v="45971"/>
    <x v="79"/>
    <s v="Katren"/>
    <s v="TEVA"/>
    <n v="2"/>
    <n v="312.61"/>
    <n v="520.34"/>
    <n v="52.03"/>
    <n v="52.03"/>
    <s v="BONUS_CARD"/>
    <n v="29"/>
    <n v="1"/>
    <n v="1"/>
    <n v="468.31"/>
    <n v="13130004187"/>
  </r>
  <r>
    <x v="11"/>
    <d v="1899-12-30T14:08:10"/>
    <n v="5188"/>
    <n v="13002561"/>
    <n v="13"/>
    <n v="22589"/>
    <s v="Retail Sale"/>
    <n v="18"/>
    <n v="28962"/>
    <x v="53"/>
    <s v="Grand Capital"/>
    <s v="KRKA"/>
    <n v="1"/>
    <n v="325.18"/>
    <n v="517.1"/>
    <n v="25.86"/>
    <n v="25.86"/>
    <s v="BONUS_CARD"/>
    <n v="29"/>
    <n v="1"/>
    <n v="1"/>
    <n v="491.24"/>
    <n v="13130004188"/>
  </r>
  <r>
    <x v="19"/>
    <d v="1899-12-30T13:03:42"/>
    <n v="5189"/>
    <n v="13002561"/>
    <n v="13"/>
    <n v="22589"/>
    <s v="Retail Sale"/>
    <n v="15"/>
    <n v="18772"/>
    <x v="80"/>
    <s v="Pulse"/>
    <s v="Dr. Reddy's"/>
    <n v="3"/>
    <n v="387.42"/>
    <n v="530.25"/>
    <n v="53.03"/>
    <n v="53.03"/>
    <s v="BONUS_CARD"/>
    <n v="29"/>
    <n v="1"/>
    <n v="2"/>
    <n v="477.22"/>
    <n v="13130004189"/>
  </r>
  <r>
    <x v="20"/>
    <d v="1899-12-30T10:10:28"/>
    <n v="5190"/>
    <n v="13002561"/>
    <n v="13"/>
    <n v="22589"/>
    <s v="Retail Sale"/>
    <n v="15"/>
    <n v="60843"/>
    <x v="54"/>
    <s v="Pharmcomplect"/>
    <s v="TEVA"/>
    <n v="3"/>
    <n v="350.11"/>
    <n v="560.42999999999995"/>
    <n v="56.04"/>
    <n v="56.04"/>
    <s v="BONUS_CARD"/>
    <n v="29"/>
    <n v="1"/>
    <n v="5"/>
    <n v="504.39"/>
    <n v="13130004190"/>
  </r>
  <r>
    <x v="28"/>
    <d v="1899-12-30T20:49:24"/>
    <n v="5191"/>
    <n v="13002561"/>
    <n v="13"/>
    <n v="22589"/>
    <s v="Retail Sale"/>
    <n v="15"/>
    <n v="42043"/>
    <x v="75"/>
    <s v="Avesta"/>
    <s v="Pfizer"/>
    <n v="2"/>
    <n v="546.72"/>
    <n v="922.47"/>
    <n v="92.25"/>
    <n v="92.25"/>
    <s v="BONUS_CARD"/>
    <n v="29"/>
    <n v="1"/>
    <n v="3"/>
    <n v="830.22"/>
    <n v="13130004191"/>
  </r>
  <r>
    <x v="11"/>
    <d v="1899-12-30T09:16:48"/>
    <n v="5192"/>
    <n v="13002561"/>
    <n v="13"/>
    <n v="22589"/>
    <s v="Retail Sale"/>
    <n v="18"/>
    <n v="71742"/>
    <x v="13"/>
    <s v="Avesta"/>
    <s v="Sanofi"/>
    <n v="2"/>
    <n v="565.39"/>
    <n v="832.6"/>
    <n v="41.63"/>
    <n v="41.63"/>
    <s v="BONUS_CARD"/>
    <n v="29"/>
    <n v="1"/>
    <n v="3"/>
    <n v="790.97"/>
    <n v="13130004192"/>
  </r>
  <r>
    <x v="8"/>
    <d v="1899-12-30T17:08:01"/>
    <n v="5193"/>
    <n v="13002561"/>
    <n v="13"/>
    <n v="22589"/>
    <s v="Retail Sale"/>
    <n v="15"/>
    <n v="29359"/>
    <x v="4"/>
    <s v="Pharmcomplect"/>
    <s v="KRKA"/>
    <n v="1"/>
    <n v="296.16000000000003"/>
    <n v="423.17"/>
    <n v="21.16"/>
    <n v="21.16"/>
    <s v="BONUS_CARD"/>
    <n v="29"/>
    <n v="1"/>
    <n v="5"/>
    <n v="402.01"/>
    <n v="13130004193"/>
  </r>
  <r>
    <x v="18"/>
    <d v="1899-12-30T21:33:49"/>
    <n v="5194"/>
    <n v="13002561"/>
    <n v="13"/>
    <n v="22589"/>
    <s v="Retail Sale"/>
    <n v="18"/>
    <n v="78159"/>
    <x v="33"/>
    <s v="Avesta"/>
    <s v="Bayer"/>
    <n v="2"/>
    <n v="245.25"/>
    <n v="348.38"/>
    <n v="0"/>
    <n v="0"/>
    <m/>
    <n v="29"/>
    <n v="1"/>
    <n v="1"/>
    <n v="348.38"/>
    <n v="13130004194"/>
  </r>
  <r>
    <x v="16"/>
    <d v="1899-12-30T17:52:54"/>
    <n v="5195"/>
    <n v="13002561"/>
    <n v="13"/>
    <n v="22589"/>
    <s v="Retail Sale"/>
    <n v="15"/>
    <n v="39347"/>
    <x v="87"/>
    <s v="Avesta"/>
    <s v="Bayer"/>
    <n v="2"/>
    <n v="82.43"/>
    <n v="134.58000000000001"/>
    <n v="6.73"/>
    <n v="6.73"/>
    <s v="BONUS_CARD"/>
    <n v="29"/>
    <n v="1"/>
    <n v="1"/>
    <n v="127.85"/>
    <n v="13130004195"/>
  </r>
  <r>
    <x v="2"/>
    <d v="1899-12-30T17:32:24"/>
    <n v="5196"/>
    <n v="13002561"/>
    <n v="13"/>
    <n v="22589"/>
    <s v="Retail Sale"/>
    <n v="15"/>
    <n v="18053"/>
    <x v="64"/>
    <s v="Avesta"/>
    <s v="Takeda"/>
    <n v="3"/>
    <n v="479.21"/>
    <n v="723.03"/>
    <n v="72.3"/>
    <n v="72.3"/>
    <s v="BONUS_CARD"/>
    <n v="29"/>
    <n v="1"/>
    <n v="1"/>
    <n v="650.73"/>
    <n v="13130004196"/>
  </r>
  <r>
    <x v="15"/>
    <d v="1899-12-30T22:08:52"/>
    <n v="5197"/>
    <n v="13002561"/>
    <n v="13"/>
    <n v="22589"/>
    <s v="Retail Sale"/>
    <n v="15"/>
    <n v="88439"/>
    <x v="86"/>
    <s v="Avesta"/>
    <s v="Dr. Reddy's"/>
    <n v="3"/>
    <n v="197.03"/>
    <n v="260.67"/>
    <n v="13.03"/>
    <n v="13.03"/>
    <s v="BONUS_CARD"/>
    <n v="29"/>
    <n v="1"/>
    <n v="4"/>
    <n v="247.64"/>
    <n v="13130004197"/>
  </r>
  <r>
    <x v="21"/>
    <d v="1899-12-30T16:49:53"/>
    <n v="5198"/>
    <n v="13002561"/>
    <n v="13"/>
    <n v="22589"/>
    <s v="Retail Sale"/>
    <n v="18"/>
    <n v="38069"/>
    <x v="79"/>
    <s v="Avesta"/>
    <s v="Dr. Reddy's"/>
    <n v="2"/>
    <n v="411.05"/>
    <n v="685.15"/>
    <n v="68.52"/>
    <n v="68.52"/>
    <s v="BONUS_CARD"/>
    <n v="29"/>
    <n v="1"/>
    <n v="5"/>
    <n v="616.63"/>
    <n v="13130004198"/>
  </r>
  <r>
    <x v="12"/>
    <d v="1899-12-30T19:58:12"/>
    <n v="5199"/>
    <n v="13002561"/>
    <n v="13"/>
    <n v="22589"/>
    <s v="Retail Sale"/>
    <n v="18"/>
    <n v="63441"/>
    <x v="22"/>
    <s v="Katren"/>
    <s v="Pfizer"/>
    <n v="2"/>
    <n v="84.44"/>
    <n v="113.81"/>
    <n v="11.38"/>
    <n v="11.38"/>
    <s v="BONUS_CARD"/>
    <n v="29"/>
    <n v="1"/>
    <n v="1"/>
    <n v="102.43"/>
    <n v="13130004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45D27-4675-8749-8839-7BD104C76A79}" name="PivotTable3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2" firstHeaderRow="0" firstDataRow="1" firstDataCol="1"/>
  <pivotFields count="23">
    <pivotField numFmtId="164" showAll="0"/>
    <pivotField numFmtId="2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1">
        <item x="12"/>
        <item x="38"/>
        <item x="28"/>
        <item x="82"/>
        <item x="85"/>
        <item x="6"/>
        <item x="68"/>
        <item x="23"/>
        <item x="2"/>
        <item x="31"/>
        <item x="63"/>
        <item x="50"/>
        <item x="17"/>
        <item x="57"/>
        <item x="61"/>
        <item x="65"/>
        <item x="83"/>
        <item x="88"/>
        <item x="15"/>
        <item x="80"/>
        <item x="72"/>
        <item x="52"/>
        <item x="21"/>
        <item x="77"/>
        <item x="8"/>
        <item x="34"/>
        <item x="36"/>
        <item x="24"/>
        <item x="47"/>
        <item x="19"/>
        <item x="42"/>
        <item x="62"/>
        <item x="14"/>
        <item x="13"/>
        <item x="78"/>
        <item x="46"/>
        <item x="35"/>
        <item x="76"/>
        <item x="55"/>
        <item x="11"/>
        <item x="48"/>
        <item x="58"/>
        <item x="3"/>
        <item x="16"/>
        <item x="4"/>
        <item x="18"/>
        <item x="56"/>
        <item x="81"/>
        <item x="20"/>
        <item x="1"/>
        <item x="60"/>
        <item x="39"/>
        <item x="37"/>
        <item x="69"/>
        <item x="87"/>
        <item x="59"/>
        <item x="30"/>
        <item x="79"/>
        <item x="10"/>
        <item x="71"/>
        <item x="66"/>
        <item x="70"/>
        <item x="86"/>
        <item x="49"/>
        <item x="40"/>
        <item x="51"/>
        <item x="64"/>
        <item x="54"/>
        <item x="27"/>
        <item x="84"/>
        <item x="75"/>
        <item x="43"/>
        <item x="73"/>
        <item x="5"/>
        <item x="33"/>
        <item x="41"/>
        <item x="53"/>
        <item x="89"/>
        <item x="7"/>
        <item x="25"/>
        <item x="44"/>
        <item x="45"/>
        <item x="67"/>
        <item x="22"/>
        <item x="0"/>
        <item x="26"/>
        <item x="32"/>
        <item x="9"/>
        <item x="74"/>
        <item x="2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R_Qty" fld="12" baseField="0" baseItem="0"/>
    <dataField name="Sum of Amoun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050C9-7653-F449-A570-7F3062F3A2A5}" name="PivotTable4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G95" firstHeaderRow="1" firstDataRow="2" firstDataCol="1"/>
  <pivotFields count="23">
    <pivotField axis="axisCol" numFmtId="164" showAll="0">
      <items count="32">
        <item x="9"/>
        <item x="18"/>
        <item x="15"/>
        <item x="30"/>
        <item x="1"/>
        <item x="22"/>
        <item x="10"/>
        <item x="7"/>
        <item x="21"/>
        <item x="12"/>
        <item x="17"/>
        <item x="20"/>
        <item x="27"/>
        <item x="4"/>
        <item x="0"/>
        <item x="13"/>
        <item x="26"/>
        <item x="28"/>
        <item x="19"/>
        <item x="23"/>
        <item x="29"/>
        <item x="25"/>
        <item x="16"/>
        <item x="5"/>
        <item x="6"/>
        <item x="11"/>
        <item x="2"/>
        <item x="3"/>
        <item x="24"/>
        <item x="8"/>
        <item x="14"/>
        <item t="default"/>
      </items>
    </pivotField>
    <pivotField numFmtId="2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1">
        <item x="12"/>
        <item x="38"/>
        <item x="28"/>
        <item x="82"/>
        <item x="85"/>
        <item x="6"/>
        <item x="68"/>
        <item x="23"/>
        <item x="2"/>
        <item x="31"/>
        <item x="63"/>
        <item x="50"/>
        <item x="17"/>
        <item x="57"/>
        <item x="61"/>
        <item x="65"/>
        <item x="83"/>
        <item x="88"/>
        <item x="15"/>
        <item x="80"/>
        <item x="72"/>
        <item x="52"/>
        <item x="21"/>
        <item x="77"/>
        <item x="8"/>
        <item x="34"/>
        <item x="36"/>
        <item x="24"/>
        <item x="47"/>
        <item x="19"/>
        <item x="42"/>
        <item x="62"/>
        <item x="14"/>
        <item x="13"/>
        <item x="78"/>
        <item x="46"/>
        <item x="35"/>
        <item x="76"/>
        <item x="55"/>
        <item x="11"/>
        <item x="48"/>
        <item x="58"/>
        <item x="3"/>
        <item x="16"/>
        <item x="4"/>
        <item x="18"/>
        <item x="56"/>
        <item x="81"/>
        <item x="20"/>
        <item x="1"/>
        <item x="60"/>
        <item x="39"/>
        <item x="37"/>
        <item x="69"/>
        <item x="87"/>
        <item x="59"/>
        <item x="30"/>
        <item x="79"/>
        <item x="10"/>
        <item x="71"/>
        <item x="66"/>
        <item x="70"/>
        <item x="86"/>
        <item x="49"/>
        <item x="40"/>
        <item x="51"/>
        <item x="64"/>
        <item x="54"/>
        <item x="27"/>
        <item x="84"/>
        <item x="75"/>
        <item x="43"/>
        <item x="73"/>
        <item x="5"/>
        <item x="33"/>
        <item x="41"/>
        <item x="53"/>
        <item x="89"/>
        <item x="7"/>
        <item x="25"/>
        <item x="44"/>
        <item x="45"/>
        <item x="67"/>
        <item x="22"/>
        <item x="0"/>
        <item x="26"/>
        <item x="32"/>
        <item x="9"/>
        <item x="74"/>
        <item x="2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0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Sum of DR_Qty" fld="12" baseField="0" baseItem="0" numFmtId="1"/>
  </dataFields>
  <formats count="3"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01"/>
  <sheetViews>
    <sheetView workbookViewId="0">
      <selection activeCell="R12" sqref="R12"/>
    </sheetView>
  </sheetViews>
  <sheetFormatPr baseColWidth="10" defaultColWidth="8.83203125" defaultRowHeight="15" x14ac:dyDescent="0.2"/>
  <cols>
    <col min="1" max="1" width="12.1640625" customWidth="1"/>
    <col min="9" max="9" width="12.83203125" customWidth="1"/>
    <col min="10" max="10" width="19.83203125" customWidth="1"/>
    <col min="11" max="11" width="13.33203125" customWidth="1"/>
    <col min="14" max="14" width="14.83203125" bestFit="1" customWidth="1"/>
    <col min="15" max="15" width="12.33203125" bestFit="1" customWidth="1"/>
    <col min="16" max="16" width="14" bestFit="1" customWidth="1"/>
    <col min="17" max="17" width="14.5" bestFit="1" customWidth="1"/>
    <col min="18" max="18" width="12.33203125" bestFit="1" customWidth="1"/>
    <col min="19" max="19" width="14.1640625" bestFit="1" customWidth="1"/>
    <col min="20" max="20" width="10.6640625" bestFit="1" customWidth="1"/>
    <col min="21" max="21" width="10.5" bestFit="1" customWidth="1"/>
    <col min="22" max="22" width="7.33203125" bestFit="1" customWidth="1"/>
    <col min="23" max="23" width="12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44788</v>
      </c>
      <c r="B2" s="2">
        <v>0.36225694444444451</v>
      </c>
      <c r="C2">
        <v>1000</v>
      </c>
      <c r="D2">
        <v>13002561</v>
      </c>
      <c r="E2">
        <v>13</v>
      </c>
      <c r="F2">
        <v>22589</v>
      </c>
      <c r="G2" t="s">
        <v>23</v>
      </c>
      <c r="H2">
        <v>15</v>
      </c>
      <c r="I2">
        <v>62322</v>
      </c>
      <c r="J2" t="s">
        <v>24</v>
      </c>
      <c r="K2" t="s">
        <v>25</v>
      </c>
      <c r="L2" t="s">
        <v>26</v>
      </c>
      <c r="M2">
        <v>3</v>
      </c>
      <c r="N2">
        <v>219.73</v>
      </c>
      <c r="O2">
        <v>367.66</v>
      </c>
      <c r="P2">
        <v>0</v>
      </c>
      <c r="Q2">
        <v>0</v>
      </c>
      <c r="S2">
        <v>29</v>
      </c>
      <c r="T2">
        <v>1</v>
      </c>
      <c r="U2">
        <v>4</v>
      </c>
      <c r="V2">
        <v>367.66</v>
      </c>
      <c r="W2">
        <v>13130000000</v>
      </c>
    </row>
    <row r="3" spans="1:23" x14ac:dyDescent="0.2">
      <c r="A3" s="1">
        <v>44778</v>
      </c>
      <c r="B3" s="2">
        <v>0.70761574074074074</v>
      </c>
      <c r="C3">
        <v>1001</v>
      </c>
      <c r="D3">
        <v>13002561</v>
      </c>
      <c r="E3">
        <v>13</v>
      </c>
      <c r="F3">
        <v>22589</v>
      </c>
      <c r="G3" t="s">
        <v>23</v>
      </c>
      <c r="H3">
        <v>18</v>
      </c>
      <c r="I3">
        <v>78979</v>
      </c>
      <c r="J3" t="s">
        <v>27</v>
      </c>
      <c r="K3" t="s">
        <v>28</v>
      </c>
      <c r="L3" t="s">
        <v>29</v>
      </c>
      <c r="M3">
        <v>2</v>
      </c>
      <c r="N3">
        <v>47.12</v>
      </c>
      <c r="O3">
        <v>62.37</v>
      </c>
      <c r="P3">
        <v>6.24</v>
      </c>
      <c r="Q3">
        <v>6.24</v>
      </c>
      <c r="R3" t="s">
        <v>30</v>
      </c>
      <c r="S3">
        <v>29</v>
      </c>
      <c r="T3">
        <v>1</v>
      </c>
      <c r="U3">
        <v>5</v>
      </c>
      <c r="V3">
        <v>56.13</v>
      </c>
      <c r="W3">
        <v>13130000001</v>
      </c>
    </row>
    <row r="4" spans="1:23" x14ac:dyDescent="0.2">
      <c r="A4" s="1">
        <v>44800</v>
      </c>
      <c r="B4" s="2">
        <v>0.74162037037037032</v>
      </c>
      <c r="C4">
        <v>1002</v>
      </c>
      <c r="D4">
        <v>13002561</v>
      </c>
      <c r="E4">
        <v>13</v>
      </c>
      <c r="F4">
        <v>22589</v>
      </c>
      <c r="G4" t="s">
        <v>23</v>
      </c>
      <c r="H4">
        <v>18</v>
      </c>
      <c r="I4">
        <v>15418</v>
      </c>
      <c r="J4" t="s">
        <v>31</v>
      </c>
      <c r="K4" t="s">
        <v>28</v>
      </c>
      <c r="L4" t="s">
        <v>32</v>
      </c>
      <c r="M4">
        <v>3</v>
      </c>
      <c r="N4">
        <v>426.75</v>
      </c>
      <c r="O4">
        <v>695.12</v>
      </c>
      <c r="P4">
        <v>0</v>
      </c>
      <c r="Q4">
        <v>0</v>
      </c>
      <c r="S4">
        <v>29</v>
      </c>
      <c r="T4">
        <v>1</v>
      </c>
      <c r="U4">
        <v>6</v>
      </c>
      <c r="V4">
        <v>695.12</v>
      </c>
      <c r="W4">
        <v>13130000002</v>
      </c>
    </row>
    <row r="5" spans="1:23" x14ac:dyDescent="0.2">
      <c r="A5" s="1">
        <v>44801</v>
      </c>
      <c r="B5" s="2">
        <v>0.47509259259259262</v>
      </c>
      <c r="C5">
        <v>1003</v>
      </c>
      <c r="D5">
        <v>13002561</v>
      </c>
      <c r="E5">
        <v>13</v>
      </c>
      <c r="F5">
        <v>22589</v>
      </c>
      <c r="G5" t="s">
        <v>23</v>
      </c>
      <c r="H5">
        <v>18</v>
      </c>
      <c r="I5">
        <v>51597</v>
      </c>
      <c r="J5" t="s">
        <v>33</v>
      </c>
      <c r="K5" t="s">
        <v>25</v>
      </c>
      <c r="L5" t="s">
        <v>34</v>
      </c>
      <c r="M5">
        <v>1</v>
      </c>
      <c r="N5">
        <v>522.30999999999995</v>
      </c>
      <c r="O5">
        <v>675.15</v>
      </c>
      <c r="P5">
        <v>33.76</v>
      </c>
      <c r="Q5">
        <v>33.76</v>
      </c>
      <c r="R5" t="s">
        <v>30</v>
      </c>
      <c r="S5">
        <v>29</v>
      </c>
      <c r="T5">
        <v>1</v>
      </c>
      <c r="U5">
        <v>1</v>
      </c>
      <c r="V5">
        <v>641.39</v>
      </c>
      <c r="W5">
        <v>13130000003</v>
      </c>
    </row>
    <row r="6" spans="1:23" x14ac:dyDescent="0.2">
      <c r="A6" s="1">
        <v>44787</v>
      </c>
      <c r="B6" s="2">
        <v>0.43666666666666659</v>
      </c>
      <c r="C6">
        <v>1004</v>
      </c>
      <c r="D6">
        <v>13002561</v>
      </c>
      <c r="E6">
        <v>13</v>
      </c>
      <c r="F6">
        <v>22589</v>
      </c>
      <c r="G6" t="s">
        <v>23</v>
      </c>
      <c r="H6">
        <v>15</v>
      </c>
      <c r="I6">
        <v>36786</v>
      </c>
      <c r="J6" t="s">
        <v>35</v>
      </c>
      <c r="K6" t="s">
        <v>25</v>
      </c>
      <c r="L6" t="s">
        <v>36</v>
      </c>
      <c r="M6">
        <v>1</v>
      </c>
      <c r="N6">
        <v>48.97</v>
      </c>
      <c r="O6">
        <v>81.78</v>
      </c>
      <c r="P6">
        <v>4.09</v>
      </c>
      <c r="Q6">
        <v>4.09</v>
      </c>
      <c r="R6" t="s">
        <v>30</v>
      </c>
      <c r="S6">
        <v>29</v>
      </c>
      <c r="T6">
        <v>1</v>
      </c>
      <c r="U6">
        <v>1</v>
      </c>
      <c r="V6">
        <v>77.69</v>
      </c>
      <c r="W6">
        <v>13130000004</v>
      </c>
    </row>
    <row r="7" spans="1:23" x14ac:dyDescent="0.2">
      <c r="A7" s="1">
        <v>44801</v>
      </c>
      <c r="B7" s="2">
        <v>0.66813657407407412</v>
      </c>
      <c r="C7">
        <v>1005</v>
      </c>
      <c r="D7">
        <v>13002561</v>
      </c>
      <c r="E7">
        <v>13</v>
      </c>
      <c r="F7">
        <v>22589</v>
      </c>
      <c r="G7" t="s">
        <v>23</v>
      </c>
      <c r="H7">
        <v>18</v>
      </c>
      <c r="I7">
        <v>83535</v>
      </c>
      <c r="J7" t="s">
        <v>37</v>
      </c>
      <c r="K7" t="s">
        <v>38</v>
      </c>
      <c r="L7" t="s">
        <v>39</v>
      </c>
      <c r="M7">
        <v>3</v>
      </c>
      <c r="N7">
        <v>162.72</v>
      </c>
      <c r="O7">
        <v>219.99</v>
      </c>
      <c r="P7">
        <v>0</v>
      </c>
      <c r="Q7">
        <v>0</v>
      </c>
      <c r="S7">
        <v>29</v>
      </c>
      <c r="T7">
        <v>1</v>
      </c>
      <c r="U7">
        <v>3</v>
      </c>
      <c r="V7">
        <v>219.99</v>
      </c>
      <c r="W7">
        <v>13130000005</v>
      </c>
    </row>
    <row r="8" spans="1:23" x14ac:dyDescent="0.2">
      <c r="A8" s="1">
        <v>44797</v>
      </c>
      <c r="B8" s="2">
        <v>0.63745370370370369</v>
      </c>
      <c r="C8">
        <v>1006</v>
      </c>
      <c r="D8">
        <v>13002561</v>
      </c>
      <c r="E8">
        <v>13</v>
      </c>
      <c r="F8">
        <v>22589</v>
      </c>
      <c r="G8" t="s">
        <v>23</v>
      </c>
      <c r="H8">
        <v>18</v>
      </c>
      <c r="I8">
        <v>17154</v>
      </c>
      <c r="J8" t="s">
        <v>40</v>
      </c>
      <c r="K8" t="s">
        <v>38</v>
      </c>
      <c r="L8" t="s">
        <v>32</v>
      </c>
      <c r="M8">
        <v>3</v>
      </c>
      <c r="N8">
        <v>456.34</v>
      </c>
      <c r="O8">
        <v>766.02</v>
      </c>
      <c r="P8">
        <v>38.299999999999997</v>
      </c>
      <c r="Q8">
        <v>38.299999999999997</v>
      </c>
      <c r="R8" t="s">
        <v>30</v>
      </c>
      <c r="S8">
        <v>29</v>
      </c>
      <c r="T8">
        <v>1</v>
      </c>
      <c r="U8">
        <v>4</v>
      </c>
      <c r="V8">
        <v>727.72</v>
      </c>
      <c r="W8">
        <v>13130000006</v>
      </c>
    </row>
    <row r="9" spans="1:23" x14ac:dyDescent="0.2">
      <c r="A9" s="1">
        <v>44797</v>
      </c>
      <c r="B9" s="2">
        <v>0.75806712962962963</v>
      </c>
      <c r="C9">
        <v>1007</v>
      </c>
      <c r="D9">
        <v>13002561</v>
      </c>
      <c r="E9">
        <v>13</v>
      </c>
      <c r="F9">
        <v>22589</v>
      </c>
      <c r="G9" t="s">
        <v>23</v>
      </c>
      <c r="H9">
        <v>18</v>
      </c>
      <c r="I9">
        <v>62677</v>
      </c>
      <c r="J9" t="s">
        <v>41</v>
      </c>
      <c r="K9" t="s">
        <v>25</v>
      </c>
      <c r="L9" t="s">
        <v>34</v>
      </c>
      <c r="M9">
        <v>3</v>
      </c>
      <c r="N9">
        <v>455.3</v>
      </c>
      <c r="O9">
        <v>625.23</v>
      </c>
      <c r="P9">
        <v>31.26</v>
      </c>
      <c r="Q9">
        <v>31.26</v>
      </c>
      <c r="R9" t="s">
        <v>30</v>
      </c>
      <c r="S9">
        <v>29</v>
      </c>
      <c r="T9">
        <v>1</v>
      </c>
      <c r="U9">
        <v>4</v>
      </c>
      <c r="V9">
        <v>593.97</v>
      </c>
      <c r="W9">
        <v>13130000007</v>
      </c>
    </row>
    <row r="10" spans="1:23" x14ac:dyDescent="0.2">
      <c r="A10" s="1">
        <v>44778</v>
      </c>
      <c r="B10" s="2">
        <v>0.41453703703703698</v>
      </c>
      <c r="C10">
        <v>1008</v>
      </c>
      <c r="D10">
        <v>13002561</v>
      </c>
      <c r="E10">
        <v>13</v>
      </c>
      <c r="F10">
        <v>22589</v>
      </c>
      <c r="G10" t="s">
        <v>23</v>
      </c>
      <c r="H10">
        <v>15</v>
      </c>
      <c r="I10">
        <v>24428</v>
      </c>
      <c r="J10" t="s">
        <v>37</v>
      </c>
      <c r="K10" t="s">
        <v>38</v>
      </c>
      <c r="L10" t="s">
        <v>29</v>
      </c>
      <c r="M10">
        <v>2</v>
      </c>
      <c r="N10">
        <v>359.78</v>
      </c>
      <c r="O10">
        <v>481.52</v>
      </c>
      <c r="P10">
        <v>0</v>
      </c>
      <c r="Q10">
        <v>0</v>
      </c>
      <c r="S10">
        <v>29</v>
      </c>
      <c r="T10">
        <v>1</v>
      </c>
      <c r="U10">
        <v>3</v>
      </c>
      <c r="V10">
        <v>481.52</v>
      </c>
      <c r="W10">
        <v>13130000008</v>
      </c>
    </row>
    <row r="11" spans="1:23" x14ac:dyDescent="0.2">
      <c r="A11" s="1">
        <v>44798</v>
      </c>
      <c r="B11" s="2">
        <v>0.6867361111111111</v>
      </c>
      <c r="C11">
        <v>1009</v>
      </c>
      <c r="D11">
        <v>13002561</v>
      </c>
      <c r="E11">
        <v>13</v>
      </c>
      <c r="F11">
        <v>22589</v>
      </c>
      <c r="G11" t="s">
        <v>23</v>
      </c>
      <c r="H11">
        <v>18</v>
      </c>
      <c r="I11">
        <v>69547</v>
      </c>
      <c r="J11" t="s">
        <v>42</v>
      </c>
      <c r="K11" t="s">
        <v>38</v>
      </c>
      <c r="L11" t="s">
        <v>39</v>
      </c>
      <c r="M11">
        <v>1</v>
      </c>
      <c r="N11">
        <v>110</v>
      </c>
      <c r="O11">
        <v>141.38</v>
      </c>
      <c r="P11">
        <v>7.07</v>
      </c>
      <c r="Q11">
        <v>7.07</v>
      </c>
      <c r="R11" t="s">
        <v>30</v>
      </c>
      <c r="S11">
        <v>29</v>
      </c>
      <c r="T11">
        <v>1</v>
      </c>
      <c r="U11">
        <v>3</v>
      </c>
      <c r="V11">
        <v>134.31</v>
      </c>
      <c r="W11">
        <v>13130000009</v>
      </c>
    </row>
    <row r="12" spans="1:23" x14ac:dyDescent="0.2">
      <c r="A12" s="1">
        <v>44781</v>
      </c>
      <c r="B12" s="2">
        <v>0.3462615740740741</v>
      </c>
      <c r="C12">
        <v>1010</v>
      </c>
      <c r="D12">
        <v>13002561</v>
      </c>
      <c r="E12">
        <v>13</v>
      </c>
      <c r="F12">
        <v>22589</v>
      </c>
      <c r="G12" t="s">
        <v>23</v>
      </c>
      <c r="H12">
        <v>15</v>
      </c>
      <c r="I12">
        <v>83441</v>
      </c>
      <c r="J12" t="s">
        <v>43</v>
      </c>
      <c r="K12" t="s">
        <v>44</v>
      </c>
      <c r="L12" t="s">
        <v>36</v>
      </c>
      <c r="M12">
        <v>2</v>
      </c>
      <c r="N12">
        <v>579.29</v>
      </c>
      <c r="O12">
        <v>843.98</v>
      </c>
      <c r="P12">
        <v>84.4</v>
      </c>
      <c r="Q12">
        <v>84.4</v>
      </c>
      <c r="R12" t="s">
        <v>30</v>
      </c>
      <c r="S12">
        <v>29</v>
      </c>
      <c r="T12">
        <v>1</v>
      </c>
      <c r="U12">
        <v>6</v>
      </c>
      <c r="V12">
        <v>759.58</v>
      </c>
      <c r="W12">
        <v>13130000010</v>
      </c>
    </row>
    <row r="13" spans="1:23" x14ac:dyDescent="0.2">
      <c r="A13" s="1">
        <v>44803</v>
      </c>
      <c r="B13" s="2">
        <v>0.88873842592592589</v>
      </c>
      <c r="C13">
        <v>1011</v>
      </c>
      <c r="D13">
        <v>13002561</v>
      </c>
      <c r="E13">
        <v>13</v>
      </c>
      <c r="F13">
        <v>22589</v>
      </c>
      <c r="G13" t="s">
        <v>23</v>
      </c>
      <c r="H13">
        <v>15</v>
      </c>
      <c r="I13">
        <v>62573</v>
      </c>
      <c r="J13" t="s">
        <v>24</v>
      </c>
      <c r="K13" t="s">
        <v>45</v>
      </c>
      <c r="L13" t="s">
        <v>32</v>
      </c>
      <c r="M13">
        <v>3</v>
      </c>
      <c r="N13">
        <v>155.22</v>
      </c>
      <c r="O13">
        <v>199.26</v>
      </c>
      <c r="P13">
        <v>19.93</v>
      </c>
      <c r="Q13">
        <v>19.93</v>
      </c>
      <c r="R13" t="s">
        <v>30</v>
      </c>
      <c r="S13">
        <v>29</v>
      </c>
      <c r="T13">
        <v>1</v>
      </c>
      <c r="U13">
        <v>1</v>
      </c>
      <c r="V13">
        <v>179.33</v>
      </c>
      <c r="W13">
        <v>13130000011</v>
      </c>
    </row>
    <row r="14" spans="1:23" x14ac:dyDescent="0.2">
      <c r="A14" s="1">
        <v>44774</v>
      </c>
      <c r="B14" s="2">
        <v>0.90581018518518519</v>
      </c>
      <c r="C14">
        <v>1012</v>
      </c>
      <c r="D14">
        <v>13002561</v>
      </c>
      <c r="E14">
        <v>13</v>
      </c>
      <c r="F14">
        <v>22589</v>
      </c>
      <c r="G14" t="s">
        <v>23</v>
      </c>
      <c r="H14">
        <v>15</v>
      </c>
      <c r="I14">
        <v>12185</v>
      </c>
      <c r="J14" t="s">
        <v>46</v>
      </c>
      <c r="K14" t="s">
        <v>45</v>
      </c>
      <c r="L14" t="s">
        <v>47</v>
      </c>
      <c r="M14">
        <v>1</v>
      </c>
      <c r="N14">
        <v>345.11</v>
      </c>
      <c r="O14">
        <v>519.76</v>
      </c>
      <c r="P14">
        <v>25.99</v>
      </c>
      <c r="Q14">
        <v>25.99</v>
      </c>
      <c r="R14" t="s">
        <v>30</v>
      </c>
      <c r="S14">
        <v>29</v>
      </c>
      <c r="T14">
        <v>1</v>
      </c>
      <c r="U14">
        <v>3</v>
      </c>
      <c r="V14">
        <v>493.77</v>
      </c>
      <c r="W14">
        <v>13130000012</v>
      </c>
    </row>
    <row r="15" spans="1:23" x14ac:dyDescent="0.2">
      <c r="A15" s="1">
        <v>44780</v>
      </c>
      <c r="B15" s="2">
        <v>0.56715277777777773</v>
      </c>
      <c r="C15">
        <v>1013</v>
      </c>
      <c r="D15">
        <v>13002561</v>
      </c>
      <c r="E15">
        <v>13</v>
      </c>
      <c r="F15">
        <v>22589</v>
      </c>
      <c r="G15" t="s">
        <v>23</v>
      </c>
      <c r="H15">
        <v>18</v>
      </c>
      <c r="I15">
        <v>99935</v>
      </c>
      <c r="J15" t="s">
        <v>48</v>
      </c>
      <c r="K15" t="s">
        <v>45</v>
      </c>
      <c r="L15" t="s">
        <v>29</v>
      </c>
      <c r="M15">
        <v>1</v>
      </c>
      <c r="N15">
        <v>457.19</v>
      </c>
      <c r="O15">
        <v>746.15</v>
      </c>
      <c r="P15">
        <v>0</v>
      </c>
      <c r="Q15">
        <v>0</v>
      </c>
      <c r="S15">
        <v>29</v>
      </c>
      <c r="T15">
        <v>1</v>
      </c>
      <c r="U15">
        <v>3</v>
      </c>
      <c r="V15">
        <v>746.15</v>
      </c>
      <c r="W15">
        <v>13130000013</v>
      </c>
    </row>
    <row r="16" spans="1:23" x14ac:dyDescent="0.2">
      <c r="A16" s="1">
        <v>44799</v>
      </c>
      <c r="B16" s="2">
        <v>0.61986111111111108</v>
      </c>
      <c r="C16">
        <v>1014</v>
      </c>
      <c r="D16">
        <v>13002561</v>
      </c>
      <c r="E16">
        <v>13</v>
      </c>
      <c r="F16">
        <v>22589</v>
      </c>
      <c r="G16" t="s">
        <v>23</v>
      </c>
      <c r="H16">
        <v>15</v>
      </c>
      <c r="I16">
        <v>64118</v>
      </c>
      <c r="J16" t="s">
        <v>49</v>
      </c>
      <c r="K16" t="s">
        <v>28</v>
      </c>
      <c r="L16" t="s">
        <v>32</v>
      </c>
      <c r="M16">
        <v>3</v>
      </c>
      <c r="N16">
        <v>61.15</v>
      </c>
      <c r="O16">
        <v>103.4</v>
      </c>
      <c r="P16">
        <v>10.34</v>
      </c>
      <c r="Q16">
        <v>10.34</v>
      </c>
      <c r="R16" t="s">
        <v>30</v>
      </c>
      <c r="S16">
        <v>29</v>
      </c>
      <c r="T16">
        <v>1</v>
      </c>
      <c r="U16">
        <v>3</v>
      </c>
      <c r="V16">
        <v>93.06</v>
      </c>
      <c r="W16">
        <v>13130000014</v>
      </c>
    </row>
    <row r="17" spans="1:23" x14ac:dyDescent="0.2">
      <c r="A17" s="1">
        <v>44780</v>
      </c>
      <c r="B17" s="2">
        <v>0.44603009259259258</v>
      </c>
      <c r="C17">
        <v>1015</v>
      </c>
      <c r="D17">
        <v>13002561</v>
      </c>
      <c r="E17">
        <v>13</v>
      </c>
      <c r="F17">
        <v>22589</v>
      </c>
      <c r="G17" t="s">
        <v>23</v>
      </c>
      <c r="H17">
        <v>15</v>
      </c>
      <c r="I17">
        <v>12583</v>
      </c>
      <c r="J17" t="s">
        <v>50</v>
      </c>
      <c r="K17" t="s">
        <v>25</v>
      </c>
      <c r="L17" t="s">
        <v>51</v>
      </c>
      <c r="M17">
        <v>2</v>
      </c>
      <c r="N17">
        <v>210.41</v>
      </c>
      <c r="O17">
        <v>334.92</v>
      </c>
      <c r="P17">
        <v>0</v>
      </c>
      <c r="Q17">
        <v>0</v>
      </c>
      <c r="S17">
        <v>29</v>
      </c>
      <c r="T17">
        <v>1</v>
      </c>
      <c r="U17">
        <v>2</v>
      </c>
      <c r="V17">
        <v>334.92</v>
      </c>
      <c r="W17">
        <v>13130000015</v>
      </c>
    </row>
    <row r="18" spans="1:23" x14ac:dyDescent="0.2">
      <c r="A18" s="1">
        <v>44788</v>
      </c>
      <c r="B18" s="2">
        <v>0.69896990740740739</v>
      </c>
      <c r="C18">
        <v>1016</v>
      </c>
      <c r="D18">
        <v>13002561</v>
      </c>
      <c r="E18">
        <v>13</v>
      </c>
      <c r="F18">
        <v>22589</v>
      </c>
      <c r="G18" t="s">
        <v>23</v>
      </c>
      <c r="H18">
        <v>15</v>
      </c>
      <c r="I18">
        <v>74327</v>
      </c>
      <c r="J18" t="s">
        <v>52</v>
      </c>
      <c r="K18" t="s">
        <v>25</v>
      </c>
      <c r="L18" t="s">
        <v>51</v>
      </c>
      <c r="M18">
        <v>2</v>
      </c>
      <c r="N18">
        <v>557.52</v>
      </c>
      <c r="O18">
        <v>744.91</v>
      </c>
      <c r="P18">
        <v>0</v>
      </c>
      <c r="Q18">
        <v>0</v>
      </c>
      <c r="S18">
        <v>29</v>
      </c>
      <c r="T18">
        <v>1</v>
      </c>
      <c r="U18">
        <v>5</v>
      </c>
      <c r="V18">
        <v>744.91</v>
      </c>
      <c r="W18">
        <v>13130000016</v>
      </c>
    </row>
    <row r="19" spans="1:23" x14ac:dyDescent="0.2">
      <c r="A19" s="1">
        <v>44783</v>
      </c>
      <c r="B19" s="2">
        <v>0.49201388888888892</v>
      </c>
      <c r="C19">
        <v>1017</v>
      </c>
      <c r="D19">
        <v>13002561</v>
      </c>
      <c r="E19">
        <v>13</v>
      </c>
      <c r="F19">
        <v>22589</v>
      </c>
      <c r="G19" t="s">
        <v>23</v>
      </c>
      <c r="H19">
        <v>18</v>
      </c>
      <c r="I19">
        <v>45437</v>
      </c>
      <c r="J19" t="s">
        <v>53</v>
      </c>
      <c r="K19" t="s">
        <v>38</v>
      </c>
      <c r="L19" t="s">
        <v>36</v>
      </c>
      <c r="M19">
        <v>3</v>
      </c>
      <c r="N19">
        <v>195.09</v>
      </c>
      <c r="O19">
        <v>312.2</v>
      </c>
      <c r="P19">
        <v>15.61</v>
      </c>
      <c r="Q19">
        <v>15.61</v>
      </c>
      <c r="R19" t="s">
        <v>30</v>
      </c>
      <c r="S19">
        <v>29</v>
      </c>
      <c r="T19">
        <v>1</v>
      </c>
      <c r="U19">
        <v>3</v>
      </c>
      <c r="V19">
        <v>296.58999999999997</v>
      </c>
      <c r="W19">
        <v>13130000017</v>
      </c>
    </row>
    <row r="20" spans="1:23" x14ac:dyDescent="0.2">
      <c r="A20" s="1">
        <v>44789</v>
      </c>
      <c r="B20" s="2">
        <v>0.88840277777777776</v>
      </c>
      <c r="C20">
        <v>1018</v>
      </c>
      <c r="D20">
        <v>13002561</v>
      </c>
      <c r="E20">
        <v>13</v>
      </c>
      <c r="F20">
        <v>22589</v>
      </c>
      <c r="G20" t="s">
        <v>23</v>
      </c>
      <c r="H20">
        <v>18</v>
      </c>
      <c r="I20">
        <v>37457</v>
      </c>
      <c r="J20" t="s">
        <v>54</v>
      </c>
      <c r="K20" t="s">
        <v>44</v>
      </c>
      <c r="L20" t="s">
        <v>26</v>
      </c>
      <c r="M20">
        <v>1</v>
      </c>
      <c r="N20">
        <v>178.09</v>
      </c>
      <c r="O20">
        <v>286.41000000000003</v>
      </c>
      <c r="P20">
        <v>28.64</v>
      </c>
      <c r="Q20">
        <v>28.64</v>
      </c>
      <c r="R20" t="s">
        <v>30</v>
      </c>
      <c r="S20">
        <v>29</v>
      </c>
      <c r="T20">
        <v>1</v>
      </c>
      <c r="U20">
        <v>6</v>
      </c>
      <c r="V20">
        <v>257.77</v>
      </c>
      <c r="W20">
        <v>13130000018</v>
      </c>
    </row>
    <row r="21" spans="1:23" x14ac:dyDescent="0.2">
      <c r="A21" s="1">
        <v>44787</v>
      </c>
      <c r="B21" s="2">
        <v>0.81214120370370368</v>
      </c>
      <c r="C21">
        <v>1019</v>
      </c>
      <c r="D21">
        <v>13002561</v>
      </c>
      <c r="E21">
        <v>13</v>
      </c>
      <c r="F21">
        <v>22589</v>
      </c>
      <c r="G21" t="s">
        <v>23</v>
      </c>
      <c r="H21">
        <v>18</v>
      </c>
      <c r="I21">
        <v>92747</v>
      </c>
      <c r="J21" t="s">
        <v>55</v>
      </c>
      <c r="K21" t="s">
        <v>44</v>
      </c>
      <c r="L21" t="s">
        <v>32</v>
      </c>
      <c r="M21">
        <v>2</v>
      </c>
      <c r="N21">
        <v>400.67</v>
      </c>
      <c r="O21">
        <v>551</v>
      </c>
      <c r="P21">
        <v>55.1</v>
      </c>
      <c r="Q21">
        <v>55.1</v>
      </c>
      <c r="R21" t="s">
        <v>30</v>
      </c>
      <c r="S21">
        <v>29</v>
      </c>
      <c r="T21">
        <v>1</v>
      </c>
      <c r="U21">
        <v>3</v>
      </c>
      <c r="V21">
        <v>495.9</v>
      </c>
      <c r="W21">
        <v>13130000019</v>
      </c>
    </row>
    <row r="22" spans="1:23" x14ac:dyDescent="0.2">
      <c r="A22" s="1">
        <v>44804</v>
      </c>
      <c r="B22" s="2">
        <v>0.58414351851851853</v>
      </c>
      <c r="C22">
        <v>1020</v>
      </c>
      <c r="D22">
        <v>13002561</v>
      </c>
      <c r="E22">
        <v>13</v>
      </c>
      <c r="F22">
        <v>22589</v>
      </c>
      <c r="G22" t="s">
        <v>23</v>
      </c>
      <c r="H22">
        <v>18</v>
      </c>
      <c r="I22">
        <v>17699</v>
      </c>
      <c r="J22" t="s">
        <v>56</v>
      </c>
      <c r="K22" t="s">
        <v>44</v>
      </c>
      <c r="L22" t="s">
        <v>39</v>
      </c>
      <c r="M22">
        <v>3</v>
      </c>
      <c r="N22">
        <v>78.69</v>
      </c>
      <c r="O22">
        <v>116.24</v>
      </c>
      <c r="P22">
        <v>11.62</v>
      </c>
      <c r="Q22">
        <v>11.62</v>
      </c>
      <c r="R22" t="s">
        <v>30</v>
      </c>
      <c r="S22">
        <v>29</v>
      </c>
      <c r="T22">
        <v>1</v>
      </c>
      <c r="U22">
        <v>4</v>
      </c>
      <c r="V22">
        <v>104.62</v>
      </c>
      <c r="W22">
        <v>13130000020</v>
      </c>
    </row>
    <row r="23" spans="1:23" x14ac:dyDescent="0.2">
      <c r="A23" s="1">
        <v>44776</v>
      </c>
      <c r="B23" s="2">
        <v>0.39581018518518518</v>
      </c>
      <c r="C23">
        <v>1021</v>
      </c>
      <c r="D23">
        <v>13002561</v>
      </c>
      <c r="E23">
        <v>13</v>
      </c>
      <c r="F23">
        <v>22589</v>
      </c>
      <c r="G23" t="s">
        <v>23</v>
      </c>
      <c r="H23">
        <v>15</v>
      </c>
      <c r="I23">
        <v>22329</v>
      </c>
      <c r="J23" t="s">
        <v>57</v>
      </c>
      <c r="K23" t="s">
        <v>44</v>
      </c>
      <c r="L23" t="s">
        <v>32</v>
      </c>
      <c r="M23">
        <v>2</v>
      </c>
      <c r="N23">
        <v>598.53</v>
      </c>
      <c r="O23">
        <v>839.18</v>
      </c>
      <c r="P23">
        <v>41.96</v>
      </c>
      <c r="Q23">
        <v>41.96</v>
      </c>
      <c r="R23" t="s">
        <v>30</v>
      </c>
      <c r="S23">
        <v>29</v>
      </c>
      <c r="T23">
        <v>1</v>
      </c>
      <c r="U23">
        <v>6</v>
      </c>
      <c r="V23">
        <v>797.22</v>
      </c>
      <c r="W23">
        <v>13130000021</v>
      </c>
    </row>
    <row r="24" spans="1:23" x14ac:dyDescent="0.2">
      <c r="A24" s="1">
        <v>44774</v>
      </c>
      <c r="B24" s="2">
        <v>0.87270833333333331</v>
      </c>
      <c r="C24">
        <v>1022</v>
      </c>
      <c r="D24">
        <v>13002561</v>
      </c>
      <c r="E24">
        <v>13</v>
      </c>
      <c r="F24">
        <v>22589</v>
      </c>
      <c r="G24" t="s">
        <v>23</v>
      </c>
      <c r="H24">
        <v>15</v>
      </c>
      <c r="I24">
        <v>72796</v>
      </c>
      <c r="J24" t="s">
        <v>58</v>
      </c>
      <c r="K24" t="s">
        <v>45</v>
      </c>
      <c r="L24" t="s">
        <v>32</v>
      </c>
      <c r="M24">
        <v>3</v>
      </c>
      <c r="N24">
        <v>551.38</v>
      </c>
      <c r="O24">
        <v>733.39</v>
      </c>
      <c r="P24">
        <v>36.67</v>
      </c>
      <c r="Q24">
        <v>36.67</v>
      </c>
      <c r="R24" t="s">
        <v>30</v>
      </c>
      <c r="S24">
        <v>29</v>
      </c>
      <c r="T24">
        <v>1</v>
      </c>
      <c r="U24">
        <v>2</v>
      </c>
      <c r="V24">
        <v>696.72</v>
      </c>
      <c r="W24">
        <v>13130000022</v>
      </c>
    </row>
    <row r="25" spans="1:23" x14ac:dyDescent="0.2">
      <c r="A25" s="1">
        <v>44804</v>
      </c>
      <c r="B25" s="2">
        <v>0.51577546296296295</v>
      </c>
      <c r="C25">
        <v>1023</v>
      </c>
      <c r="D25">
        <v>13002561</v>
      </c>
      <c r="E25">
        <v>13</v>
      </c>
      <c r="F25">
        <v>22589</v>
      </c>
      <c r="G25" t="s">
        <v>23</v>
      </c>
      <c r="H25">
        <v>15</v>
      </c>
      <c r="I25">
        <v>58541</v>
      </c>
      <c r="J25" t="s">
        <v>59</v>
      </c>
      <c r="K25" t="s">
        <v>60</v>
      </c>
      <c r="L25" t="s">
        <v>32</v>
      </c>
      <c r="M25">
        <v>1</v>
      </c>
      <c r="N25">
        <v>431.25</v>
      </c>
      <c r="O25">
        <v>649.36</v>
      </c>
      <c r="P25">
        <v>32.47</v>
      </c>
      <c r="Q25">
        <v>32.47</v>
      </c>
      <c r="R25" t="s">
        <v>30</v>
      </c>
      <c r="S25">
        <v>29</v>
      </c>
      <c r="T25">
        <v>1</v>
      </c>
      <c r="U25">
        <v>6</v>
      </c>
      <c r="V25">
        <v>616.89</v>
      </c>
      <c r="W25">
        <v>13130000023</v>
      </c>
    </row>
    <row r="26" spans="1:23" x14ac:dyDescent="0.2">
      <c r="A26" s="1">
        <v>44796</v>
      </c>
      <c r="B26" s="2">
        <v>0.50699074074074069</v>
      </c>
      <c r="C26">
        <v>1024</v>
      </c>
      <c r="D26">
        <v>13002561</v>
      </c>
      <c r="E26">
        <v>13</v>
      </c>
      <c r="F26">
        <v>22589</v>
      </c>
      <c r="G26" t="s">
        <v>23</v>
      </c>
      <c r="H26">
        <v>15</v>
      </c>
      <c r="I26">
        <v>58374</v>
      </c>
      <c r="J26" t="s">
        <v>61</v>
      </c>
      <c r="K26" t="s">
        <v>25</v>
      </c>
      <c r="L26" t="s">
        <v>51</v>
      </c>
      <c r="M26">
        <v>3</v>
      </c>
      <c r="N26">
        <v>279.77999999999997</v>
      </c>
      <c r="O26">
        <v>409.16</v>
      </c>
      <c r="P26">
        <v>0</v>
      </c>
      <c r="Q26">
        <v>0</v>
      </c>
      <c r="S26">
        <v>29</v>
      </c>
      <c r="T26">
        <v>1</v>
      </c>
      <c r="U26">
        <v>3</v>
      </c>
      <c r="V26">
        <v>409.16</v>
      </c>
      <c r="W26">
        <v>13130000024</v>
      </c>
    </row>
    <row r="27" spans="1:23" x14ac:dyDescent="0.2">
      <c r="A27" s="1">
        <v>44799</v>
      </c>
      <c r="B27" s="2">
        <v>0.41412037037037042</v>
      </c>
      <c r="C27">
        <v>1025</v>
      </c>
      <c r="D27">
        <v>13002561</v>
      </c>
      <c r="E27">
        <v>13</v>
      </c>
      <c r="F27">
        <v>22589</v>
      </c>
      <c r="G27" t="s">
        <v>23</v>
      </c>
      <c r="H27">
        <v>15</v>
      </c>
      <c r="I27">
        <v>83109</v>
      </c>
      <c r="J27" t="s">
        <v>41</v>
      </c>
      <c r="K27" t="s">
        <v>38</v>
      </c>
      <c r="L27" t="s">
        <v>34</v>
      </c>
      <c r="M27">
        <v>2</v>
      </c>
      <c r="N27">
        <v>422.8</v>
      </c>
      <c r="O27">
        <v>547.39</v>
      </c>
      <c r="P27">
        <v>27.37</v>
      </c>
      <c r="Q27">
        <v>27.37</v>
      </c>
      <c r="R27" t="s">
        <v>30</v>
      </c>
      <c r="S27">
        <v>29</v>
      </c>
      <c r="T27">
        <v>1</v>
      </c>
      <c r="U27">
        <v>5</v>
      </c>
      <c r="V27">
        <v>520.02</v>
      </c>
      <c r="W27">
        <v>13130000025</v>
      </c>
    </row>
    <row r="28" spans="1:23" x14ac:dyDescent="0.2">
      <c r="A28" s="1">
        <v>44784</v>
      </c>
      <c r="B28" s="2">
        <v>0.78320601851851857</v>
      </c>
      <c r="C28">
        <v>1026</v>
      </c>
      <c r="D28">
        <v>13002561</v>
      </c>
      <c r="E28">
        <v>13</v>
      </c>
      <c r="F28">
        <v>22589</v>
      </c>
      <c r="G28" t="s">
        <v>23</v>
      </c>
      <c r="H28">
        <v>18</v>
      </c>
      <c r="I28">
        <v>29788</v>
      </c>
      <c r="J28" t="s">
        <v>62</v>
      </c>
      <c r="K28" t="s">
        <v>28</v>
      </c>
      <c r="L28" t="s">
        <v>39</v>
      </c>
      <c r="M28">
        <v>1</v>
      </c>
      <c r="N28">
        <v>471.03</v>
      </c>
      <c r="O28">
        <v>747.49</v>
      </c>
      <c r="P28">
        <v>37.369999999999997</v>
      </c>
      <c r="Q28">
        <v>37.369999999999997</v>
      </c>
      <c r="R28" t="s">
        <v>30</v>
      </c>
      <c r="S28">
        <v>29</v>
      </c>
      <c r="T28">
        <v>1</v>
      </c>
      <c r="U28">
        <v>5</v>
      </c>
      <c r="V28">
        <v>710.12</v>
      </c>
      <c r="W28">
        <v>13130000026</v>
      </c>
    </row>
    <row r="29" spans="1:23" x14ac:dyDescent="0.2">
      <c r="A29" s="1">
        <v>44775</v>
      </c>
      <c r="B29" s="2">
        <v>0.65376157407407409</v>
      </c>
      <c r="C29">
        <v>1027</v>
      </c>
      <c r="D29">
        <v>13002561</v>
      </c>
      <c r="E29">
        <v>13</v>
      </c>
      <c r="F29">
        <v>22589</v>
      </c>
      <c r="G29" t="s">
        <v>23</v>
      </c>
      <c r="H29">
        <v>18</v>
      </c>
      <c r="I29">
        <v>67352</v>
      </c>
      <c r="J29" t="s">
        <v>63</v>
      </c>
      <c r="K29" t="s">
        <v>44</v>
      </c>
      <c r="L29" t="s">
        <v>47</v>
      </c>
      <c r="M29">
        <v>1</v>
      </c>
      <c r="N29">
        <v>177.33</v>
      </c>
      <c r="O29">
        <v>273.62</v>
      </c>
      <c r="P29">
        <v>0</v>
      </c>
      <c r="Q29">
        <v>0</v>
      </c>
      <c r="S29">
        <v>29</v>
      </c>
      <c r="T29">
        <v>1</v>
      </c>
      <c r="U29">
        <v>1</v>
      </c>
      <c r="V29">
        <v>273.62</v>
      </c>
      <c r="W29">
        <v>13130000027</v>
      </c>
    </row>
    <row r="30" spans="1:23" x14ac:dyDescent="0.2">
      <c r="A30" s="1">
        <v>44778</v>
      </c>
      <c r="B30" s="2">
        <v>0.55001157407407408</v>
      </c>
      <c r="C30">
        <v>1028</v>
      </c>
      <c r="D30">
        <v>13002561</v>
      </c>
      <c r="E30">
        <v>13</v>
      </c>
      <c r="F30">
        <v>22589</v>
      </c>
      <c r="G30" t="s">
        <v>23</v>
      </c>
      <c r="H30">
        <v>15</v>
      </c>
      <c r="I30">
        <v>30822</v>
      </c>
      <c r="J30" t="s">
        <v>64</v>
      </c>
      <c r="K30" t="s">
        <v>45</v>
      </c>
      <c r="L30" t="s">
        <v>51</v>
      </c>
      <c r="M30">
        <v>1</v>
      </c>
      <c r="N30">
        <v>209.03</v>
      </c>
      <c r="O30">
        <v>306.95</v>
      </c>
      <c r="P30">
        <v>15.35</v>
      </c>
      <c r="Q30">
        <v>15.35</v>
      </c>
      <c r="R30" t="s">
        <v>30</v>
      </c>
      <c r="S30">
        <v>29</v>
      </c>
      <c r="T30">
        <v>1</v>
      </c>
      <c r="U30">
        <v>3</v>
      </c>
      <c r="V30">
        <v>291.60000000000002</v>
      </c>
      <c r="W30">
        <v>13130000028</v>
      </c>
    </row>
    <row r="31" spans="1:23" x14ac:dyDescent="0.2">
      <c r="A31" s="1">
        <v>44780</v>
      </c>
      <c r="B31" s="2">
        <v>0.38306712962962958</v>
      </c>
      <c r="C31">
        <v>1029</v>
      </c>
      <c r="D31">
        <v>13002561</v>
      </c>
      <c r="E31">
        <v>13</v>
      </c>
      <c r="F31">
        <v>22589</v>
      </c>
      <c r="G31" t="s">
        <v>23</v>
      </c>
      <c r="H31">
        <v>15</v>
      </c>
      <c r="I31">
        <v>99791</v>
      </c>
      <c r="J31" t="s">
        <v>65</v>
      </c>
      <c r="K31" t="s">
        <v>38</v>
      </c>
      <c r="L31" t="s">
        <v>34</v>
      </c>
      <c r="M31">
        <v>2</v>
      </c>
      <c r="N31">
        <v>481.35</v>
      </c>
      <c r="O31">
        <v>616.25</v>
      </c>
      <c r="P31">
        <v>30.81</v>
      </c>
      <c r="Q31">
        <v>30.81</v>
      </c>
      <c r="R31" t="s">
        <v>30</v>
      </c>
      <c r="S31">
        <v>29</v>
      </c>
      <c r="T31">
        <v>1</v>
      </c>
      <c r="U31">
        <v>3</v>
      </c>
      <c r="V31">
        <v>585.44000000000005</v>
      </c>
      <c r="W31">
        <v>13130000029</v>
      </c>
    </row>
    <row r="32" spans="1:23" x14ac:dyDescent="0.2">
      <c r="A32" s="1">
        <v>44797</v>
      </c>
      <c r="B32" s="2">
        <v>0.80503472222222228</v>
      </c>
      <c r="C32">
        <v>1030</v>
      </c>
      <c r="D32">
        <v>13002561</v>
      </c>
      <c r="E32">
        <v>13</v>
      </c>
      <c r="F32">
        <v>22589</v>
      </c>
      <c r="G32" t="s">
        <v>23</v>
      </c>
      <c r="H32">
        <v>15</v>
      </c>
      <c r="I32">
        <v>45085</v>
      </c>
      <c r="J32" t="s">
        <v>66</v>
      </c>
      <c r="K32" t="s">
        <v>60</v>
      </c>
      <c r="L32" t="s">
        <v>32</v>
      </c>
      <c r="M32">
        <v>2</v>
      </c>
      <c r="N32">
        <v>202.75</v>
      </c>
      <c r="O32">
        <v>314.70999999999998</v>
      </c>
      <c r="P32">
        <v>0</v>
      </c>
      <c r="Q32">
        <v>0</v>
      </c>
      <c r="S32">
        <v>29</v>
      </c>
      <c r="T32">
        <v>1</v>
      </c>
      <c r="U32">
        <v>5</v>
      </c>
      <c r="V32">
        <v>314.70999999999998</v>
      </c>
      <c r="W32">
        <v>13130000030</v>
      </c>
    </row>
    <row r="33" spans="1:23" x14ac:dyDescent="0.2">
      <c r="A33" s="1">
        <v>44804</v>
      </c>
      <c r="B33" s="2">
        <v>0.84984953703703703</v>
      </c>
      <c r="C33">
        <v>1031</v>
      </c>
      <c r="D33">
        <v>13002561</v>
      </c>
      <c r="E33">
        <v>13</v>
      </c>
      <c r="F33">
        <v>22589</v>
      </c>
      <c r="G33" t="s">
        <v>23</v>
      </c>
      <c r="H33">
        <v>18</v>
      </c>
      <c r="I33">
        <v>64341</v>
      </c>
      <c r="J33" t="s">
        <v>67</v>
      </c>
      <c r="K33" t="s">
        <v>38</v>
      </c>
      <c r="L33" t="s">
        <v>36</v>
      </c>
      <c r="M33">
        <v>1</v>
      </c>
      <c r="N33">
        <v>541.58000000000004</v>
      </c>
      <c r="O33">
        <v>694.38</v>
      </c>
      <c r="P33">
        <v>34.72</v>
      </c>
      <c r="Q33">
        <v>34.72</v>
      </c>
      <c r="R33" t="s">
        <v>30</v>
      </c>
      <c r="S33">
        <v>29</v>
      </c>
      <c r="T33">
        <v>1</v>
      </c>
      <c r="U33">
        <v>3</v>
      </c>
      <c r="V33">
        <v>659.66</v>
      </c>
      <c r="W33">
        <v>13130000031</v>
      </c>
    </row>
    <row r="34" spans="1:23" x14ac:dyDescent="0.2">
      <c r="A34" s="1">
        <v>44792</v>
      </c>
      <c r="B34" s="2">
        <v>0.8259143518518518</v>
      </c>
      <c r="C34">
        <v>1032</v>
      </c>
      <c r="D34">
        <v>13002561</v>
      </c>
      <c r="E34">
        <v>13</v>
      </c>
      <c r="F34">
        <v>22589</v>
      </c>
      <c r="G34" t="s">
        <v>23</v>
      </c>
      <c r="H34">
        <v>15</v>
      </c>
      <c r="I34">
        <v>67951</v>
      </c>
      <c r="J34" t="s">
        <v>68</v>
      </c>
      <c r="K34" t="s">
        <v>25</v>
      </c>
      <c r="L34" t="s">
        <v>26</v>
      </c>
      <c r="M34">
        <v>3</v>
      </c>
      <c r="N34">
        <v>372.78</v>
      </c>
      <c r="O34">
        <v>563.36</v>
      </c>
      <c r="P34">
        <v>0</v>
      </c>
      <c r="Q34">
        <v>0</v>
      </c>
      <c r="S34">
        <v>29</v>
      </c>
      <c r="T34">
        <v>1</v>
      </c>
      <c r="U34">
        <v>6</v>
      </c>
      <c r="V34">
        <v>563.36</v>
      </c>
      <c r="W34">
        <v>13130000032</v>
      </c>
    </row>
    <row r="35" spans="1:23" x14ac:dyDescent="0.2">
      <c r="A35" s="1">
        <v>44780</v>
      </c>
      <c r="B35" s="2">
        <v>0.90057870370370374</v>
      </c>
      <c r="C35">
        <v>1033</v>
      </c>
      <c r="D35">
        <v>13002561</v>
      </c>
      <c r="E35">
        <v>13</v>
      </c>
      <c r="F35">
        <v>22589</v>
      </c>
      <c r="G35" t="s">
        <v>23</v>
      </c>
      <c r="H35">
        <v>18</v>
      </c>
      <c r="I35">
        <v>38944</v>
      </c>
      <c r="J35" t="s">
        <v>67</v>
      </c>
      <c r="K35" t="s">
        <v>28</v>
      </c>
      <c r="L35" t="s">
        <v>39</v>
      </c>
      <c r="M35">
        <v>2</v>
      </c>
      <c r="N35">
        <v>306.39</v>
      </c>
      <c r="O35">
        <v>452.69</v>
      </c>
      <c r="P35">
        <v>22.63</v>
      </c>
      <c r="Q35">
        <v>22.63</v>
      </c>
      <c r="R35" t="s">
        <v>30</v>
      </c>
      <c r="S35">
        <v>29</v>
      </c>
      <c r="T35">
        <v>1</v>
      </c>
      <c r="U35">
        <v>5</v>
      </c>
      <c r="V35">
        <v>430.06</v>
      </c>
      <c r="W35">
        <v>13130000033</v>
      </c>
    </row>
    <row r="36" spans="1:23" x14ac:dyDescent="0.2">
      <c r="A36" s="1">
        <v>44799</v>
      </c>
      <c r="B36" s="2">
        <v>0.49253472222222222</v>
      </c>
      <c r="C36">
        <v>1034</v>
      </c>
      <c r="D36">
        <v>13002561</v>
      </c>
      <c r="E36">
        <v>13</v>
      </c>
      <c r="F36">
        <v>22589</v>
      </c>
      <c r="G36" t="s">
        <v>23</v>
      </c>
      <c r="H36">
        <v>15</v>
      </c>
      <c r="I36">
        <v>26854</v>
      </c>
      <c r="J36" t="s">
        <v>69</v>
      </c>
      <c r="K36" t="s">
        <v>38</v>
      </c>
      <c r="L36" t="s">
        <v>36</v>
      </c>
      <c r="M36">
        <v>3</v>
      </c>
      <c r="N36">
        <v>408.08</v>
      </c>
      <c r="O36">
        <v>670.44</v>
      </c>
      <c r="P36">
        <v>67.040000000000006</v>
      </c>
      <c r="Q36">
        <v>67.040000000000006</v>
      </c>
      <c r="R36" t="s">
        <v>30</v>
      </c>
      <c r="S36">
        <v>29</v>
      </c>
      <c r="T36">
        <v>1</v>
      </c>
      <c r="U36">
        <v>3</v>
      </c>
      <c r="V36">
        <v>603.4</v>
      </c>
      <c r="W36">
        <v>13130000034</v>
      </c>
    </row>
    <row r="37" spans="1:23" x14ac:dyDescent="0.2">
      <c r="A37" s="1">
        <v>44789</v>
      </c>
      <c r="B37" s="2">
        <v>0.39381944444444439</v>
      </c>
      <c r="C37">
        <v>1035</v>
      </c>
      <c r="D37">
        <v>13002561</v>
      </c>
      <c r="E37">
        <v>13</v>
      </c>
      <c r="F37">
        <v>22589</v>
      </c>
      <c r="G37" t="s">
        <v>23</v>
      </c>
      <c r="H37">
        <v>15</v>
      </c>
      <c r="I37">
        <v>26775</v>
      </c>
      <c r="J37" t="s">
        <v>70</v>
      </c>
      <c r="K37" t="s">
        <v>28</v>
      </c>
      <c r="L37" t="s">
        <v>34</v>
      </c>
      <c r="M37">
        <v>2</v>
      </c>
      <c r="N37">
        <v>52.98</v>
      </c>
      <c r="O37">
        <v>72.459999999999994</v>
      </c>
      <c r="P37">
        <v>3.62</v>
      </c>
      <c r="Q37">
        <v>3.62</v>
      </c>
      <c r="R37" t="s">
        <v>30</v>
      </c>
      <c r="S37">
        <v>29</v>
      </c>
      <c r="T37">
        <v>1</v>
      </c>
      <c r="U37">
        <v>2</v>
      </c>
      <c r="V37">
        <v>68.84</v>
      </c>
      <c r="W37">
        <v>13130000035</v>
      </c>
    </row>
    <row r="38" spans="1:23" x14ac:dyDescent="0.2">
      <c r="A38" s="1">
        <v>44785</v>
      </c>
      <c r="B38" s="2">
        <v>0.58221064814814816</v>
      </c>
      <c r="C38">
        <v>1036</v>
      </c>
      <c r="D38">
        <v>13002561</v>
      </c>
      <c r="E38">
        <v>13</v>
      </c>
      <c r="F38">
        <v>22589</v>
      </c>
      <c r="G38" t="s">
        <v>23</v>
      </c>
      <c r="H38">
        <v>18</v>
      </c>
      <c r="I38">
        <v>42575</v>
      </c>
      <c r="J38" t="s">
        <v>35</v>
      </c>
      <c r="K38" t="s">
        <v>25</v>
      </c>
      <c r="L38" t="s">
        <v>51</v>
      </c>
      <c r="M38">
        <v>1</v>
      </c>
      <c r="N38">
        <v>145.46</v>
      </c>
      <c r="O38">
        <v>186.11</v>
      </c>
      <c r="P38">
        <v>18.61</v>
      </c>
      <c r="Q38">
        <v>18.61</v>
      </c>
      <c r="R38" t="s">
        <v>30</v>
      </c>
      <c r="S38">
        <v>29</v>
      </c>
      <c r="T38">
        <v>1</v>
      </c>
      <c r="U38">
        <v>4</v>
      </c>
      <c r="V38">
        <v>167.5</v>
      </c>
      <c r="W38">
        <v>13130000036</v>
      </c>
    </row>
    <row r="39" spans="1:23" x14ac:dyDescent="0.2">
      <c r="A39" s="1">
        <v>44787</v>
      </c>
      <c r="B39" s="2">
        <v>0.78710648148148143</v>
      </c>
      <c r="C39">
        <v>1037</v>
      </c>
      <c r="D39">
        <v>13002561</v>
      </c>
      <c r="E39">
        <v>13</v>
      </c>
      <c r="F39">
        <v>22589</v>
      </c>
      <c r="G39" t="s">
        <v>23</v>
      </c>
      <c r="H39">
        <v>18</v>
      </c>
      <c r="I39">
        <v>38901</v>
      </c>
      <c r="J39" t="s">
        <v>71</v>
      </c>
      <c r="K39" t="s">
        <v>45</v>
      </c>
      <c r="L39" t="s">
        <v>32</v>
      </c>
      <c r="M39">
        <v>3</v>
      </c>
      <c r="N39">
        <v>293.27</v>
      </c>
      <c r="O39">
        <v>404.37</v>
      </c>
      <c r="P39">
        <v>40.44</v>
      </c>
      <c r="Q39">
        <v>40.44</v>
      </c>
      <c r="R39" t="s">
        <v>30</v>
      </c>
      <c r="S39">
        <v>29</v>
      </c>
      <c r="T39">
        <v>1</v>
      </c>
      <c r="U39">
        <v>2</v>
      </c>
      <c r="V39">
        <v>363.93</v>
      </c>
      <c r="W39">
        <v>13130000037</v>
      </c>
    </row>
    <row r="40" spans="1:23" x14ac:dyDescent="0.2">
      <c r="A40" s="1">
        <v>44782</v>
      </c>
      <c r="B40" s="2">
        <v>0.6400231481481482</v>
      </c>
      <c r="C40">
        <v>1038</v>
      </c>
      <c r="D40">
        <v>13002561</v>
      </c>
      <c r="E40">
        <v>13</v>
      </c>
      <c r="F40">
        <v>22589</v>
      </c>
      <c r="G40" t="s">
        <v>23</v>
      </c>
      <c r="H40">
        <v>15</v>
      </c>
      <c r="I40">
        <v>40966</v>
      </c>
      <c r="J40" t="s">
        <v>27</v>
      </c>
      <c r="K40" t="s">
        <v>60</v>
      </c>
      <c r="L40" t="s">
        <v>39</v>
      </c>
      <c r="M40">
        <v>2</v>
      </c>
      <c r="N40">
        <v>206.36</v>
      </c>
      <c r="O40">
        <v>289.99</v>
      </c>
      <c r="P40">
        <v>14.5</v>
      </c>
      <c r="Q40">
        <v>14.5</v>
      </c>
      <c r="R40" t="s">
        <v>30</v>
      </c>
      <c r="S40">
        <v>29</v>
      </c>
      <c r="T40">
        <v>1</v>
      </c>
      <c r="U40">
        <v>2</v>
      </c>
      <c r="V40">
        <v>275.49</v>
      </c>
      <c r="W40">
        <v>13130000038</v>
      </c>
    </row>
    <row r="41" spans="1:23" x14ac:dyDescent="0.2">
      <c r="A41" s="1">
        <v>44779</v>
      </c>
      <c r="B41" s="2">
        <v>0.43457175925925928</v>
      </c>
      <c r="C41">
        <v>1039</v>
      </c>
      <c r="D41">
        <v>13002561</v>
      </c>
      <c r="E41">
        <v>13</v>
      </c>
      <c r="F41">
        <v>22589</v>
      </c>
      <c r="G41" t="s">
        <v>23</v>
      </c>
      <c r="H41">
        <v>18</v>
      </c>
      <c r="I41">
        <v>27087</v>
      </c>
      <c r="J41" t="s">
        <v>67</v>
      </c>
      <c r="K41" t="s">
        <v>44</v>
      </c>
      <c r="L41" t="s">
        <v>29</v>
      </c>
      <c r="M41">
        <v>3</v>
      </c>
      <c r="N41">
        <v>546.44000000000005</v>
      </c>
      <c r="O41">
        <v>708.01</v>
      </c>
      <c r="P41">
        <v>0</v>
      </c>
      <c r="Q41">
        <v>0</v>
      </c>
      <c r="S41">
        <v>29</v>
      </c>
      <c r="T41">
        <v>1</v>
      </c>
      <c r="U41">
        <v>3</v>
      </c>
      <c r="V41">
        <v>708.01</v>
      </c>
      <c r="W41">
        <v>13130000039</v>
      </c>
    </row>
    <row r="42" spans="1:23" x14ac:dyDescent="0.2">
      <c r="A42" s="1">
        <v>44793</v>
      </c>
      <c r="B42" s="2">
        <v>0.65591435185185187</v>
      </c>
      <c r="C42">
        <v>1040</v>
      </c>
      <c r="D42">
        <v>13002561</v>
      </c>
      <c r="E42">
        <v>13</v>
      </c>
      <c r="F42">
        <v>22589</v>
      </c>
      <c r="G42" t="s">
        <v>23</v>
      </c>
      <c r="H42">
        <v>18</v>
      </c>
      <c r="I42">
        <v>84850</v>
      </c>
      <c r="J42" t="s">
        <v>72</v>
      </c>
      <c r="K42" t="s">
        <v>25</v>
      </c>
      <c r="L42" t="s">
        <v>34</v>
      </c>
      <c r="M42">
        <v>2</v>
      </c>
      <c r="N42">
        <v>242.45</v>
      </c>
      <c r="O42">
        <v>411.77</v>
      </c>
      <c r="P42">
        <v>20.59</v>
      </c>
      <c r="Q42">
        <v>20.59</v>
      </c>
      <c r="R42" t="s">
        <v>30</v>
      </c>
      <c r="S42">
        <v>29</v>
      </c>
      <c r="T42">
        <v>1</v>
      </c>
      <c r="U42">
        <v>6</v>
      </c>
      <c r="V42">
        <v>391.18</v>
      </c>
      <c r="W42">
        <v>13130000040</v>
      </c>
    </row>
    <row r="43" spans="1:23" x14ac:dyDescent="0.2">
      <c r="A43" s="1">
        <v>44797</v>
      </c>
      <c r="B43" s="2">
        <v>0.37057870370370372</v>
      </c>
      <c r="C43">
        <v>1041</v>
      </c>
      <c r="D43">
        <v>13002561</v>
      </c>
      <c r="E43">
        <v>13</v>
      </c>
      <c r="F43">
        <v>22589</v>
      </c>
      <c r="G43" t="s">
        <v>23</v>
      </c>
      <c r="H43">
        <v>18</v>
      </c>
      <c r="I43">
        <v>27996</v>
      </c>
      <c r="J43" t="s">
        <v>27</v>
      </c>
      <c r="K43" t="s">
        <v>25</v>
      </c>
      <c r="L43" t="s">
        <v>26</v>
      </c>
      <c r="M43">
        <v>3</v>
      </c>
      <c r="N43">
        <v>222.1</v>
      </c>
      <c r="O43">
        <v>328.61</v>
      </c>
      <c r="P43">
        <v>16.43</v>
      </c>
      <c r="Q43">
        <v>16.43</v>
      </c>
      <c r="R43" t="s">
        <v>30</v>
      </c>
      <c r="S43">
        <v>29</v>
      </c>
      <c r="T43">
        <v>1</v>
      </c>
      <c r="U43">
        <v>4</v>
      </c>
      <c r="V43">
        <v>312.18</v>
      </c>
      <c r="W43">
        <v>13130000041</v>
      </c>
    </row>
    <row r="44" spans="1:23" x14ac:dyDescent="0.2">
      <c r="A44" s="1">
        <v>44802</v>
      </c>
      <c r="B44" s="2">
        <v>0.63057870370370372</v>
      </c>
      <c r="C44">
        <v>1042</v>
      </c>
      <c r="D44">
        <v>13002561</v>
      </c>
      <c r="E44">
        <v>13</v>
      </c>
      <c r="F44">
        <v>22589</v>
      </c>
      <c r="G44" t="s">
        <v>23</v>
      </c>
      <c r="H44">
        <v>18</v>
      </c>
      <c r="I44">
        <v>74968</v>
      </c>
      <c r="J44" t="s">
        <v>52</v>
      </c>
      <c r="K44" t="s">
        <v>45</v>
      </c>
      <c r="L44" t="s">
        <v>34</v>
      </c>
      <c r="M44">
        <v>3</v>
      </c>
      <c r="N44">
        <v>471.03</v>
      </c>
      <c r="O44">
        <v>692.06</v>
      </c>
      <c r="P44">
        <v>0</v>
      </c>
      <c r="Q44">
        <v>0</v>
      </c>
      <c r="S44">
        <v>29</v>
      </c>
      <c r="T44">
        <v>1</v>
      </c>
      <c r="U44">
        <v>3</v>
      </c>
      <c r="V44">
        <v>692.06</v>
      </c>
      <c r="W44">
        <v>13130000042</v>
      </c>
    </row>
    <row r="45" spans="1:23" x14ac:dyDescent="0.2">
      <c r="A45" s="1">
        <v>44798</v>
      </c>
      <c r="B45" s="2">
        <v>0.49991898148148151</v>
      </c>
      <c r="C45">
        <v>1043</v>
      </c>
      <c r="D45">
        <v>13002561</v>
      </c>
      <c r="E45">
        <v>13</v>
      </c>
      <c r="F45">
        <v>22589</v>
      </c>
      <c r="G45" t="s">
        <v>23</v>
      </c>
      <c r="H45">
        <v>15</v>
      </c>
      <c r="I45">
        <v>93326</v>
      </c>
      <c r="J45" t="s">
        <v>73</v>
      </c>
      <c r="K45" t="s">
        <v>60</v>
      </c>
      <c r="L45" t="s">
        <v>36</v>
      </c>
      <c r="M45">
        <v>2</v>
      </c>
      <c r="N45">
        <v>511.95</v>
      </c>
      <c r="O45">
        <v>655.48</v>
      </c>
      <c r="P45">
        <v>32.770000000000003</v>
      </c>
      <c r="Q45">
        <v>32.770000000000003</v>
      </c>
      <c r="R45" t="s">
        <v>30</v>
      </c>
      <c r="S45">
        <v>29</v>
      </c>
      <c r="T45">
        <v>1</v>
      </c>
      <c r="U45">
        <v>3</v>
      </c>
      <c r="V45">
        <v>622.71</v>
      </c>
      <c r="W45">
        <v>13130000043</v>
      </c>
    </row>
    <row r="46" spans="1:23" x14ac:dyDescent="0.2">
      <c r="A46" s="1">
        <v>44788</v>
      </c>
      <c r="B46" s="2">
        <v>0.48965277777777783</v>
      </c>
      <c r="C46">
        <v>1044</v>
      </c>
      <c r="D46">
        <v>13002561</v>
      </c>
      <c r="E46">
        <v>13</v>
      </c>
      <c r="F46">
        <v>22589</v>
      </c>
      <c r="G46" t="s">
        <v>23</v>
      </c>
      <c r="H46">
        <v>18</v>
      </c>
      <c r="I46">
        <v>73888</v>
      </c>
      <c r="J46" t="s">
        <v>74</v>
      </c>
      <c r="K46" t="s">
        <v>60</v>
      </c>
      <c r="L46" t="s">
        <v>32</v>
      </c>
      <c r="M46">
        <v>1</v>
      </c>
      <c r="N46">
        <v>527.76</v>
      </c>
      <c r="O46">
        <v>892.67</v>
      </c>
      <c r="P46">
        <v>89.27</v>
      </c>
      <c r="Q46">
        <v>89.27</v>
      </c>
      <c r="R46" t="s">
        <v>30</v>
      </c>
      <c r="S46">
        <v>29</v>
      </c>
      <c r="T46">
        <v>1</v>
      </c>
      <c r="U46">
        <v>2</v>
      </c>
      <c r="V46">
        <v>803.4</v>
      </c>
      <c r="W46">
        <v>13130000044</v>
      </c>
    </row>
    <row r="47" spans="1:23" x14ac:dyDescent="0.2">
      <c r="A47" s="1">
        <v>44795</v>
      </c>
      <c r="B47" s="2">
        <v>0.83635416666666662</v>
      </c>
      <c r="C47">
        <v>1045</v>
      </c>
      <c r="D47">
        <v>13002561</v>
      </c>
      <c r="E47">
        <v>13</v>
      </c>
      <c r="F47">
        <v>22589</v>
      </c>
      <c r="G47" t="s">
        <v>23</v>
      </c>
      <c r="H47">
        <v>18</v>
      </c>
      <c r="I47">
        <v>19129</v>
      </c>
      <c r="J47" t="s">
        <v>48</v>
      </c>
      <c r="K47" t="s">
        <v>25</v>
      </c>
      <c r="L47" t="s">
        <v>34</v>
      </c>
      <c r="M47">
        <v>2</v>
      </c>
      <c r="N47">
        <v>315.27999999999997</v>
      </c>
      <c r="O47">
        <v>453.92</v>
      </c>
      <c r="P47">
        <v>22.7</v>
      </c>
      <c r="Q47">
        <v>22.7</v>
      </c>
      <c r="R47" t="s">
        <v>30</v>
      </c>
      <c r="S47">
        <v>29</v>
      </c>
      <c r="T47">
        <v>1</v>
      </c>
      <c r="U47">
        <v>5</v>
      </c>
      <c r="V47">
        <v>431.22</v>
      </c>
      <c r="W47">
        <v>13130000045</v>
      </c>
    </row>
    <row r="48" spans="1:23" x14ac:dyDescent="0.2">
      <c r="A48" s="1">
        <v>44783</v>
      </c>
      <c r="B48" s="2">
        <v>0.50483796296296302</v>
      </c>
      <c r="C48">
        <v>1046</v>
      </c>
      <c r="D48">
        <v>13002561</v>
      </c>
      <c r="E48">
        <v>13</v>
      </c>
      <c r="F48">
        <v>22589</v>
      </c>
      <c r="G48" t="s">
        <v>23</v>
      </c>
      <c r="H48">
        <v>18</v>
      </c>
      <c r="I48">
        <v>56085</v>
      </c>
      <c r="J48" t="s">
        <v>75</v>
      </c>
      <c r="K48" t="s">
        <v>28</v>
      </c>
      <c r="L48" t="s">
        <v>51</v>
      </c>
      <c r="M48">
        <v>2</v>
      </c>
      <c r="N48">
        <v>69.900000000000006</v>
      </c>
      <c r="O48">
        <v>114.23</v>
      </c>
      <c r="P48">
        <v>0</v>
      </c>
      <c r="Q48">
        <v>0</v>
      </c>
      <c r="S48">
        <v>29</v>
      </c>
      <c r="T48">
        <v>1</v>
      </c>
      <c r="U48">
        <v>5</v>
      </c>
      <c r="V48">
        <v>114.23</v>
      </c>
      <c r="W48">
        <v>13130000046</v>
      </c>
    </row>
    <row r="49" spans="1:23" x14ac:dyDescent="0.2">
      <c r="A49" s="1">
        <v>44790</v>
      </c>
      <c r="B49" s="2">
        <v>0.47270833333333329</v>
      </c>
      <c r="C49">
        <v>1047</v>
      </c>
      <c r="D49">
        <v>13002561</v>
      </c>
      <c r="E49">
        <v>13</v>
      </c>
      <c r="F49">
        <v>22589</v>
      </c>
      <c r="G49" t="s">
        <v>23</v>
      </c>
      <c r="H49">
        <v>15</v>
      </c>
      <c r="I49">
        <v>43260</v>
      </c>
      <c r="J49" t="s">
        <v>55</v>
      </c>
      <c r="K49" t="s">
        <v>45</v>
      </c>
      <c r="L49" t="s">
        <v>26</v>
      </c>
      <c r="M49">
        <v>1</v>
      </c>
      <c r="N49">
        <v>137.09</v>
      </c>
      <c r="O49">
        <v>205.99</v>
      </c>
      <c r="P49">
        <v>20.6</v>
      </c>
      <c r="Q49">
        <v>20.6</v>
      </c>
      <c r="R49" t="s">
        <v>30</v>
      </c>
      <c r="S49">
        <v>29</v>
      </c>
      <c r="T49">
        <v>1</v>
      </c>
      <c r="U49">
        <v>4</v>
      </c>
      <c r="V49">
        <v>185.39</v>
      </c>
      <c r="W49">
        <v>13130000047</v>
      </c>
    </row>
    <row r="50" spans="1:23" x14ac:dyDescent="0.2">
      <c r="A50" s="1">
        <v>44790</v>
      </c>
      <c r="B50" s="2">
        <v>0.61431712962962959</v>
      </c>
      <c r="C50">
        <v>1048</v>
      </c>
      <c r="D50">
        <v>13002561</v>
      </c>
      <c r="E50">
        <v>13</v>
      </c>
      <c r="F50">
        <v>22589</v>
      </c>
      <c r="G50" t="s">
        <v>23</v>
      </c>
      <c r="H50">
        <v>18</v>
      </c>
      <c r="I50">
        <v>45305</v>
      </c>
      <c r="J50" t="s">
        <v>76</v>
      </c>
      <c r="K50" t="s">
        <v>28</v>
      </c>
      <c r="L50" t="s">
        <v>51</v>
      </c>
      <c r="M50">
        <v>3</v>
      </c>
      <c r="N50">
        <v>246.45</v>
      </c>
      <c r="O50">
        <v>382.79</v>
      </c>
      <c r="P50">
        <v>19.14</v>
      </c>
      <c r="Q50">
        <v>19.14</v>
      </c>
      <c r="R50" t="s">
        <v>30</v>
      </c>
      <c r="S50">
        <v>29</v>
      </c>
      <c r="T50">
        <v>1</v>
      </c>
      <c r="U50">
        <v>3</v>
      </c>
      <c r="V50">
        <v>363.65</v>
      </c>
      <c r="W50">
        <v>13130000048</v>
      </c>
    </row>
    <row r="51" spans="1:23" x14ac:dyDescent="0.2">
      <c r="A51" s="1">
        <v>44782</v>
      </c>
      <c r="B51" s="2">
        <v>0.3696875</v>
      </c>
      <c r="C51">
        <v>1049</v>
      </c>
      <c r="D51">
        <v>13002561</v>
      </c>
      <c r="E51">
        <v>13</v>
      </c>
      <c r="F51">
        <v>22589</v>
      </c>
      <c r="G51" t="s">
        <v>23</v>
      </c>
      <c r="H51">
        <v>18</v>
      </c>
      <c r="I51">
        <v>19578</v>
      </c>
      <c r="J51" t="s">
        <v>55</v>
      </c>
      <c r="K51" t="s">
        <v>60</v>
      </c>
      <c r="L51" t="s">
        <v>39</v>
      </c>
      <c r="M51">
        <v>1</v>
      </c>
      <c r="N51">
        <v>449.5</v>
      </c>
      <c r="O51">
        <v>685.66</v>
      </c>
      <c r="P51">
        <v>0</v>
      </c>
      <c r="Q51">
        <v>0</v>
      </c>
      <c r="S51">
        <v>29</v>
      </c>
      <c r="T51">
        <v>1</v>
      </c>
      <c r="U51">
        <v>5</v>
      </c>
      <c r="V51">
        <v>685.66</v>
      </c>
      <c r="W51">
        <v>13130000049</v>
      </c>
    </row>
    <row r="52" spans="1:23" x14ac:dyDescent="0.2">
      <c r="A52" s="1">
        <v>44789</v>
      </c>
      <c r="B52" s="2">
        <v>0.85431712962962958</v>
      </c>
      <c r="C52">
        <v>1050</v>
      </c>
      <c r="D52">
        <v>13002561</v>
      </c>
      <c r="E52">
        <v>13</v>
      </c>
      <c r="F52">
        <v>22589</v>
      </c>
      <c r="G52" t="s">
        <v>23</v>
      </c>
      <c r="H52">
        <v>18</v>
      </c>
      <c r="I52">
        <v>49755</v>
      </c>
      <c r="J52" t="s">
        <v>77</v>
      </c>
      <c r="K52" t="s">
        <v>44</v>
      </c>
      <c r="L52" t="s">
        <v>32</v>
      </c>
      <c r="M52">
        <v>2</v>
      </c>
      <c r="N52">
        <v>294.35000000000002</v>
      </c>
      <c r="O52">
        <v>400.83</v>
      </c>
      <c r="P52">
        <v>20.04</v>
      </c>
      <c r="Q52">
        <v>20.04</v>
      </c>
      <c r="R52" t="s">
        <v>30</v>
      </c>
      <c r="S52">
        <v>29</v>
      </c>
      <c r="T52">
        <v>1</v>
      </c>
      <c r="U52">
        <v>1</v>
      </c>
      <c r="V52">
        <v>380.79</v>
      </c>
      <c r="W52">
        <v>13130000050</v>
      </c>
    </row>
    <row r="53" spans="1:23" x14ac:dyDescent="0.2">
      <c r="A53" s="1">
        <v>44786</v>
      </c>
      <c r="B53" s="2">
        <v>0.48226851851851849</v>
      </c>
      <c r="C53">
        <v>1051</v>
      </c>
      <c r="D53">
        <v>13002561</v>
      </c>
      <c r="E53">
        <v>13</v>
      </c>
      <c r="F53">
        <v>22589</v>
      </c>
      <c r="G53" t="s">
        <v>23</v>
      </c>
      <c r="H53">
        <v>15</v>
      </c>
      <c r="I53">
        <v>97792</v>
      </c>
      <c r="J53" t="s">
        <v>78</v>
      </c>
      <c r="K53" t="s">
        <v>60</v>
      </c>
      <c r="L53" t="s">
        <v>36</v>
      </c>
      <c r="M53">
        <v>2</v>
      </c>
      <c r="N53">
        <v>166.17</v>
      </c>
      <c r="O53">
        <v>275.08999999999997</v>
      </c>
      <c r="P53">
        <v>27.51</v>
      </c>
      <c r="Q53">
        <v>27.51</v>
      </c>
      <c r="R53" t="s">
        <v>30</v>
      </c>
      <c r="S53">
        <v>29</v>
      </c>
      <c r="T53">
        <v>1</v>
      </c>
      <c r="U53">
        <v>3</v>
      </c>
      <c r="V53">
        <v>247.58</v>
      </c>
      <c r="W53">
        <v>13130000051</v>
      </c>
    </row>
    <row r="54" spans="1:23" x14ac:dyDescent="0.2">
      <c r="A54" s="1">
        <v>44778</v>
      </c>
      <c r="B54" s="2">
        <v>0.69062500000000004</v>
      </c>
      <c r="C54">
        <v>1052</v>
      </c>
      <c r="D54">
        <v>13002561</v>
      </c>
      <c r="E54">
        <v>13</v>
      </c>
      <c r="F54">
        <v>22589</v>
      </c>
      <c r="G54" t="s">
        <v>23</v>
      </c>
      <c r="H54">
        <v>18</v>
      </c>
      <c r="I54">
        <v>32029</v>
      </c>
      <c r="J54" t="s">
        <v>27</v>
      </c>
      <c r="K54" t="s">
        <v>25</v>
      </c>
      <c r="L54" t="s">
        <v>39</v>
      </c>
      <c r="M54">
        <v>3</v>
      </c>
      <c r="N54">
        <v>194.25</v>
      </c>
      <c r="O54">
        <v>288.07</v>
      </c>
      <c r="P54">
        <v>28.81</v>
      </c>
      <c r="Q54">
        <v>28.81</v>
      </c>
      <c r="R54" t="s">
        <v>30</v>
      </c>
      <c r="S54">
        <v>29</v>
      </c>
      <c r="T54">
        <v>1</v>
      </c>
      <c r="U54">
        <v>3</v>
      </c>
      <c r="V54">
        <v>259.26</v>
      </c>
      <c r="W54">
        <v>13130000052</v>
      </c>
    </row>
    <row r="55" spans="1:23" x14ac:dyDescent="0.2">
      <c r="A55" s="1">
        <v>44790</v>
      </c>
      <c r="B55" s="2">
        <v>0.5667592592592593</v>
      </c>
      <c r="C55">
        <v>1053</v>
      </c>
      <c r="D55">
        <v>13002561</v>
      </c>
      <c r="E55">
        <v>13</v>
      </c>
      <c r="F55">
        <v>22589</v>
      </c>
      <c r="G55" t="s">
        <v>23</v>
      </c>
      <c r="H55">
        <v>15</v>
      </c>
      <c r="I55">
        <v>70316</v>
      </c>
      <c r="J55" t="s">
        <v>57</v>
      </c>
      <c r="K55" t="s">
        <v>44</v>
      </c>
      <c r="L55" t="s">
        <v>51</v>
      </c>
      <c r="M55">
        <v>1</v>
      </c>
      <c r="N55">
        <v>42.71</v>
      </c>
      <c r="O55">
        <v>56.19</v>
      </c>
      <c r="P55">
        <v>0</v>
      </c>
      <c r="Q55">
        <v>0</v>
      </c>
      <c r="S55">
        <v>29</v>
      </c>
      <c r="T55">
        <v>1</v>
      </c>
      <c r="U55">
        <v>6</v>
      </c>
      <c r="V55">
        <v>56.19</v>
      </c>
      <c r="W55">
        <v>13130000053</v>
      </c>
    </row>
    <row r="56" spans="1:23" x14ac:dyDescent="0.2">
      <c r="A56" s="1">
        <v>44791</v>
      </c>
      <c r="B56" s="2">
        <v>0.53828703703703706</v>
      </c>
      <c r="C56">
        <v>1054</v>
      </c>
      <c r="D56">
        <v>13002561</v>
      </c>
      <c r="E56">
        <v>13</v>
      </c>
      <c r="F56">
        <v>22589</v>
      </c>
      <c r="G56" t="s">
        <v>23</v>
      </c>
      <c r="H56">
        <v>15</v>
      </c>
      <c r="I56">
        <v>71917</v>
      </c>
      <c r="J56" t="s">
        <v>72</v>
      </c>
      <c r="K56" t="s">
        <v>25</v>
      </c>
      <c r="L56" t="s">
        <v>51</v>
      </c>
      <c r="M56">
        <v>2</v>
      </c>
      <c r="N56">
        <v>198.64</v>
      </c>
      <c r="O56">
        <v>248.47</v>
      </c>
      <c r="P56">
        <v>24.85</v>
      </c>
      <c r="Q56">
        <v>24.85</v>
      </c>
      <c r="R56" t="s">
        <v>30</v>
      </c>
      <c r="S56">
        <v>29</v>
      </c>
      <c r="T56">
        <v>1</v>
      </c>
      <c r="U56">
        <v>2</v>
      </c>
      <c r="V56">
        <v>223.62</v>
      </c>
      <c r="W56">
        <v>13130000054</v>
      </c>
    </row>
    <row r="57" spans="1:23" x14ac:dyDescent="0.2">
      <c r="A57" s="1">
        <v>44802</v>
      </c>
      <c r="B57" s="2">
        <v>0.68107638888888888</v>
      </c>
      <c r="C57">
        <v>1055</v>
      </c>
      <c r="D57">
        <v>13002561</v>
      </c>
      <c r="E57">
        <v>13</v>
      </c>
      <c r="F57">
        <v>22589</v>
      </c>
      <c r="G57" t="s">
        <v>23</v>
      </c>
      <c r="H57">
        <v>18</v>
      </c>
      <c r="I57">
        <v>23240</v>
      </c>
      <c r="J57" t="s">
        <v>79</v>
      </c>
      <c r="K57" t="s">
        <v>28</v>
      </c>
      <c r="L57" t="s">
        <v>34</v>
      </c>
      <c r="M57">
        <v>2</v>
      </c>
      <c r="N57">
        <v>302.02999999999997</v>
      </c>
      <c r="O57">
        <v>400.56</v>
      </c>
      <c r="P57">
        <v>0</v>
      </c>
      <c r="Q57">
        <v>0</v>
      </c>
      <c r="S57">
        <v>29</v>
      </c>
      <c r="T57">
        <v>1</v>
      </c>
      <c r="U57">
        <v>4</v>
      </c>
      <c r="V57">
        <v>400.56</v>
      </c>
      <c r="W57">
        <v>13130000055</v>
      </c>
    </row>
    <row r="58" spans="1:23" x14ac:dyDescent="0.2">
      <c r="A58" s="1">
        <v>44803</v>
      </c>
      <c r="B58" s="2">
        <v>0.46957175925925931</v>
      </c>
      <c r="C58">
        <v>1056</v>
      </c>
      <c r="D58">
        <v>13002561</v>
      </c>
      <c r="E58">
        <v>13</v>
      </c>
      <c r="F58">
        <v>22589</v>
      </c>
      <c r="G58" t="s">
        <v>23</v>
      </c>
      <c r="H58">
        <v>15</v>
      </c>
      <c r="I58">
        <v>63702</v>
      </c>
      <c r="J58" t="s">
        <v>56</v>
      </c>
      <c r="K58" t="s">
        <v>60</v>
      </c>
      <c r="L58" t="s">
        <v>34</v>
      </c>
      <c r="M58">
        <v>2</v>
      </c>
      <c r="N58">
        <v>499.78</v>
      </c>
      <c r="O58">
        <v>816.19</v>
      </c>
      <c r="P58">
        <v>40.81</v>
      </c>
      <c r="Q58">
        <v>40.81</v>
      </c>
      <c r="R58" t="s">
        <v>30</v>
      </c>
      <c r="S58">
        <v>29</v>
      </c>
      <c r="T58">
        <v>1</v>
      </c>
      <c r="U58">
        <v>6</v>
      </c>
      <c r="V58">
        <v>775.38</v>
      </c>
      <c r="W58">
        <v>13130000056</v>
      </c>
    </row>
    <row r="59" spans="1:23" x14ac:dyDescent="0.2">
      <c r="A59" s="1">
        <v>44785</v>
      </c>
      <c r="B59" s="2">
        <v>0.57534722222222223</v>
      </c>
      <c r="C59">
        <v>1057</v>
      </c>
      <c r="D59">
        <v>13002561</v>
      </c>
      <c r="E59">
        <v>13</v>
      </c>
      <c r="F59">
        <v>22589</v>
      </c>
      <c r="G59" t="s">
        <v>23</v>
      </c>
      <c r="H59">
        <v>15</v>
      </c>
      <c r="I59">
        <v>52177</v>
      </c>
      <c r="J59" t="s">
        <v>31</v>
      </c>
      <c r="K59" t="s">
        <v>28</v>
      </c>
      <c r="L59" t="s">
        <v>34</v>
      </c>
      <c r="M59">
        <v>1</v>
      </c>
      <c r="N59">
        <v>260.72000000000003</v>
      </c>
      <c r="O59">
        <v>421.49</v>
      </c>
      <c r="P59">
        <v>0</v>
      </c>
      <c r="Q59">
        <v>0</v>
      </c>
      <c r="S59">
        <v>29</v>
      </c>
      <c r="T59">
        <v>1</v>
      </c>
      <c r="U59">
        <v>3</v>
      </c>
      <c r="V59">
        <v>421.49</v>
      </c>
      <c r="W59">
        <v>13130000057</v>
      </c>
    </row>
    <row r="60" spans="1:23" x14ac:dyDescent="0.2">
      <c r="A60" s="1">
        <v>44776</v>
      </c>
      <c r="B60" s="2">
        <v>0.63596064814814812</v>
      </c>
      <c r="C60">
        <v>1058</v>
      </c>
      <c r="D60">
        <v>13002561</v>
      </c>
      <c r="E60">
        <v>13</v>
      </c>
      <c r="F60">
        <v>22589</v>
      </c>
      <c r="G60" t="s">
        <v>23</v>
      </c>
      <c r="H60">
        <v>18</v>
      </c>
      <c r="I60">
        <v>10141</v>
      </c>
      <c r="J60" t="s">
        <v>54</v>
      </c>
      <c r="K60" t="s">
        <v>44</v>
      </c>
      <c r="L60" t="s">
        <v>51</v>
      </c>
      <c r="M60">
        <v>3</v>
      </c>
      <c r="N60">
        <v>567.17999999999995</v>
      </c>
      <c r="O60">
        <v>734.09</v>
      </c>
      <c r="P60">
        <v>36.700000000000003</v>
      </c>
      <c r="Q60">
        <v>36.700000000000003</v>
      </c>
      <c r="R60" t="s">
        <v>30</v>
      </c>
      <c r="S60">
        <v>29</v>
      </c>
      <c r="T60">
        <v>1</v>
      </c>
      <c r="U60">
        <v>6</v>
      </c>
      <c r="V60">
        <v>697.39</v>
      </c>
      <c r="W60">
        <v>13130000058</v>
      </c>
    </row>
    <row r="61" spans="1:23" x14ac:dyDescent="0.2">
      <c r="A61" s="1">
        <v>44789</v>
      </c>
      <c r="B61" s="2">
        <v>0.62113425925925925</v>
      </c>
      <c r="C61">
        <v>1059</v>
      </c>
      <c r="D61">
        <v>13002561</v>
      </c>
      <c r="E61">
        <v>13</v>
      </c>
      <c r="F61">
        <v>22589</v>
      </c>
      <c r="G61" t="s">
        <v>23</v>
      </c>
      <c r="H61">
        <v>18</v>
      </c>
      <c r="I61">
        <v>20196</v>
      </c>
      <c r="J61" t="s">
        <v>80</v>
      </c>
      <c r="K61" t="s">
        <v>28</v>
      </c>
      <c r="L61" t="s">
        <v>39</v>
      </c>
      <c r="M61">
        <v>3</v>
      </c>
      <c r="N61">
        <v>327.77</v>
      </c>
      <c r="O61">
        <v>547.1</v>
      </c>
      <c r="P61">
        <v>54.71</v>
      </c>
      <c r="Q61">
        <v>54.71</v>
      </c>
      <c r="R61" t="s">
        <v>30</v>
      </c>
      <c r="S61">
        <v>29</v>
      </c>
      <c r="T61">
        <v>1</v>
      </c>
      <c r="U61">
        <v>1</v>
      </c>
      <c r="V61">
        <v>492.39</v>
      </c>
      <c r="W61">
        <v>13130000059</v>
      </c>
    </row>
    <row r="62" spans="1:23" x14ac:dyDescent="0.2">
      <c r="A62" s="1">
        <v>44780</v>
      </c>
      <c r="B62" s="2">
        <v>0.83143518518518522</v>
      </c>
      <c r="C62">
        <v>1060</v>
      </c>
      <c r="D62">
        <v>13002561</v>
      </c>
      <c r="E62">
        <v>13</v>
      </c>
      <c r="F62">
        <v>22589</v>
      </c>
      <c r="G62" t="s">
        <v>23</v>
      </c>
      <c r="H62">
        <v>18</v>
      </c>
      <c r="I62">
        <v>30071</v>
      </c>
      <c r="J62" t="s">
        <v>81</v>
      </c>
      <c r="K62" t="s">
        <v>38</v>
      </c>
      <c r="L62" t="s">
        <v>36</v>
      </c>
      <c r="M62">
        <v>2</v>
      </c>
      <c r="N62">
        <v>382.34</v>
      </c>
      <c r="O62">
        <v>546.94000000000005</v>
      </c>
      <c r="P62">
        <v>54.69</v>
      </c>
      <c r="Q62">
        <v>54.69</v>
      </c>
      <c r="R62" t="s">
        <v>30</v>
      </c>
      <c r="S62">
        <v>29</v>
      </c>
      <c r="T62">
        <v>1</v>
      </c>
      <c r="U62">
        <v>5</v>
      </c>
      <c r="V62">
        <v>492.25</v>
      </c>
      <c r="W62">
        <v>13130000060</v>
      </c>
    </row>
    <row r="63" spans="1:23" x14ac:dyDescent="0.2">
      <c r="A63" s="1">
        <v>44801</v>
      </c>
      <c r="B63" s="2">
        <v>0.59589120370370374</v>
      </c>
      <c r="C63">
        <v>1061</v>
      </c>
      <c r="D63">
        <v>13002561</v>
      </c>
      <c r="E63">
        <v>13</v>
      </c>
      <c r="F63">
        <v>22589</v>
      </c>
      <c r="G63" t="s">
        <v>23</v>
      </c>
      <c r="H63">
        <v>15</v>
      </c>
      <c r="I63">
        <v>14973</v>
      </c>
      <c r="J63" t="s">
        <v>65</v>
      </c>
      <c r="K63" t="s">
        <v>25</v>
      </c>
      <c r="L63" t="s">
        <v>47</v>
      </c>
      <c r="M63">
        <v>2</v>
      </c>
      <c r="N63">
        <v>342.5</v>
      </c>
      <c r="O63">
        <v>489.04</v>
      </c>
      <c r="P63">
        <v>48.9</v>
      </c>
      <c r="Q63">
        <v>48.9</v>
      </c>
      <c r="R63" t="s">
        <v>30</v>
      </c>
      <c r="S63">
        <v>29</v>
      </c>
      <c r="T63">
        <v>1</v>
      </c>
      <c r="U63">
        <v>6</v>
      </c>
      <c r="V63">
        <v>440.14</v>
      </c>
      <c r="W63">
        <v>13130000061</v>
      </c>
    </row>
    <row r="64" spans="1:23" x14ac:dyDescent="0.2">
      <c r="A64" s="1">
        <v>44786</v>
      </c>
      <c r="B64" s="2">
        <v>0.5504282407407407</v>
      </c>
      <c r="C64">
        <v>1062</v>
      </c>
      <c r="D64">
        <v>13002561</v>
      </c>
      <c r="E64">
        <v>13</v>
      </c>
      <c r="F64">
        <v>22589</v>
      </c>
      <c r="G64" t="s">
        <v>23</v>
      </c>
      <c r="H64">
        <v>15</v>
      </c>
      <c r="I64">
        <v>55859</v>
      </c>
      <c r="J64" t="s">
        <v>78</v>
      </c>
      <c r="K64" t="s">
        <v>45</v>
      </c>
      <c r="L64" t="s">
        <v>47</v>
      </c>
      <c r="M64">
        <v>3</v>
      </c>
      <c r="N64">
        <v>58.28</v>
      </c>
      <c r="O64">
        <v>91.44</v>
      </c>
      <c r="P64">
        <v>9.14</v>
      </c>
      <c r="Q64">
        <v>9.14</v>
      </c>
      <c r="R64" t="s">
        <v>30</v>
      </c>
      <c r="S64">
        <v>29</v>
      </c>
      <c r="T64">
        <v>1</v>
      </c>
      <c r="U64">
        <v>3</v>
      </c>
      <c r="V64">
        <v>82.3</v>
      </c>
      <c r="W64">
        <v>13130000062</v>
      </c>
    </row>
    <row r="65" spans="1:23" x14ac:dyDescent="0.2">
      <c r="A65" s="1">
        <v>44800</v>
      </c>
      <c r="B65" s="2">
        <v>0.64799768518518519</v>
      </c>
      <c r="C65">
        <v>1063</v>
      </c>
      <c r="D65">
        <v>13002561</v>
      </c>
      <c r="E65">
        <v>13</v>
      </c>
      <c r="F65">
        <v>22589</v>
      </c>
      <c r="G65" t="s">
        <v>23</v>
      </c>
      <c r="H65">
        <v>15</v>
      </c>
      <c r="I65">
        <v>45075</v>
      </c>
      <c r="J65" t="s">
        <v>82</v>
      </c>
      <c r="K65" t="s">
        <v>60</v>
      </c>
      <c r="L65" t="s">
        <v>34</v>
      </c>
      <c r="M65">
        <v>2</v>
      </c>
      <c r="N65">
        <v>556.46</v>
      </c>
      <c r="O65">
        <v>760.56</v>
      </c>
      <c r="P65">
        <v>0</v>
      </c>
      <c r="Q65">
        <v>0</v>
      </c>
      <c r="S65">
        <v>29</v>
      </c>
      <c r="T65">
        <v>1</v>
      </c>
      <c r="U65">
        <v>1</v>
      </c>
      <c r="V65">
        <v>760.56</v>
      </c>
      <c r="W65">
        <v>13130000063</v>
      </c>
    </row>
    <row r="66" spans="1:23" x14ac:dyDescent="0.2">
      <c r="A66" s="1">
        <v>44779</v>
      </c>
      <c r="B66" s="2">
        <v>0.65877314814814814</v>
      </c>
      <c r="C66">
        <v>1064</v>
      </c>
      <c r="D66">
        <v>13002561</v>
      </c>
      <c r="E66">
        <v>13</v>
      </c>
      <c r="F66">
        <v>22589</v>
      </c>
      <c r="G66" t="s">
        <v>23</v>
      </c>
      <c r="H66">
        <v>15</v>
      </c>
      <c r="I66">
        <v>14770</v>
      </c>
      <c r="J66" t="s">
        <v>71</v>
      </c>
      <c r="K66" t="s">
        <v>28</v>
      </c>
      <c r="L66" t="s">
        <v>32</v>
      </c>
      <c r="M66">
        <v>3</v>
      </c>
      <c r="N66">
        <v>242.6</v>
      </c>
      <c r="O66">
        <v>358.33</v>
      </c>
      <c r="P66">
        <v>17.920000000000002</v>
      </c>
      <c r="Q66">
        <v>17.920000000000002</v>
      </c>
      <c r="R66" t="s">
        <v>30</v>
      </c>
      <c r="S66">
        <v>29</v>
      </c>
      <c r="T66">
        <v>1</v>
      </c>
      <c r="U66">
        <v>2</v>
      </c>
      <c r="V66">
        <v>340.41</v>
      </c>
      <c r="W66">
        <v>13130000064</v>
      </c>
    </row>
    <row r="67" spans="1:23" x14ac:dyDescent="0.2">
      <c r="A67" s="1">
        <v>44804</v>
      </c>
      <c r="B67" s="2">
        <v>0.54516203703703703</v>
      </c>
      <c r="C67">
        <v>1065</v>
      </c>
      <c r="D67">
        <v>13002561</v>
      </c>
      <c r="E67">
        <v>13</v>
      </c>
      <c r="F67">
        <v>22589</v>
      </c>
      <c r="G67" t="s">
        <v>23</v>
      </c>
      <c r="H67">
        <v>18</v>
      </c>
      <c r="I67">
        <v>49370</v>
      </c>
      <c r="J67" t="s">
        <v>54</v>
      </c>
      <c r="K67" t="s">
        <v>28</v>
      </c>
      <c r="L67" t="s">
        <v>47</v>
      </c>
      <c r="M67">
        <v>2</v>
      </c>
      <c r="N67">
        <v>257.25</v>
      </c>
      <c r="O67">
        <v>358.33</v>
      </c>
      <c r="P67">
        <v>0</v>
      </c>
      <c r="Q67">
        <v>0</v>
      </c>
      <c r="S67">
        <v>29</v>
      </c>
      <c r="T67">
        <v>1</v>
      </c>
      <c r="U67">
        <v>1</v>
      </c>
      <c r="V67">
        <v>358.33</v>
      </c>
      <c r="W67">
        <v>13130000065</v>
      </c>
    </row>
    <row r="68" spans="1:23" x14ac:dyDescent="0.2">
      <c r="A68" s="1">
        <v>44778</v>
      </c>
      <c r="B68" s="2">
        <v>0.85745370370370366</v>
      </c>
      <c r="C68">
        <v>1066</v>
      </c>
      <c r="D68">
        <v>13002561</v>
      </c>
      <c r="E68">
        <v>13</v>
      </c>
      <c r="F68">
        <v>22589</v>
      </c>
      <c r="G68" t="s">
        <v>23</v>
      </c>
      <c r="H68">
        <v>18</v>
      </c>
      <c r="I68">
        <v>83864</v>
      </c>
      <c r="J68" t="s">
        <v>83</v>
      </c>
      <c r="K68" t="s">
        <v>60</v>
      </c>
      <c r="L68" t="s">
        <v>26</v>
      </c>
      <c r="M68">
        <v>3</v>
      </c>
      <c r="N68">
        <v>332.85</v>
      </c>
      <c r="O68">
        <v>481.71</v>
      </c>
      <c r="P68">
        <v>48.17</v>
      </c>
      <c r="Q68">
        <v>48.17</v>
      </c>
      <c r="R68" t="s">
        <v>30</v>
      </c>
      <c r="S68">
        <v>29</v>
      </c>
      <c r="T68">
        <v>1</v>
      </c>
      <c r="U68">
        <v>6</v>
      </c>
      <c r="V68">
        <v>433.54</v>
      </c>
      <c r="W68">
        <v>13130000066</v>
      </c>
    </row>
    <row r="69" spans="1:23" x14ac:dyDescent="0.2">
      <c r="A69" s="1">
        <v>44780</v>
      </c>
      <c r="B69" s="2">
        <v>0.94570601851851854</v>
      </c>
      <c r="C69">
        <v>1067</v>
      </c>
      <c r="D69">
        <v>13002561</v>
      </c>
      <c r="E69">
        <v>13</v>
      </c>
      <c r="F69">
        <v>22589</v>
      </c>
      <c r="G69" t="s">
        <v>23</v>
      </c>
      <c r="H69">
        <v>18</v>
      </c>
      <c r="I69">
        <v>68698</v>
      </c>
      <c r="J69" t="s">
        <v>84</v>
      </c>
      <c r="K69" t="s">
        <v>28</v>
      </c>
      <c r="L69" t="s">
        <v>26</v>
      </c>
      <c r="M69">
        <v>2</v>
      </c>
      <c r="N69">
        <v>411.65</v>
      </c>
      <c r="O69">
        <v>522.84</v>
      </c>
      <c r="P69">
        <v>0</v>
      </c>
      <c r="Q69">
        <v>0</v>
      </c>
      <c r="S69">
        <v>29</v>
      </c>
      <c r="T69">
        <v>1</v>
      </c>
      <c r="U69">
        <v>5</v>
      </c>
      <c r="V69">
        <v>522.84</v>
      </c>
      <c r="W69">
        <v>13130000067</v>
      </c>
    </row>
    <row r="70" spans="1:23" x14ac:dyDescent="0.2">
      <c r="A70" s="1">
        <v>44778</v>
      </c>
      <c r="B70" s="2">
        <v>0.71399305555555559</v>
      </c>
      <c r="C70">
        <v>1068</v>
      </c>
      <c r="D70">
        <v>13002561</v>
      </c>
      <c r="E70">
        <v>13</v>
      </c>
      <c r="F70">
        <v>22589</v>
      </c>
      <c r="G70" t="s">
        <v>23</v>
      </c>
      <c r="H70">
        <v>18</v>
      </c>
      <c r="I70">
        <v>99359</v>
      </c>
      <c r="J70" t="s">
        <v>42</v>
      </c>
      <c r="K70" t="s">
        <v>25</v>
      </c>
      <c r="L70" t="s">
        <v>29</v>
      </c>
      <c r="M70">
        <v>1</v>
      </c>
      <c r="N70">
        <v>406.15</v>
      </c>
      <c r="O70">
        <v>625.01</v>
      </c>
      <c r="P70">
        <v>0</v>
      </c>
      <c r="Q70">
        <v>0</v>
      </c>
      <c r="S70">
        <v>29</v>
      </c>
      <c r="T70">
        <v>1</v>
      </c>
      <c r="U70">
        <v>1</v>
      </c>
      <c r="V70">
        <v>625.01</v>
      </c>
      <c r="W70">
        <v>13130000068</v>
      </c>
    </row>
    <row r="71" spans="1:23" x14ac:dyDescent="0.2">
      <c r="A71" s="1">
        <v>44803</v>
      </c>
      <c r="B71" s="2">
        <v>0.88353009259259263</v>
      </c>
      <c r="C71">
        <v>1069</v>
      </c>
      <c r="D71">
        <v>13002561</v>
      </c>
      <c r="E71">
        <v>13</v>
      </c>
      <c r="F71">
        <v>22589</v>
      </c>
      <c r="G71" t="s">
        <v>23</v>
      </c>
      <c r="H71">
        <v>15</v>
      </c>
      <c r="I71">
        <v>49037</v>
      </c>
      <c r="J71" t="s">
        <v>85</v>
      </c>
      <c r="K71" t="s">
        <v>60</v>
      </c>
      <c r="L71" t="s">
        <v>26</v>
      </c>
      <c r="M71">
        <v>3</v>
      </c>
      <c r="N71">
        <v>9.89</v>
      </c>
      <c r="O71">
        <v>15.71</v>
      </c>
      <c r="P71">
        <v>1.57</v>
      </c>
      <c r="Q71">
        <v>1.57</v>
      </c>
      <c r="R71" t="s">
        <v>30</v>
      </c>
      <c r="S71">
        <v>29</v>
      </c>
      <c r="T71">
        <v>1</v>
      </c>
      <c r="U71">
        <v>2</v>
      </c>
      <c r="V71">
        <v>14.14</v>
      </c>
      <c r="W71">
        <v>13130000069</v>
      </c>
    </row>
    <row r="72" spans="1:23" x14ac:dyDescent="0.2">
      <c r="A72" s="1">
        <v>44783</v>
      </c>
      <c r="B72" s="2">
        <v>0.8504976851851852</v>
      </c>
      <c r="C72">
        <v>1070</v>
      </c>
      <c r="D72">
        <v>13002561</v>
      </c>
      <c r="E72">
        <v>13</v>
      </c>
      <c r="F72">
        <v>22589</v>
      </c>
      <c r="G72" t="s">
        <v>23</v>
      </c>
      <c r="H72">
        <v>15</v>
      </c>
      <c r="I72">
        <v>26675</v>
      </c>
      <c r="J72" t="s">
        <v>84</v>
      </c>
      <c r="K72" t="s">
        <v>25</v>
      </c>
      <c r="L72" t="s">
        <v>47</v>
      </c>
      <c r="M72">
        <v>2</v>
      </c>
      <c r="N72">
        <v>369.62</v>
      </c>
      <c r="O72">
        <v>521.58000000000004</v>
      </c>
      <c r="P72">
        <v>52.16</v>
      </c>
      <c r="Q72">
        <v>52.16</v>
      </c>
      <c r="R72" t="s">
        <v>30</v>
      </c>
      <c r="S72">
        <v>29</v>
      </c>
      <c r="T72">
        <v>1</v>
      </c>
      <c r="U72">
        <v>3</v>
      </c>
      <c r="V72">
        <v>469.42</v>
      </c>
      <c r="W72">
        <v>13130000070</v>
      </c>
    </row>
    <row r="73" spans="1:23" x14ac:dyDescent="0.2">
      <c r="A73" s="1">
        <v>44784</v>
      </c>
      <c r="B73" s="2">
        <v>0.82956018518518515</v>
      </c>
      <c r="C73">
        <v>1071</v>
      </c>
      <c r="D73">
        <v>13002561</v>
      </c>
      <c r="E73">
        <v>13</v>
      </c>
      <c r="F73">
        <v>22589</v>
      </c>
      <c r="G73" t="s">
        <v>23</v>
      </c>
      <c r="H73">
        <v>15</v>
      </c>
      <c r="I73">
        <v>35088</v>
      </c>
      <c r="J73" t="s">
        <v>48</v>
      </c>
      <c r="K73" t="s">
        <v>44</v>
      </c>
      <c r="L73" t="s">
        <v>51</v>
      </c>
      <c r="M73">
        <v>1</v>
      </c>
      <c r="N73">
        <v>118.62</v>
      </c>
      <c r="O73">
        <v>164.34</v>
      </c>
      <c r="P73">
        <v>8.2200000000000006</v>
      </c>
      <c r="Q73">
        <v>8.2200000000000006</v>
      </c>
      <c r="R73" t="s">
        <v>30</v>
      </c>
      <c r="S73">
        <v>29</v>
      </c>
      <c r="T73">
        <v>1</v>
      </c>
      <c r="U73">
        <v>6</v>
      </c>
      <c r="V73">
        <v>156.12</v>
      </c>
      <c r="W73">
        <v>13130000071</v>
      </c>
    </row>
    <row r="74" spans="1:23" x14ac:dyDescent="0.2">
      <c r="A74" s="1">
        <v>44783</v>
      </c>
      <c r="B74" s="2">
        <v>0.57878472222222221</v>
      </c>
      <c r="C74">
        <v>1072</v>
      </c>
      <c r="D74">
        <v>13002561</v>
      </c>
      <c r="E74">
        <v>13</v>
      </c>
      <c r="F74">
        <v>22589</v>
      </c>
      <c r="G74" t="s">
        <v>23</v>
      </c>
      <c r="H74">
        <v>15</v>
      </c>
      <c r="I74">
        <v>92416</v>
      </c>
      <c r="J74" t="s">
        <v>86</v>
      </c>
      <c r="K74" t="s">
        <v>44</v>
      </c>
      <c r="L74" t="s">
        <v>39</v>
      </c>
      <c r="M74">
        <v>1</v>
      </c>
      <c r="N74">
        <v>552.52</v>
      </c>
      <c r="O74">
        <v>897.49</v>
      </c>
      <c r="P74">
        <v>89.75</v>
      </c>
      <c r="Q74">
        <v>89.75</v>
      </c>
      <c r="R74" t="s">
        <v>30</v>
      </c>
      <c r="S74">
        <v>29</v>
      </c>
      <c r="T74">
        <v>1</v>
      </c>
      <c r="U74">
        <v>3</v>
      </c>
      <c r="V74">
        <v>807.74</v>
      </c>
      <c r="W74">
        <v>13130000072</v>
      </c>
    </row>
    <row r="75" spans="1:23" x14ac:dyDescent="0.2">
      <c r="A75" s="1">
        <v>44792</v>
      </c>
      <c r="B75" s="2">
        <v>0.80246527777777776</v>
      </c>
      <c r="C75">
        <v>1073</v>
      </c>
      <c r="D75">
        <v>13002561</v>
      </c>
      <c r="E75">
        <v>13</v>
      </c>
      <c r="F75">
        <v>22589</v>
      </c>
      <c r="G75" t="s">
        <v>23</v>
      </c>
      <c r="H75">
        <v>15</v>
      </c>
      <c r="I75">
        <v>33196</v>
      </c>
      <c r="J75" t="s">
        <v>57</v>
      </c>
      <c r="K75" t="s">
        <v>38</v>
      </c>
      <c r="L75" t="s">
        <v>34</v>
      </c>
      <c r="M75">
        <v>3</v>
      </c>
      <c r="N75">
        <v>60.69</v>
      </c>
      <c r="O75">
        <v>87.12</v>
      </c>
      <c r="P75">
        <v>8.7100000000000009</v>
      </c>
      <c r="Q75">
        <v>8.7100000000000009</v>
      </c>
      <c r="R75" t="s">
        <v>30</v>
      </c>
      <c r="S75">
        <v>29</v>
      </c>
      <c r="T75">
        <v>1</v>
      </c>
      <c r="U75">
        <v>4</v>
      </c>
      <c r="V75">
        <v>78.41</v>
      </c>
      <c r="W75">
        <v>13130000073</v>
      </c>
    </row>
    <row r="76" spans="1:23" x14ac:dyDescent="0.2">
      <c r="A76" s="1">
        <v>44794</v>
      </c>
      <c r="B76" s="2">
        <v>0.58035879629629628</v>
      </c>
      <c r="C76">
        <v>1074</v>
      </c>
      <c r="D76">
        <v>13002561</v>
      </c>
      <c r="E76">
        <v>13</v>
      </c>
      <c r="F76">
        <v>22589</v>
      </c>
      <c r="G76" t="s">
        <v>23</v>
      </c>
      <c r="H76">
        <v>15</v>
      </c>
      <c r="I76">
        <v>16083</v>
      </c>
      <c r="J76" t="s">
        <v>87</v>
      </c>
      <c r="K76" t="s">
        <v>44</v>
      </c>
      <c r="L76" t="s">
        <v>39</v>
      </c>
      <c r="M76">
        <v>2</v>
      </c>
      <c r="N76">
        <v>478.88</v>
      </c>
      <c r="O76">
        <v>685.77</v>
      </c>
      <c r="P76">
        <v>0</v>
      </c>
      <c r="Q76">
        <v>0</v>
      </c>
      <c r="S76">
        <v>29</v>
      </c>
      <c r="T76">
        <v>1</v>
      </c>
      <c r="U76">
        <v>4</v>
      </c>
      <c r="V76">
        <v>685.77</v>
      </c>
      <c r="W76">
        <v>13130000074</v>
      </c>
    </row>
    <row r="77" spans="1:23" x14ac:dyDescent="0.2">
      <c r="A77" s="1">
        <v>44779</v>
      </c>
      <c r="B77" s="2">
        <v>0.76731481481481478</v>
      </c>
      <c r="C77">
        <v>1075</v>
      </c>
      <c r="D77">
        <v>13002561</v>
      </c>
      <c r="E77">
        <v>13</v>
      </c>
      <c r="F77">
        <v>22589</v>
      </c>
      <c r="G77" t="s">
        <v>23</v>
      </c>
      <c r="H77">
        <v>18</v>
      </c>
      <c r="I77">
        <v>12084</v>
      </c>
      <c r="J77" t="s">
        <v>40</v>
      </c>
      <c r="K77" t="s">
        <v>38</v>
      </c>
      <c r="L77" t="s">
        <v>47</v>
      </c>
      <c r="M77">
        <v>2</v>
      </c>
      <c r="N77">
        <v>152.51</v>
      </c>
      <c r="O77">
        <v>207.69</v>
      </c>
      <c r="P77">
        <v>10.38</v>
      </c>
      <c r="Q77">
        <v>10.38</v>
      </c>
      <c r="R77" t="s">
        <v>30</v>
      </c>
      <c r="S77">
        <v>29</v>
      </c>
      <c r="T77">
        <v>1</v>
      </c>
      <c r="U77">
        <v>1</v>
      </c>
      <c r="V77">
        <v>197.31</v>
      </c>
      <c r="W77">
        <v>13130000075</v>
      </c>
    </row>
    <row r="78" spans="1:23" x14ac:dyDescent="0.2">
      <c r="A78" s="1">
        <v>44795</v>
      </c>
      <c r="B78" s="2">
        <v>0.69895833333333335</v>
      </c>
      <c r="C78">
        <v>1076</v>
      </c>
      <c r="D78">
        <v>13002561</v>
      </c>
      <c r="E78">
        <v>13</v>
      </c>
      <c r="F78">
        <v>22589</v>
      </c>
      <c r="G78" t="s">
        <v>23</v>
      </c>
      <c r="H78">
        <v>15</v>
      </c>
      <c r="I78">
        <v>53784</v>
      </c>
      <c r="J78" t="s">
        <v>73</v>
      </c>
      <c r="K78" t="s">
        <v>38</v>
      </c>
      <c r="L78" t="s">
        <v>34</v>
      </c>
      <c r="M78">
        <v>3</v>
      </c>
      <c r="N78">
        <v>79.95</v>
      </c>
      <c r="O78">
        <v>105.45</v>
      </c>
      <c r="P78">
        <v>0</v>
      </c>
      <c r="Q78">
        <v>0</v>
      </c>
      <c r="S78">
        <v>29</v>
      </c>
      <c r="T78">
        <v>1</v>
      </c>
      <c r="U78">
        <v>6</v>
      </c>
      <c r="V78">
        <v>105.45</v>
      </c>
      <c r="W78">
        <v>13130000076</v>
      </c>
    </row>
    <row r="79" spans="1:23" x14ac:dyDescent="0.2">
      <c r="A79" s="1">
        <v>44789</v>
      </c>
      <c r="B79" s="2">
        <v>0.82609953703703709</v>
      </c>
      <c r="C79">
        <v>1077</v>
      </c>
      <c r="D79">
        <v>13002561</v>
      </c>
      <c r="E79">
        <v>13</v>
      </c>
      <c r="F79">
        <v>22589</v>
      </c>
      <c r="G79" t="s">
        <v>23</v>
      </c>
      <c r="H79">
        <v>18</v>
      </c>
      <c r="I79">
        <v>76143</v>
      </c>
      <c r="J79" t="s">
        <v>35</v>
      </c>
      <c r="K79" t="s">
        <v>60</v>
      </c>
      <c r="L79" t="s">
        <v>26</v>
      </c>
      <c r="M79">
        <v>3</v>
      </c>
      <c r="N79">
        <v>391.61</v>
      </c>
      <c r="O79">
        <v>556.80999999999995</v>
      </c>
      <c r="P79">
        <v>55.68</v>
      </c>
      <c r="Q79">
        <v>55.68</v>
      </c>
      <c r="R79" t="s">
        <v>30</v>
      </c>
      <c r="S79">
        <v>29</v>
      </c>
      <c r="T79">
        <v>1</v>
      </c>
      <c r="U79">
        <v>6</v>
      </c>
      <c r="V79">
        <v>501.13</v>
      </c>
      <c r="W79">
        <v>13130000077</v>
      </c>
    </row>
    <row r="80" spans="1:23" x14ac:dyDescent="0.2">
      <c r="A80" s="1">
        <v>44790</v>
      </c>
      <c r="B80" s="2">
        <v>0.88699074074074069</v>
      </c>
      <c r="C80">
        <v>1078</v>
      </c>
      <c r="D80">
        <v>13002561</v>
      </c>
      <c r="E80">
        <v>13</v>
      </c>
      <c r="F80">
        <v>22589</v>
      </c>
      <c r="G80" t="s">
        <v>23</v>
      </c>
      <c r="H80">
        <v>18</v>
      </c>
      <c r="I80">
        <v>17063</v>
      </c>
      <c r="J80" t="s">
        <v>88</v>
      </c>
      <c r="K80" t="s">
        <v>44</v>
      </c>
      <c r="L80" t="s">
        <v>47</v>
      </c>
      <c r="M80">
        <v>1</v>
      </c>
      <c r="N80">
        <v>374.86</v>
      </c>
      <c r="O80">
        <v>479.99</v>
      </c>
      <c r="P80">
        <v>0</v>
      </c>
      <c r="Q80">
        <v>0</v>
      </c>
      <c r="S80">
        <v>29</v>
      </c>
      <c r="T80">
        <v>1</v>
      </c>
      <c r="U80">
        <v>5</v>
      </c>
      <c r="V80">
        <v>479.99</v>
      </c>
      <c r="W80">
        <v>13130000078</v>
      </c>
    </row>
    <row r="81" spans="1:23" x14ac:dyDescent="0.2">
      <c r="A81" s="1">
        <v>44782</v>
      </c>
      <c r="B81" s="2">
        <v>0.42549768518518521</v>
      </c>
      <c r="C81">
        <v>1079</v>
      </c>
      <c r="D81">
        <v>13002561</v>
      </c>
      <c r="E81">
        <v>13</v>
      </c>
      <c r="F81">
        <v>22589</v>
      </c>
      <c r="G81" t="s">
        <v>23</v>
      </c>
      <c r="H81">
        <v>15</v>
      </c>
      <c r="I81">
        <v>67099</v>
      </c>
      <c r="J81" t="s">
        <v>50</v>
      </c>
      <c r="K81" t="s">
        <v>28</v>
      </c>
      <c r="L81" t="s">
        <v>47</v>
      </c>
      <c r="M81">
        <v>2</v>
      </c>
      <c r="N81">
        <v>275.14999999999998</v>
      </c>
      <c r="O81">
        <v>348.31</v>
      </c>
      <c r="P81">
        <v>17.420000000000002</v>
      </c>
      <c r="Q81">
        <v>17.420000000000002</v>
      </c>
      <c r="R81" t="s">
        <v>30</v>
      </c>
      <c r="S81">
        <v>29</v>
      </c>
      <c r="T81">
        <v>1</v>
      </c>
      <c r="U81">
        <v>1</v>
      </c>
      <c r="V81">
        <v>330.89</v>
      </c>
      <c r="W81">
        <v>13130000079</v>
      </c>
    </row>
    <row r="82" spans="1:23" x14ac:dyDescent="0.2">
      <c r="A82" s="1">
        <v>44776</v>
      </c>
      <c r="B82" s="2">
        <v>0.732025462962963</v>
      </c>
      <c r="C82">
        <v>1080</v>
      </c>
      <c r="D82">
        <v>13002561</v>
      </c>
      <c r="E82">
        <v>13</v>
      </c>
      <c r="F82">
        <v>22589</v>
      </c>
      <c r="G82" t="s">
        <v>23</v>
      </c>
      <c r="H82">
        <v>18</v>
      </c>
      <c r="I82">
        <v>34600</v>
      </c>
      <c r="J82" t="s">
        <v>89</v>
      </c>
      <c r="K82" t="s">
        <v>44</v>
      </c>
      <c r="L82" t="s">
        <v>39</v>
      </c>
      <c r="M82">
        <v>1</v>
      </c>
      <c r="N82">
        <v>427.21</v>
      </c>
      <c r="O82">
        <v>713.09</v>
      </c>
      <c r="P82">
        <v>35.65</v>
      </c>
      <c r="Q82">
        <v>35.65</v>
      </c>
      <c r="R82" t="s">
        <v>30</v>
      </c>
      <c r="S82">
        <v>29</v>
      </c>
      <c r="T82">
        <v>1</v>
      </c>
      <c r="U82">
        <v>2</v>
      </c>
      <c r="V82">
        <v>677.44</v>
      </c>
      <c r="W82">
        <v>13130000080</v>
      </c>
    </row>
    <row r="83" spans="1:23" x14ac:dyDescent="0.2">
      <c r="A83" s="1">
        <v>44783</v>
      </c>
      <c r="B83" s="2">
        <v>0.37354166666666672</v>
      </c>
      <c r="C83">
        <v>1081</v>
      </c>
      <c r="D83">
        <v>13002561</v>
      </c>
      <c r="E83">
        <v>13</v>
      </c>
      <c r="F83">
        <v>22589</v>
      </c>
      <c r="G83" t="s">
        <v>23</v>
      </c>
      <c r="H83">
        <v>15</v>
      </c>
      <c r="I83">
        <v>12936</v>
      </c>
      <c r="J83" t="s">
        <v>82</v>
      </c>
      <c r="K83" t="s">
        <v>38</v>
      </c>
      <c r="L83" t="s">
        <v>39</v>
      </c>
      <c r="M83">
        <v>1</v>
      </c>
      <c r="N83">
        <v>30.24</v>
      </c>
      <c r="O83">
        <v>47.71</v>
      </c>
      <c r="P83">
        <v>2.39</v>
      </c>
      <c r="Q83">
        <v>2.39</v>
      </c>
      <c r="R83" t="s">
        <v>30</v>
      </c>
      <c r="S83">
        <v>29</v>
      </c>
      <c r="T83">
        <v>1</v>
      </c>
      <c r="U83">
        <v>3</v>
      </c>
      <c r="V83">
        <v>45.32</v>
      </c>
      <c r="W83">
        <v>13130000081</v>
      </c>
    </row>
    <row r="84" spans="1:23" x14ac:dyDescent="0.2">
      <c r="A84" s="1">
        <v>44791</v>
      </c>
      <c r="B84" s="2">
        <v>0.78005787037037033</v>
      </c>
      <c r="C84">
        <v>1082</v>
      </c>
      <c r="D84">
        <v>13002561</v>
      </c>
      <c r="E84">
        <v>13</v>
      </c>
      <c r="F84">
        <v>22589</v>
      </c>
      <c r="G84" t="s">
        <v>23</v>
      </c>
      <c r="H84">
        <v>15</v>
      </c>
      <c r="I84">
        <v>58426</v>
      </c>
      <c r="J84" t="s">
        <v>90</v>
      </c>
      <c r="K84" t="s">
        <v>44</v>
      </c>
      <c r="L84" t="s">
        <v>29</v>
      </c>
      <c r="M84">
        <v>2</v>
      </c>
      <c r="N84">
        <v>455.43</v>
      </c>
      <c r="O84">
        <v>669.98</v>
      </c>
      <c r="P84">
        <v>33.5</v>
      </c>
      <c r="Q84">
        <v>33.5</v>
      </c>
      <c r="R84" t="s">
        <v>30</v>
      </c>
      <c r="S84">
        <v>29</v>
      </c>
      <c r="T84">
        <v>1</v>
      </c>
      <c r="U84">
        <v>5</v>
      </c>
      <c r="V84">
        <v>636.48</v>
      </c>
      <c r="W84">
        <v>13130000082</v>
      </c>
    </row>
    <row r="85" spans="1:23" x14ac:dyDescent="0.2">
      <c r="A85" s="1">
        <v>44800</v>
      </c>
      <c r="B85" s="2">
        <v>0.42628472222222219</v>
      </c>
      <c r="C85">
        <v>1083</v>
      </c>
      <c r="D85">
        <v>13002561</v>
      </c>
      <c r="E85">
        <v>13</v>
      </c>
      <c r="F85">
        <v>22589</v>
      </c>
      <c r="G85" t="s">
        <v>23</v>
      </c>
      <c r="H85">
        <v>15</v>
      </c>
      <c r="I85">
        <v>26233</v>
      </c>
      <c r="J85" t="s">
        <v>80</v>
      </c>
      <c r="K85" t="s">
        <v>44</v>
      </c>
      <c r="L85" t="s">
        <v>29</v>
      </c>
      <c r="M85">
        <v>1</v>
      </c>
      <c r="N85">
        <v>590.46</v>
      </c>
      <c r="O85">
        <v>960.24</v>
      </c>
      <c r="P85">
        <v>96.02</v>
      </c>
      <c r="Q85">
        <v>96.02</v>
      </c>
      <c r="R85" t="s">
        <v>30</v>
      </c>
      <c r="S85">
        <v>29</v>
      </c>
      <c r="T85">
        <v>1</v>
      </c>
      <c r="U85">
        <v>3</v>
      </c>
      <c r="V85">
        <v>864.22</v>
      </c>
      <c r="W85">
        <v>13130000083</v>
      </c>
    </row>
    <row r="86" spans="1:23" x14ac:dyDescent="0.2">
      <c r="A86" s="1">
        <v>44781</v>
      </c>
      <c r="B86" s="2">
        <v>0.57339120370370367</v>
      </c>
      <c r="C86">
        <v>1084</v>
      </c>
      <c r="D86">
        <v>13002561</v>
      </c>
      <c r="E86">
        <v>13</v>
      </c>
      <c r="F86">
        <v>22589</v>
      </c>
      <c r="G86" t="s">
        <v>23</v>
      </c>
      <c r="H86">
        <v>18</v>
      </c>
      <c r="I86">
        <v>93525</v>
      </c>
      <c r="J86" t="s">
        <v>91</v>
      </c>
      <c r="K86" t="s">
        <v>44</v>
      </c>
      <c r="L86" t="s">
        <v>47</v>
      </c>
      <c r="M86">
        <v>3</v>
      </c>
      <c r="N86">
        <v>146.71</v>
      </c>
      <c r="O86">
        <v>245.58</v>
      </c>
      <c r="P86">
        <v>0</v>
      </c>
      <c r="Q86">
        <v>0</v>
      </c>
      <c r="S86">
        <v>29</v>
      </c>
      <c r="T86">
        <v>1</v>
      </c>
      <c r="U86">
        <v>2</v>
      </c>
      <c r="V86">
        <v>245.58</v>
      </c>
      <c r="W86">
        <v>13130000084</v>
      </c>
    </row>
    <row r="87" spans="1:23" x14ac:dyDescent="0.2">
      <c r="A87" s="1">
        <v>44774</v>
      </c>
      <c r="B87" s="2">
        <v>0.6702893518518519</v>
      </c>
      <c r="C87">
        <v>1085</v>
      </c>
      <c r="D87">
        <v>13002561</v>
      </c>
      <c r="E87">
        <v>13</v>
      </c>
      <c r="F87">
        <v>22589</v>
      </c>
      <c r="G87" t="s">
        <v>23</v>
      </c>
      <c r="H87">
        <v>18</v>
      </c>
      <c r="I87">
        <v>70301</v>
      </c>
      <c r="J87" t="s">
        <v>67</v>
      </c>
      <c r="K87" t="s">
        <v>60</v>
      </c>
      <c r="L87" t="s">
        <v>39</v>
      </c>
      <c r="M87">
        <v>1</v>
      </c>
      <c r="N87">
        <v>228.6</v>
      </c>
      <c r="O87">
        <v>375.03</v>
      </c>
      <c r="P87">
        <v>37.5</v>
      </c>
      <c r="Q87">
        <v>37.5</v>
      </c>
      <c r="R87" t="s">
        <v>30</v>
      </c>
      <c r="S87">
        <v>29</v>
      </c>
      <c r="T87">
        <v>1</v>
      </c>
      <c r="U87">
        <v>2</v>
      </c>
      <c r="V87">
        <v>337.53</v>
      </c>
      <c r="W87">
        <v>13130000085</v>
      </c>
    </row>
    <row r="88" spans="1:23" x14ac:dyDescent="0.2">
      <c r="A88" s="1">
        <v>44794</v>
      </c>
      <c r="B88" s="2">
        <v>0.61586805555555557</v>
      </c>
      <c r="C88">
        <v>1086</v>
      </c>
      <c r="D88">
        <v>13002561</v>
      </c>
      <c r="E88">
        <v>13</v>
      </c>
      <c r="F88">
        <v>22589</v>
      </c>
      <c r="G88" t="s">
        <v>23</v>
      </c>
      <c r="H88">
        <v>15</v>
      </c>
      <c r="I88">
        <v>17674</v>
      </c>
      <c r="J88" t="s">
        <v>76</v>
      </c>
      <c r="K88" t="s">
        <v>45</v>
      </c>
      <c r="L88" t="s">
        <v>26</v>
      </c>
      <c r="M88">
        <v>2</v>
      </c>
      <c r="N88">
        <v>512.57000000000005</v>
      </c>
      <c r="O88">
        <v>770.57</v>
      </c>
      <c r="P88">
        <v>38.53</v>
      </c>
      <c r="Q88">
        <v>38.53</v>
      </c>
      <c r="R88" t="s">
        <v>30</v>
      </c>
      <c r="S88">
        <v>29</v>
      </c>
      <c r="T88">
        <v>1</v>
      </c>
      <c r="U88">
        <v>1</v>
      </c>
      <c r="V88">
        <v>732.04</v>
      </c>
      <c r="W88">
        <v>13130000086</v>
      </c>
    </row>
    <row r="89" spans="1:23" x14ac:dyDescent="0.2">
      <c r="A89" s="1">
        <v>44783</v>
      </c>
      <c r="B89" s="2">
        <v>0.51430555555555557</v>
      </c>
      <c r="C89">
        <v>1087</v>
      </c>
      <c r="D89">
        <v>13002561</v>
      </c>
      <c r="E89">
        <v>13</v>
      </c>
      <c r="F89">
        <v>22589</v>
      </c>
      <c r="G89" t="s">
        <v>23</v>
      </c>
      <c r="H89">
        <v>18</v>
      </c>
      <c r="I89">
        <v>53707</v>
      </c>
      <c r="J89" t="s">
        <v>92</v>
      </c>
      <c r="K89" t="s">
        <v>25</v>
      </c>
      <c r="L89" t="s">
        <v>36</v>
      </c>
      <c r="M89">
        <v>1</v>
      </c>
      <c r="N89">
        <v>58.37</v>
      </c>
      <c r="O89">
        <v>88.72</v>
      </c>
      <c r="P89">
        <v>0</v>
      </c>
      <c r="Q89">
        <v>0</v>
      </c>
      <c r="S89">
        <v>29</v>
      </c>
      <c r="T89">
        <v>1</v>
      </c>
      <c r="U89">
        <v>6</v>
      </c>
      <c r="V89">
        <v>88.72</v>
      </c>
      <c r="W89">
        <v>13130000087</v>
      </c>
    </row>
    <row r="90" spans="1:23" x14ac:dyDescent="0.2">
      <c r="A90" s="1">
        <v>44779</v>
      </c>
      <c r="B90" s="2">
        <v>0.44748842592592591</v>
      </c>
      <c r="C90">
        <v>1088</v>
      </c>
      <c r="D90">
        <v>13002561</v>
      </c>
      <c r="E90">
        <v>13</v>
      </c>
      <c r="F90">
        <v>22589</v>
      </c>
      <c r="G90" t="s">
        <v>23</v>
      </c>
      <c r="H90">
        <v>15</v>
      </c>
      <c r="I90">
        <v>24440</v>
      </c>
      <c r="J90" t="s">
        <v>42</v>
      </c>
      <c r="K90" t="s">
        <v>28</v>
      </c>
      <c r="L90" t="s">
        <v>39</v>
      </c>
      <c r="M90">
        <v>2</v>
      </c>
      <c r="N90">
        <v>518.92999999999995</v>
      </c>
      <c r="O90">
        <v>744.31</v>
      </c>
      <c r="P90">
        <v>74.430000000000007</v>
      </c>
      <c r="Q90">
        <v>74.430000000000007</v>
      </c>
      <c r="R90" t="s">
        <v>30</v>
      </c>
      <c r="S90">
        <v>29</v>
      </c>
      <c r="T90">
        <v>1</v>
      </c>
      <c r="U90">
        <v>1</v>
      </c>
      <c r="V90">
        <v>669.88</v>
      </c>
      <c r="W90">
        <v>13130000088</v>
      </c>
    </row>
    <row r="91" spans="1:23" x14ac:dyDescent="0.2">
      <c r="A91" s="1">
        <v>44791</v>
      </c>
      <c r="B91" s="2">
        <v>0.91840277777777779</v>
      </c>
      <c r="C91">
        <v>1089</v>
      </c>
      <c r="D91">
        <v>13002561</v>
      </c>
      <c r="E91">
        <v>13</v>
      </c>
      <c r="F91">
        <v>22589</v>
      </c>
      <c r="G91" t="s">
        <v>23</v>
      </c>
      <c r="H91">
        <v>18</v>
      </c>
      <c r="I91">
        <v>41255</v>
      </c>
      <c r="J91" t="s">
        <v>93</v>
      </c>
      <c r="K91" t="s">
        <v>45</v>
      </c>
      <c r="L91" t="s">
        <v>47</v>
      </c>
      <c r="M91">
        <v>3</v>
      </c>
      <c r="N91">
        <v>526.58000000000004</v>
      </c>
      <c r="O91">
        <v>799.61</v>
      </c>
      <c r="P91">
        <v>0</v>
      </c>
      <c r="Q91">
        <v>0</v>
      </c>
      <c r="S91">
        <v>29</v>
      </c>
      <c r="T91">
        <v>1</v>
      </c>
      <c r="U91">
        <v>6</v>
      </c>
      <c r="V91">
        <v>799.61</v>
      </c>
      <c r="W91">
        <v>13130000089</v>
      </c>
    </row>
    <row r="92" spans="1:23" x14ac:dyDescent="0.2">
      <c r="A92" s="1">
        <v>44799</v>
      </c>
      <c r="B92" s="2">
        <v>0.47098379629629628</v>
      </c>
      <c r="C92">
        <v>1090</v>
      </c>
      <c r="D92">
        <v>13002561</v>
      </c>
      <c r="E92">
        <v>13</v>
      </c>
      <c r="F92">
        <v>22589</v>
      </c>
      <c r="G92" t="s">
        <v>23</v>
      </c>
      <c r="H92">
        <v>18</v>
      </c>
      <c r="I92">
        <v>16134</v>
      </c>
      <c r="J92" t="s">
        <v>94</v>
      </c>
      <c r="K92" t="s">
        <v>38</v>
      </c>
      <c r="L92" t="s">
        <v>29</v>
      </c>
      <c r="M92">
        <v>1</v>
      </c>
      <c r="N92">
        <v>551.54999999999995</v>
      </c>
      <c r="O92">
        <v>714.77</v>
      </c>
      <c r="P92">
        <v>0</v>
      </c>
      <c r="Q92">
        <v>0</v>
      </c>
      <c r="S92">
        <v>29</v>
      </c>
      <c r="T92">
        <v>1</v>
      </c>
      <c r="U92">
        <v>3</v>
      </c>
      <c r="V92">
        <v>714.77</v>
      </c>
      <c r="W92">
        <v>13130000090</v>
      </c>
    </row>
    <row r="93" spans="1:23" x14ac:dyDescent="0.2">
      <c r="A93" s="1">
        <v>44803</v>
      </c>
      <c r="B93" s="2">
        <v>0.90949074074074077</v>
      </c>
      <c r="C93">
        <v>1091</v>
      </c>
      <c r="D93">
        <v>13002561</v>
      </c>
      <c r="E93">
        <v>13</v>
      </c>
      <c r="F93">
        <v>22589</v>
      </c>
      <c r="G93" t="s">
        <v>23</v>
      </c>
      <c r="H93">
        <v>18</v>
      </c>
      <c r="I93">
        <v>85721</v>
      </c>
      <c r="J93" t="s">
        <v>89</v>
      </c>
      <c r="K93" t="s">
        <v>28</v>
      </c>
      <c r="L93" t="s">
        <v>26</v>
      </c>
      <c r="M93">
        <v>3</v>
      </c>
      <c r="N93">
        <v>519.41999999999996</v>
      </c>
      <c r="O93">
        <v>740.67</v>
      </c>
      <c r="P93">
        <v>37.03</v>
      </c>
      <c r="Q93">
        <v>37.03</v>
      </c>
      <c r="R93" t="s">
        <v>30</v>
      </c>
      <c r="S93">
        <v>29</v>
      </c>
      <c r="T93">
        <v>1</v>
      </c>
      <c r="U93">
        <v>3</v>
      </c>
      <c r="V93">
        <v>703.64</v>
      </c>
      <c r="W93">
        <v>13130000091</v>
      </c>
    </row>
    <row r="94" spans="1:23" x14ac:dyDescent="0.2">
      <c r="A94" s="1">
        <v>44775</v>
      </c>
      <c r="B94" s="2">
        <v>0.95686342592592588</v>
      </c>
      <c r="C94">
        <v>1092</v>
      </c>
      <c r="D94">
        <v>13002561</v>
      </c>
      <c r="E94">
        <v>13</v>
      </c>
      <c r="F94">
        <v>22589</v>
      </c>
      <c r="G94" t="s">
        <v>23</v>
      </c>
      <c r="H94">
        <v>15</v>
      </c>
      <c r="I94">
        <v>44445</v>
      </c>
      <c r="J94" t="s">
        <v>75</v>
      </c>
      <c r="K94" t="s">
        <v>28</v>
      </c>
      <c r="L94" t="s">
        <v>26</v>
      </c>
      <c r="M94">
        <v>2</v>
      </c>
      <c r="N94">
        <v>359.77</v>
      </c>
      <c r="O94">
        <v>602</v>
      </c>
      <c r="P94">
        <v>30.1</v>
      </c>
      <c r="Q94">
        <v>30.1</v>
      </c>
      <c r="R94" t="s">
        <v>30</v>
      </c>
      <c r="S94">
        <v>29</v>
      </c>
      <c r="T94">
        <v>1</v>
      </c>
      <c r="U94">
        <v>6</v>
      </c>
      <c r="V94">
        <v>571.9</v>
      </c>
      <c r="W94">
        <v>13130000092</v>
      </c>
    </row>
    <row r="95" spans="1:23" x14ac:dyDescent="0.2">
      <c r="A95" s="1">
        <v>44791</v>
      </c>
      <c r="B95" s="2">
        <v>0.74798611111111113</v>
      </c>
      <c r="C95">
        <v>1093</v>
      </c>
      <c r="D95">
        <v>13002561</v>
      </c>
      <c r="E95">
        <v>13</v>
      </c>
      <c r="F95">
        <v>22589</v>
      </c>
      <c r="G95" t="s">
        <v>23</v>
      </c>
      <c r="H95">
        <v>15</v>
      </c>
      <c r="I95">
        <v>55655</v>
      </c>
      <c r="J95" t="s">
        <v>46</v>
      </c>
      <c r="K95" t="s">
        <v>28</v>
      </c>
      <c r="L95" t="s">
        <v>47</v>
      </c>
      <c r="M95">
        <v>3</v>
      </c>
      <c r="N95">
        <v>140.55000000000001</v>
      </c>
      <c r="O95">
        <v>208.52</v>
      </c>
      <c r="P95">
        <v>0</v>
      </c>
      <c r="Q95">
        <v>0</v>
      </c>
      <c r="S95">
        <v>29</v>
      </c>
      <c r="T95">
        <v>1</v>
      </c>
      <c r="U95">
        <v>4</v>
      </c>
      <c r="V95">
        <v>208.52</v>
      </c>
      <c r="W95">
        <v>13130000093</v>
      </c>
    </row>
    <row r="96" spans="1:23" x14ac:dyDescent="0.2">
      <c r="A96" s="1">
        <v>44801</v>
      </c>
      <c r="B96" s="2">
        <v>0.47672453703703699</v>
      </c>
      <c r="C96">
        <v>1094</v>
      </c>
      <c r="D96">
        <v>13002561</v>
      </c>
      <c r="E96">
        <v>13</v>
      </c>
      <c r="F96">
        <v>22589</v>
      </c>
      <c r="G96" t="s">
        <v>23</v>
      </c>
      <c r="H96">
        <v>18</v>
      </c>
      <c r="I96">
        <v>53772</v>
      </c>
      <c r="J96" t="s">
        <v>95</v>
      </c>
      <c r="K96" t="s">
        <v>28</v>
      </c>
      <c r="L96" t="s">
        <v>26</v>
      </c>
      <c r="M96">
        <v>2</v>
      </c>
      <c r="N96">
        <v>415.35</v>
      </c>
      <c r="O96">
        <v>679.96</v>
      </c>
      <c r="P96">
        <v>34</v>
      </c>
      <c r="Q96">
        <v>34</v>
      </c>
      <c r="R96" t="s">
        <v>30</v>
      </c>
      <c r="S96">
        <v>29</v>
      </c>
      <c r="T96">
        <v>1</v>
      </c>
      <c r="U96">
        <v>3</v>
      </c>
      <c r="V96">
        <v>645.96</v>
      </c>
      <c r="W96">
        <v>13130000094</v>
      </c>
    </row>
    <row r="97" spans="1:23" x14ac:dyDescent="0.2">
      <c r="A97" s="1">
        <v>44804</v>
      </c>
      <c r="B97" s="2">
        <v>0.89607638888888885</v>
      </c>
      <c r="C97">
        <v>1095</v>
      </c>
      <c r="D97">
        <v>13002561</v>
      </c>
      <c r="E97">
        <v>13</v>
      </c>
      <c r="F97">
        <v>22589</v>
      </c>
      <c r="G97" t="s">
        <v>23</v>
      </c>
      <c r="H97">
        <v>18</v>
      </c>
      <c r="I97">
        <v>20811</v>
      </c>
      <c r="J97" t="s">
        <v>96</v>
      </c>
      <c r="K97" t="s">
        <v>38</v>
      </c>
      <c r="L97" t="s">
        <v>29</v>
      </c>
      <c r="M97">
        <v>2</v>
      </c>
      <c r="N97">
        <v>276.25</v>
      </c>
      <c r="O97">
        <v>371.67</v>
      </c>
      <c r="P97">
        <v>0</v>
      </c>
      <c r="Q97">
        <v>0</v>
      </c>
      <c r="S97">
        <v>29</v>
      </c>
      <c r="T97">
        <v>1</v>
      </c>
      <c r="U97">
        <v>4</v>
      </c>
      <c r="V97">
        <v>371.67</v>
      </c>
      <c r="W97">
        <v>13130000095</v>
      </c>
    </row>
    <row r="98" spans="1:23" x14ac:dyDescent="0.2">
      <c r="A98" s="1">
        <v>44804</v>
      </c>
      <c r="B98" s="2">
        <v>0.53125</v>
      </c>
      <c r="C98">
        <v>1096</v>
      </c>
      <c r="D98">
        <v>13002561</v>
      </c>
      <c r="E98">
        <v>13</v>
      </c>
      <c r="F98">
        <v>22589</v>
      </c>
      <c r="G98" t="s">
        <v>23</v>
      </c>
      <c r="H98">
        <v>18</v>
      </c>
      <c r="I98">
        <v>86659</v>
      </c>
      <c r="J98" t="s">
        <v>37</v>
      </c>
      <c r="K98" t="s">
        <v>45</v>
      </c>
      <c r="L98" t="s">
        <v>34</v>
      </c>
      <c r="M98">
        <v>2</v>
      </c>
      <c r="N98">
        <v>26.56</v>
      </c>
      <c r="O98">
        <v>33.74</v>
      </c>
      <c r="P98">
        <v>0</v>
      </c>
      <c r="Q98">
        <v>0</v>
      </c>
      <c r="S98">
        <v>29</v>
      </c>
      <c r="T98">
        <v>1</v>
      </c>
      <c r="U98">
        <v>4</v>
      </c>
      <c r="V98">
        <v>33.74</v>
      </c>
      <c r="W98">
        <v>13130000096</v>
      </c>
    </row>
    <row r="99" spans="1:23" x14ac:dyDescent="0.2">
      <c r="A99" s="1">
        <v>44804</v>
      </c>
      <c r="B99" s="2">
        <v>0.6821180555555556</v>
      </c>
      <c r="C99">
        <v>1097</v>
      </c>
      <c r="D99">
        <v>13002561</v>
      </c>
      <c r="E99">
        <v>13</v>
      </c>
      <c r="F99">
        <v>22589</v>
      </c>
      <c r="G99" t="s">
        <v>23</v>
      </c>
      <c r="H99">
        <v>18</v>
      </c>
      <c r="I99">
        <v>43715</v>
      </c>
      <c r="J99" t="s">
        <v>58</v>
      </c>
      <c r="K99" t="s">
        <v>28</v>
      </c>
      <c r="L99" t="s">
        <v>26</v>
      </c>
      <c r="M99">
        <v>2</v>
      </c>
      <c r="N99">
        <v>319.2</v>
      </c>
      <c r="O99">
        <v>517.05999999999995</v>
      </c>
      <c r="P99">
        <v>25.85</v>
      </c>
      <c r="Q99">
        <v>25.85</v>
      </c>
      <c r="R99" t="s">
        <v>30</v>
      </c>
      <c r="S99">
        <v>29</v>
      </c>
      <c r="T99">
        <v>1</v>
      </c>
      <c r="U99">
        <v>1</v>
      </c>
      <c r="V99">
        <v>491.21</v>
      </c>
      <c r="W99">
        <v>13130000097</v>
      </c>
    </row>
    <row r="100" spans="1:23" x14ac:dyDescent="0.2">
      <c r="A100" s="1">
        <v>44800</v>
      </c>
      <c r="B100" s="2">
        <v>0.54765046296296294</v>
      </c>
      <c r="C100">
        <v>1098</v>
      </c>
      <c r="D100">
        <v>13002561</v>
      </c>
      <c r="E100">
        <v>13</v>
      </c>
      <c r="F100">
        <v>22589</v>
      </c>
      <c r="G100" t="s">
        <v>23</v>
      </c>
      <c r="H100">
        <v>15</v>
      </c>
      <c r="I100">
        <v>84226</v>
      </c>
      <c r="J100" t="s">
        <v>61</v>
      </c>
      <c r="K100" t="s">
        <v>60</v>
      </c>
      <c r="L100" t="s">
        <v>34</v>
      </c>
      <c r="M100">
        <v>1</v>
      </c>
      <c r="N100">
        <v>391.72</v>
      </c>
      <c r="O100">
        <v>655.95</v>
      </c>
      <c r="P100">
        <v>0</v>
      </c>
      <c r="Q100">
        <v>0</v>
      </c>
      <c r="S100">
        <v>29</v>
      </c>
      <c r="T100">
        <v>1</v>
      </c>
      <c r="U100">
        <v>2</v>
      </c>
      <c r="V100">
        <v>655.95</v>
      </c>
      <c r="W100">
        <v>13130000098</v>
      </c>
    </row>
    <row r="101" spans="1:23" x14ac:dyDescent="0.2">
      <c r="A101" s="1">
        <v>44796</v>
      </c>
      <c r="B101" s="2">
        <v>0.89918981481481486</v>
      </c>
      <c r="C101">
        <v>1099</v>
      </c>
      <c r="D101">
        <v>13002561</v>
      </c>
      <c r="E101">
        <v>13</v>
      </c>
      <c r="F101">
        <v>22589</v>
      </c>
      <c r="G101" t="s">
        <v>23</v>
      </c>
      <c r="H101">
        <v>15</v>
      </c>
      <c r="I101">
        <v>78565</v>
      </c>
      <c r="J101" t="s">
        <v>67</v>
      </c>
      <c r="K101" t="s">
        <v>28</v>
      </c>
      <c r="L101" t="s">
        <v>32</v>
      </c>
      <c r="M101">
        <v>2</v>
      </c>
      <c r="N101">
        <v>319.12</v>
      </c>
      <c r="O101">
        <v>424.87</v>
      </c>
      <c r="P101">
        <v>42.49</v>
      </c>
      <c r="Q101">
        <v>42.49</v>
      </c>
      <c r="R101" t="s">
        <v>30</v>
      </c>
      <c r="S101">
        <v>29</v>
      </c>
      <c r="T101">
        <v>1</v>
      </c>
      <c r="U101">
        <v>5</v>
      </c>
      <c r="V101">
        <v>382.38</v>
      </c>
      <c r="W101">
        <v>13130000099</v>
      </c>
    </row>
    <row r="102" spans="1:23" x14ac:dyDescent="0.2">
      <c r="A102" s="1">
        <v>44793</v>
      </c>
      <c r="B102" s="2">
        <v>0.69048611111111113</v>
      </c>
      <c r="C102">
        <v>1100</v>
      </c>
      <c r="D102">
        <v>13002561</v>
      </c>
      <c r="E102">
        <v>13</v>
      </c>
      <c r="F102">
        <v>22589</v>
      </c>
      <c r="G102" t="s">
        <v>23</v>
      </c>
      <c r="H102">
        <v>15</v>
      </c>
      <c r="I102">
        <v>68782</v>
      </c>
      <c r="J102" t="s">
        <v>56</v>
      </c>
      <c r="K102" t="s">
        <v>45</v>
      </c>
      <c r="L102" t="s">
        <v>32</v>
      </c>
      <c r="M102">
        <v>1</v>
      </c>
      <c r="N102">
        <v>558.9</v>
      </c>
      <c r="O102">
        <v>723.33</v>
      </c>
      <c r="P102">
        <v>72.33</v>
      </c>
      <c r="Q102">
        <v>72.33</v>
      </c>
      <c r="R102" t="s">
        <v>30</v>
      </c>
      <c r="S102">
        <v>29</v>
      </c>
      <c r="T102">
        <v>1</v>
      </c>
      <c r="U102">
        <v>5</v>
      </c>
      <c r="V102">
        <v>651</v>
      </c>
      <c r="W102">
        <v>13130000100</v>
      </c>
    </row>
    <row r="103" spans="1:23" x14ac:dyDescent="0.2">
      <c r="A103" s="1">
        <v>44802</v>
      </c>
      <c r="B103" s="2">
        <v>0.88498842592592597</v>
      </c>
      <c r="C103">
        <v>1101</v>
      </c>
      <c r="D103">
        <v>13002561</v>
      </c>
      <c r="E103">
        <v>13</v>
      </c>
      <c r="F103">
        <v>22589</v>
      </c>
      <c r="G103" t="s">
        <v>23</v>
      </c>
      <c r="H103">
        <v>15</v>
      </c>
      <c r="I103">
        <v>16834</v>
      </c>
      <c r="J103" t="s">
        <v>73</v>
      </c>
      <c r="K103" t="s">
        <v>45</v>
      </c>
      <c r="L103" t="s">
        <v>26</v>
      </c>
      <c r="M103">
        <v>3</v>
      </c>
      <c r="N103">
        <v>381.32</v>
      </c>
      <c r="O103">
        <v>543.58000000000004</v>
      </c>
      <c r="P103">
        <v>0</v>
      </c>
      <c r="Q103">
        <v>0</v>
      </c>
      <c r="S103">
        <v>29</v>
      </c>
      <c r="T103">
        <v>1</v>
      </c>
      <c r="U103">
        <v>2</v>
      </c>
      <c r="V103">
        <v>543.58000000000004</v>
      </c>
      <c r="W103">
        <v>13130000101</v>
      </c>
    </row>
    <row r="104" spans="1:23" x14ac:dyDescent="0.2">
      <c r="A104" s="1">
        <v>44780</v>
      </c>
      <c r="B104" s="2">
        <v>0.49997685185185192</v>
      </c>
      <c r="C104">
        <v>1102</v>
      </c>
      <c r="D104">
        <v>13002561</v>
      </c>
      <c r="E104">
        <v>13</v>
      </c>
      <c r="F104">
        <v>22589</v>
      </c>
      <c r="G104" t="s">
        <v>23</v>
      </c>
      <c r="H104">
        <v>15</v>
      </c>
      <c r="I104">
        <v>83435</v>
      </c>
      <c r="J104" t="s">
        <v>67</v>
      </c>
      <c r="K104" t="s">
        <v>25</v>
      </c>
      <c r="L104" t="s">
        <v>29</v>
      </c>
      <c r="M104">
        <v>2</v>
      </c>
      <c r="N104">
        <v>133.19999999999999</v>
      </c>
      <c r="O104">
        <v>204.4</v>
      </c>
      <c r="P104">
        <v>0</v>
      </c>
      <c r="Q104">
        <v>0</v>
      </c>
      <c r="S104">
        <v>29</v>
      </c>
      <c r="T104">
        <v>1</v>
      </c>
      <c r="U104">
        <v>3</v>
      </c>
      <c r="V104">
        <v>204.4</v>
      </c>
      <c r="W104">
        <v>13130000102</v>
      </c>
    </row>
    <row r="105" spans="1:23" x14ac:dyDescent="0.2">
      <c r="A105" s="1">
        <v>44774</v>
      </c>
      <c r="B105" s="2">
        <v>0.70119212962962962</v>
      </c>
      <c r="C105">
        <v>1103</v>
      </c>
      <c r="D105">
        <v>13002561</v>
      </c>
      <c r="E105">
        <v>13</v>
      </c>
      <c r="F105">
        <v>22589</v>
      </c>
      <c r="G105" t="s">
        <v>23</v>
      </c>
      <c r="H105">
        <v>18</v>
      </c>
      <c r="I105">
        <v>40423</v>
      </c>
      <c r="J105" t="s">
        <v>86</v>
      </c>
      <c r="K105" t="s">
        <v>28</v>
      </c>
      <c r="L105" t="s">
        <v>36</v>
      </c>
      <c r="M105">
        <v>1</v>
      </c>
      <c r="N105">
        <v>405.34</v>
      </c>
      <c r="O105">
        <v>682.15</v>
      </c>
      <c r="P105">
        <v>0</v>
      </c>
      <c r="Q105">
        <v>0</v>
      </c>
      <c r="S105">
        <v>29</v>
      </c>
      <c r="T105">
        <v>1</v>
      </c>
      <c r="U105">
        <v>3</v>
      </c>
      <c r="V105">
        <v>682.15</v>
      </c>
      <c r="W105">
        <v>13130000103</v>
      </c>
    </row>
    <row r="106" spans="1:23" x14ac:dyDescent="0.2">
      <c r="A106" s="1">
        <v>44779</v>
      </c>
      <c r="B106" s="2">
        <v>0.33598379629629632</v>
      </c>
      <c r="C106">
        <v>1104</v>
      </c>
      <c r="D106">
        <v>13002561</v>
      </c>
      <c r="E106">
        <v>13</v>
      </c>
      <c r="F106">
        <v>22589</v>
      </c>
      <c r="G106" t="s">
        <v>23</v>
      </c>
      <c r="H106">
        <v>18</v>
      </c>
      <c r="I106">
        <v>94281</v>
      </c>
      <c r="J106" t="s">
        <v>67</v>
      </c>
      <c r="K106" t="s">
        <v>45</v>
      </c>
      <c r="L106" t="s">
        <v>39</v>
      </c>
      <c r="M106">
        <v>1</v>
      </c>
      <c r="N106">
        <v>342.72</v>
      </c>
      <c r="O106">
        <v>467.53</v>
      </c>
      <c r="P106">
        <v>46.75</v>
      </c>
      <c r="Q106">
        <v>46.75</v>
      </c>
      <c r="R106" t="s">
        <v>30</v>
      </c>
      <c r="S106">
        <v>29</v>
      </c>
      <c r="T106">
        <v>1</v>
      </c>
      <c r="U106">
        <v>3</v>
      </c>
      <c r="V106">
        <v>420.78</v>
      </c>
      <c r="W106">
        <v>13130000104</v>
      </c>
    </row>
    <row r="107" spans="1:23" x14ac:dyDescent="0.2">
      <c r="A107" s="1">
        <v>44804</v>
      </c>
      <c r="B107" s="2">
        <v>0.76148148148148154</v>
      </c>
      <c r="C107">
        <v>1105</v>
      </c>
      <c r="D107">
        <v>13002561</v>
      </c>
      <c r="E107">
        <v>13</v>
      </c>
      <c r="F107">
        <v>22589</v>
      </c>
      <c r="G107" t="s">
        <v>23</v>
      </c>
      <c r="H107">
        <v>15</v>
      </c>
      <c r="I107">
        <v>56473</v>
      </c>
      <c r="J107" t="s">
        <v>43</v>
      </c>
      <c r="K107" t="s">
        <v>45</v>
      </c>
      <c r="L107" t="s">
        <v>34</v>
      </c>
      <c r="M107">
        <v>1</v>
      </c>
      <c r="N107">
        <v>129.74</v>
      </c>
      <c r="O107">
        <v>192.97</v>
      </c>
      <c r="P107">
        <v>0</v>
      </c>
      <c r="Q107">
        <v>0</v>
      </c>
      <c r="S107">
        <v>29</v>
      </c>
      <c r="T107">
        <v>1</v>
      </c>
      <c r="U107">
        <v>5</v>
      </c>
      <c r="V107">
        <v>192.97</v>
      </c>
      <c r="W107">
        <v>13130000105</v>
      </c>
    </row>
    <row r="108" spans="1:23" x14ac:dyDescent="0.2">
      <c r="A108" s="1">
        <v>44803</v>
      </c>
      <c r="B108" s="2">
        <v>0.79292824074074075</v>
      </c>
      <c r="C108">
        <v>1106</v>
      </c>
      <c r="D108">
        <v>13002561</v>
      </c>
      <c r="E108">
        <v>13</v>
      </c>
      <c r="F108">
        <v>22589</v>
      </c>
      <c r="G108" t="s">
        <v>23</v>
      </c>
      <c r="H108">
        <v>15</v>
      </c>
      <c r="I108">
        <v>46486</v>
      </c>
      <c r="J108" t="s">
        <v>40</v>
      </c>
      <c r="K108" t="s">
        <v>60</v>
      </c>
      <c r="L108" t="s">
        <v>51</v>
      </c>
      <c r="M108">
        <v>3</v>
      </c>
      <c r="N108">
        <v>317.47000000000003</v>
      </c>
      <c r="O108">
        <v>498.01</v>
      </c>
      <c r="P108">
        <v>49.8</v>
      </c>
      <c r="Q108">
        <v>49.8</v>
      </c>
      <c r="R108" t="s">
        <v>30</v>
      </c>
      <c r="S108">
        <v>29</v>
      </c>
      <c r="T108">
        <v>1</v>
      </c>
      <c r="U108">
        <v>4</v>
      </c>
      <c r="V108">
        <v>448.21</v>
      </c>
      <c r="W108">
        <v>13130000106</v>
      </c>
    </row>
    <row r="109" spans="1:23" x14ac:dyDescent="0.2">
      <c r="A109" s="1">
        <v>44784</v>
      </c>
      <c r="B109" s="2">
        <v>0.70945601851851847</v>
      </c>
      <c r="C109">
        <v>1107</v>
      </c>
      <c r="D109">
        <v>13002561</v>
      </c>
      <c r="E109">
        <v>13</v>
      </c>
      <c r="F109">
        <v>22589</v>
      </c>
      <c r="G109" t="s">
        <v>23</v>
      </c>
      <c r="H109">
        <v>18</v>
      </c>
      <c r="I109">
        <v>57296</v>
      </c>
      <c r="J109" t="s">
        <v>97</v>
      </c>
      <c r="K109" t="s">
        <v>44</v>
      </c>
      <c r="L109" t="s">
        <v>34</v>
      </c>
      <c r="M109">
        <v>2</v>
      </c>
      <c r="N109">
        <v>40.07</v>
      </c>
      <c r="O109">
        <v>56.41</v>
      </c>
      <c r="P109">
        <v>2.82</v>
      </c>
      <c r="Q109">
        <v>2.82</v>
      </c>
      <c r="R109" t="s">
        <v>30</v>
      </c>
      <c r="S109">
        <v>29</v>
      </c>
      <c r="T109">
        <v>1</v>
      </c>
      <c r="U109">
        <v>4</v>
      </c>
      <c r="V109">
        <v>53.59</v>
      </c>
      <c r="W109">
        <v>13130000107</v>
      </c>
    </row>
    <row r="110" spans="1:23" x14ac:dyDescent="0.2">
      <c r="A110" s="1">
        <v>44794</v>
      </c>
      <c r="B110" s="2">
        <v>0.3803125</v>
      </c>
      <c r="C110">
        <v>1108</v>
      </c>
      <c r="D110">
        <v>13002561</v>
      </c>
      <c r="E110">
        <v>13</v>
      </c>
      <c r="F110">
        <v>22589</v>
      </c>
      <c r="G110" t="s">
        <v>23</v>
      </c>
      <c r="H110">
        <v>18</v>
      </c>
      <c r="I110">
        <v>85669</v>
      </c>
      <c r="J110" t="s">
        <v>98</v>
      </c>
      <c r="K110" t="s">
        <v>25</v>
      </c>
      <c r="L110" t="s">
        <v>39</v>
      </c>
      <c r="M110">
        <v>3</v>
      </c>
      <c r="N110">
        <v>217.98</v>
      </c>
      <c r="O110">
        <v>342.58</v>
      </c>
      <c r="P110">
        <v>34.26</v>
      </c>
      <c r="Q110">
        <v>34.26</v>
      </c>
      <c r="R110" t="s">
        <v>30</v>
      </c>
      <c r="S110">
        <v>29</v>
      </c>
      <c r="T110">
        <v>1</v>
      </c>
      <c r="U110">
        <v>6</v>
      </c>
      <c r="V110">
        <v>308.32</v>
      </c>
      <c r="W110">
        <v>13130000108</v>
      </c>
    </row>
    <row r="111" spans="1:23" x14ac:dyDescent="0.2">
      <c r="A111" s="1">
        <v>44790</v>
      </c>
      <c r="B111" s="2">
        <v>0.5611342592592593</v>
      </c>
      <c r="C111">
        <v>1109</v>
      </c>
      <c r="D111">
        <v>13002561</v>
      </c>
      <c r="E111">
        <v>13</v>
      </c>
      <c r="F111">
        <v>22589</v>
      </c>
      <c r="G111" t="s">
        <v>23</v>
      </c>
      <c r="H111">
        <v>18</v>
      </c>
      <c r="I111">
        <v>80665</v>
      </c>
      <c r="J111" t="s">
        <v>99</v>
      </c>
      <c r="K111" t="s">
        <v>38</v>
      </c>
      <c r="L111" t="s">
        <v>32</v>
      </c>
      <c r="M111">
        <v>2</v>
      </c>
      <c r="N111">
        <v>352.03</v>
      </c>
      <c r="O111">
        <v>447.53</v>
      </c>
      <c r="P111">
        <v>0</v>
      </c>
      <c r="Q111">
        <v>0</v>
      </c>
      <c r="S111">
        <v>29</v>
      </c>
      <c r="T111">
        <v>1</v>
      </c>
      <c r="U111">
        <v>5</v>
      </c>
      <c r="V111">
        <v>447.53</v>
      </c>
      <c r="W111">
        <v>13130000109</v>
      </c>
    </row>
    <row r="112" spans="1:23" x14ac:dyDescent="0.2">
      <c r="A112" s="1">
        <v>44787</v>
      </c>
      <c r="B112" s="2">
        <v>0.82142361111111106</v>
      </c>
      <c r="C112">
        <v>1110</v>
      </c>
      <c r="D112">
        <v>13002561</v>
      </c>
      <c r="E112">
        <v>13</v>
      </c>
      <c r="F112">
        <v>22589</v>
      </c>
      <c r="G112" t="s">
        <v>23</v>
      </c>
      <c r="H112">
        <v>18</v>
      </c>
      <c r="I112">
        <v>86814</v>
      </c>
      <c r="J112" t="s">
        <v>100</v>
      </c>
      <c r="K112" t="s">
        <v>60</v>
      </c>
      <c r="L112" t="s">
        <v>34</v>
      </c>
      <c r="M112">
        <v>3</v>
      </c>
      <c r="N112">
        <v>487.53</v>
      </c>
      <c r="O112">
        <v>805.04</v>
      </c>
      <c r="P112">
        <v>80.5</v>
      </c>
      <c r="Q112">
        <v>80.5</v>
      </c>
      <c r="R112" t="s">
        <v>30</v>
      </c>
      <c r="S112">
        <v>29</v>
      </c>
      <c r="T112">
        <v>1</v>
      </c>
      <c r="U112">
        <v>5</v>
      </c>
      <c r="V112">
        <v>724.54</v>
      </c>
      <c r="W112">
        <v>13130000110</v>
      </c>
    </row>
    <row r="113" spans="1:23" x14ac:dyDescent="0.2">
      <c r="A113" s="1">
        <v>44801</v>
      </c>
      <c r="B113" s="2">
        <v>0.68368055555555551</v>
      </c>
      <c r="C113">
        <v>1111</v>
      </c>
      <c r="D113">
        <v>13002561</v>
      </c>
      <c r="E113">
        <v>13</v>
      </c>
      <c r="F113">
        <v>22589</v>
      </c>
      <c r="G113" t="s">
        <v>23</v>
      </c>
      <c r="H113">
        <v>18</v>
      </c>
      <c r="I113">
        <v>98189</v>
      </c>
      <c r="J113" t="s">
        <v>101</v>
      </c>
      <c r="K113" t="s">
        <v>45</v>
      </c>
      <c r="L113" t="s">
        <v>36</v>
      </c>
      <c r="M113">
        <v>2</v>
      </c>
      <c r="N113">
        <v>268.31</v>
      </c>
      <c r="O113">
        <v>421.37</v>
      </c>
      <c r="P113">
        <v>42.14</v>
      </c>
      <c r="Q113">
        <v>42.14</v>
      </c>
      <c r="R113" t="s">
        <v>30</v>
      </c>
      <c r="S113">
        <v>29</v>
      </c>
      <c r="T113">
        <v>1</v>
      </c>
      <c r="U113">
        <v>1</v>
      </c>
      <c r="V113">
        <v>379.23</v>
      </c>
      <c r="W113">
        <v>13130000111</v>
      </c>
    </row>
    <row r="114" spans="1:23" x14ac:dyDescent="0.2">
      <c r="A114" s="1">
        <v>44775</v>
      </c>
      <c r="B114" s="2">
        <v>0.93096064814814816</v>
      </c>
      <c r="C114">
        <v>1112</v>
      </c>
      <c r="D114">
        <v>13002561</v>
      </c>
      <c r="E114">
        <v>13</v>
      </c>
      <c r="F114">
        <v>22589</v>
      </c>
      <c r="G114" t="s">
        <v>23</v>
      </c>
      <c r="H114">
        <v>18</v>
      </c>
      <c r="I114">
        <v>25939</v>
      </c>
      <c r="J114" t="s">
        <v>86</v>
      </c>
      <c r="K114" t="s">
        <v>60</v>
      </c>
      <c r="L114" t="s">
        <v>32</v>
      </c>
      <c r="M114">
        <v>1</v>
      </c>
      <c r="N114">
        <v>460.1</v>
      </c>
      <c r="O114">
        <v>643.67999999999995</v>
      </c>
      <c r="P114">
        <v>64.37</v>
      </c>
      <c r="Q114">
        <v>64.37</v>
      </c>
      <c r="R114" t="s">
        <v>30</v>
      </c>
      <c r="S114">
        <v>29</v>
      </c>
      <c r="T114">
        <v>1</v>
      </c>
      <c r="U114">
        <v>6</v>
      </c>
      <c r="V114">
        <v>579.30999999999995</v>
      </c>
      <c r="W114">
        <v>13130000112</v>
      </c>
    </row>
    <row r="115" spans="1:23" x14ac:dyDescent="0.2">
      <c r="A115" s="1">
        <v>44795</v>
      </c>
      <c r="B115" s="2">
        <v>0.87800925925925921</v>
      </c>
      <c r="C115">
        <v>1113</v>
      </c>
      <c r="D115">
        <v>13002561</v>
      </c>
      <c r="E115">
        <v>13</v>
      </c>
      <c r="F115">
        <v>22589</v>
      </c>
      <c r="G115" t="s">
        <v>23</v>
      </c>
      <c r="H115">
        <v>18</v>
      </c>
      <c r="I115">
        <v>76369</v>
      </c>
      <c r="J115" t="s">
        <v>84</v>
      </c>
      <c r="K115" t="s">
        <v>44</v>
      </c>
      <c r="L115" t="s">
        <v>39</v>
      </c>
      <c r="M115">
        <v>1</v>
      </c>
      <c r="N115">
        <v>561.27</v>
      </c>
      <c r="O115">
        <v>742.04</v>
      </c>
      <c r="P115">
        <v>74.2</v>
      </c>
      <c r="Q115">
        <v>74.2</v>
      </c>
      <c r="R115" t="s">
        <v>30</v>
      </c>
      <c r="S115">
        <v>29</v>
      </c>
      <c r="T115">
        <v>1</v>
      </c>
      <c r="U115">
        <v>1</v>
      </c>
      <c r="V115">
        <v>667.84</v>
      </c>
      <c r="W115">
        <v>13130000113</v>
      </c>
    </row>
    <row r="116" spans="1:23" x14ac:dyDescent="0.2">
      <c r="A116" s="1">
        <v>44800</v>
      </c>
      <c r="B116" s="2">
        <v>0.80494212962962963</v>
      </c>
      <c r="C116">
        <v>1114</v>
      </c>
      <c r="D116">
        <v>13002561</v>
      </c>
      <c r="E116">
        <v>13</v>
      </c>
      <c r="F116">
        <v>22589</v>
      </c>
      <c r="G116" t="s">
        <v>23</v>
      </c>
      <c r="H116">
        <v>18</v>
      </c>
      <c r="I116">
        <v>88709</v>
      </c>
      <c r="J116" t="s">
        <v>61</v>
      </c>
      <c r="K116" t="s">
        <v>60</v>
      </c>
      <c r="L116" t="s">
        <v>36</v>
      </c>
      <c r="M116">
        <v>3</v>
      </c>
      <c r="N116">
        <v>155.18</v>
      </c>
      <c r="O116">
        <v>225.52</v>
      </c>
      <c r="P116">
        <v>0</v>
      </c>
      <c r="Q116">
        <v>0</v>
      </c>
      <c r="S116">
        <v>29</v>
      </c>
      <c r="T116">
        <v>1</v>
      </c>
      <c r="U116">
        <v>1</v>
      </c>
      <c r="V116">
        <v>225.52</v>
      </c>
      <c r="W116">
        <v>13130000114</v>
      </c>
    </row>
    <row r="117" spans="1:23" x14ac:dyDescent="0.2">
      <c r="A117" s="1">
        <v>44778</v>
      </c>
      <c r="B117" s="2">
        <v>0.36429398148148151</v>
      </c>
      <c r="C117">
        <v>1115</v>
      </c>
      <c r="D117">
        <v>13002561</v>
      </c>
      <c r="E117">
        <v>13</v>
      </c>
      <c r="F117">
        <v>22589</v>
      </c>
      <c r="G117" t="s">
        <v>23</v>
      </c>
      <c r="H117">
        <v>15</v>
      </c>
      <c r="I117">
        <v>54356</v>
      </c>
      <c r="J117" t="s">
        <v>96</v>
      </c>
      <c r="K117" t="s">
        <v>38</v>
      </c>
      <c r="L117" t="s">
        <v>29</v>
      </c>
      <c r="M117">
        <v>1</v>
      </c>
      <c r="N117">
        <v>35.1</v>
      </c>
      <c r="O117">
        <v>51.84</v>
      </c>
      <c r="P117">
        <v>5.18</v>
      </c>
      <c r="Q117">
        <v>5.18</v>
      </c>
      <c r="R117" t="s">
        <v>30</v>
      </c>
      <c r="S117">
        <v>29</v>
      </c>
      <c r="T117">
        <v>1</v>
      </c>
      <c r="U117">
        <v>4</v>
      </c>
      <c r="V117">
        <v>46.66</v>
      </c>
      <c r="W117">
        <v>13130000115</v>
      </c>
    </row>
    <row r="118" spans="1:23" x14ac:dyDescent="0.2">
      <c r="A118" s="1">
        <v>44785</v>
      </c>
      <c r="B118" s="2">
        <v>0.36432870370370368</v>
      </c>
      <c r="C118">
        <v>1116</v>
      </c>
      <c r="D118">
        <v>13002561</v>
      </c>
      <c r="E118">
        <v>13</v>
      </c>
      <c r="F118">
        <v>22589</v>
      </c>
      <c r="G118" t="s">
        <v>23</v>
      </c>
      <c r="H118">
        <v>15</v>
      </c>
      <c r="I118">
        <v>78542</v>
      </c>
      <c r="J118" t="s">
        <v>54</v>
      </c>
      <c r="K118" t="s">
        <v>45</v>
      </c>
      <c r="L118" t="s">
        <v>39</v>
      </c>
      <c r="M118">
        <v>3</v>
      </c>
      <c r="N118">
        <v>437.8</v>
      </c>
      <c r="O118">
        <v>588.19000000000005</v>
      </c>
      <c r="P118">
        <v>0</v>
      </c>
      <c r="Q118">
        <v>0</v>
      </c>
      <c r="S118">
        <v>29</v>
      </c>
      <c r="T118">
        <v>1</v>
      </c>
      <c r="U118">
        <v>4</v>
      </c>
      <c r="V118">
        <v>588.19000000000005</v>
      </c>
      <c r="W118">
        <v>13130000116</v>
      </c>
    </row>
    <row r="119" spans="1:23" x14ac:dyDescent="0.2">
      <c r="A119" s="1">
        <v>44783</v>
      </c>
      <c r="B119" s="2">
        <v>0.3538310185185185</v>
      </c>
      <c r="C119">
        <v>1117</v>
      </c>
      <c r="D119">
        <v>13002561</v>
      </c>
      <c r="E119">
        <v>13</v>
      </c>
      <c r="F119">
        <v>22589</v>
      </c>
      <c r="G119" t="s">
        <v>23</v>
      </c>
      <c r="H119">
        <v>15</v>
      </c>
      <c r="I119">
        <v>87319</v>
      </c>
      <c r="J119" t="s">
        <v>27</v>
      </c>
      <c r="K119" t="s">
        <v>44</v>
      </c>
      <c r="L119" t="s">
        <v>34</v>
      </c>
      <c r="M119">
        <v>2</v>
      </c>
      <c r="N119">
        <v>386.02</v>
      </c>
      <c r="O119">
        <v>556.55999999999995</v>
      </c>
      <c r="P119">
        <v>55.66</v>
      </c>
      <c r="Q119">
        <v>55.66</v>
      </c>
      <c r="R119" t="s">
        <v>30</v>
      </c>
      <c r="S119">
        <v>29</v>
      </c>
      <c r="T119">
        <v>1</v>
      </c>
      <c r="U119">
        <v>1</v>
      </c>
      <c r="V119">
        <v>500.9</v>
      </c>
      <c r="W119">
        <v>13130000117</v>
      </c>
    </row>
    <row r="120" spans="1:23" x14ac:dyDescent="0.2">
      <c r="A120" s="1">
        <v>44783</v>
      </c>
      <c r="B120" s="2">
        <v>0.68759259259259264</v>
      </c>
      <c r="C120">
        <v>1118</v>
      </c>
      <c r="D120">
        <v>13002561</v>
      </c>
      <c r="E120">
        <v>13</v>
      </c>
      <c r="F120">
        <v>22589</v>
      </c>
      <c r="G120" t="s">
        <v>23</v>
      </c>
      <c r="H120">
        <v>18</v>
      </c>
      <c r="I120">
        <v>63303</v>
      </c>
      <c r="J120" t="s">
        <v>83</v>
      </c>
      <c r="K120" t="s">
        <v>45</v>
      </c>
      <c r="L120" t="s">
        <v>34</v>
      </c>
      <c r="M120">
        <v>3</v>
      </c>
      <c r="N120">
        <v>7.2</v>
      </c>
      <c r="O120">
        <v>10.130000000000001</v>
      </c>
      <c r="P120">
        <v>0.51</v>
      </c>
      <c r="Q120">
        <v>0.51</v>
      </c>
      <c r="R120" t="s">
        <v>30</v>
      </c>
      <c r="S120">
        <v>29</v>
      </c>
      <c r="T120">
        <v>1</v>
      </c>
      <c r="U120">
        <v>2</v>
      </c>
      <c r="V120">
        <v>9.6199999999999992</v>
      </c>
      <c r="W120">
        <v>13130000118</v>
      </c>
    </row>
    <row r="121" spans="1:23" x14ac:dyDescent="0.2">
      <c r="A121" s="1">
        <v>44791</v>
      </c>
      <c r="B121" s="2">
        <v>0.54054398148148153</v>
      </c>
      <c r="C121">
        <v>1119</v>
      </c>
      <c r="D121">
        <v>13002561</v>
      </c>
      <c r="E121">
        <v>13</v>
      </c>
      <c r="F121">
        <v>22589</v>
      </c>
      <c r="G121" t="s">
        <v>23</v>
      </c>
      <c r="H121">
        <v>15</v>
      </c>
      <c r="I121">
        <v>78844</v>
      </c>
      <c r="J121" t="s">
        <v>88</v>
      </c>
      <c r="K121" t="s">
        <v>38</v>
      </c>
      <c r="L121" t="s">
        <v>39</v>
      </c>
      <c r="M121">
        <v>2</v>
      </c>
      <c r="N121">
        <v>363.88</v>
      </c>
      <c r="O121">
        <v>519.54</v>
      </c>
      <c r="P121">
        <v>0</v>
      </c>
      <c r="Q121">
        <v>0</v>
      </c>
      <c r="S121">
        <v>29</v>
      </c>
      <c r="T121">
        <v>1</v>
      </c>
      <c r="U121">
        <v>5</v>
      </c>
      <c r="V121">
        <v>519.54</v>
      </c>
      <c r="W121">
        <v>13130000119</v>
      </c>
    </row>
    <row r="122" spans="1:23" x14ac:dyDescent="0.2">
      <c r="A122" s="1">
        <v>44782</v>
      </c>
      <c r="B122" s="2">
        <v>0.46892361111111108</v>
      </c>
      <c r="C122">
        <v>1120</v>
      </c>
      <c r="D122">
        <v>13002561</v>
      </c>
      <c r="E122">
        <v>13</v>
      </c>
      <c r="F122">
        <v>22589</v>
      </c>
      <c r="G122" t="s">
        <v>23</v>
      </c>
      <c r="H122">
        <v>15</v>
      </c>
      <c r="I122">
        <v>73936</v>
      </c>
      <c r="J122" t="s">
        <v>102</v>
      </c>
      <c r="K122" t="s">
        <v>44</v>
      </c>
      <c r="L122" t="s">
        <v>26</v>
      </c>
      <c r="M122">
        <v>2</v>
      </c>
      <c r="N122">
        <v>320.57</v>
      </c>
      <c r="O122">
        <v>413.33</v>
      </c>
      <c r="P122">
        <v>41.33</v>
      </c>
      <c r="Q122">
        <v>41.33</v>
      </c>
      <c r="R122" t="s">
        <v>30</v>
      </c>
      <c r="S122">
        <v>29</v>
      </c>
      <c r="T122">
        <v>1</v>
      </c>
      <c r="U122">
        <v>6</v>
      </c>
      <c r="V122">
        <v>372</v>
      </c>
      <c r="W122">
        <v>13130000120</v>
      </c>
    </row>
    <row r="123" spans="1:23" x14ac:dyDescent="0.2">
      <c r="A123" s="1">
        <v>44801</v>
      </c>
      <c r="B123" s="2">
        <v>0.7993865740740741</v>
      </c>
      <c r="C123">
        <v>1121</v>
      </c>
      <c r="D123">
        <v>13002561</v>
      </c>
      <c r="E123">
        <v>13</v>
      </c>
      <c r="F123">
        <v>22589</v>
      </c>
      <c r="G123" t="s">
        <v>23</v>
      </c>
      <c r="H123">
        <v>15</v>
      </c>
      <c r="I123">
        <v>93719</v>
      </c>
      <c r="J123" t="s">
        <v>85</v>
      </c>
      <c r="K123" t="s">
        <v>44</v>
      </c>
      <c r="L123" t="s">
        <v>26</v>
      </c>
      <c r="M123">
        <v>3</v>
      </c>
      <c r="N123">
        <v>51.94</v>
      </c>
      <c r="O123">
        <v>79.790000000000006</v>
      </c>
      <c r="P123">
        <v>3.99</v>
      </c>
      <c r="Q123">
        <v>3.99</v>
      </c>
      <c r="R123" t="s">
        <v>30</v>
      </c>
      <c r="S123">
        <v>29</v>
      </c>
      <c r="T123">
        <v>1</v>
      </c>
      <c r="U123">
        <v>2</v>
      </c>
      <c r="V123">
        <v>75.8</v>
      </c>
      <c r="W123">
        <v>13130000121</v>
      </c>
    </row>
    <row r="124" spans="1:23" x14ac:dyDescent="0.2">
      <c r="A124" s="1">
        <v>44800</v>
      </c>
      <c r="B124" s="2">
        <v>0.38437500000000002</v>
      </c>
      <c r="C124">
        <v>1122</v>
      </c>
      <c r="D124">
        <v>13002561</v>
      </c>
      <c r="E124">
        <v>13</v>
      </c>
      <c r="F124">
        <v>22589</v>
      </c>
      <c r="G124" t="s">
        <v>23</v>
      </c>
      <c r="H124">
        <v>18</v>
      </c>
      <c r="I124">
        <v>33792</v>
      </c>
      <c r="J124" t="s">
        <v>58</v>
      </c>
      <c r="K124" t="s">
        <v>45</v>
      </c>
      <c r="L124" t="s">
        <v>47</v>
      </c>
      <c r="M124">
        <v>2</v>
      </c>
      <c r="N124">
        <v>174.59</v>
      </c>
      <c r="O124">
        <v>267.56</v>
      </c>
      <c r="P124">
        <v>0</v>
      </c>
      <c r="Q124">
        <v>0</v>
      </c>
      <c r="S124">
        <v>29</v>
      </c>
      <c r="T124">
        <v>1</v>
      </c>
      <c r="U124">
        <v>2</v>
      </c>
      <c r="V124">
        <v>267.56</v>
      </c>
      <c r="W124">
        <v>13130000122</v>
      </c>
    </row>
    <row r="125" spans="1:23" x14ac:dyDescent="0.2">
      <c r="A125" s="1">
        <v>44784</v>
      </c>
      <c r="B125" s="2">
        <v>0.52385416666666662</v>
      </c>
      <c r="C125">
        <v>1123</v>
      </c>
      <c r="D125">
        <v>13002561</v>
      </c>
      <c r="E125">
        <v>13</v>
      </c>
      <c r="F125">
        <v>22589</v>
      </c>
      <c r="G125" t="s">
        <v>23</v>
      </c>
      <c r="H125">
        <v>18</v>
      </c>
      <c r="I125">
        <v>73515</v>
      </c>
      <c r="J125" t="s">
        <v>73</v>
      </c>
      <c r="K125" t="s">
        <v>60</v>
      </c>
      <c r="L125" t="s">
        <v>51</v>
      </c>
      <c r="M125">
        <v>2</v>
      </c>
      <c r="N125">
        <v>575.28</v>
      </c>
      <c r="O125">
        <v>792.83</v>
      </c>
      <c r="P125">
        <v>79.28</v>
      </c>
      <c r="Q125">
        <v>79.28</v>
      </c>
      <c r="R125" t="s">
        <v>30</v>
      </c>
      <c r="S125">
        <v>29</v>
      </c>
      <c r="T125">
        <v>1</v>
      </c>
      <c r="U125">
        <v>3</v>
      </c>
      <c r="V125">
        <v>713.55</v>
      </c>
      <c r="W125">
        <v>13130000123</v>
      </c>
    </row>
    <row r="126" spans="1:23" x14ac:dyDescent="0.2">
      <c r="A126" s="1">
        <v>44802</v>
      </c>
      <c r="B126" s="2">
        <v>0.37336805555555558</v>
      </c>
      <c r="C126">
        <v>1124</v>
      </c>
      <c r="D126">
        <v>13002561</v>
      </c>
      <c r="E126">
        <v>13</v>
      </c>
      <c r="F126">
        <v>22589</v>
      </c>
      <c r="G126" t="s">
        <v>23</v>
      </c>
      <c r="H126">
        <v>18</v>
      </c>
      <c r="I126">
        <v>45056</v>
      </c>
      <c r="J126" t="s">
        <v>62</v>
      </c>
      <c r="K126" t="s">
        <v>44</v>
      </c>
      <c r="L126" t="s">
        <v>32</v>
      </c>
      <c r="M126">
        <v>2</v>
      </c>
      <c r="N126">
        <v>185.94</v>
      </c>
      <c r="O126">
        <v>306.06</v>
      </c>
      <c r="P126">
        <v>30.61</v>
      </c>
      <c r="Q126">
        <v>30.61</v>
      </c>
      <c r="R126" t="s">
        <v>30</v>
      </c>
      <c r="S126">
        <v>29</v>
      </c>
      <c r="T126">
        <v>1</v>
      </c>
      <c r="U126">
        <v>6</v>
      </c>
      <c r="V126">
        <v>275.45</v>
      </c>
      <c r="W126">
        <v>13130000124</v>
      </c>
    </row>
    <row r="127" spans="1:23" x14ac:dyDescent="0.2">
      <c r="A127" s="1">
        <v>44780</v>
      </c>
      <c r="B127" s="2">
        <v>0.86476851851851855</v>
      </c>
      <c r="C127">
        <v>1125</v>
      </c>
      <c r="D127">
        <v>13002561</v>
      </c>
      <c r="E127">
        <v>13</v>
      </c>
      <c r="F127">
        <v>22589</v>
      </c>
      <c r="G127" t="s">
        <v>23</v>
      </c>
      <c r="H127">
        <v>15</v>
      </c>
      <c r="I127">
        <v>88229</v>
      </c>
      <c r="J127" t="s">
        <v>53</v>
      </c>
      <c r="K127" t="s">
        <v>28</v>
      </c>
      <c r="L127" t="s">
        <v>34</v>
      </c>
      <c r="M127">
        <v>3</v>
      </c>
      <c r="N127">
        <v>111.34</v>
      </c>
      <c r="O127">
        <v>159.4</v>
      </c>
      <c r="P127">
        <v>15.94</v>
      </c>
      <c r="Q127">
        <v>15.94</v>
      </c>
      <c r="R127" t="s">
        <v>30</v>
      </c>
      <c r="S127">
        <v>29</v>
      </c>
      <c r="T127">
        <v>1</v>
      </c>
      <c r="U127">
        <v>2</v>
      </c>
      <c r="V127">
        <v>143.46</v>
      </c>
      <c r="W127">
        <v>13130000125</v>
      </c>
    </row>
    <row r="128" spans="1:23" x14ac:dyDescent="0.2">
      <c r="A128" s="1">
        <v>44780</v>
      </c>
      <c r="B128" s="2">
        <v>0.71990740740740744</v>
      </c>
      <c r="C128">
        <v>1126</v>
      </c>
      <c r="D128">
        <v>13002561</v>
      </c>
      <c r="E128">
        <v>13</v>
      </c>
      <c r="F128">
        <v>22589</v>
      </c>
      <c r="G128" t="s">
        <v>23</v>
      </c>
      <c r="H128">
        <v>15</v>
      </c>
      <c r="I128">
        <v>96608</v>
      </c>
      <c r="J128" t="s">
        <v>78</v>
      </c>
      <c r="K128" t="s">
        <v>28</v>
      </c>
      <c r="L128" t="s">
        <v>32</v>
      </c>
      <c r="M128">
        <v>2</v>
      </c>
      <c r="N128">
        <v>366.81</v>
      </c>
      <c r="O128">
        <v>458.86</v>
      </c>
      <c r="P128">
        <v>0</v>
      </c>
      <c r="Q128">
        <v>0</v>
      </c>
      <c r="S128">
        <v>29</v>
      </c>
      <c r="T128">
        <v>1</v>
      </c>
      <c r="U128">
        <v>4</v>
      </c>
      <c r="V128">
        <v>458.86</v>
      </c>
      <c r="W128">
        <v>13130000126</v>
      </c>
    </row>
    <row r="129" spans="1:23" x14ac:dyDescent="0.2">
      <c r="A129" s="1">
        <v>44793</v>
      </c>
      <c r="B129" s="2">
        <v>0.6705902777777778</v>
      </c>
      <c r="C129">
        <v>1127</v>
      </c>
      <c r="D129">
        <v>13002561</v>
      </c>
      <c r="E129">
        <v>13</v>
      </c>
      <c r="F129">
        <v>22589</v>
      </c>
      <c r="G129" t="s">
        <v>23</v>
      </c>
      <c r="H129">
        <v>18</v>
      </c>
      <c r="I129">
        <v>50280</v>
      </c>
      <c r="J129" t="s">
        <v>31</v>
      </c>
      <c r="K129" t="s">
        <v>45</v>
      </c>
      <c r="L129" t="s">
        <v>32</v>
      </c>
      <c r="M129">
        <v>3</v>
      </c>
      <c r="N129">
        <v>343.96</v>
      </c>
      <c r="O129">
        <v>567.11</v>
      </c>
      <c r="P129">
        <v>0</v>
      </c>
      <c r="Q129">
        <v>0</v>
      </c>
      <c r="S129">
        <v>29</v>
      </c>
      <c r="T129">
        <v>1</v>
      </c>
      <c r="U129">
        <v>2</v>
      </c>
      <c r="V129">
        <v>567.11</v>
      </c>
      <c r="W129">
        <v>13130000127</v>
      </c>
    </row>
    <row r="130" spans="1:23" x14ac:dyDescent="0.2">
      <c r="A130" s="1">
        <v>44789</v>
      </c>
      <c r="B130" s="2">
        <v>0.37620370370370371</v>
      </c>
      <c r="C130">
        <v>1128</v>
      </c>
      <c r="D130">
        <v>13002561</v>
      </c>
      <c r="E130">
        <v>13</v>
      </c>
      <c r="F130">
        <v>22589</v>
      </c>
      <c r="G130" t="s">
        <v>23</v>
      </c>
      <c r="H130">
        <v>18</v>
      </c>
      <c r="I130">
        <v>62823</v>
      </c>
      <c r="J130" t="s">
        <v>58</v>
      </c>
      <c r="K130" t="s">
        <v>45</v>
      </c>
      <c r="L130" t="s">
        <v>39</v>
      </c>
      <c r="M130">
        <v>1</v>
      </c>
      <c r="N130">
        <v>359.69</v>
      </c>
      <c r="O130">
        <v>526.48</v>
      </c>
      <c r="P130">
        <v>0</v>
      </c>
      <c r="Q130">
        <v>0</v>
      </c>
      <c r="S130">
        <v>29</v>
      </c>
      <c r="T130">
        <v>1</v>
      </c>
      <c r="U130">
        <v>6</v>
      </c>
      <c r="V130">
        <v>526.48</v>
      </c>
      <c r="W130">
        <v>13130000128</v>
      </c>
    </row>
    <row r="131" spans="1:23" x14ac:dyDescent="0.2">
      <c r="A131" s="1">
        <v>44803</v>
      </c>
      <c r="B131" s="2">
        <v>0.73767361111111107</v>
      </c>
      <c r="C131">
        <v>1129</v>
      </c>
      <c r="D131">
        <v>13002561</v>
      </c>
      <c r="E131">
        <v>13</v>
      </c>
      <c r="F131">
        <v>22589</v>
      </c>
      <c r="G131" t="s">
        <v>23</v>
      </c>
      <c r="H131">
        <v>18</v>
      </c>
      <c r="I131">
        <v>55978</v>
      </c>
      <c r="J131" t="s">
        <v>71</v>
      </c>
      <c r="K131" t="s">
        <v>45</v>
      </c>
      <c r="L131" t="s">
        <v>32</v>
      </c>
      <c r="M131">
        <v>2</v>
      </c>
      <c r="N131">
        <v>273.31</v>
      </c>
      <c r="O131">
        <v>426.45</v>
      </c>
      <c r="P131">
        <v>42.65</v>
      </c>
      <c r="Q131">
        <v>42.65</v>
      </c>
      <c r="R131" t="s">
        <v>30</v>
      </c>
      <c r="S131">
        <v>29</v>
      </c>
      <c r="T131">
        <v>1</v>
      </c>
      <c r="U131">
        <v>3</v>
      </c>
      <c r="V131">
        <v>383.8</v>
      </c>
      <c r="W131">
        <v>13130000129</v>
      </c>
    </row>
    <row r="132" spans="1:23" x14ac:dyDescent="0.2">
      <c r="A132" s="1">
        <v>44786</v>
      </c>
      <c r="B132" s="2">
        <v>0.7772337962962963</v>
      </c>
      <c r="C132">
        <v>1130</v>
      </c>
      <c r="D132">
        <v>13002561</v>
      </c>
      <c r="E132">
        <v>13</v>
      </c>
      <c r="F132">
        <v>22589</v>
      </c>
      <c r="G132" t="s">
        <v>23</v>
      </c>
      <c r="H132">
        <v>15</v>
      </c>
      <c r="I132">
        <v>94420</v>
      </c>
      <c r="J132" t="s">
        <v>92</v>
      </c>
      <c r="K132" t="s">
        <v>28</v>
      </c>
      <c r="L132" t="s">
        <v>34</v>
      </c>
      <c r="M132">
        <v>3</v>
      </c>
      <c r="N132">
        <v>371.64</v>
      </c>
      <c r="O132">
        <v>528.79999999999995</v>
      </c>
      <c r="P132">
        <v>52.88</v>
      </c>
      <c r="Q132">
        <v>52.88</v>
      </c>
      <c r="R132" t="s">
        <v>30</v>
      </c>
      <c r="S132">
        <v>29</v>
      </c>
      <c r="T132">
        <v>1</v>
      </c>
      <c r="U132">
        <v>5</v>
      </c>
      <c r="V132">
        <v>475.92</v>
      </c>
      <c r="W132">
        <v>13130000130</v>
      </c>
    </row>
    <row r="133" spans="1:23" x14ac:dyDescent="0.2">
      <c r="A133" s="1">
        <v>44774</v>
      </c>
      <c r="B133" s="2">
        <v>0.91981481481481486</v>
      </c>
      <c r="C133">
        <v>1131</v>
      </c>
      <c r="D133">
        <v>13002561</v>
      </c>
      <c r="E133">
        <v>13</v>
      </c>
      <c r="F133">
        <v>22589</v>
      </c>
      <c r="G133" t="s">
        <v>23</v>
      </c>
      <c r="H133">
        <v>15</v>
      </c>
      <c r="I133">
        <v>49609</v>
      </c>
      <c r="J133" t="s">
        <v>100</v>
      </c>
      <c r="K133" t="s">
        <v>60</v>
      </c>
      <c r="L133" t="s">
        <v>29</v>
      </c>
      <c r="M133">
        <v>2</v>
      </c>
      <c r="N133">
        <v>386.95</v>
      </c>
      <c r="O133">
        <v>603.89</v>
      </c>
      <c r="P133">
        <v>0</v>
      </c>
      <c r="Q133">
        <v>0</v>
      </c>
      <c r="S133">
        <v>29</v>
      </c>
      <c r="T133">
        <v>1</v>
      </c>
      <c r="U133">
        <v>2</v>
      </c>
      <c r="V133">
        <v>603.89</v>
      </c>
      <c r="W133">
        <v>13130000131</v>
      </c>
    </row>
    <row r="134" spans="1:23" x14ac:dyDescent="0.2">
      <c r="A134" s="1">
        <v>44790</v>
      </c>
      <c r="B134" s="2">
        <v>0.75723379629629628</v>
      </c>
      <c r="C134">
        <v>1132</v>
      </c>
      <c r="D134">
        <v>13002561</v>
      </c>
      <c r="E134">
        <v>13</v>
      </c>
      <c r="F134">
        <v>22589</v>
      </c>
      <c r="G134" t="s">
        <v>23</v>
      </c>
      <c r="H134">
        <v>15</v>
      </c>
      <c r="I134">
        <v>14968</v>
      </c>
      <c r="J134" t="s">
        <v>101</v>
      </c>
      <c r="K134" t="s">
        <v>38</v>
      </c>
      <c r="L134" t="s">
        <v>32</v>
      </c>
      <c r="M134">
        <v>1</v>
      </c>
      <c r="N134">
        <v>516.61</v>
      </c>
      <c r="O134">
        <v>716.73</v>
      </c>
      <c r="P134">
        <v>0</v>
      </c>
      <c r="Q134">
        <v>0</v>
      </c>
      <c r="S134">
        <v>29</v>
      </c>
      <c r="T134">
        <v>1</v>
      </c>
      <c r="U134">
        <v>3</v>
      </c>
      <c r="V134">
        <v>716.73</v>
      </c>
      <c r="W134">
        <v>13130000132</v>
      </c>
    </row>
    <row r="135" spans="1:23" x14ac:dyDescent="0.2">
      <c r="A135" s="1">
        <v>44784</v>
      </c>
      <c r="B135" s="2">
        <v>0.33348379629629632</v>
      </c>
      <c r="C135">
        <v>1133</v>
      </c>
      <c r="D135">
        <v>13002561</v>
      </c>
      <c r="E135">
        <v>13</v>
      </c>
      <c r="F135">
        <v>22589</v>
      </c>
      <c r="G135" t="s">
        <v>23</v>
      </c>
      <c r="H135">
        <v>18</v>
      </c>
      <c r="I135">
        <v>71607</v>
      </c>
      <c r="J135" t="s">
        <v>103</v>
      </c>
      <c r="K135" t="s">
        <v>45</v>
      </c>
      <c r="L135" t="s">
        <v>51</v>
      </c>
      <c r="M135">
        <v>3</v>
      </c>
      <c r="N135">
        <v>265.23</v>
      </c>
      <c r="O135">
        <v>352.04</v>
      </c>
      <c r="P135">
        <v>0</v>
      </c>
      <c r="Q135">
        <v>0</v>
      </c>
      <c r="S135">
        <v>29</v>
      </c>
      <c r="T135">
        <v>1</v>
      </c>
      <c r="U135">
        <v>6</v>
      </c>
      <c r="V135">
        <v>352.04</v>
      </c>
      <c r="W135">
        <v>13130000133</v>
      </c>
    </row>
    <row r="136" spans="1:23" x14ac:dyDescent="0.2">
      <c r="A136" s="1">
        <v>44799</v>
      </c>
      <c r="B136" s="2">
        <v>0.33916666666666673</v>
      </c>
      <c r="C136">
        <v>1134</v>
      </c>
      <c r="D136">
        <v>13002561</v>
      </c>
      <c r="E136">
        <v>13</v>
      </c>
      <c r="F136">
        <v>22589</v>
      </c>
      <c r="G136" t="s">
        <v>23</v>
      </c>
      <c r="H136">
        <v>15</v>
      </c>
      <c r="I136">
        <v>19973</v>
      </c>
      <c r="J136" t="s">
        <v>68</v>
      </c>
      <c r="K136" t="s">
        <v>44</v>
      </c>
      <c r="L136" t="s">
        <v>34</v>
      </c>
      <c r="M136">
        <v>1</v>
      </c>
      <c r="N136">
        <v>307.64999999999998</v>
      </c>
      <c r="O136">
        <v>414.6</v>
      </c>
      <c r="P136">
        <v>20.73</v>
      </c>
      <c r="Q136">
        <v>20.73</v>
      </c>
      <c r="R136" t="s">
        <v>30</v>
      </c>
      <c r="S136">
        <v>29</v>
      </c>
      <c r="T136">
        <v>1</v>
      </c>
      <c r="U136">
        <v>3</v>
      </c>
      <c r="V136">
        <v>393.87</v>
      </c>
      <c r="W136">
        <v>13130000134</v>
      </c>
    </row>
    <row r="137" spans="1:23" x14ac:dyDescent="0.2">
      <c r="A137" s="1">
        <v>44795</v>
      </c>
      <c r="B137" s="2">
        <v>0.5881481481481482</v>
      </c>
      <c r="C137">
        <v>1135</v>
      </c>
      <c r="D137">
        <v>13002561</v>
      </c>
      <c r="E137">
        <v>13</v>
      </c>
      <c r="F137">
        <v>22589</v>
      </c>
      <c r="G137" t="s">
        <v>23</v>
      </c>
      <c r="H137">
        <v>15</v>
      </c>
      <c r="I137">
        <v>33402</v>
      </c>
      <c r="J137" t="s">
        <v>42</v>
      </c>
      <c r="K137" t="s">
        <v>45</v>
      </c>
      <c r="L137" t="s">
        <v>32</v>
      </c>
      <c r="M137">
        <v>2</v>
      </c>
      <c r="N137">
        <v>350.55</v>
      </c>
      <c r="O137">
        <v>457.42</v>
      </c>
      <c r="P137">
        <v>45.74</v>
      </c>
      <c r="Q137">
        <v>45.74</v>
      </c>
      <c r="R137" t="s">
        <v>30</v>
      </c>
      <c r="S137">
        <v>29</v>
      </c>
      <c r="T137">
        <v>1</v>
      </c>
      <c r="U137">
        <v>3</v>
      </c>
      <c r="V137">
        <v>411.68</v>
      </c>
      <c r="W137">
        <v>13130000135</v>
      </c>
    </row>
    <row r="138" spans="1:23" x14ac:dyDescent="0.2">
      <c r="A138" s="1">
        <v>44776</v>
      </c>
      <c r="B138" s="2">
        <v>0.60288194444444443</v>
      </c>
      <c r="C138">
        <v>1136</v>
      </c>
      <c r="D138">
        <v>13002561</v>
      </c>
      <c r="E138">
        <v>13</v>
      </c>
      <c r="F138">
        <v>22589</v>
      </c>
      <c r="G138" t="s">
        <v>23</v>
      </c>
      <c r="H138">
        <v>15</v>
      </c>
      <c r="I138">
        <v>22022</v>
      </c>
      <c r="J138" t="s">
        <v>46</v>
      </c>
      <c r="K138" t="s">
        <v>45</v>
      </c>
      <c r="L138" t="s">
        <v>36</v>
      </c>
      <c r="M138">
        <v>3</v>
      </c>
      <c r="N138">
        <v>520.88</v>
      </c>
      <c r="O138">
        <v>759.37</v>
      </c>
      <c r="P138">
        <v>0</v>
      </c>
      <c r="Q138">
        <v>0</v>
      </c>
      <c r="S138">
        <v>29</v>
      </c>
      <c r="T138">
        <v>1</v>
      </c>
      <c r="U138">
        <v>1</v>
      </c>
      <c r="V138">
        <v>759.37</v>
      </c>
      <c r="W138">
        <v>13130000136</v>
      </c>
    </row>
    <row r="139" spans="1:23" x14ac:dyDescent="0.2">
      <c r="A139" s="1">
        <v>44804</v>
      </c>
      <c r="B139" s="2">
        <v>0.90391203703703704</v>
      </c>
      <c r="C139">
        <v>1137</v>
      </c>
      <c r="D139">
        <v>13002561</v>
      </c>
      <c r="E139">
        <v>13</v>
      </c>
      <c r="F139">
        <v>22589</v>
      </c>
      <c r="G139" t="s">
        <v>23</v>
      </c>
      <c r="H139">
        <v>18</v>
      </c>
      <c r="I139">
        <v>82426</v>
      </c>
      <c r="J139" t="s">
        <v>91</v>
      </c>
      <c r="K139" t="s">
        <v>45</v>
      </c>
      <c r="L139" t="s">
        <v>39</v>
      </c>
      <c r="M139">
        <v>2</v>
      </c>
      <c r="N139">
        <v>131.08000000000001</v>
      </c>
      <c r="O139">
        <v>220.65</v>
      </c>
      <c r="P139">
        <v>22.07</v>
      </c>
      <c r="Q139">
        <v>22.07</v>
      </c>
      <c r="R139" t="s">
        <v>30</v>
      </c>
      <c r="S139">
        <v>29</v>
      </c>
      <c r="T139">
        <v>1</v>
      </c>
      <c r="U139">
        <v>6</v>
      </c>
      <c r="V139">
        <v>198.58</v>
      </c>
      <c r="W139">
        <v>13130000137</v>
      </c>
    </row>
    <row r="140" spans="1:23" x14ac:dyDescent="0.2">
      <c r="A140" s="1">
        <v>44782</v>
      </c>
      <c r="B140" s="2">
        <v>0.82388888888888889</v>
      </c>
      <c r="C140">
        <v>1138</v>
      </c>
      <c r="D140">
        <v>13002561</v>
      </c>
      <c r="E140">
        <v>13</v>
      </c>
      <c r="F140">
        <v>22589</v>
      </c>
      <c r="G140" t="s">
        <v>23</v>
      </c>
      <c r="H140">
        <v>18</v>
      </c>
      <c r="I140">
        <v>16668</v>
      </c>
      <c r="J140" t="s">
        <v>58</v>
      </c>
      <c r="K140" t="s">
        <v>25</v>
      </c>
      <c r="L140" t="s">
        <v>51</v>
      </c>
      <c r="M140">
        <v>2</v>
      </c>
      <c r="N140">
        <v>84.14</v>
      </c>
      <c r="O140">
        <v>114.2</v>
      </c>
      <c r="P140">
        <v>11.42</v>
      </c>
      <c r="Q140">
        <v>11.42</v>
      </c>
      <c r="R140" t="s">
        <v>30</v>
      </c>
      <c r="S140">
        <v>29</v>
      </c>
      <c r="T140">
        <v>1</v>
      </c>
      <c r="U140">
        <v>2</v>
      </c>
      <c r="V140">
        <v>102.78</v>
      </c>
      <c r="W140">
        <v>13130000138</v>
      </c>
    </row>
    <row r="141" spans="1:23" x14ac:dyDescent="0.2">
      <c r="A141" s="1">
        <v>44802</v>
      </c>
      <c r="B141" s="2">
        <v>0.93909722222222225</v>
      </c>
      <c r="C141">
        <v>1139</v>
      </c>
      <c r="D141">
        <v>13002561</v>
      </c>
      <c r="E141">
        <v>13</v>
      </c>
      <c r="F141">
        <v>22589</v>
      </c>
      <c r="G141" t="s">
        <v>23</v>
      </c>
      <c r="H141">
        <v>18</v>
      </c>
      <c r="I141">
        <v>32829</v>
      </c>
      <c r="J141" t="s">
        <v>35</v>
      </c>
      <c r="K141" t="s">
        <v>38</v>
      </c>
      <c r="L141" t="s">
        <v>29</v>
      </c>
      <c r="M141">
        <v>3</v>
      </c>
      <c r="N141">
        <v>84.89</v>
      </c>
      <c r="O141">
        <v>106.67</v>
      </c>
      <c r="P141">
        <v>5.33</v>
      </c>
      <c r="Q141">
        <v>5.33</v>
      </c>
      <c r="R141" t="s">
        <v>30</v>
      </c>
      <c r="S141">
        <v>29</v>
      </c>
      <c r="T141">
        <v>1</v>
      </c>
      <c r="U141">
        <v>6</v>
      </c>
      <c r="V141">
        <v>101.34</v>
      </c>
      <c r="W141">
        <v>13130000139</v>
      </c>
    </row>
    <row r="142" spans="1:23" x14ac:dyDescent="0.2">
      <c r="A142" s="1">
        <v>44784</v>
      </c>
      <c r="B142" s="2">
        <v>0.41748842592592589</v>
      </c>
      <c r="C142">
        <v>1140</v>
      </c>
      <c r="D142">
        <v>13002561</v>
      </c>
      <c r="E142">
        <v>13</v>
      </c>
      <c r="F142">
        <v>22589</v>
      </c>
      <c r="G142" t="s">
        <v>23</v>
      </c>
      <c r="H142">
        <v>18</v>
      </c>
      <c r="I142">
        <v>82148</v>
      </c>
      <c r="J142" t="s">
        <v>104</v>
      </c>
      <c r="K142" t="s">
        <v>44</v>
      </c>
      <c r="L142" t="s">
        <v>29</v>
      </c>
      <c r="M142">
        <v>1</v>
      </c>
      <c r="N142">
        <v>406.17</v>
      </c>
      <c r="O142">
        <v>611.47</v>
      </c>
      <c r="P142">
        <v>30.57</v>
      </c>
      <c r="Q142">
        <v>30.57</v>
      </c>
      <c r="R142" t="s">
        <v>30</v>
      </c>
      <c r="S142">
        <v>29</v>
      </c>
      <c r="T142">
        <v>1</v>
      </c>
      <c r="U142">
        <v>3</v>
      </c>
      <c r="V142">
        <v>580.9</v>
      </c>
      <c r="W142">
        <v>13130000140</v>
      </c>
    </row>
    <row r="143" spans="1:23" x14ac:dyDescent="0.2">
      <c r="A143" s="1">
        <v>44780</v>
      </c>
      <c r="B143" s="2">
        <v>0.86572916666666666</v>
      </c>
      <c r="C143">
        <v>1141</v>
      </c>
      <c r="D143">
        <v>13002561</v>
      </c>
      <c r="E143">
        <v>13</v>
      </c>
      <c r="F143">
        <v>22589</v>
      </c>
      <c r="G143" t="s">
        <v>23</v>
      </c>
      <c r="H143">
        <v>15</v>
      </c>
      <c r="I143">
        <v>22035</v>
      </c>
      <c r="J143" t="s">
        <v>94</v>
      </c>
      <c r="K143" t="s">
        <v>38</v>
      </c>
      <c r="L143" t="s">
        <v>39</v>
      </c>
      <c r="M143">
        <v>1</v>
      </c>
      <c r="N143">
        <v>491.88</v>
      </c>
      <c r="O143">
        <v>615.41</v>
      </c>
      <c r="P143">
        <v>0</v>
      </c>
      <c r="Q143">
        <v>0</v>
      </c>
      <c r="S143">
        <v>29</v>
      </c>
      <c r="T143">
        <v>1</v>
      </c>
      <c r="U143">
        <v>2</v>
      </c>
      <c r="V143">
        <v>615.41</v>
      </c>
      <c r="W143">
        <v>13130000141</v>
      </c>
    </row>
    <row r="144" spans="1:23" x14ac:dyDescent="0.2">
      <c r="A144" s="1">
        <v>44779</v>
      </c>
      <c r="B144" s="2">
        <v>0.66840277777777779</v>
      </c>
      <c r="C144">
        <v>1142</v>
      </c>
      <c r="D144">
        <v>13002561</v>
      </c>
      <c r="E144">
        <v>13</v>
      </c>
      <c r="F144">
        <v>22589</v>
      </c>
      <c r="G144" t="s">
        <v>23</v>
      </c>
      <c r="H144">
        <v>15</v>
      </c>
      <c r="I144">
        <v>44962</v>
      </c>
      <c r="J144" t="s">
        <v>98</v>
      </c>
      <c r="K144" t="s">
        <v>60</v>
      </c>
      <c r="L144" t="s">
        <v>39</v>
      </c>
      <c r="M144">
        <v>3</v>
      </c>
      <c r="N144">
        <v>27.98</v>
      </c>
      <c r="O144">
        <v>41.45</v>
      </c>
      <c r="P144">
        <v>0</v>
      </c>
      <c r="Q144">
        <v>0</v>
      </c>
      <c r="S144">
        <v>29</v>
      </c>
      <c r="T144">
        <v>1</v>
      </c>
      <c r="U144">
        <v>3</v>
      </c>
      <c r="V144">
        <v>41.45</v>
      </c>
      <c r="W144">
        <v>13130000142</v>
      </c>
    </row>
    <row r="145" spans="1:23" x14ac:dyDescent="0.2">
      <c r="A145" s="1">
        <v>44779</v>
      </c>
      <c r="B145" s="2">
        <v>0.35282407407407412</v>
      </c>
      <c r="C145">
        <v>1143</v>
      </c>
      <c r="D145">
        <v>13002561</v>
      </c>
      <c r="E145">
        <v>13</v>
      </c>
      <c r="F145">
        <v>22589</v>
      </c>
      <c r="G145" t="s">
        <v>23</v>
      </c>
      <c r="H145">
        <v>18</v>
      </c>
      <c r="I145">
        <v>73355</v>
      </c>
      <c r="J145" t="s">
        <v>53</v>
      </c>
      <c r="K145" t="s">
        <v>60</v>
      </c>
      <c r="L145" t="s">
        <v>47</v>
      </c>
      <c r="M145">
        <v>3</v>
      </c>
      <c r="N145">
        <v>406.43</v>
      </c>
      <c r="O145">
        <v>622.1</v>
      </c>
      <c r="P145">
        <v>31.11</v>
      </c>
      <c r="Q145">
        <v>31.11</v>
      </c>
      <c r="R145" t="s">
        <v>30</v>
      </c>
      <c r="S145">
        <v>29</v>
      </c>
      <c r="T145">
        <v>1</v>
      </c>
      <c r="U145">
        <v>5</v>
      </c>
      <c r="V145">
        <v>590.99</v>
      </c>
      <c r="W145">
        <v>13130000143</v>
      </c>
    </row>
    <row r="146" spans="1:23" x14ac:dyDescent="0.2">
      <c r="A146" s="1">
        <v>44775</v>
      </c>
      <c r="B146" s="2">
        <v>0.38335648148148149</v>
      </c>
      <c r="C146">
        <v>1144</v>
      </c>
      <c r="D146">
        <v>13002561</v>
      </c>
      <c r="E146">
        <v>13</v>
      </c>
      <c r="F146">
        <v>22589</v>
      </c>
      <c r="G146" t="s">
        <v>23</v>
      </c>
      <c r="H146">
        <v>18</v>
      </c>
      <c r="I146">
        <v>33612</v>
      </c>
      <c r="J146" t="s">
        <v>59</v>
      </c>
      <c r="K146" t="s">
        <v>28</v>
      </c>
      <c r="L146" t="s">
        <v>26</v>
      </c>
      <c r="M146">
        <v>3</v>
      </c>
      <c r="N146">
        <v>556.21</v>
      </c>
      <c r="O146">
        <v>787.82</v>
      </c>
      <c r="P146">
        <v>78.78</v>
      </c>
      <c r="Q146">
        <v>78.78</v>
      </c>
      <c r="R146" t="s">
        <v>30</v>
      </c>
      <c r="S146">
        <v>29</v>
      </c>
      <c r="T146">
        <v>1</v>
      </c>
      <c r="U146">
        <v>2</v>
      </c>
      <c r="V146">
        <v>709.04</v>
      </c>
      <c r="W146">
        <v>13130000144</v>
      </c>
    </row>
    <row r="147" spans="1:23" x14ac:dyDescent="0.2">
      <c r="A147" s="1">
        <v>44800</v>
      </c>
      <c r="B147" s="2">
        <v>0.74967592592592591</v>
      </c>
      <c r="C147">
        <v>1145</v>
      </c>
      <c r="D147">
        <v>13002561</v>
      </c>
      <c r="E147">
        <v>13</v>
      </c>
      <c r="F147">
        <v>22589</v>
      </c>
      <c r="G147" t="s">
        <v>23</v>
      </c>
      <c r="H147">
        <v>18</v>
      </c>
      <c r="I147">
        <v>93823</v>
      </c>
      <c r="J147" t="s">
        <v>61</v>
      </c>
      <c r="K147" t="s">
        <v>38</v>
      </c>
      <c r="L147" t="s">
        <v>39</v>
      </c>
      <c r="M147">
        <v>1</v>
      </c>
      <c r="N147">
        <v>343.14</v>
      </c>
      <c r="O147">
        <v>504.88</v>
      </c>
      <c r="P147">
        <v>25.24</v>
      </c>
      <c r="Q147">
        <v>25.24</v>
      </c>
      <c r="R147" t="s">
        <v>30</v>
      </c>
      <c r="S147">
        <v>29</v>
      </c>
      <c r="T147">
        <v>1</v>
      </c>
      <c r="U147">
        <v>4</v>
      </c>
      <c r="V147">
        <v>479.64</v>
      </c>
      <c r="W147">
        <v>13130000145</v>
      </c>
    </row>
    <row r="148" spans="1:23" x14ac:dyDescent="0.2">
      <c r="A148" s="1">
        <v>44802</v>
      </c>
      <c r="B148" s="2">
        <v>0.82877314814814818</v>
      </c>
      <c r="C148">
        <v>1146</v>
      </c>
      <c r="D148">
        <v>13002561</v>
      </c>
      <c r="E148">
        <v>13</v>
      </c>
      <c r="F148">
        <v>22589</v>
      </c>
      <c r="G148" t="s">
        <v>23</v>
      </c>
      <c r="H148">
        <v>15</v>
      </c>
      <c r="I148">
        <v>98676</v>
      </c>
      <c r="J148" t="s">
        <v>66</v>
      </c>
      <c r="K148" t="s">
        <v>25</v>
      </c>
      <c r="L148" t="s">
        <v>29</v>
      </c>
      <c r="M148">
        <v>3</v>
      </c>
      <c r="N148">
        <v>236.49</v>
      </c>
      <c r="O148">
        <v>400.99</v>
      </c>
      <c r="P148">
        <v>40.1</v>
      </c>
      <c r="Q148">
        <v>40.1</v>
      </c>
      <c r="R148" t="s">
        <v>30</v>
      </c>
      <c r="S148">
        <v>29</v>
      </c>
      <c r="T148">
        <v>1</v>
      </c>
      <c r="U148">
        <v>6</v>
      </c>
      <c r="V148">
        <v>360.89</v>
      </c>
      <c r="W148">
        <v>13130000146</v>
      </c>
    </row>
    <row r="149" spans="1:23" x14ac:dyDescent="0.2">
      <c r="A149" s="1">
        <v>44784</v>
      </c>
      <c r="B149" s="2">
        <v>0.8994212962962963</v>
      </c>
      <c r="C149">
        <v>1147</v>
      </c>
      <c r="D149">
        <v>13002561</v>
      </c>
      <c r="E149">
        <v>13</v>
      </c>
      <c r="F149">
        <v>22589</v>
      </c>
      <c r="G149" t="s">
        <v>23</v>
      </c>
      <c r="H149">
        <v>15</v>
      </c>
      <c r="I149">
        <v>91746</v>
      </c>
      <c r="J149" t="s">
        <v>92</v>
      </c>
      <c r="K149" t="s">
        <v>44</v>
      </c>
      <c r="L149" t="s">
        <v>51</v>
      </c>
      <c r="M149">
        <v>1</v>
      </c>
      <c r="N149">
        <v>553.83000000000004</v>
      </c>
      <c r="O149">
        <v>754.41</v>
      </c>
      <c r="P149">
        <v>37.72</v>
      </c>
      <c r="Q149">
        <v>37.72</v>
      </c>
      <c r="R149" t="s">
        <v>30</v>
      </c>
      <c r="S149">
        <v>29</v>
      </c>
      <c r="T149">
        <v>1</v>
      </c>
      <c r="U149">
        <v>1</v>
      </c>
      <c r="V149">
        <v>716.69</v>
      </c>
      <c r="W149">
        <v>13130000147</v>
      </c>
    </row>
    <row r="150" spans="1:23" x14ac:dyDescent="0.2">
      <c r="A150" s="1">
        <v>44774</v>
      </c>
      <c r="B150" s="2">
        <v>0.86305555555555558</v>
      </c>
      <c r="C150">
        <v>1148</v>
      </c>
      <c r="D150">
        <v>13002561</v>
      </c>
      <c r="E150">
        <v>13</v>
      </c>
      <c r="F150">
        <v>22589</v>
      </c>
      <c r="G150" t="s">
        <v>23</v>
      </c>
      <c r="H150">
        <v>18</v>
      </c>
      <c r="I150">
        <v>54953</v>
      </c>
      <c r="J150" t="s">
        <v>105</v>
      </c>
      <c r="K150" t="s">
        <v>45</v>
      </c>
      <c r="L150" t="s">
        <v>47</v>
      </c>
      <c r="M150">
        <v>2</v>
      </c>
      <c r="N150">
        <v>395.49</v>
      </c>
      <c r="O150">
        <v>550.91</v>
      </c>
      <c r="P150">
        <v>0</v>
      </c>
      <c r="Q150">
        <v>0</v>
      </c>
      <c r="S150">
        <v>29</v>
      </c>
      <c r="T150">
        <v>1</v>
      </c>
      <c r="U150">
        <v>4</v>
      </c>
      <c r="V150">
        <v>550.91</v>
      </c>
      <c r="W150">
        <v>13130000148</v>
      </c>
    </row>
    <row r="151" spans="1:23" x14ac:dyDescent="0.2">
      <c r="A151" s="1">
        <v>44780</v>
      </c>
      <c r="B151" s="2">
        <v>0.34741898148148148</v>
      </c>
      <c r="C151">
        <v>1149</v>
      </c>
      <c r="D151">
        <v>13002561</v>
      </c>
      <c r="E151">
        <v>13</v>
      </c>
      <c r="F151">
        <v>22589</v>
      </c>
      <c r="G151" t="s">
        <v>23</v>
      </c>
      <c r="H151">
        <v>18</v>
      </c>
      <c r="I151">
        <v>31717</v>
      </c>
      <c r="J151" t="s">
        <v>106</v>
      </c>
      <c r="K151" t="s">
        <v>38</v>
      </c>
      <c r="L151" t="s">
        <v>51</v>
      </c>
      <c r="M151">
        <v>3</v>
      </c>
      <c r="N151">
        <v>90.01</v>
      </c>
      <c r="O151">
        <v>119.88</v>
      </c>
      <c r="P151">
        <v>11.99</v>
      </c>
      <c r="Q151">
        <v>11.99</v>
      </c>
      <c r="R151" t="s">
        <v>30</v>
      </c>
      <c r="S151">
        <v>29</v>
      </c>
      <c r="T151">
        <v>1</v>
      </c>
      <c r="U151">
        <v>6</v>
      </c>
      <c r="V151">
        <v>107.89</v>
      </c>
      <c r="W151">
        <v>13130000149</v>
      </c>
    </row>
    <row r="152" spans="1:23" x14ac:dyDescent="0.2">
      <c r="A152" s="1">
        <v>44804</v>
      </c>
      <c r="B152" s="2">
        <v>0.36009259259259258</v>
      </c>
      <c r="C152">
        <v>1150</v>
      </c>
      <c r="D152">
        <v>13002561</v>
      </c>
      <c r="E152">
        <v>13</v>
      </c>
      <c r="F152">
        <v>22589</v>
      </c>
      <c r="G152" t="s">
        <v>23</v>
      </c>
      <c r="H152">
        <v>15</v>
      </c>
      <c r="I152">
        <v>45535</v>
      </c>
      <c r="J152" t="s">
        <v>107</v>
      </c>
      <c r="K152" t="s">
        <v>28</v>
      </c>
      <c r="L152" t="s">
        <v>36</v>
      </c>
      <c r="M152">
        <v>2</v>
      </c>
      <c r="N152">
        <v>9.4499999999999993</v>
      </c>
      <c r="O152">
        <v>12.8</v>
      </c>
      <c r="P152">
        <v>0</v>
      </c>
      <c r="Q152">
        <v>0</v>
      </c>
      <c r="S152">
        <v>29</v>
      </c>
      <c r="T152">
        <v>1</v>
      </c>
      <c r="U152">
        <v>3</v>
      </c>
      <c r="V152">
        <v>12.8</v>
      </c>
      <c r="W152">
        <v>13130000150</v>
      </c>
    </row>
    <row r="153" spans="1:23" x14ac:dyDescent="0.2">
      <c r="A153" s="1">
        <v>44783</v>
      </c>
      <c r="B153" s="2">
        <v>0.95165509259259262</v>
      </c>
      <c r="C153">
        <v>1151</v>
      </c>
      <c r="D153">
        <v>13002561</v>
      </c>
      <c r="E153">
        <v>13</v>
      </c>
      <c r="F153">
        <v>22589</v>
      </c>
      <c r="G153" t="s">
        <v>23</v>
      </c>
      <c r="H153">
        <v>18</v>
      </c>
      <c r="I153">
        <v>70077</v>
      </c>
      <c r="J153" t="s">
        <v>108</v>
      </c>
      <c r="K153" t="s">
        <v>44</v>
      </c>
      <c r="L153" t="s">
        <v>39</v>
      </c>
      <c r="M153">
        <v>1</v>
      </c>
      <c r="N153">
        <v>303.3</v>
      </c>
      <c r="O153">
        <v>491.11</v>
      </c>
      <c r="P153">
        <v>24.56</v>
      </c>
      <c r="Q153">
        <v>24.56</v>
      </c>
      <c r="R153" t="s">
        <v>30</v>
      </c>
      <c r="S153">
        <v>29</v>
      </c>
      <c r="T153">
        <v>1</v>
      </c>
      <c r="U153">
        <v>1</v>
      </c>
      <c r="V153">
        <v>466.55</v>
      </c>
      <c r="W153">
        <v>13130000151</v>
      </c>
    </row>
    <row r="154" spans="1:23" x14ac:dyDescent="0.2">
      <c r="A154" s="1">
        <v>44793</v>
      </c>
      <c r="B154" s="2">
        <v>0.69996527777777773</v>
      </c>
      <c r="C154">
        <v>1152</v>
      </c>
      <c r="D154">
        <v>13002561</v>
      </c>
      <c r="E154">
        <v>13</v>
      </c>
      <c r="F154">
        <v>22589</v>
      </c>
      <c r="G154" t="s">
        <v>23</v>
      </c>
      <c r="H154">
        <v>18</v>
      </c>
      <c r="I154">
        <v>22040</v>
      </c>
      <c r="J154" t="s">
        <v>85</v>
      </c>
      <c r="K154" t="s">
        <v>28</v>
      </c>
      <c r="L154" t="s">
        <v>32</v>
      </c>
      <c r="M154">
        <v>1</v>
      </c>
      <c r="N154">
        <v>371.48</v>
      </c>
      <c r="O154">
        <v>600.6</v>
      </c>
      <c r="P154">
        <v>0</v>
      </c>
      <c r="Q154">
        <v>0</v>
      </c>
      <c r="S154">
        <v>29</v>
      </c>
      <c r="T154">
        <v>1</v>
      </c>
      <c r="U154">
        <v>3</v>
      </c>
      <c r="V154">
        <v>600.6</v>
      </c>
      <c r="W154">
        <v>13130000152</v>
      </c>
    </row>
    <row r="155" spans="1:23" x14ac:dyDescent="0.2">
      <c r="A155" s="1">
        <v>44800</v>
      </c>
      <c r="B155" s="2">
        <v>0.33778935185185183</v>
      </c>
      <c r="C155">
        <v>1153</v>
      </c>
      <c r="D155">
        <v>13002561</v>
      </c>
      <c r="E155">
        <v>13</v>
      </c>
      <c r="F155">
        <v>22589</v>
      </c>
      <c r="G155" t="s">
        <v>23</v>
      </c>
      <c r="H155">
        <v>15</v>
      </c>
      <c r="I155">
        <v>90734</v>
      </c>
      <c r="J155" t="s">
        <v>103</v>
      </c>
      <c r="K155" t="s">
        <v>28</v>
      </c>
      <c r="L155" t="s">
        <v>39</v>
      </c>
      <c r="M155">
        <v>2</v>
      </c>
      <c r="N155">
        <v>592.92999999999995</v>
      </c>
      <c r="O155">
        <v>814.14</v>
      </c>
      <c r="P155">
        <v>81.41</v>
      </c>
      <c r="Q155">
        <v>81.41</v>
      </c>
      <c r="R155" t="s">
        <v>30</v>
      </c>
      <c r="S155">
        <v>29</v>
      </c>
      <c r="T155">
        <v>1</v>
      </c>
      <c r="U155">
        <v>6</v>
      </c>
      <c r="V155">
        <v>732.73</v>
      </c>
      <c r="W155">
        <v>13130000153</v>
      </c>
    </row>
    <row r="156" spans="1:23" x14ac:dyDescent="0.2">
      <c r="A156" s="1">
        <v>44792</v>
      </c>
      <c r="B156" s="2">
        <v>0.54190972222222222</v>
      </c>
      <c r="C156">
        <v>1154</v>
      </c>
      <c r="D156">
        <v>13002561</v>
      </c>
      <c r="E156">
        <v>13</v>
      </c>
      <c r="F156">
        <v>22589</v>
      </c>
      <c r="G156" t="s">
        <v>23</v>
      </c>
      <c r="H156">
        <v>18</v>
      </c>
      <c r="I156">
        <v>32849</v>
      </c>
      <c r="J156" t="s">
        <v>109</v>
      </c>
      <c r="K156" t="s">
        <v>28</v>
      </c>
      <c r="L156" t="s">
        <v>36</v>
      </c>
      <c r="M156">
        <v>3</v>
      </c>
      <c r="N156">
        <v>182.4</v>
      </c>
      <c r="O156">
        <v>239.97</v>
      </c>
      <c r="P156">
        <v>0</v>
      </c>
      <c r="Q156">
        <v>0</v>
      </c>
      <c r="S156">
        <v>29</v>
      </c>
      <c r="T156">
        <v>1</v>
      </c>
      <c r="U156">
        <v>3</v>
      </c>
      <c r="V156">
        <v>239.97</v>
      </c>
      <c r="W156">
        <v>13130000154</v>
      </c>
    </row>
    <row r="157" spans="1:23" x14ac:dyDescent="0.2">
      <c r="A157" s="1">
        <v>44794</v>
      </c>
      <c r="B157" s="2">
        <v>0.51349537037037041</v>
      </c>
      <c r="C157">
        <v>1155</v>
      </c>
      <c r="D157">
        <v>13002561</v>
      </c>
      <c r="E157">
        <v>13</v>
      </c>
      <c r="F157">
        <v>22589</v>
      </c>
      <c r="G157" t="s">
        <v>23</v>
      </c>
      <c r="H157">
        <v>18</v>
      </c>
      <c r="I157">
        <v>10587</v>
      </c>
      <c r="J157" t="s">
        <v>41</v>
      </c>
      <c r="K157" t="s">
        <v>38</v>
      </c>
      <c r="L157" t="s">
        <v>36</v>
      </c>
      <c r="M157">
        <v>2</v>
      </c>
      <c r="N157">
        <v>365.86</v>
      </c>
      <c r="O157">
        <v>506.27</v>
      </c>
      <c r="P157">
        <v>0</v>
      </c>
      <c r="Q157">
        <v>0</v>
      </c>
      <c r="S157">
        <v>29</v>
      </c>
      <c r="T157">
        <v>1</v>
      </c>
      <c r="U157">
        <v>4</v>
      </c>
      <c r="V157">
        <v>506.27</v>
      </c>
      <c r="W157">
        <v>13130000155</v>
      </c>
    </row>
    <row r="158" spans="1:23" x14ac:dyDescent="0.2">
      <c r="A158" s="1">
        <v>44791</v>
      </c>
      <c r="B158" s="2">
        <v>0.77765046296296292</v>
      </c>
      <c r="C158">
        <v>1156</v>
      </c>
      <c r="D158">
        <v>13002561</v>
      </c>
      <c r="E158">
        <v>13</v>
      </c>
      <c r="F158">
        <v>22589</v>
      </c>
      <c r="G158" t="s">
        <v>23</v>
      </c>
      <c r="H158">
        <v>15</v>
      </c>
      <c r="I158">
        <v>69547</v>
      </c>
      <c r="J158" t="s">
        <v>58</v>
      </c>
      <c r="K158" t="s">
        <v>38</v>
      </c>
      <c r="L158" t="s">
        <v>39</v>
      </c>
      <c r="M158">
        <v>2</v>
      </c>
      <c r="N158">
        <v>64.05</v>
      </c>
      <c r="O158">
        <v>98.48</v>
      </c>
      <c r="P158">
        <v>0</v>
      </c>
      <c r="Q158">
        <v>0</v>
      </c>
      <c r="S158">
        <v>29</v>
      </c>
      <c r="T158">
        <v>1</v>
      </c>
      <c r="U158">
        <v>3</v>
      </c>
      <c r="V158">
        <v>98.48</v>
      </c>
      <c r="W158">
        <v>13130000156</v>
      </c>
    </row>
    <row r="159" spans="1:23" x14ac:dyDescent="0.2">
      <c r="A159" s="1">
        <v>44784</v>
      </c>
      <c r="B159" s="2">
        <v>0.54456018518518523</v>
      </c>
      <c r="C159">
        <v>1157</v>
      </c>
      <c r="D159">
        <v>13002561</v>
      </c>
      <c r="E159">
        <v>13</v>
      </c>
      <c r="F159">
        <v>22589</v>
      </c>
      <c r="G159" t="s">
        <v>23</v>
      </c>
      <c r="H159">
        <v>18</v>
      </c>
      <c r="I159">
        <v>32546</v>
      </c>
      <c r="J159" t="s">
        <v>71</v>
      </c>
      <c r="K159" t="s">
        <v>38</v>
      </c>
      <c r="L159" t="s">
        <v>26</v>
      </c>
      <c r="M159">
        <v>1</v>
      </c>
      <c r="N159">
        <v>398.81</v>
      </c>
      <c r="O159">
        <v>515.39</v>
      </c>
      <c r="P159">
        <v>51.54</v>
      </c>
      <c r="Q159">
        <v>51.54</v>
      </c>
      <c r="R159" t="s">
        <v>30</v>
      </c>
      <c r="S159">
        <v>29</v>
      </c>
      <c r="T159">
        <v>1</v>
      </c>
      <c r="U159">
        <v>4</v>
      </c>
      <c r="V159">
        <v>463.85</v>
      </c>
      <c r="W159">
        <v>13130000157</v>
      </c>
    </row>
    <row r="160" spans="1:23" x14ac:dyDescent="0.2">
      <c r="A160" s="1">
        <v>44800</v>
      </c>
      <c r="B160" s="2">
        <v>0.67877314814814815</v>
      </c>
      <c r="C160">
        <v>1158</v>
      </c>
      <c r="D160">
        <v>13002561</v>
      </c>
      <c r="E160">
        <v>13</v>
      </c>
      <c r="F160">
        <v>22589</v>
      </c>
      <c r="G160" t="s">
        <v>23</v>
      </c>
      <c r="H160">
        <v>15</v>
      </c>
      <c r="I160">
        <v>76438</v>
      </c>
      <c r="J160" t="s">
        <v>73</v>
      </c>
      <c r="K160" t="s">
        <v>60</v>
      </c>
      <c r="L160" t="s">
        <v>51</v>
      </c>
      <c r="M160">
        <v>1</v>
      </c>
      <c r="N160">
        <v>296.27999999999997</v>
      </c>
      <c r="O160">
        <v>407.25</v>
      </c>
      <c r="P160">
        <v>40.729999999999997</v>
      </c>
      <c r="Q160">
        <v>40.729999999999997</v>
      </c>
      <c r="R160" t="s">
        <v>30</v>
      </c>
      <c r="S160">
        <v>29</v>
      </c>
      <c r="T160">
        <v>1</v>
      </c>
      <c r="U160">
        <v>5</v>
      </c>
      <c r="V160">
        <v>366.52</v>
      </c>
      <c r="W160">
        <v>13130000158</v>
      </c>
    </row>
    <row r="161" spans="1:23" x14ac:dyDescent="0.2">
      <c r="A161" s="1">
        <v>44784</v>
      </c>
      <c r="B161" s="2">
        <v>0.95299768518518524</v>
      </c>
      <c r="C161">
        <v>1159</v>
      </c>
      <c r="D161">
        <v>13002561</v>
      </c>
      <c r="E161">
        <v>13</v>
      </c>
      <c r="F161">
        <v>22589</v>
      </c>
      <c r="G161" t="s">
        <v>23</v>
      </c>
      <c r="H161">
        <v>15</v>
      </c>
      <c r="I161">
        <v>56967</v>
      </c>
      <c r="J161" t="s">
        <v>81</v>
      </c>
      <c r="K161" t="s">
        <v>60</v>
      </c>
      <c r="L161" t="s">
        <v>39</v>
      </c>
      <c r="M161">
        <v>2</v>
      </c>
      <c r="N161">
        <v>482.87</v>
      </c>
      <c r="O161">
        <v>656.86</v>
      </c>
      <c r="P161">
        <v>0</v>
      </c>
      <c r="Q161">
        <v>0</v>
      </c>
      <c r="S161">
        <v>29</v>
      </c>
      <c r="T161">
        <v>1</v>
      </c>
      <c r="U161">
        <v>3</v>
      </c>
      <c r="V161">
        <v>656.86</v>
      </c>
      <c r="W161">
        <v>13130000159</v>
      </c>
    </row>
    <row r="162" spans="1:23" x14ac:dyDescent="0.2">
      <c r="A162" s="1">
        <v>44789</v>
      </c>
      <c r="B162" s="2">
        <v>0.60326388888888893</v>
      </c>
      <c r="C162">
        <v>1160</v>
      </c>
      <c r="D162">
        <v>13002561</v>
      </c>
      <c r="E162">
        <v>13</v>
      </c>
      <c r="F162">
        <v>22589</v>
      </c>
      <c r="G162" t="s">
        <v>23</v>
      </c>
      <c r="H162">
        <v>18</v>
      </c>
      <c r="I162">
        <v>34421</v>
      </c>
      <c r="J162" t="s">
        <v>108</v>
      </c>
      <c r="K162" t="s">
        <v>38</v>
      </c>
      <c r="L162" t="s">
        <v>32</v>
      </c>
      <c r="M162">
        <v>3</v>
      </c>
      <c r="N162">
        <v>244.54</v>
      </c>
      <c r="O162">
        <v>334.46</v>
      </c>
      <c r="P162">
        <v>0</v>
      </c>
      <c r="Q162">
        <v>0</v>
      </c>
      <c r="S162">
        <v>29</v>
      </c>
      <c r="T162">
        <v>1</v>
      </c>
      <c r="U162">
        <v>5</v>
      </c>
      <c r="V162">
        <v>334.46</v>
      </c>
      <c r="W162">
        <v>13130000160</v>
      </c>
    </row>
    <row r="163" spans="1:23" x14ac:dyDescent="0.2">
      <c r="A163" s="1">
        <v>44804</v>
      </c>
      <c r="B163" s="2">
        <v>0.58871527777777777</v>
      </c>
      <c r="C163">
        <v>1161</v>
      </c>
      <c r="D163">
        <v>13002561</v>
      </c>
      <c r="E163">
        <v>13</v>
      </c>
      <c r="F163">
        <v>22589</v>
      </c>
      <c r="G163" t="s">
        <v>23</v>
      </c>
      <c r="H163">
        <v>18</v>
      </c>
      <c r="I163">
        <v>79137</v>
      </c>
      <c r="J163" t="s">
        <v>27</v>
      </c>
      <c r="K163" t="s">
        <v>28</v>
      </c>
      <c r="L163" t="s">
        <v>51</v>
      </c>
      <c r="M163">
        <v>3</v>
      </c>
      <c r="N163">
        <v>434.05</v>
      </c>
      <c r="O163">
        <v>618.79</v>
      </c>
      <c r="P163">
        <v>61.88</v>
      </c>
      <c r="Q163">
        <v>61.88</v>
      </c>
      <c r="R163" t="s">
        <v>30</v>
      </c>
      <c r="S163">
        <v>29</v>
      </c>
      <c r="T163">
        <v>1</v>
      </c>
      <c r="U163">
        <v>1</v>
      </c>
      <c r="V163">
        <v>556.91</v>
      </c>
      <c r="W163">
        <v>13130000161</v>
      </c>
    </row>
    <row r="164" spans="1:23" x14ac:dyDescent="0.2">
      <c r="A164" s="1">
        <v>44789</v>
      </c>
      <c r="B164" s="2">
        <v>0.45798611111111109</v>
      </c>
      <c r="C164">
        <v>1162</v>
      </c>
      <c r="D164">
        <v>13002561</v>
      </c>
      <c r="E164">
        <v>13</v>
      </c>
      <c r="F164">
        <v>22589</v>
      </c>
      <c r="G164" t="s">
        <v>23</v>
      </c>
      <c r="H164">
        <v>18</v>
      </c>
      <c r="I164">
        <v>40955</v>
      </c>
      <c r="J164" t="s">
        <v>87</v>
      </c>
      <c r="K164" t="s">
        <v>45</v>
      </c>
      <c r="L164" t="s">
        <v>36</v>
      </c>
      <c r="M164">
        <v>3</v>
      </c>
      <c r="N164">
        <v>473.64</v>
      </c>
      <c r="O164">
        <v>736.48</v>
      </c>
      <c r="P164">
        <v>36.82</v>
      </c>
      <c r="Q164">
        <v>36.82</v>
      </c>
      <c r="R164" t="s">
        <v>30</v>
      </c>
      <c r="S164">
        <v>29</v>
      </c>
      <c r="T164">
        <v>1</v>
      </c>
      <c r="U164">
        <v>5</v>
      </c>
      <c r="V164">
        <v>699.66</v>
      </c>
      <c r="W164">
        <v>13130000162</v>
      </c>
    </row>
    <row r="165" spans="1:23" x14ac:dyDescent="0.2">
      <c r="A165" s="1">
        <v>44788</v>
      </c>
      <c r="B165" s="2">
        <v>0.53543981481481484</v>
      </c>
      <c r="C165">
        <v>1163</v>
      </c>
      <c r="D165">
        <v>13002561</v>
      </c>
      <c r="E165">
        <v>13</v>
      </c>
      <c r="F165">
        <v>22589</v>
      </c>
      <c r="G165" t="s">
        <v>23</v>
      </c>
      <c r="H165">
        <v>18</v>
      </c>
      <c r="I165">
        <v>92795</v>
      </c>
      <c r="J165" t="s">
        <v>87</v>
      </c>
      <c r="K165" t="s">
        <v>60</v>
      </c>
      <c r="L165" t="s">
        <v>32</v>
      </c>
      <c r="M165">
        <v>1</v>
      </c>
      <c r="N165">
        <v>190.31</v>
      </c>
      <c r="O165">
        <v>309.29000000000002</v>
      </c>
      <c r="P165">
        <v>15.46</v>
      </c>
      <c r="Q165">
        <v>15.46</v>
      </c>
      <c r="R165" t="s">
        <v>30</v>
      </c>
      <c r="S165">
        <v>29</v>
      </c>
      <c r="T165">
        <v>1</v>
      </c>
      <c r="U165">
        <v>4</v>
      </c>
      <c r="V165">
        <v>293.83</v>
      </c>
      <c r="W165">
        <v>13130000163</v>
      </c>
    </row>
    <row r="166" spans="1:23" x14ac:dyDescent="0.2">
      <c r="A166" s="1">
        <v>44793</v>
      </c>
      <c r="B166" s="2">
        <v>0.45292824074074067</v>
      </c>
      <c r="C166">
        <v>1164</v>
      </c>
      <c r="D166">
        <v>13002561</v>
      </c>
      <c r="E166">
        <v>13</v>
      </c>
      <c r="F166">
        <v>22589</v>
      </c>
      <c r="G166" t="s">
        <v>23</v>
      </c>
      <c r="H166">
        <v>15</v>
      </c>
      <c r="I166">
        <v>70496</v>
      </c>
      <c r="J166" t="s">
        <v>46</v>
      </c>
      <c r="K166" t="s">
        <v>25</v>
      </c>
      <c r="L166" t="s">
        <v>34</v>
      </c>
      <c r="M166">
        <v>2</v>
      </c>
      <c r="N166">
        <v>291.57</v>
      </c>
      <c r="O166">
        <v>435.21</v>
      </c>
      <c r="P166">
        <v>43.52</v>
      </c>
      <c r="Q166">
        <v>43.52</v>
      </c>
      <c r="R166" t="s">
        <v>30</v>
      </c>
      <c r="S166">
        <v>29</v>
      </c>
      <c r="T166">
        <v>1</v>
      </c>
      <c r="U166">
        <v>3</v>
      </c>
      <c r="V166">
        <v>391.69</v>
      </c>
      <c r="W166">
        <v>13130000164</v>
      </c>
    </row>
    <row r="167" spans="1:23" x14ac:dyDescent="0.2">
      <c r="A167" s="1">
        <v>44793</v>
      </c>
      <c r="B167" s="2">
        <v>0.66675925925925927</v>
      </c>
      <c r="C167">
        <v>1165</v>
      </c>
      <c r="D167">
        <v>13002561</v>
      </c>
      <c r="E167">
        <v>13</v>
      </c>
      <c r="F167">
        <v>22589</v>
      </c>
      <c r="G167" t="s">
        <v>23</v>
      </c>
      <c r="H167">
        <v>18</v>
      </c>
      <c r="I167">
        <v>77219</v>
      </c>
      <c r="J167" t="s">
        <v>93</v>
      </c>
      <c r="K167" t="s">
        <v>60</v>
      </c>
      <c r="L167" t="s">
        <v>36</v>
      </c>
      <c r="M167">
        <v>1</v>
      </c>
      <c r="N167">
        <v>503.98</v>
      </c>
      <c r="O167">
        <v>748.09</v>
      </c>
      <c r="P167">
        <v>0</v>
      </c>
      <c r="Q167">
        <v>0</v>
      </c>
      <c r="S167">
        <v>29</v>
      </c>
      <c r="T167">
        <v>1</v>
      </c>
      <c r="U167">
        <v>1</v>
      </c>
      <c r="V167">
        <v>748.09</v>
      </c>
      <c r="W167">
        <v>13130000165</v>
      </c>
    </row>
    <row r="168" spans="1:23" x14ac:dyDescent="0.2">
      <c r="A168" s="1">
        <v>44791</v>
      </c>
      <c r="B168" s="2">
        <v>0.6605671296296296</v>
      </c>
      <c r="C168">
        <v>1166</v>
      </c>
      <c r="D168">
        <v>13002561</v>
      </c>
      <c r="E168">
        <v>13</v>
      </c>
      <c r="F168">
        <v>22589</v>
      </c>
      <c r="G168" t="s">
        <v>23</v>
      </c>
      <c r="H168">
        <v>18</v>
      </c>
      <c r="I168">
        <v>33544</v>
      </c>
      <c r="J168" t="s">
        <v>67</v>
      </c>
      <c r="K168" t="s">
        <v>45</v>
      </c>
      <c r="L168" t="s">
        <v>26</v>
      </c>
      <c r="M168">
        <v>2</v>
      </c>
      <c r="N168">
        <v>298.11</v>
      </c>
      <c r="O168">
        <v>463.58</v>
      </c>
      <c r="P168">
        <v>23.18</v>
      </c>
      <c r="Q168">
        <v>23.18</v>
      </c>
      <c r="R168" t="s">
        <v>30</v>
      </c>
      <c r="S168">
        <v>29</v>
      </c>
      <c r="T168">
        <v>1</v>
      </c>
      <c r="U168">
        <v>5</v>
      </c>
      <c r="V168">
        <v>440.4</v>
      </c>
      <c r="W168">
        <v>13130000166</v>
      </c>
    </row>
    <row r="169" spans="1:23" x14ac:dyDescent="0.2">
      <c r="A169" s="1">
        <v>44792</v>
      </c>
      <c r="B169" s="2">
        <v>0.70876157407407403</v>
      </c>
      <c r="C169">
        <v>1167</v>
      </c>
      <c r="D169">
        <v>13002561</v>
      </c>
      <c r="E169">
        <v>13</v>
      </c>
      <c r="F169">
        <v>22589</v>
      </c>
      <c r="G169" t="s">
        <v>23</v>
      </c>
      <c r="H169">
        <v>15</v>
      </c>
      <c r="I169">
        <v>69147</v>
      </c>
      <c r="J169" t="s">
        <v>37</v>
      </c>
      <c r="K169" t="s">
        <v>28</v>
      </c>
      <c r="L169" t="s">
        <v>32</v>
      </c>
      <c r="M169">
        <v>2</v>
      </c>
      <c r="N169">
        <v>372.73</v>
      </c>
      <c r="O169">
        <v>550.85</v>
      </c>
      <c r="P169">
        <v>27.54</v>
      </c>
      <c r="Q169">
        <v>27.54</v>
      </c>
      <c r="R169" t="s">
        <v>30</v>
      </c>
      <c r="S169">
        <v>29</v>
      </c>
      <c r="T169">
        <v>1</v>
      </c>
      <c r="U169">
        <v>6</v>
      </c>
      <c r="V169">
        <v>523.30999999999995</v>
      </c>
      <c r="W169">
        <v>13130000167</v>
      </c>
    </row>
    <row r="170" spans="1:23" x14ac:dyDescent="0.2">
      <c r="A170" s="1">
        <v>44796</v>
      </c>
      <c r="B170" s="2">
        <v>0.41841435185185177</v>
      </c>
      <c r="C170">
        <v>1168</v>
      </c>
      <c r="D170">
        <v>13002561</v>
      </c>
      <c r="E170">
        <v>13</v>
      </c>
      <c r="F170">
        <v>22589</v>
      </c>
      <c r="G170" t="s">
        <v>23</v>
      </c>
      <c r="H170">
        <v>18</v>
      </c>
      <c r="I170">
        <v>97648</v>
      </c>
      <c r="J170" t="s">
        <v>66</v>
      </c>
      <c r="K170" t="s">
        <v>60</v>
      </c>
      <c r="L170" t="s">
        <v>36</v>
      </c>
      <c r="M170">
        <v>1</v>
      </c>
      <c r="N170">
        <v>481.29</v>
      </c>
      <c r="O170">
        <v>671.68</v>
      </c>
      <c r="P170">
        <v>67.17</v>
      </c>
      <c r="Q170">
        <v>67.17</v>
      </c>
      <c r="R170" t="s">
        <v>30</v>
      </c>
      <c r="S170">
        <v>29</v>
      </c>
      <c r="T170">
        <v>1</v>
      </c>
      <c r="U170">
        <v>6</v>
      </c>
      <c r="V170">
        <v>604.51</v>
      </c>
      <c r="W170">
        <v>13130000168</v>
      </c>
    </row>
    <row r="171" spans="1:23" x14ac:dyDescent="0.2">
      <c r="A171" s="1">
        <v>44784</v>
      </c>
      <c r="B171" s="2">
        <v>0.84428240740740745</v>
      </c>
      <c r="C171">
        <v>1169</v>
      </c>
      <c r="D171">
        <v>13002561</v>
      </c>
      <c r="E171">
        <v>13</v>
      </c>
      <c r="F171">
        <v>22589</v>
      </c>
      <c r="G171" t="s">
        <v>23</v>
      </c>
      <c r="H171">
        <v>15</v>
      </c>
      <c r="I171">
        <v>82041</v>
      </c>
      <c r="J171" t="s">
        <v>93</v>
      </c>
      <c r="K171" t="s">
        <v>45</v>
      </c>
      <c r="L171" t="s">
        <v>29</v>
      </c>
      <c r="M171">
        <v>3</v>
      </c>
      <c r="N171">
        <v>48.05</v>
      </c>
      <c r="O171">
        <v>79.62</v>
      </c>
      <c r="P171">
        <v>3.98</v>
      </c>
      <c r="Q171">
        <v>3.98</v>
      </c>
      <c r="R171" t="s">
        <v>30</v>
      </c>
      <c r="S171">
        <v>29</v>
      </c>
      <c r="T171">
        <v>1</v>
      </c>
      <c r="U171">
        <v>2</v>
      </c>
      <c r="V171">
        <v>75.64</v>
      </c>
      <c r="W171">
        <v>13130000169</v>
      </c>
    </row>
    <row r="172" spans="1:23" x14ac:dyDescent="0.2">
      <c r="A172" s="1">
        <v>44787</v>
      </c>
      <c r="B172" s="2">
        <v>0.5914814814814815</v>
      </c>
      <c r="C172">
        <v>1170</v>
      </c>
      <c r="D172">
        <v>13002561</v>
      </c>
      <c r="E172">
        <v>13</v>
      </c>
      <c r="F172">
        <v>22589</v>
      </c>
      <c r="G172" t="s">
        <v>23</v>
      </c>
      <c r="H172">
        <v>18</v>
      </c>
      <c r="I172">
        <v>56296</v>
      </c>
      <c r="J172" t="s">
        <v>35</v>
      </c>
      <c r="K172" t="s">
        <v>28</v>
      </c>
      <c r="L172" t="s">
        <v>39</v>
      </c>
      <c r="M172">
        <v>3</v>
      </c>
      <c r="N172">
        <v>241.82</v>
      </c>
      <c r="O172">
        <v>397.62</v>
      </c>
      <c r="P172">
        <v>0</v>
      </c>
      <c r="Q172">
        <v>0</v>
      </c>
      <c r="S172">
        <v>29</v>
      </c>
      <c r="T172">
        <v>1</v>
      </c>
      <c r="U172">
        <v>5</v>
      </c>
      <c r="V172">
        <v>397.62</v>
      </c>
      <c r="W172">
        <v>13130000170</v>
      </c>
    </row>
    <row r="173" spans="1:23" x14ac:dyDescent="0.2">
      <c r="A173" s="1">
        <v>44803</v>
      </c>
      <c r="B173" s="2">
        <v>0.82454861111111111</v>
      </c>
      <c r="C173">
        <v>1171</v>
      </c>
      <c r="D173">
        <v>13002561</v>
      </c>
      <c r="E173">
        <v>13</v>
      </c>
      <c r="F173">
        <v>22589</v>
      </c>
      <c r="G173" t="s">
        <v>23</v>
      </c>
      <c r="H173">
        <v>18</v>
      </c>
      <c r="I173">
        <v>73715</v>
      </c>
      <c r="J173" t="s">
        <v>110</v>
      </c>
      <c r="K173" t="s">
        <v>60</v>
      </c>
      <c r="L173" t="s">
        <v>47</v>
      </c>
      <c r="M173">
        <v>3</v>
      </c>
      <c r="N173">
        <v>346.41</v>
      </c>
      <c r="O173">
        <v>569.6</v>
      </c>
      <c r="P173">
        <v>56.96</v>
      </c>
      <c r="Q173">
        <v>56.96</v>
      </c>
      <c r="R173" t="s">
        <v>30</v>
      </c>
      <c r="S173">
        <v>29</v>
      </c>
      <c r="T173">
        <v>1</v>
      </c>
      <c r="U173">
        <v>1</v>
      </c>
      <c r="V173">
        <v>512.64</v>
      </c>
      <c r="W173">
        <v>13130000171</v>
      </c>
    </row>
    <row r="174" spans="1:23" x14ac:dyDescent="0.2">
      <c r="A174" s="1">
        <v>44782</v>
      </c>
      <c r="B174" s="2">
        <v>0.58423611111111107</v>
      </c>
      <c r="C174">
        <v>1172</v>
      </c>
      <c r="D174">
        <v>13002561</v>
      </c>
      <c r="E174">
        <v>13</v>
      </c>
      <c r="F174">
        <v>22589</v>
      </c>
      <c r="G174" t="s">
        <v>23</v>
      </c>
      <c r="H174">
        <v>18</v>
      </c>
      <c r="I174">
        <v>88450</v>
      </c>
      <c r="J174" t="s">
        <v>91</v>
      </c>
      <c r="K174" t="s">
        <v>38</v>
      </c>
      <c r="L174" t="s">
        <v>34</v>
      </c>
      <c r="M174">
        <v>1</v>
      </c>
      <c r="N174">
        <v>400.47</v>
      </c>
      <c r="O174">
        <v>520.13</v>
      </c>
      <c r="P174">
        <v>26.01</v>
      </c>
      <c r="Q174">
        <v>26.01</v>
      </c>
      <c r="R174" t="s">
        <v>30</v>
      </c>
      <c r="S174">
        <v>29</v>
      </c>
      <c r="T174">
        <v>1</v>
      </c>
      <c r="U174">
        <v>1</v>
      </c>
      <c r="V174">
        <v>494.12</v>
      </c>
      <c r="W174">
        <v>13130000172</v>
      </c>
    </row>
    <row r="175" spans="1:23" x14ac:dyDescent="0.2">
      <c r="A175" s="1">
        <v>44777</v>
      </c>
      <c r="B175" s="2">
        <v>0.41135416666666669</v>
      </c>
      <c r="C175">
        <v>1173</v>
      </c>
      <c r="D175">
        <v>13002561</v>
      </c>
      <c r="E175">
        <v>13</v>
      </c>
      <c r="F175">
        <v>22589</v>
      </c>
      <c r="G175" t="s">
        <v>23</v>
      </c>
      <c r="H175">
        <v>15</v>
      </c>
      <c r="I175">
        <v>75655</v>
      </c>
      <c r="J175" t="s">
        <v>111</v>
      </c>
      <c r="K175" t="s">
        <v>38</v>
      </c>
      <c r="L175" t="s">
        <v>34</v>
      </c>
      <c r="M175">
        <v>2</v>
      </c>
      <c r="N175">
        <v>398.41</v>
      </c>
      <c r="O175">
        <v>586.27</v>
      </c>
      <c r="P175">
        <v>58.63</v>
      </c>
      <c r="Q175">
        <v>58.63</v>
      </c>
      <c r="R175" t="s">
        <v>30</v>
      </c>
      <c r="S175">
        <v>29</v>
      </c>
      <c r="T175">
        <v>1</v>
      </c>
      <c r="U175">
        <v>5</v>
      </c>
      <c r="V175">
        <v>527.64</v>
      </c>
      <c r="W175">
        <v>13130000173</v>
      </c>
    </row>
    <row r="176" spans="1:23" x14ac:dyDescent="0.2">
      <c r="A176" s="1">
        <v>44798</v>
      </c>
      <c r="B176" s="2">
        <v>0.34685185185185191</v>
      </c>
      <c r="C176">
        <v>1174</v>
      </c>
      <c r="D176">
        <v>13002561</v>
      </c>
      <c r="E176">
        <v>13</v>
      </c>
      <c r="F176">
        <v>22589</v>
      </c>
      <c r="G176" t="s">
        <v>23</v>
      </c>
      <c r="H176">
        <v>15</v>
      </c>
      <c r="I176">
        <v>29051</v>
      </c>
      <c r="J176" t="s">
        <v>64</v>
      </c>
      <c r="K176" t="s">
        <v>38</v>
      </c>
      <c r="L176" t="s">
        <v>34</v>
      </c>
      <c r="M176">
        <v>3</v>
      </c>
      <c r="N176">
        <v>311.25</v>
      </c>
      <c r="O176">
        <v>496.02</v>
      </c>
      <c r="P176">
        <v>24.8</v>
      </c>
      <c r="Q176">
        <v>24.8</v>
      </c>
      <c r="R176" t="s">
        <v>30</v>
      </c>
      <c r="S176">
        <v>29</v>
      </c>
      <c r="T176">
        <v>1</v>
      </c>
      <c r="U176">
        <v>4</v>
      </c>
      <c r="V176">
        <v>471.22</v>
      </c>
      <c r="W176">
        <v>13130000174</v>
      </c>
    </row>
    <row r="177" spans="1:23" x14ac:dyDescent="0.2">
      <c r="A177" s="1">
        <v>44778</v>
      </c>
      <c r="B177" s="2">
        <v>0.46024305555555561</v>
      </c>
      <c r="C177">
        <v>1175</v>
      </c>
      <c r="D177">
        <v>13002561</v>
      </c>
      <c r="E177">
        <v>13</v>
      </c>
      <c r="F177">
        <v>22589</v>
      </c>
      <c r="G177" t="s">
        <v>23</v>
      </c>
      <c r="H177">
        <v>18</v>
      </c>
      <c r="I177">
        <v>61172</v>
      </c>
      <c r="J177" t="s">
        <v>55</v>
      </c>
      <c r="K177" t="s">
        <v>25</v>
      </c>
      <c r="L177" t="s">
        <v>29</v>
      </c>
      <c r="M177">
        <v>2</v>
      </c>
      <c r="N177">
        <v>477.76</v>
      </c>
      <c r="O177">
        <v>664.96</v>
      </c>
      <c r="P177">
        <v>66.5</v>
      </c>
      <c r="Q177">
        <v>66.5</v>
      </c>
      <c r="R177" t="s">
        <v>30</v>
      </c>
      <c r="S177">
        <v>29</v>
      </c>
      <c r="T177">
        <v>1</v>
      </c>
      <c r="U177">
        <v>4</v>
      </c>
      <c r="V177">
        <v>598.46</v>
      </c>
      <c r="W177">
        <v>13130000175</v>
      </c>
    </row>
    <row r="178" spans="1:23" x14ac:dyDescent="0.2">
      <c r="A178" s="1">
        <v>44799</v>
      </c>
      <c r="B178" s="2">
        <v>0.33681712962962962</v>
      </c>
      <c r="C178">
        <v>1176</v>
      </c>
      <c r="D178">
        <v>13002561</v>
      </c>
      <c r="E178">
        <v>13</v>
      </c>
      <c r="F178">
        <v>22589</v>
      </c>
      <c r="G178" t="s">
        <v>23</v>
      </c>
      <c r="H178">
        <v>15</v>
      </c>
      <c r="I178">
        <v>53108</v>
      </c>
      <c r="J178" t="s">
        <v>58</v>
      </c>
      <c r="K178" t="s">
        <v>45</v>
      </c>
      <c r="L178" t="s">
        <v>47</v>
      </c>
      <c r="M178">
        <v>1</v>
      </c>
      <c r="N178">
        <v>504.74</v>
      </c>
      <c r="O178">
        <v>804.45</v>
      </c>
      <c r="P178">
        <v>80.45</v>
      </c>
      <c r="Q178">
        <v>80.45</v>
      </c>
      <c r="R178" t="s">
        <v>30</v>
      </c>
      <c r="S178">
        <v>29</v>
      </c>
      <c r="T178">
        <v>1</v>
      </c>
      <c r="U178">
        <v>5</v>
      </c>
      <c r="V178">
        <v>724</v>
      </c>
      <c r="W178">
        <v>13130000176</v>
      </c>
    </row>
    <row r="179" spans="1:23" x14ac:dyDescent="0.2">
      <c r="A179" s="1">
        <v>44797</v>
      </c>
      <c r="B179" s="2">
        <v>0.37178240740740742</v>
      </c>
      <c r="C179">
        <v>1177</v>
      </c>
      <c r="D179">
        <v>13002561</v>
      </c>
      <c r="E179">
        <v>13</v>
      </c>
      <c r="F179">
        <v>22589</v>
      </c>
      <c r="G179" t="s">
        <v>23</v>
      </c>
      <c r="H179">
        <v>15</v>
      </c>
      <c r="I179">
        <v>10604</v>
      </c>
      <c r="J179" t="s">
        <v>85</v>
      </c>
      <c r="K179" t="s">
        <v>44</v>
      </c>
      <c r="L179" t="s">
        <v>39</v>
      </c>
      <c r="M179">
        <v>1</v>
      </c>
      <c r="N179">
        <v>431.88</v>
      </c>
      <c r="O179">
        <v>635.20000000000005</v>
      </c>
      <c r="P179">
        <v>0</v>
      </c>
      <c r="Q179">
        <v>0</v>
      </c>
      <c r="S179">
        <v>29</v>
      </c>
      <c r="T179">
        <v>1</v>
      </c>
      <c r="U179">
        <v>4</v>
      </c>
      <c r="V179">
        <v>635.20000000000005</v>
      </c>
      <c r="W179">
        <v>13130000177</v>
      </c>
    </row>
    <row r="180" spans="1:23" x14ac:dyDescent="0.2">
      <c r="A180" s="1">
        <v>44788</v>
      </c>
      <c r="B180" s="2">
        <v>0.61533564814814812</v>
      </c>
      <c r="C180">
        <v>1178</v>
      </c>
      <c r="D180">
        <v>13002561</v>
      </c>
      <c r="E180">
        <v>13</v>
      </c>
      <c r="F180">
        <v>22589</v>
      </c>
      <c r="G180" t="s">
        <v>23</v>
      </c>
      <c r="H180">
        <v>15</v>
      </c>
      <c r="I180">
        <v>35596</v>
      </c>
      <c r="J180" t="s">
        <v>41</v>
      </c>
      <c r="K180" t="s">
        <v>60</v>
      </c>
      <c r="L180" t="s">
        <v>51</v>
      </c>
      <c r="M180">
        <v>2</v>
      </c>
      <c r="N180">
        <v>579.66</v>
      </c>
      <c r="O180">
        <v>789.33</v>
      </c>
      <c r="P180">
        <v>78.930000000000007</v>
      </c>
      <c r="Q180">
        <v>78.930000000000007</v>
      </c>
      <c r="R180" t="s">
        <v>30</v>
      </c>
      <c r="S180">
        <v>29</v>
      </c>
      <c r="T180">
        <v>1</v>
      </c>
      <c r="U180">
        <v>3</v>
      </c>
      <c r="V180">
        <v>710.4</v>
      </c>
      <c r="W180">
        <v>13130000178</v>
      </c>
    </row>
    <row r="181" spans="1:23" x14ac:dyDescent="0.2">
      <c r="A181" s="1">
        <v>44786</v>
      </c>
      <c r="B181" s="2">
        <v>0.50194444444444442</v>
      </c>
      <c r="C181">
        <v>1179</v>
      </c>
      <c r="D181">
        <v>13002561</v>
      </c>
      <c r="E181">
        <v>13</v>
      </c>
      <c r="F181">
        <v>22589</v>
      </c>
      <c r="G181" t="s">
        <v>23</v>
      </c>
      <c r="H181">
        <v>18</v>
      </c>
      <c r="I181">
        <v>68625</v>
      </c>
      <c r="J181" t="s">
        <v>112</v>
      </c>
      <c r="K181" t="s">
        <v>25</v>
      </c>
      <c r="L181" t="s">
        <v>47</v>
      </c>
      <c r="M181">
        <v>1</v>
      </c>
      <c r="N181">
        <v>506.54</v>
      </c>
      <c r="O181">
        <v>649.84</v>
      </c>
      <c r="P181">
        <v>0</v>
      </c>
      <c r="Q181">
        <v>0</v>
      </c>
      <c r="S181">
        <v>29</v>
      </c>
      <c r="T181">
        <v>1</v>
      </c>
      <c r="U181">
        <v>4</v>
      </c>
      <c r="V181">
        <v>649.84</v>
      </c>
      <c r="W181">
        <v>13130000179</v>
      </c>
    </row>
    <row r="182" spans="1:23" x14ac:dyDescent="0.2">
      <c r="A182" s="1">
        <v>44784</v>
      </c>
      <c r="B182" s="2">
        <v>0.80336805555555557</v>
      </c>
      <c r="C182">
        <v>1180</v>
      </c>
      <c r="D182">
        <v>13002561</v>
      </c>
      <c r="E182">
        <v>13</v>
      </c>
      <c r="F182">
        <v>22589</v>
      </c>
      <c r="G182" t="s">
        <v>23</v>
      </c>
      <c r="H182">
        <v>15</v>
      </c>
      <c r="I182">
        <v>47633</v>
      </c>
      <c r="J182" t="s">
        <v>72</v>
      </c>
      <c r="K182" t="s">
        <v>60</v>
      </c>
      <c r="L182" t="s">
        <v>29</v>
      </c>
      <c r="M182">
        <v>1</v>
      </c>
      <c r="N182">
        <v>285.48</v>
      </c>
      <c r="O182">
        <v>440.85</v>
      </c>
      <c r="P182">
        <v>0</v>
      </c>
      <c r="Q182">
        <v>0</v>
      </c>
      <c r="S182">
        <v>29</v>
      </c>
      <c r="T182">
        <v>1</v>
      </c>
      <c r="U182">
        <v>2</v>
      </c>
      <c r="V182">
        <v>440.85</v>
      </c>
      <c r="W182">
        <v>13130000180</v>
      </c>
    </row>
    <row r="183" spans="1:23" x14ac:dyDescent="0.2">
      <c r="A183" s="1">
        <v>44783</v>
      </c>
      <c r="B183" s="2">
        <v>0.76651620370370366</v>
      </c>
      <c r="C183">
        <v>1181</v>
      </c>
      <c r="D183">
        <v>13002561</v>
      </c>
      <c r="E183">
        <v>13</v>
      </c>
      <c r="F183">
        <v>22589</v>
      </c>
      <c r="G183" t="s">
        <v>23</v>
      </c>
      <c r="H183">
        <v>18</v>
      </c>
      <c r="I183">
        <v>38493</v>
      </c>
      <c r="J183" t="s">
        <v>33</v>
      </c>
      <c r="K183" t="s">
        <v>38</v>
      </c>
      <c r="L183" t="s">
        <v>34</v>
      </c>
      <c r="M183">
        <v>1</v>
      </c>
      <c r="N183">
        <v>263.70999999999998</v>
      </c>
      <c r="O183">
        <v>337.41</v>
      </c>
      <c r="P183">
        <v>33.74</v>
      </c>
      <c r="Q183">
        <v>33.74</v>
      </c>
      <c r="R183" t="s">
        <v>30</v>
      </c>
      <c r="S183">
        <v>29</v>
      </c>
      <c r="T183">
        <v>1</v>
      </c>
      <c r="U183">
        <v>1</v>
      </c>
      <c r="V183">
        <v>303.67</v>
      </c>
      <c r="W183">
        <v>13130000181</v>
      </c>
    </row>
    <row r="184" spans="1:23" x14ac:dyDescent="0.2">
      <c r="A184" s="1">
        <v>44784</v>
      </c>
      <c r="B184" s="2">
        <v>0.83351851851851855</v>
      </c>
      <c r="C184">
        <v>1182</v>
      </c>
      <c r="D184">
        <v>13002561</v>
      </c>
      <c r="E184">
        <v>13</v>
      </c>
      <c r="F184">
        <v>22589</v>
      </c>
      <c r="G184" t="s">
        <v>23</v>
      </c>
      <c r="H184">
        <v>18</v>
      </c>
      <c r="I184">
        <v>78056</v>
      </c>
      <c r="J184" t="s">
        <v>40</v>
      </c>
      <c r="K184" t="s">
        <v>45</v>
      </c>
      <c r="L184" t="s">
        <v>51</v>
      </c>
      <c r="M184">
        <v>1</v>
      </c>
      <c r="N184">
        <v>414.15</v>
      </c>
      <c r="O184">
        <v>565.07000000000005</v>
      </c>
      <c r="P184">
        <v>28.25</v>
      </c>
      <c r="Q184">
        <v>28.25</v>
      </c>
      <c r="R184" t="s">
        <v>30</v>
      </c>
      <c r="S184">
        <v>29</v>
      </c>
      <c r="T184">
        <v>1</v>
      </c>
      <c r="U184">
        <v>4</v>
      </c>
      <c r="V184">
        <v>536.82000000000005</v>
      </c>
      <c r="W184">
        <v>13130000182</v>
      </c>
    </row>
    <row r="185" spans="1:23" x14ac:dyDescent="0.2">
      <c r="A185" s="1">
        <v>44787</v>
      </c>
      <c r="B185" s="2">
        <v>0.48734953703703698</v>
      </c>
      <c r="C185">
        <v>1183</v>
      </c>
      <c r="D185">
        <v>13002561</v>
      </c>
      <c r="E185">
        <v>13</v>
      </c>
      <c r="F185">
        <v>22589</v>
      </c>
      <c r="G185" t="s">
        <v>23</v>
      </c>
      <c r="H185">
        <v>18</v>
      </c>
      <c r="I185">
        <v>46485</v>
      </c>
      <c r="J185" t="s">
        <v>83</v>
      </c>
      <c r="K185" t="s">
        <v>38</v>
      </c>
      <c r="L185" t="s">
        <v>51</v>
      </c>
      <c r="M185">
        <v>3</v>
      </c>
      <c r="N185">
        <v>199.76</v>
      </c>
      <c r="O185">
        <v>252.1</v>
      </c>
      <c r="P185">
        <v>25.21</v>
      </c>
      <c r="Q185">
        <v>25.21</v>
      </c>
      <c r="R185" t="s">
        <v>30</v>
      </c>
      <c r="S185">
        <v>29</v>
      </c>
      <c r="T185">
        <v>1</v>
      </c>
      <c r="U185">
        <v>3</v>
      </c>
      <c r="V185">
        <v>226.89</v>
      </c>
      <c r="W185">
        <v>13130000183</v>
      </c>
    </row>
    <row r="186" spans="1:23" x14ac:dyDescent="0.2">
      <c r="A186" s="1">
        <v>44790</v>
      </c>
      <c r="B186" s="2">
        <v>0.45885416666666667</v>
      </c>
      <c r="C186">
        <v>1184</v>
      </c>
      <c r="D186">
        <v>13002561</v>
      </c>
      <c r="E186">
        <v>13</v>
      </c>
      <c r="F186">
        <v>22589</v>
      </c>
      <c r="G186" t="s">
        <v>23</v>
      </c>
      <c r="H186">
        <v>18</v>
      </c>
      <c r="I186">
        <v>73391</v>
      </c>
      <c r="J186" t="s">
        <v>33</v>
      </c>
      <c r="K186" t="s">
        <v>28</v>
      </c>
      <c r="L186" t="s">
        <v>32</v>
      </c>
      <c r="M186">
        <v>1</v>
      </c>
      <c r="N186">
        <v>503.57</v>
      </c>
      <c r="O186">
        <v>814.6</v>
      </c>
      <c r="P186">
        <v>0</v>
      </c>
      <c r="Q186">
        <v>0</v>
      </c>
      <c r="S186">
        <v>29</v>
      </c>
      <c r="T186">
        <v>1</v>
      </c>
      <c r="U186">
        <v>3</v>
      </c>
      <c r="V186">
        <v>814.6</v>
      </c>
      <c r="W186">
        <v>13130000184</v>
      </c>
    </row>
    <row r="187" spans="1:23" x14ac:dyDescent="0.2">
      <c r="A187" s="1">
        <v>44798</v>
      </c>
      <c r="B187" s="2">
        <v>0.48019675925925931</v>
      </c>
      <c r="C187">
        <v>1185</v>
      </c>
      <c r="D187">
        <v>13002561</v>
      </c>
      <c r="E187">
        <v>13</v>
      </c>
      <c r="F187">
        <v>22589</v>
      </c>
      <c r="G187" t="s">
        <v>23</v>
      </c>
      <c r="H187">
        <v>18</v>
      </c>
      <c r="I187">
        <v>40481</v>
      </c>
      <c r="J187" t="s">
        <v>103</v>
      </c>
      <c r="K187" t="s">
        <v>38</v>
      </c>
      <c r="L187" t="s">
        <v>36</v>
      </c>
      <c r="M187">
        <v>3</v>
      </c>
      <c r="N187">
        <v>201.1</v>
      </c>
      <c r="O187">
        <v>261.33999999999997</v>
      </c>
      <c r="P187">
        <v>26.13</v>
      </c>
      <c r="Q187">
        <v>26.13</v>
      </c>
      <c r="R187" t="s">
        <v>30</v>
      </c>
      <c r="S187">
        <v>29</v>
      </c>
      <c r="T187">
        <v>1</v>
      </c>
      <c r="U187">
        <v>5</v>
      </c>
      <c r="V187">
        <v>235.21</v>
      </c>
      <c r="W187">
        <v>13130000185</v>
      </c>
    </row>
    <row r="188" spans="1:23" x14ac:dyDescent="0.2">
      <c r="A188" s="1">
        <v>44797</v>
      </c>
      <c r="B188" s="2">
        <v>0.8325231481481481</v>
      </c>
      <c r="C188">
        <v>1186</v>
      </c>
      <c r="D188">
        <v>13002561</v>
      </c>
      <c r="E188">
        <v>13</v>
      </c>
      <c r="F188">
        <v>22589</v>
      </c>
      <c r="G188" t="s">
        <v>23</v>
      </c>
      <c r="H188">
        <v>18</v>
      </c>
      <c r="I188">
        <v>39317</v>
      </c>
      <c r="J188" t="s">
        <v>113</v>
      </c>
      <c r="K188" t="s">
        <v>38</v>
      </c>
      <c r="L188" t="s">
        <v>51</v>
      </c>
      <c r="M188">
        <v>3</v>
      </c>
      <c r="N188">
        <v>159.11000000000001</v>
      </c>
      <c r="O188">
        <v>211.98</v>
      </c>
      <c r="P188">
        <v>0</v>
      </c>
      <c r="Q188">
        <v>0</v>
      </c>
      <c r="S188">
        <v>29</v>
      </c>
      <c r="T188">
        <v>1</v>
      </c>
      <c r="U188">
        <v>1</v>
      </c>
      <c r="V188">
        <v>211.98</v>
      </c>
      <c r="W188">
        <v>13130000186</v>
      </c>
    </row>
    <row r="189" spans="1:23" x14ac:dyDescent="0.2">
      <c r="A189" s="1">
        <v>44787</v>
      </c>
      <c r="B189" s="2">
        <v>0.52326388888888886</v>
      </c>
      <c r="C189">
        <v>1187</v>
      </c>
      <c r="D189">
        <v>13002561</v>
      </c>
      <c r="E189">
        <v>13</v>
      </c>
      <c r="F189">
        <v>22589</v>
      </c>
      <c r="G189" t="s">
        <v>23</v>
      </c>
      <c r="H189">
        <v>18</v>
      </c>
      <c r="I189">
        <v>88398</v>
      </c>
      <c r="J189" t="s">
        <v>66</v>
      </c>
      <c r="K189" t="s">
        <v>60</v>
      </c>
      <c r="L189" t="s">
        <v>39</v>
      </c>
      <c r="M189">
        <v>1</v>
      </c>
      <c r="N189">
        <v>215</v>
      </c>
      <c r="O189">
        <v>345.32</v>
      </c>
      <c r="P189">
        <v>0</v>
      </c>
      <c r="Q189">
        <v>0</v>
      </c>
      <c r="S189">
        <v>29</v>
      </c>
      <c r="T189">
        <v>1</v>
      </c>
      <c r="U189">
        <v>2</v>
      </c>
      <c r="V189">
        <v>345.32</v>
      </c>
      <c r="W189">
        <v>13130000187</v>
      </c>
    </row>
    <row r="190" spans="1:23" x14ac:dyDescent="0.2">
      <c r="A190" s="1">
        <v>44792</v>
      </c>
      <c r="B190" s="2">
        <v>0.37277777777777782</v>
      </c>
      <c r="C190">
        <v>1188</v>
      </c>
      <c r="D190">
        <v>13002561</v>
      </c>
      <c r="E190">
        <v>13</v>
      </c>
      <c r="F190">
        <v>22589</v>
      </c>
      <c r="G190" t="s">
        <v>23</v>
      </c>
      <c r="H190">
        <v>15</v>
      </c>
      <c r="I190">
        <v>12124</v>
      </c>
      <c r="J190" t="s">
        <v>82</v>
      </c>
      <c r="K190" t="s">
        <v>44</v>
      </c>
      <c r="L190" t="s">
        <v>51</v>
      </c>
      <c r="M190">
        <v>2</v>
      </c>
      <c r="N190">
        <v>424.98</v>
      </c>
      <c r="O190">
        <v>560.57000000000005</v>
      </c>
      <c r="P190">
        <v>0</v>
      </c>
      <c r="Q190">
        <v>0</v>
      </c>
      <c r="S190">
        <v>29</v>
      </c>
      <c r="T190">
        <v>1</v>
      </c>
      <c r="U190">
        <v>6</v>
      </c>
      <c r="V190">
        <v>560.57000000000005</v>
      </c>
      <c r="W190">
        <v>13130000188</v>
      </c>
    </row>
    <row r="191" spans="1:23" x14ac:dyDescent="0.2">
      <c r="A191" s="1">
        <v>44792</v>
      </c>
      <c r="B191" s="2">
        <v>0.81508101851851855</v>
      </c>
      <c r="C191">
        <v>1189</v>
      </c>
      <c r="D191">
        <v>13002561</v>
      </c>
      <c r="E191">
        <v>13</v>
      </c>
      <c r="F191">
        <v>22589</v>
      </c>
      <c r="G191" t="s">
        <v>23</v>
      </c>
      <c r="H191">
        <v>15</v>
      </c>
      <c r="I191">
        <v>28685</v>
      </c>
      <c r="J191" t="s">
        <v>114</v>
      </c>
      <c r="K191" t="s">
        <v>44</v>
      </c>
      <c r="L191" t="s">
        <v>39</v>
      </c>
      <c r="M191">
        <v>2</v>
      </c>
      <c r="N191">
        <v>94.15</v>
      </c>
      <c r="O191">
        <v>139.84</v>
      </c>
      <c r="P191">
        <v>6.99</v>
      </c>
      <c r="Q191">
        <v>6.99</v>
      </c>
      <c r="R191" t="s">
        <v>30</v>
      </c>
      <c r="S191">
        <v>29</v>
      </c>
      <c r="T191">
        <v>1</v>
      </c>
      <c r="U191">
        <v>5</v>
      </c>
      <c r="V191">
        <v>132.85</v>
      </c>
      <c r="W191">
        <v>13130000189</v>
      </c>
    </row>
    <row r="192" spans="1:23" x14ac:dyDescent="0.2">
      <c r="A192" s="1">
        <v>44780</v>
      </c>
      <c r="B192" s="2">
        <v>0.88410879629629635</v>
      </c>
      <c r="C192">
        <v>1190</v>
      </c>
      <c r="D192">
        <v>13002561</v>
      </c>
      <c r="E192">
        <v>13</v>
      </c>
      <c r="F192">
        <v>22589</v>
      </c>
      <c r="G192" t="s">
        <v>23</v>
      </c>
      <c r="H192">
        <v>18</v>
      </c>
      <c r="I192">
        <v>72573</v>
      </c>
      <c r="J192" t="s">
        <v>115</v>
      </c>
      <c r="K192" t="s">
        <v>28</v>
      </c>
      <c r="L192" t="s">
        <v>26</v>
      </c>
      <c r="M192">
        <v>1</v>
      </c>
      <c r="N192">
        <v>152.13999999999999</v>
      </c>
      <c r="O192">
        <v>255.63</v>
      </c>
      <c r="P192">
        <v>0</v>
      </c>
      <c r="Q192">
        <v>0</v>
      </c>
      <c r="S192">
        <v>29</v>
      </c>
      <c r="T192">
        <v>1</v>
      </c>
      <c r="U192">
        <v>5</v>
      </c>
      <c r="V192">
        <v>255.63</v>
      </c>
      <c r="W192">
        <v>13130000190</v>
      </c>
    </row>
    <row r="193" spans="1:23" x14ac:dyDescent="0.2">
      <c r="A193" s="1">
        <v>44778</v>
      </c>
      <c r="B193" s="2">
        <v>0.37306712962962962</v>
      </c>
      <c r="C193">
        <v>1191</v>
      </c>
      <c r="D193">
        <v>13002561</v>
      </c>
      <c r="E193">
        <v>13</v>
      </c>
      <c r="F193">
        <v>22589</v>
      </c>
      <c r="G193" t="s">
        <v>23</v>
      </c>
      <c r="H193">
        <v>18</v>
      </c>
      <c r="I193">
        <v>80110</v>
      </c>
      <c r="J193" t="s">
        <v>56</v>
      </c>
      <c r="K193" t="s">
        <v>38</v>
      </c>
      <c r="L193" t="s">
        <v>36</v>
      </c>
      <c r="M193">
        <v>3</v>
      </c>
      <c r="N193">
        <v>550.74</v>
      </c>
      <c r="O193">
        <v>914.08</v>
      </c>
      <c r="P193">
        <v>45.7</v>
      </c>
      <c r="Q193">
        <v>45.7</v>
      </c>
      <c r="R193" t="s">
        <v>30</v>
      </c>
      <c r="S193">
        <v>29</v>
      </c>
      <c r="T193">
        <v>1</v>
      </c>
      <c r="U193">
        <v>6</v>
      </c>
      <c r="V193">
        <v>868.38</v>
      </c>
      <c r="W193">
        <v>13130000191</v>
      </c>
    </row>
    <row r="194" spans="1:23" x14ac:dyDescent="0.2">
      <c r="A194" s="1">
        <v>44791</v>
      </c>
      <c r="B194" s="2">
        <v>0.65097222222222217</v>
      </c>
      <c r="C194">
        <v>1192</v>
      </c>
      <c r="D194">
        <v>13002561</v>
      </c>
      <c r="E194">
        <v>13</v>
      </c>
      <c r="F194">
        <v>22589</v>
      </c>
      <c r="G194" t="s">
        <v>23</v>
      </c>
      <c r="H194">
        <v>15</v>
      </c>
      <c r="I194">
        <v>30628</v>
      </c>
      <c r="J194" t="s">
        <v>107</v>
      </c>
      <c r="K194" t="s">
        <v>38</v>
      </c>
      <c r="L194" t="s">
        <v>36</v>
      </c>
      <c r="M194">
        <v>2</v>
      </c>
      <c r="N194">
        <v>35.18</v>
      </c>
      <c r="O194">
        <v>47.32</v>
      </c>
      <c r="P194">
        <v>0</v>
      </c>
      <c r="Q194">
        <v>0</v>
      </c>
      <c r="S194">
        <v>29</v>
      </c>
      <c r="T194">
        <v>1</v>
      </c>
      <c r="U194">
        <v>3</v>
      </c>
      <c r="V194">
        <v>47.32</v>
      </c>
      <c r="W194">
        <v>13130000192</v>
      </c>
    </row>
    <row r="195" spans="1:23" x14ac:dyDescent="0.2">
      <c r="A195" s="1">
        <v>44778</v>
      </c>
      <c r="B195" s="2">
        <v>0.67517361111111107</v>
      </c>
      <c r="C195">
        <v>1193</v>
      </c>
      <c r="D195">
        <v>13002561</v>
      </c>
      <c r="E195">
        <v>13</v>
      </c>
      <c r="F195">
        <v>22589</v>
      </c>
      <c r="G195" t="s">
        <v>23</v>
      </c>
      <c r="H195">
        <v>18</v>
      </c>
      <c r="I195">
        <v>12556</v>
      </c>
      <c r="J195" t="s">
        <v>106</v>
      </c>
      <c r="K195" t="s">
        <v>25</v>
      </c>
      <c r="L195" t="s">
        <v>36</v>
      </c>
      <c r="M195">
        <v>1</v>
      </c>
      <c r="N195">
        <v>129.08000000000001</v>
      </c>
      <c r="O195">
        <v>161.44999999999999</v>
      </c>
      <c r="P195">
        <v>0</v>
      </c>
      <c r="Q195">
        <v>0</v>
      </c>
      <c r="S195">
        <v>29</v>
      </c>
      <c r="T195">
        <v>1</v>
      </c>
      <c r="U195">
        <v>4</v>
      </c>
      <c r="V195">
        <v>161.44999999999999</v>
      </c>
      <c r="W195">
        <v>13130000193</v>
      </c>
    </row>
    <row r="196" spans="1:23" x14ac:dyDescent="0.2">
      <c r="A196" s="1">
        <v>44790</v>
      </c>
      <c r="B196" s="2">
        <v>0.5486226851851852</v>
      </c>
      <c r="C196">
        <v>1194</v>
      </c>
      <c r="D196">
        <v>13002561</v>
      </c>
      <c r="E196">
        <v>13</v>
      </c>
      <c r="F196">
        <v>22589</v>
      </c>
      <c r="G196" t="s">
        <v>23</v>
      </c>
      <c r="H196">
        <v>15</v>
      </c>
      <c r="I196">
        <v>91173</v>
      </c>
      <c r="J196" t="s">
        <v>101</v>
      </c>
      <c r="K196" t="s">
        <v>28</v>
      </c>
      <c r="L196" t="s">
        <v>32</v>
      </c>
      <c r="M196">
        <v>1</v>
      </c>
      <c r="N196">
        <v>461.85</v>
      </c>
      <c r="O196">
        <v>659.15</v>
      </c>
      <c r="P196">
        <v>0</v>
      </c>
      <c r="Q196">
        <v>0</v>
      </c>
      <c r="S196">
        <v>29</v>
      </c>
      <c r="T196">
        <v>1</v>
      </c>
      <c r="U196">
        <v>6</v>
      </c>
      <c r="V196">
        <v>659.15</v>
      </c>
      <c r="W196">
        <v>13130000194</v>
      </c>
    </row>
    <row r="197" spans="1:23" x14ac:dyDescent="0.2">
      <c r="A197" s="1">
        <v>44794</v>
      </c>
      <c r="B197" s="2">
        <v>0.46255787037037038</v>
      </c>
      <c r="C197">
        <v>1195</v>
      </c>
      <c r="D197">
        <v>13002561</v>
      </c>
      <c r="E197">
        <v>13</v>
      </c>
      <c r="F197">
        <v>22589</v>
      </c>
      <c r="G197" t="s">
        <v>23</v>
      </c>
      <c r="H197">
        <v>15</v>
      </c>
      <c r="I197">
        <v>17883</v>
      </c>
      <c r="J197" t="s">
        <v>66</v>
      </c>
      <c r="K197" t="s">
        <v>25</v>
      </c>
      <c r="L197" t="s">
        <v>47</v>
      </c>
      <c r="M197">
        <v>2</v>
      </c>
      <c r="N197">
        <v>413.06</v>
      </c>
      <c r="O197">
        <v>606.28</v>
      </c>
      <c r="P197">
        <v>30.31</v>
      </c>
      <c r="Q197">
        <v>30.31</v>
      </c>
      <c r="R197" t="s">
        <v>30</v>
      </c>
      <c r="S197">
        <v>29</v>
      </c>
      <c r="T197">
        <v>1</v>
      </c>
      <c r="U197">
        <v>5</v>
      </c>
      <c r="V197">
        <v>575.97</v>
      </c>
      <c r="W197">
        <v>13130000195</v>
      </c>
    </row>
    <row r="198" spans="1:23" x14ac:dyDescent="0.2">
      <c r="A198" s="1">
        <v>44800</v>
      </c>
      <c r="B198" s="2">
        <v>0.78611111111111109</v>
      </c>
      <c r="C198">
        <v>1196</v>
      </c>
      <c r="D198">
        <v>13002561</v>
      </c>
      <c r="E198">
        <v>13</v>
      </c>
      <c r="F198">
        <v>22589</v>
      </c>
      <c r="G198" t="s">
        <v>23</v>
      </c>
      <c r="H198">
        <v>15</v>
      </c>
      <c r="I198">
        <v>20860</v>
      </c>
      <c r="J198" t="s">
        <v>83</v>
      </c>
      <c r="K198" t="s">
        <v>28</v>
      </c>
      <c r="L198" t="s">
        <v>47</v>
      </c>
      <c r="M198">
        <v>3</v>
      </c>
      <c r="N198">
        <v>256.33999999999997</v>
      </c>
      <c r="O198">
        <v>365.73</v>
      </c>
      <c r="P198">
        <v>0</v>
      </c>
      <c r="Q198">
        <v>0</v>
      </c>
      <c r="S198">
        <v>29</v>
      </c>
      <c r="T198">
        <v>1</v>
      </c>
      <c r="U198">
        <v>3</v>
      </c>
      <c r="V198">
        <v>365.73</v>
      </c>
      <c r="W198">
        <v>13130000196</v>
      </c>
    </row>
    <row r="199" spans="1:23" x14ac:dyDescent="0.2">
      <c r="A199" s="1">
        <v>44796</v>
      </c>
      <c r="B199" s="2">
        <v>0.60390046296296296</v>
      </c>
      <c r="C199">
        <v>1197</v>
      </c>
      <c r="D199">
        <v>13002561</v>
      </c>
      <c r="E199">
        <v>13</v>
      </c>
      <c r="F199">
        <v>22589</v>
      </c>
      <c r="G199" t="s">
        <v>23</v>
      </c>
      <c r="H199">
        <v>15</v>
      </c>
      <c r="I199">
        <v>48550</v>
      </c>
      <c r="J199" t="s">
        <v>100</v>
      </c>
      <c r="K199" t="s">
        <v>60</v>
      </c>
      <c r="L199" t="s">
        <v>51</v>
      </c>
      <c r="M199">
        <v>3</v>
      </c>
      <c r="N199">
        <v>117.67</v>
      </c>
      <c r="O199">
        <v>167.83</v>
      </c>
      <c r="P199">
        <v>0</v>
      </c>
      <c r="Q199">
        <v>0</v>
      </c>
      <c r="S199">
        <v>29</v>
      </c>
      <c r="T199">
        <v>1</v>
      </c>
      <c r="U199">
        <v>4</v>
      </c>
      <c r="V199">
        <v>167.83</v>
      </c>
      <c r="W199">
        <v>13130000197</v>
      </c>
    </row>
    <row r="200" spans="1:23" x14ac:dyDescent="0.2">
      <c r="A200" s="1">
        <v>44797</v>
      </c>
      <c r="B200" s="2">
        <v>0.73953703703703699</v>
      </c>
      <c r="C200">
        <v>1198</v>
      </c>
      <c r="D200">
        <v>13002561</v>
      </c>
      <c r="E200">
        <v>13</v>
      </c>
      <c r="F200">
        <v>22589</v>
      </c>
      <c r="G200" t="s">
        <v>23</v>
      </c>
      <c r="H200">
        <v>18</v>
      </c>
      <c r="I200">
        <v>77352</v>
      </c>
      <c r="J200" t="s">
        <v>90</v>
      </c>
      <c r="K200" t="s">
        <v>44</v>
      </c>
      <c r="L200" t="s">
        <v>51</v>
      </c>
      <c r="M200">
        <v>1</v>
      </c>
      <c r="N200">
        <v>266.49</v>
      </c>
      <c r="O200">
        <v>446.35</v>
      </c>
      <c r="P200">
        <v>0</v>
      </c>
      <c r="Q200">
        <v>0</v>
      </c>
      <c r="S200">
        <v>29</v>
      </c>
      <c r="T200">
        <v>1</v>
      </c>
      <c r="U200">
        <v>6</v>
      </c>
      <c r="V200">
        <v>446.35</v>
      </c>
      <c r="W200">
        <v>13130000198</v>
      </c>
    </row>
    <row r="201" spans="1:23" x14ac:dyDescent="0.2">
      <c r="A201" s="1">
        <v>44784</v>
      </c>
      <c r="B201" s="2">
        <v>0.82931712962962967</v>
      </c>
      <c r="C201">
        <v>1199</v>
      </c>
      <c r="D201">
        <v>13002561</v>
      </c>
      <c r="E201">
        <v>13</v>
      </c>
      <c r="F201">
        <v>22589</v>
      </c>
      <c r="G201" t="s">
        <v>23</v>
      </c>
      <c r="H201">
        <v>18</v>
      </c>
      <c r="I201">
        <v>83339</v>
      </c>
      <c r="J201" t="s">
        <v>78</v>
      </c>
      <c r="K201" t="s">
        <v>45</v>
      </c>
      <c r="L201" t="s">
        <v>47</v>
      </c>
      <c r="M201">
        <v>3</v>
      </c>
      <c r="N201">
        <v>14.94</v>
      </c>
      <c r="O201">
        <v>21.37</v>
      </c>
      <c r="P201">
        <v>0</v>
      </c>
      <c r="Q201">
        <v>0</v>
      </c>
      <c r="S201">
        <v>29</v>
      </c>
      <c r="T201">
        <v>1</v>
      </c>
      <c r="U201">
        <v>4</v>
      </c>
      <c r="V201">
        <v>21.37</v>
      </c>
      <c r="W201">
        <v>13130000199</v>
      </c>
    </row>
    <row r="202" spans="1:23" x14ac:dyDescent="0.2">
      <c r="A202" s="1">
        <v>44774</v>
      </c>
      <c r="B202" s="2">
        <v>0.63270833333333332</v>
      </c>
      <c r="C202">
        <v>1200</v>
      </c>
      <c r="D202">
        <v>13002561</v>
      </c>
      <c r="E202">
        <v>13</v>
      </c>
      <c r="F202">
        <v>22589</v>
      </c>
      <c r="G202" t="s">
        <v>23</v>
      </c>
      <c r="H202">
        <v>18</v>
      </c>
      <c r="I202">
        <v>78719</v>
      </c>
      <c r="J202" t="s">
        <v>101</v>
      </c>
      <c r="K202" t="s">
        <v>60</v>
      </c>
      <c r="L202" t="s">
        <v>34</v>
      </c>
      <c r="M202">
        <v>1</v>
      </c>
      <c r="N202">
        <v>23.27</v>
      </c>
      <c r="O202">
        <v>37.659999999999997</v>
      </c>
      <c r="P202">
        <v>0</v>
      </c>
      <c r="Q202">
        <v>0</v>
      </c>
      <c r="S202">
        <v>29</v>
      </c>
      <c r="T202">
        <v>1</v>
      </c>
      <c r="U202">
        <v>5</v>
      </c>
      <c r="V202">
        <v>37.659999999999997</v>
      </c>
      <c r="W202">
        <v>13130000200</v>
      </c>
    </row>
    <row r="203" spans="1:23" x14ac:dyDescent="0.2">
      <c r="A203" s="1">
        <v>44793</v>
      </c>
      <c r="B203" s="2">
        <v>0.78835648148148152</v>
      </c>
      <c r="C203">
        <v>1201</v>
      </c>
      <c r="D203">
        <v>13002561</v>
      </c>
      <c r="E203">
        <v>13</v>
      </c>
      <c r="F203">
        <v>22589</v>
      </c>
      <c r="G203" t="s">
        <v>23</v>
      </c>
      <c r="H203">
        <v>18</v>
      </c>
      <c r="I203">
        <v>67218</v>
      </c>
      <c r="J203" t="s">
        <v>55</v>
      </c>
      <c r="K203" t="s">
        <v>60</v>
      </c>
      <c r="L203" t="s">
        <v>51</v>
      </c>
      <c r="M203">
        <v>2</v>
      </c>
      <c r="N203">
        <v>218.77</v>
      </c>
      <c r="O203">
        <v>324.22000000000003</v>
      </c>
      <c r="P203">
        <v>0</v>
      </c>
      <c r="Q203">
        <v>0</v>
      </c>
      <c r="S203">
        <v>29</v>
      </c>
      <c r="T203">
        <v>1</v>
      </c>
      <c r="U203">
        <v>3</v>
      </c>
      <c r="V203">
        <v>324.22000000000003</v>
      </c>
      <c r="W203">
        <v>13130000201</v>
      </c>
    </row>
    <row r="204" spans="1:23" x14ac:dyDescent="0.2">
      <c r="A204" s="1">
        <v>44792</v>
      </c>
      <c r="B204" s="2">
        <v>0.49815972222222221</v>
      </c>
      <c r="C204">
        <v>1202</v>
      </c>
      <c r="D204">
        <v>13002561</v>
      </c>
      <c r="E204">
        <v>13</v>
      </c>
      <c r="F204">
        <v>22589</v>
      </c>
      <c r="G204" t="s">
        <v>23</v>
      </c>
      <c r="H204">
        <v>15</v>
      </c>
      <c r="I204">
        <v>81807</v>
      </c>
      <c r="J204" t="s">
        <v>86</v>
      </c>
      <c r="K204" t="s">
        <v>25</v>
      </c>
      <c r="L204" t="s">
        <v>36</v>
      </c>
      <c r="M204">
        <v>1</v>
      </c>
      <c r="N204">
        <v>317.7</v>
      </c>
      <c r="O204">
        <v>398.81</v>
      </c>
      <c r="P204">
        <v>19.940000000000001</v>
      </c>
      <c r="Q204">
        <v>19.940000000000001</v>
      </c>
      <c r="R204" t="s">
        <v>30</v>
      </c>
      <c r="S204">
        <v>29</v>
      </c>
      <c r="T204">
        <v>1</v>
      </c>
      <c r="U204">
        <v>2</v>
      </c>
      <c r="V204">
        <v>378.87</v>
      </c>
      <c r="W204">
        <v>13130000202</v>
      </c>
    </row>
    <row r="205" spans="1:23" x14ac:dyDescent="0.2">
      <c r="A205" s="1">
        <v>44790</v>
      </c>
      <c r="B205" s="2">
        <v>0.85855324074074069</v>
      </c>
      <c r="C205">
        <v>1203</v>
      </c>
      <c r="D205">
        <v>13002561</v>
      </c>
      <c r="E205">
        <v>13</v>
      </c>
      <c r="F205">
        <v>22589</v>
      </c>
      <c r="G205" t="s">
        <v>23</v>
      </c>
      <c r="H205">
        <v>15</v>
      </c>
      <c r="I205">
        <v>74970</v>
      </c>
      <c r="J205" t="s">
        <v>116</v>
      </c>
      <c r="K205" t="s">
        <v>38</v>
      </c>
      <c r="L205" t="s">
        <v>36</v>
      </c>
      <c r="M205">
        <v>2</v>
      </c>
      <c r="N205">
        <v>154.79</v>
      </c>
      <c r="O205">
        <v>227.74</v>
      </c>
      <c r="P205">
        <v>11.39</v>
      </c>
      <c r="Q205">
        <v>11.39</v>
      </c>
      <c r="R205" t="s">
        <v>30</v>
      </c>
      <c r="S205">
        <v>29</v>
      </c>
      <c r="T205">
        <v>1</v>
      </c>
      <c r="U205">
        <v>1</v>
      </c>
      <c r="V205">
        <v>216.35</v>
      </c>
      <c r="W205">
        <v>13130000203</v>
      </c>
    </row>
    <row r="206" spans="1:23" x14ac:dyDescent="0.2">
      <c r="A206" s="1">
        <v>44789</v>
      </c>
      <c r="B206" s="2">
        <v>0.51252314814814814</v>
      </c>
      <c r="C206">
        <v>1204</v>
      </c>
      <c r="D206">
        <v>13002561</v>
      </c>
      <c r="E206">
        <v>13</v>
      </c>
      <c r="F206">
        <v>22589</v>
      </c>
      <c r="G206" t="s">
        <v>23</v>
      </c>
      <c r="H206">
        <v>18</v>
      </c>
      <c r="I206">
        <v>41598</v>
      </c>
      <c r="J206" t="s">
        <v>55</v>
      </c>
      <c r="K206" t="s">
        <v>44</v>
      </c>
      <c r="L206" t="s">
        <v>29</v>
      </c>
      <c r="M206">
        <v>2</v>
      </c>
      <c r="N206">
        <v>47.34</v>
      </c>
      <c r="O206">
        <v>60.09</v>
      </c>
      <c r="P206">
        <v>6.01</v>
      </c>
      <c r="Q206">
        <v>6.01</v>
      </c>
      <c r="R206" t="s">
        <v>30</v>
      </c>
      <c r="S206">
        <v>29</v>
      </c>
      <c r="T206">
        <v>1</v>
      </c>
      <c r="U206">
        <v>2</v>
      </c>
      <c r="V206">
        <v>54.08</v>
      </c>
      <c r="W206">
        <v>13130000204</v>
      </c>
    </row>
    <row r="207" spans="1:23" x14ac:dyDescent="0.2">
      <c r="A207" s="1">
        <v>44796</v>
      </c>
      <c r="B207" s="2">
        <v>0.47538194444444443</v>
      </c>
      <c r="C207">
        <v>1205</v>
      </c>
      <c r="D207">
        <v>13002561</v>
      </c>
      <c r="E207">
        <v>13</v>
      </c>
      <c r="F207">
        <v>22589</v>
      </c>
      <c r="G207" t="s">
        <v>23</v>
      </c>
      <c r="H207">
        <v>18</v>
      </c>
      <c r="I207">
        <v>47985</v>
      </c>
      <c r="J207" t="s">
        <v>59</v>
      </c>
      <c r="K207" t="s">
        <v>38</v>
      </c>
      <c r="L207" t="s">
        <v>32</v>
      </c>
      <c r="M207">
        <v>3</v>
      </c>
      <c r="N207">
        <v>269.89999999999998</v>
      </c>
      <c r="O207">
        <v>428.67</v>
      </c>
      <c r="P207">
        <v>42.87</v>
      </c>
      <c r="Q207">
        <v>42.87</v>
      </c>
      <c r="R207" t="s">
        <v>30</v>
      </c>
      <c r="S207">
        <v>29</v>
      </c>
      <c r="T207">
        <v>1</v>
      </c>
      <c r="U207">
        <v>4</v>
      </c>
      <c r="V207">
        <v>385.8</v>
      </c>
      <c r="W207">
        <v>13130000205</v>
      </c>
    </row>
    <row r="208" spans="1:23" x14ac:dyDescent="0.2">
      <c r="A208" s="1">
        <v>44777</v>
      </c>
      <c r="B208" s="2">
        <v>0.41053240740740737</v>
      </c>
      <c r="C208">
        <v>1206</v>
      </c>
      <c r="D208">
        <v>13002561</v>
      </c>
      <c r="E208">
        <v>13</v>
      </c>
      <c r="F208">
        <v>22589</v>
      </c>
      <c r="G208" t="s">
        <v>23</v>
      </c>
      <c r="H208">
        <v>18</v>
      </c>
      <c r="I208">
        <v>43382</v>
      </c>
      <c r="J208" t="s">
        <v>117</v>
      </c>
      <c r="K208" t="s">
        <v>38</v>
      </c>
      <c r="L208" t="s">
        <v>34</v>
      </c>
      <c r="M208">
        <v>2</v>
      </c>
      <c r="N208">
        <v>436.54</v>
      </c>
      <c r="O208">
        <v>558.21</v>
      </c>
      <c r="P208">
        <v>27.91</v>
      </c>
      <c r="Q208">
        <v>27.91</v>
      </c>
      <c r="R208" t="s">
        <v>30</v>
      </c>
      <c r="S208">
        <v>29</v>
      </c>
      <c r="T208">
        <v>1</v>
      </c>
      <c r="U208">
        <v>3</v>
      </c>
      <c r="V208">
        <v>530.29999999999995</v>
      </c>
      <c r="W208">
        <v>13130000206</v>
      </c>
    </row>
    <row r="209" spans="1:23" x14ac:dyDescent="0.2">
      <c r="A209" s="1">
        <v>44781</v>
      </c>
      <c r="B209" s="2">
        <v>0.58040509259259254</v>
      </c>
      <c r="C209">
        <v>1207</v>
      </c>
      <c r="D209">
        <v>13002561</v>
      </c>
      <c r="E209">
        <v>13</v>
      </c>
      <c r="F209">
        <v>22589</v>
      </c>
      <c r="G209" t="s">
        <v>23</v>
      </c>
      <c r="H209">
        <v>18</v>
      </c>
      <c r="I209">
        <v>14865</v>
      </c>
      <c r="J209" t="s">
        <v>103</v>
      </c>
      <c r="K209" t="s">
        <v>45</v>
      </c>
      <c r="L209" t="s">
        <v>39</v>
      </c>
      <c r="M209">
        <v>1</v>
      </c>
      <c r="N209">
        <v>558</v>
      </c>
      <c r="O209">
        <v>747.44</v>
      </c>
      <c r="P209">
        <v>37.369999999999997</v>
      </c>
      <c r="Q209">
        <v>37.369999999999997</v>
      </c>
      <c r="R209" t="s">
        <v>30</v>
      </c>
      <c r="S209">
        <v>29</v>
      </c>
      <c r="T209">
        <v>1</v>
      </c>
      <c r="U209">
        <v>6</v>
      </c>
      <c r="V209">
        <v>710.07</v>
      </c>
      <c r="W209">
        <v>13130000207</v>
      </c>
    </row>
    <row r="210" spans="1:23" x14ac:dyDescent="0.2">
      <c r="A210" s="1">
        <v>44802</v>
      </c>
      <c r="B210" s="2">
        <v>0.5659143518518519</v>
      </c>
      <c r="C210">
        <v>1208</v>
      </c>
      <c r="D210">
        <v>13002561</v>
      </c>
      <c r="E210">
        <v>13</v>
      </c>
      <c r="F210">
        <v>22589</v>
      </c>
      <c r="G210" t="s">
        <v>23</v>
      </c>
      <c r="H210">
        <v>18</v>
      </c>
      <c r="I210">
        <v>96264</v>
      </c>
      <c r="J210" t="s">
        <v>33</v>
      </c>
      <c r="K210" t="s">
        <v>45</v>
      </c>
      <c r="L210" t="s">
        <v>36</v>
      </c>
      <c r="M210">
        <v>1</v>
      </c>
      <c r="N210">
        <v>171.58</v>
      </c>
      <c r="O210">
        <v>273</v>
      </c>
      <c r="P210">
        <v>27.3</v>
      </c>
      <c r="Q210">
        <v>27.3</v>
      </c>
      <c r="R210" t="s">
        <v>30</v>
      </c>
      <c r="S210">
        <v>29</v>
      </c>
      <c r="T210">
        <v>1</v>
      </c>
      <c r="U210">
        <v>6</v>
      </c>
      <c r="V210">
        <v>245.7</v>
      </c>
      <c r="W210">
        <v>13130000208</v>
      </c>
    </row>
    <row r="211" spans="1:23" x14ac:dyDescent="0.2">
      <c r="A211" s="1">
        <v>44784</v>
      </c>
      <c r="B211" s="2">
        <v>0.63888888888888884</v>
      </c>
      <c r="C211">
        <v>1209</v>
      </c>
      <c r="D211">
        <v>13002561</v>
      </c>
      <c r="E211">
        <v>13</v>
      </c>
      <c r="F211">
        <v>22589</v>
      </c>
      <c r="G211" t="s">
        <v>23</v>
      </c>
      <c r="H211">
        <v>15</v>
      </c>
      <c r="I211">
        <v>52820</v>
      </c>
      <c r="J211" t="s">
        <v>113</v>
      </c>
      <c r="K211" t="s">
        <v>44</v>
      </c>
      <c r="L211" t="s">
        <v>39</v>
      </c>
      <c r="M211">
        <v>3</v>
      </c>
      <c r="N211">
        <v>164.22</v>
      </c>
      <c r="O211">
        <v>244.67</v>
      </c>
      <c r="P211">
        <v>12.23</v>
      </c>
      <c r="Q211">
        <v>12.23</v>
      </c>
      <c r="R211" t="s">
        <v>30</v>
      </c>
      <c r="S211">
        <v>29</v>
      </c>
      <c r="T211">
        <v>1</v>
      </c>
      <c r="U211">
        <v>4</v>
      </c>
      <c r="V211">
        <v>232.44</v>
      </c>
      <c r="W211">
        <v>13130000209</v>
      </c>
    </row>
    <row r="212" spans="1:23" x14ac:dyDescent="0.2">
      <c r="A212" s="1">
        <v>44804</v>
      </c>
      <c r="B212" s="2">
        <v>0.49004629629629631</v>
      </c>
      <c r="C212">
        <v>1210</v>
      </c>
      <c r="D212">
        <v>13002561</v>
      </c>
      <c r="E212">
        <v>13</v>
      </c>
      <c r="F212">
        <v>22589</v>
      </c>
      <c r="G212" t="s">
        <v>23</v>
      </c>
      <c r="H212">
        <v>15</v>
      </c>
      <c r="I212">
        <v>98117</v>
      </c>
      <c r="J212" t="s">
        <v>70</v>
      </c>
      <c r="K212" t="s">
        <v>28</v>
      </c>
      <c r="L212" t="s">
        <v>51</v>
      </c>
      <c r="M212">
        <v>1</v>
      </c>
      <c r="N212">
        <v>564.62</v>
      </c>
      <c r="O212">
        <v>934.02</v>
      </c>
      <c r="P212">
        <v>46.7</v>
      </c>
      <c r="Q212">
        <v>46.7</v>
      </c>
      <c r="R212" t="s">
        <v>30</v>
      </c>
      <c r="S212">
        <v>29</v>
      </c>
      <c r="T212">
        <v>1</v>
      </c>
      <c r="U212">
        <v>6</v>
      </c>
      <c r="V212">
        <v>887.32</v>
      </c>
      <c r="W212">
        <v>13130000210</v>
      </c>
    </row>
    <row r="213" spans="1:23" x14ac:dyDescent="0.2">
      <c r="A213" s="1">
        <v>44789</v>
      </c>
      <c r="B213" s="2">
        <v>0.7771527777777778</v>
      </c>
      <c r="C213">
        <v>1211</v>
      </c>
      <c r="D213">
        <v>13002561</v>
      </c>
      <c r="E213">
        <v>13</v>
      </c>
      <c r="F213">
        <v>22589</v>
      </c>
      <c r="G213" t="s">
        <v>23</v>
      </c>
      <c r="H213">
        <v>18</v>
      </c>
      <c r="I213">
        <v>29515</v>
      </c>
      <c r="J213" t="s">
        <v>55</v>
      </c>
      <c r="K213" t="s">
        <v>28</v>
      </c>
      <c r="L213" t="s">
        <v>34</v>
      </c>
      <c r="M213">
        <v>1</v>
      </c>
      <c r="N213">
        <v>95.25</v>
      </c>
      <c r="O213">
        <v>134.63</v>
      </c>
      <c r="P213">
        <v>6.73</v>
      </c>
      <c r="Q213">
        <v>6.73</v>
      </c>
      <c r="R213" t="s">
        <v>30</v>
      </c>
      <c r="S213">
        <v>29</v>
      </c>
      <c r="T213">
        <v>1</v>
      </c>
      <c r="U213">
        <v>6</v>
      </c>
      <c r="V213">
        <v>127.9</v>
      </c>
      <c r="W213">
        <v>13130000211</v>
      </c>
    </row>
    <row r="214" spans="1:23" x14ac:dyDescent="0.2">
      <c r="A214" s="1">
        <v>44787</v>
      </c>
      <c r="B214" s="2">
        <v>0.93731481481481482</v>
      </c>
      <c r="C214">
        <v>1212</v>
      </c>
      <c r="D214">
        <v>13002561</v>
      </c>
      <c r="E214">
        <v>13</v>
      </c>
      <c r="F214">
        <v>22589</v>
      </c>
      <c r="G214" t="s">
        <v>23</v>
      </c>
      <c r="H214">
        <v>18</v>
      </c>
      <c r="I214">
        <v>71494</v>
      </c>
      <c r="J214" t="s">
        <v>118</v>
      </c>
      <c r="K214" t="s">
        <v>45</v>
      </c>
      <c r="L214" t="s">
        <v>51</v>
      </c>
      <c r="M214">
        <v>3</v>
      </c>
      <c r="N214">
        <v>169.6</v>
      </c>
      <c r="O214">
        <v>248.71</v>
      </c>
      <c r="P214">
        <v>24.87</v>
      </c>
      <c r="Q214">
        <v>24.87</v>
      </c>
      <c r="R214" t="s">
        <v>30</v>
      </c>
      <c r="S214">
        <v>29</v>
      </c>
      <c r="T214">
        <v>1</v>
      </c>
      <c r="U214">
        <v>6</v>
      </c>
      <c r="V214">
        <v>223.84</v>
      </c>
      <c r="W214">
        <v>13130000212</v>
      </c>
    </row>
    <row r="215" spans="1:23" x14ac:dyDescent="0.2">
      <c r="A215" s="1">
        <v>44789</v>
      </c>
      <c r="B215" s="2">
        <v>0.42774305555555547</v>
      </c>
      <c r="C215">
        <v>1213</v>
      </c>
      <c r="D215">
        <v>13002561</v>
      </c>
      <c r="E215">
        <v>13</v>
      </c>
      <c r="F215">
        <v>22589</v>
      </c>
      <c r="G215" t="s">
        <v>23</v>
      </c>
      <c r="H215">
        <v>15</v>
      </c>
      <c r="I215">
        <v>20243</v>
      </c>
      <c r="J215" t="s">
        <v>59</v>
      </c>
      <c r="K215" t="s">
        <v>25</v>
      </c>
      <c r="L215" t="s">
        <v>47</v>
      </c>
      <c r="M215">
        <v>3</v>
      </c>
      <c r="N215">
        <v>103.45</v>
      </c>
      <c r="O215">
        <v>173.7</v>
      </c>
      <c r="P215">
        <v>8.69</v>
      </c>
      <c r="Q215">
        <v>8.69</v>
      </c>
      <c r="R215" t="s">
        <v>30</v>
      </c>
      <c r="S215">
        <v>29</v>
      </c>
      <c r="T215">
        <v>1</v>
      </c>
      <c r="U215">
        <v>3</v>
      </c>
      <c r="V215">
        <v>165.01</v>
      </c>
      <c r="W215">
        <v>13130000213</v>
      </c>
    </row>
    <row r="216" spans="1:23" x14ac:dyDescent="0.2">
      <c r="A216" s="1">
        <v>44778</v>
      </c>
      <c r="B216" s="2">
        <v>0.74184027777777772</v>
      </c>
      <c r="C216">
        <v>1214</v>
      </c>
      <c r="D216">
        <v>13002561</v>
      </c>
      <c r="E216">
        <v>13</v>
      </c>
      <c r="F216">
        <v>22589</v>
      </c>
      <c r="G216" t="s">
        <v>23</v>
      </c>
      <c r="H216">
        <v>15</v>
      </c>
      <c r="I216">
        <v>39614</v>
      </c>
      <c r="J216" t="s">
        <v>59</v>
      </c>
      <c r="K216" t="s">
        <v>38</v>
      </c>
      <c r="L216" t="s">
        <v>51</v>
      </c>
      <c r="M216">
        <v>3</v>
      </c>
      <c r="N216">
        <v>226.3</v>
      </c>
      <c r="O216">
        <v>362.21</v>
      </c>
      <c r="P216">
        <v>18.11</v>
      </c>
      <c r="Q216">
        <v>18.11</v>
      </c>
      <c r="R216" t="s">
        <v>30</v>
      </c>
      <c r="S216">
        <v>29</v>
      </c>
      <c r="T216">
        <v>1</v>
      </c>
      <c r="U216">
        <v>6</v>
      </c>
      <c r="V216">
        <v>344.1</v>
      </c>
      <c r="W216">
        <v>13130000214</v>
      </c>
    </row>
    <row r="217" spans="1:23" x14ac:dyDescent="0.2">
      <c r="A217" s="1">
        <v>44784</v>
      </c>
      <c r="B217" s="2">
        <v>0.87449074074074074</v>
      </c>
      <c r="C217">
        <v>1215</v>
      </c>
      <c r="D217">
        <v>13002561</v>
      </c>
      <c r="E217">
        <v>13</v>
      </c>
      <c r="F217">
        <v>22589</v>
      </c>
      <c r="G217" t="s">
        <v>23</v>
      </c>
      <c r="H217">
        <v>18</v>
      </c>
      <c r="I217">
        <v>35258</v>
      </c>
      <c r="J217" t="s">
        <v>65</v>
      </c>
      <c r="K217" t="s">
        <v>60</v>
      </c>
      <c r="L217" t="s">
        <v>36</v>
      </c>
      <c r="M217">
        <v>1</v>
      </c>
      <c r="N217">
        <v>52.08</v>
      </c>
      <c r="O217">
        <v>76.02</v>
      </c>
      <c r="P217">
        <v>3.8</v>
      </c>
      <c r="Q217">
        <v>3.8</v>
      </c>
      <c r="R217" t="s">
        <v>30</v>
      </c>
      <c r="S217">
        <v>29</v>
      </c>
      <c r="T217">
        <v>1</v>
      </c>
      <c r="U217">
        <v>6</v>
      </c>
      <c r="V217">
        <v>72.22</v>
      </c>
      <c r="W217">
        <v>13130000215</v>
      </c>
    </row>
    <row r="218" spans="1:23" x14ac:dyDescent="0.2">
      <c r="A218" s="1">
        <v>44789</v>
      </c>
      <c r="B218" s="2">
        <v>0.53673611111111108</v>
      </c>
      <c r="C218">
        <v>1216</v>
      </c>
      <c r="D218">
        <v>13002561</v>
      </c>
      <c r="E218">
        <v>13</v>
      </c>
      <c r="F218">
        <v>22589</v>
      </c>
      <c r="G218" t="s">
        <v>23</v>
      </c>
      <c r="H218">
        <v>15</v>
      </c>
      <c r="I218">
        <v>24235</v>
      </c>
      <c r="J218" t="s">
        <v>71</v>
      </c>
      <c r="K218" t="s">
        <v>38</v>
      </c>
      <c r="L218" t="s">
        <v>51</v>
      </c>
      <c r="M218">
        <v>3</v>
      </c>
      <c r="N218">
        <v>261.11</v>
      </c>
      <c r="O218">
        <v>431.18</v>
      </c>
      <c r="P218">
        <v>0</v>
      </c>
      <c r="Q218">
        <v>0</v>
      </c>
      <c r="S218">
        <v>29</v>
      </c>
      <c r="T218">
        <v>1</v>
      </c>
      <c r="U218">
        <v>1</v>
      </c>
      <c r="V218">
        <v>431.18</v>
      </c>
      <c r="W218">
        <v>13130000216</v>
      </c>
    </row>
    <row r="219" spans="1:23" x14ac:dyDescent="0.2">
      <c r="A219" s="1">
        <v>44802</v>
      </c>
      <c r="B219" s="2">
        <v>0.53688657407407403</v>
      </c>
      <c r="C219">
        <v>1217</v>
      </c>
      <c r="D219">
        <v>13002561</v>
      </c>
      <c r="E219">
        <v>13</v>
      </c>
      <c r="F219">
        <v>22589</v>
      </c>
      <c r="G219" t="s">
        <v>23</v>
      </c>
      <c r="H219">
        <v>18</v>
      </c>
      <c r="I219">
        <v>63475</v>
      </c>
      <c r="J219" t="s">
        <v>57</v>
      </c>
      <c r="K219" t="s">
        <v>38</v>
      </c>
      <c r="L219" t="s">
        <v>34</v>
      </c>
      <c r="M219">
        <v>1</v>
      </c>
      <c r="N219">
        <v>588.36</v>
      </c>
      <c r="O219">
        <v>765.32</v>
      </c>
      <c r="P219">
        <v>0</v>
      </c>
      <c r="Q219">
        <v>0</v>
      </c>
      <c r="S219">
        <v>29</v>
      </c>
      <c r="T219">
        <v>1</v>
      </c>
      <c r="U219">
        <v>3</v>
      </c>
      <c r="V219">
        <v>765.32</v>
      </c>
      <c r="W219">
        <v>13130000217</v>
      </c>
    </row>
    <row r="220" spans="1:23" x14ac:dyDescent="0.2">
      <c r="A220" s="1">
        <v>44802</v>
      </c>
      <c r="B220" s="2">
        <v>0.34596064814814809</v>
      </c>
      <c r="C220">
        <v>1218</v>
      </c>
      <c r="D220">
        <v>13002561</v>
      </c>
      <c r="E220">
        <v>13</v>
      </c>
      <c r="F220">
        <v>22589</v>
      </c>
      <c r="G220" t="s">
        <v>23</v>
      </c>
      <c r="H220">
        <v>18</v>
      </c>
      <c r="I220">
        <v>19138</v>
      </c>
      <c r="J220" t="s">
        <v>96</v>
      </c>
      <c r="K220" t="s">
        <v>25</v>
      </c>
      <c r="L220" t="s">
        <v>32</v>
      </c>
      <c r="M220">
        <v>2</v>
      </c>
      <c r="N220">
        <v>310.33</v>
      </c>
      <c r="O220">
        <v>461.8</v>
      </c>
      <c r="P220">
        <v>23.09</v>
      </c>
      <c r="Q220">
        <v>23.09</v>
      </c>
      <c r="R220" t="s">
        <v>30</v>
      </c>
      <c r="S220">
        <v>29</v>
      </c>
      <c r="T220">
        <v>1</v>
      </c>
      <c r="U220">
        <v>4</v>
      </c>
      <c r="V220">
        <v>438.71</v>
      </c>
      <c r="W220">
        <v>13130000218</v>
      </c>
    </row>
    <row r="221" spans="1:23" x14ac:dyDescent="0.2">
      <c r="A221" s="1">
        <v>44782</v>
      </c>
      <c r="B221" s="2">
        <v>0.64505787037037032</v>
      </c>
      <c r="C221">
        <v>1219</v>
      </c>
      <c r="D221">
        <v>13002561</v>
      </c>
      <c r="E221">
        <v>13</v>
      </c>
      <c r="F221">
        <v>22589</v>
      </c>
      <c r="G221" t="s">
        <v>23</v>
      </c>
      <c r="H221">
        <v>18</v>
      </c>
      <c r="I221">
        <v>70381</v>
      </c>
      <c r="J221" t="s">
        <v>112</v>
      </c>
      <c r="K221" t="s">
        <v>38</v>
      </c>
      <c r="L221" t="s">
        <v>29</v>
      </c>
      <c r="M221">
        <v>3</v>
      </c>
      <c r="N221">
        <v>391.77</v>
      </c>
      <c r="O221">
        <v>543.62</v>
      </c>
      <c r="P221">
        <v>0</v>
      </c>
      <c r="Q221">
        <v>0</v>
      </c>
      <c r="S221">
        <v>29</v>
      </c>
      <c r="T221">
        <v>1</v>
      </c>
      <c r="U221">
        <v>5</v>
      </c>
      <c r="V221">
        <v>543.62</v>
      </c>
      <c r="W221">
        <v>13130000219</v>
      </c>
    </row>
    <row r="222" spans="1:23" x14ac:dyDescent="0.2">
      <c r="A222" s="1">
        <v>44793</v>
      </c>
      <c r="B222" s="2">
        <v>0.73334490740740743</v>
      </c>
      <c r="C222">
        <v>1220</v>
      </c>
      <c r="D222">
        <v>13002561</v>
      </c>
      <c r="E222">
        <v>13</v>
      </c>
      <c r="F222">
        <v>22589</v>
      </c>
      <c r="G222" t="s">
        <v>23</v>
      </c>
      <c r="H222">
        <v>18</v>
      </c>
      <c r="I222">
        <v>73687</v>
      </c>
      <c r="J222" t="s">
        <v>101</v>
      </c>
      <c r="K222" t="s">
        <v>28</v>
      </c>
      <c r="L222" t="s">
        <v>26</v>
      </c>
      <c r="M222">
        <v>1</v>
      </c>
      <c r="N222">
        <v>89.15</v>
      </c>
      <c r="O222">
        <v>121.03</v>
      </c>
      <c r="P222">
        <v>12.1</v>
      </c>
      <c r="Q222">
        <v>12.1</v>
      </c>
      <c r="R222" t="s">
        <v>30</v>
      </c>
      <c r="S222">
        <v>29</v>
      </c>
      <c r="T222">
        <v>1</v>
      </c>
      <c r="U222">
        <v>4</v>
      </c>
      <c r="V222">
        <v>108.93</v>
      </c>
      <c r="W222">
        <v>13130000220</v>
      </c>
    </row>
    <row r="223" spans="1:23" x14ac:dyDescent="0.2">
      <c r="A223" s="1">
        <v>44788</v>
      </c>
      <c r="B223" s="2">
        <v>0.63561342592592596</v>
      </c>
      <c r="C223">
        <v>1221</v>
      </c>
      <c r="D223">
        <v>13002561</v>
      </c>
      <c r="E223">
        <v>13</v>
      </c>
      <c r="F223">
        <v>22589</v>
      </c>
      <c r="G223" t="s">
        <v>23</v>
      </c>
      <c r="H223">
        <v>15</v>
      </c>
      <c r="I223">
        <v>32340</v>
      </c>
      <c r="J223" t="s">
        <v>74</v>
      </c>
      <c r="K223" t="s">
        <v>38</v>
      </c>
      <c r="L223" t="s">
        <v>26</v>
      </c>
      <c r="M223">
        <v>2</v>
      </c>
      <c r="N223">
        <v>291.70999999999998</v>
      </c>
      <c r="O223">
        <v>384.88</v>
      </c>
      <c r="P223">
        <v>0</v>
      </c>
      <c r="Q223">
        <v>0</v>
      </c>
      <c r="S223">
        <v>29</v>
      </c>
      <c r="T223">
        <v>1</v>
      </c>
      <c r="U223">
        <v>5</v>
      </c>
      <c r="V223">
        <v>384.88</v>
      </c>
      <c r="W223">
        <v>13130000221</v>
      </c>
    </row>
    <row r="224" spans="1:23" x14ac:dyDescent="0.2">
      <c r="A224" s="1">
        <v>44789</v>
      </c>
      <c r="B224" s="2">
        <v>0.92782407407407408</v>
      </c>
      <c r="C224">
        <v>1222</v>
      </c>
      <c r="D224">
        <v>13002561</v>
      </c>
      <c r="E224">
        <v>13</v>
      </c>
      <c r="F224">
        <v>22589</v>
      </c>
      <c r="G224" t="s">
        <v>23</v>
      </c>
      <c r="H224">
        <v>15</v>
      </c>
      <c r="I224">
        <v>65710</v>
      </c>
      <c r="J224" t="s">
        <v>93</v>
      </c>
      <c r="K224" t="s">
        <v>60</v>
      </c>
      <c r="L224" t="s">
        <v>36</v>
      </c>
      <c r="M224">
        <v>1</v>
      </c>
      <c r="N224">
        <v>570.32000000000005</v>
      </c>
      <c r="O224">
        <v>734.67</v>
      </c>
      <c r="P224">
        <v>0</v>
      </c>
      <c r="Q224">
        <v>0</v>
      </c>
      <c r="S224">
        <v>29</v>
      </c>
      <c r="T224">
        <v>1</v>
      </c>
      <c r="U224">
        <v>2</v>
      </c>
      <c r="V224">
        <v>734.67</v>
      </c>
      <c r="W224">
        <v>13130000222</v>
      </c>
    </row>
    <row r="225" spans="1:23" x14ac:dyDescent="0.2">
      <c r="A225" s="1">
        <v>44774</v>
      </c>
      <c r="B225" s="2">
        <v>0.55554398148148143</v>
      </c>
      <c r="C225">
        <v>1223</v>
      </c>
      <c r="D225">
        <v>13002561</v>
      </c>
      <c r="E225">
        <v>13</v>
      </c>
      <c r="F225">
        <v>22589</v>
      </c>
      <c r="G225" t="s">
        <v>23</v>
      </c>
      <c r="H225">
        <v>15</v>
      </c>
      <c r="I225">
        <v>88445</v>
      </c>
      <c r="J225" t="s">
        <v>91</v>
      </c>
      <c r="K225" t="s">
        <v>25</v>
      </c>
      <c r="L225" t="s">
        <v>39</v>
      </c>
      <c r="M225">
        <v>2</v>
      </c>
      <c r="N225">
        <v>339.58</v>
      </c>
      <c r="O225">
        <v>537.63</v>
      </c>
      <c r="P225">
        <v>0</v>
      </c>
      <c r="Q225">
        <v>0</v>
      </c>
      <c r="S225">
        <v>29</v>
      </c>
      <c r="T225">
        <v>1</v>
      </c>
      <c r="U225">
        <v>3</v>
      </c>
      <c r="V225">
        <v>537.63</v>
      </c>
      <c r="W225">
        <v>13130000223</v>
      </c>
    </row>
    <row r="226" spans="1:23" x14ac:dyDescent="0.2">
      <c r="A226" s="1">
        <v>44787</v>
      </c>
      <c r="B226" s="2">
        <v>0.52143518518518517</v>
      </c>
      <c r="C226">
        <v>1224</v>
      </c>
      <c r="D226">
        <v>13002561</v>
      </c>
      <c r="E226">
        <v>13</v>
      </c>
      <c r="F226">
        <v>22589</v>
      </c>
      <c r="G226" t="s">
        <v>23</v>
      </c>
      <c r="H226">
        <v>15</v>
      </c>
      <c r="I226">
        <v>31136</v>
      </c>
      <c r="J226" t="s">
        <v>113</v>
      </c>
      <c r="K226" t="s">
        <v>44</v>
      </c>
      <c r="L226" t="s">
        <v>34</v>
      </c>
      <c r="M226">
        <v>2</v>
      </c>
      <c r="N226">
        <v>441.65</v>
      </c>
      <c r="O226">
        <v>553.36</v>
      </c>
      <c r="P226">
        <v>55.34</v>
      </c>
      <c r="Q226">
        <v>55.34</v>
      </c>
      <c r="R226" t="s">
        <v>30</v>
      </c>
      <c r="S226">
        <v>29</v>
      </c>
      <c r="T226">
        <v>1</v>
      </c>
      <c r="U226">
        <v>4</v>
      </c>
      <c r="V226">
        <v>498.02</v>
      </c>
      <c r="W226">
        <v>13130000224</v>
      </c>
    </row>
    <row r="227" spans="1:23" x14ac:dyDescent="0.2">
      <c r="A227" s="1">
        <v>44779</v>
      </c>
      <c r="B227" s="2">
        <v>0.71229166666666666</v>
      </c>
      <c r="C227">
        <v>1225</v>
      </c>
      <c r="D227">
        <v>13002561</v>
      </c>
      <c r="E227">
        <v>13</v>
      </c>
      <c r="F227">
        <v>22589</v>
      </c>
      <c r="G227" t="s">
        <v>23</v>
      </c>
      <c r="H227">
        <v>15</v>
      </c>
      <c r="I227">
        <v>98411</v>
      </c>
      <c r="J227" t="s">
        <v>49</v>
      </c>
      <c r="K227" t="s">
        <v>44</v>
      </c>
      <c r="L227" t="s">
        <v>26</v>
      </c>
      <c r="M227">
        <v>3</v>
      </c>
      <c r="N227">
        <v>233.23</v>
      </c>
      <c r="O227">
        <v>375.28</v>
      </c>
      <c r="P227">
        <v>37.53</v>
      </c>
      <c r="Q227">
        <v>37.53</v>
      </c>
      <c r="R227" t="s">
        <v>30</v>
      </c>
      <c r="S227">
        <v>29</v>
      </c>
      <c r="T227">
        <v>1</v>
      </c>
      <c r="U227">
        <v>1</v>
      </c>
      <c r="V227">
        <v>337.75</v>
      </c>
      <c r="W227">
        <v>13130000225</v>
      </c>
    </row>
    <row r="228" spans="1:23" x14ac:dyDescent="0.2">
      <c r="A228" s="1">
        <v>44800</v>
      </c>
      <c r="B228" s="2">
        <v>0.78008101851851852</v>
      </c>
      <c r="C228">
        <v>1226</v>
      </c>
      <c r="D228">
        <v>13002561</v>
      </c>
      <c r="E228">
        <v>13</v>
      </c>
      <c r="F228">
        <v>22589</v>
      </c>
      <c r="G228" t="s">
        <v>23</v>
      </c>
      <c r="H228">
        <v>15</v>
      </c>
      <c r="I228">
        <v>18347</v>
      </c>
      <c r="J228" t="s">
        <v>113</v>
      </c>
      <c r="K228" t="s">
        <v>45</v>
      </c>
      <c r="L228" t="s">
        <v>51</v>
      </c>
      <c r="M228">
        <v>3</v>
      </c>
      <c r="N228">
        <v>105.09</v>
      </c>
      <c r="O228">
        <v>167.47</v>
      </c>
      <c r="P228">
        <v>0</v>
      </c>
      <c r="Q228">
        <v>0</v>
      </c>
      <c r="S228">
        <v>29</v>
      </c>
      <c r="T228">
        <v>1</v>
      </c>
      <c r="U228">
        <v>6</v>
      </c>
      <c r="V228">
        <v>167.47</v>
      </c>
      <c r="W228">
        <v>13130000226</v>
      </c>
    </row>
    <row r="229" spans="1:23" x14ac:dyDescent="0.2">
      <c r="A229" s="1">
        <v>44778</v>
      </c>
      <c r="B229" s="2">
        <v>0.87688657407407411</v>
      </c>
      <c r="C229">
        <v>1227</v>
      </c>
      <c r="D229">
        <v>13002561</v>
      </c>
      <c r="E229">
        <v>13</v>
      </c>
      <c r="F229">
        <v>22589</v>
      </c>
      <c r="G229" t="s">
        <v>23</v>
      </c>
      <c r="H229">
        <v>15</v>
      </c>
      <c r="I229">
        <v>64911</v>
      </c>
      <c r="J229" t="s">
        <v>103</v>
      </c>
      <c r="K229" t="s">
        <v>28</v>
      </c>
      <c r="L229" t="s">
        <v>26</v>
      </c>
      <c r="M229">
        <v>1</v>
      </c>
      <c r="N229">
        <v>122.86</v>
      </c>
      <c r="O229">
        <v>163.05000000000001</v>
      </c>
      <c r="P229">
        <v>8.15</v>
      </c>
      <c r="Q229">
        <v>8.15</v>
      </c>
      <c r="R229" t="s">
        <v>30</v>
      </c>
      <c r="S229">
        <v>29</v>
      </c>
      <c r="T229">
        <v>1</v>
      </c>
      <c r="U229">
        <v>6</v>
      </c>
      <c r="V229">
        <v>154.9</v>
      </c>
      <c r="W229">
        <v>13130000227</v>
      </c>
    </row>
    <row r="230" spans="1:23" x14ac:dyDescent="0.2">
      <c r="A230" s="1">
        <v>44781</v>
      </c>
      <c r="B230" s="2">
        <v>0.42650462962962971</v>
      </c>
      <c r="C230">
        <v>1228</v>
      </c>
      <c r="D230">
        <v>13002561</v>
      </c>
      <c r="E230">
        <v>13</v>
      </c>
      <c r="F230">
        <v>22589</v>
      </c>
      <c r="G230" t="s">
        <v>23</v>
      </c>
      <c r="H230">
        <v>15</v>
      </c>
      <c r="I230">
        <v>84058</v>
      </c>
      <c r="J230" t="s">
        <v>55</v>
      </c>
      <c r="K230" t="s">
        <v>38</v>
      </c>
      <c r="L230" t="s">
        <v>36</v>
      </c>
      <c r="M230">
        <v>1</v>
      </c>
      <c r="N230">
        <v>62.17</v>
      </c>
      <c r="O230">
        <v>93.74</v>
      </c>
      <c r="P230">
        <v>9.3699999999999992</v>
      </c>
      <c r="Q230">
        <v>9.3699999999999992</v>
      </c>
      <c r="R230" t="s">
        <v>30</v>
      </c>
      <c r="S230">
        <v>29</v>
      </c>
      <c r="T230">
        <v>1</v>
      </c>
      <c r="U230">
        <v>4</v>
      </c>
      <c r="V230">
        <v>84.37</v>
      </c>
      <c r="W230">
        <v>13130000228</v>
      </c>
    </row>
    <row r="231" spans="1:23" x14ac:dyDescent="0.2">
      <c r="A231" s="1">
        <v>44796</v>
      </c>
      <c r="B231" s="2">
        <v>0.61040509259259257</v>
      </c>
      <c r="C231">
        <v>1229</v>
      </c>
      <c r="D231">
        <v>13002561</v>
      </c>
      <c r="E231">
        <v>13</v>
      </c>
      <c r="F231">
        <v>22589</v>
      </c>
      <c r="G231" t="s">
        <v>23</v>
      </c>
      <c r="H231">
        <v>18</v>
      </c>
      <c r="I231">
        <v>53487</v>
      </c>
      <c r="J231" t="s">
        <v>54</v>
      </c>
      <c r="K231" t="s">
        <v>28</v>
      </c>
      <c r="L231" t="s">
        <v>47</v>
      </c>
      <c r="M231">
        <v>3</v>
      </c>
      <c r="N231">
        <v>276.98</v>
      </c>
      <c r="O231">
        <v>369.1</v>
      </c>
      <c r="P231">
        <v>18.46</v>
      </c>
      <c r="Q231">
        <v>18.46</v>
      </c>
      <c r="R231" t="s">
        <v>30</v>
      </c>
      <c r="S231">
        <v>29</v>
      </c>
      <c r="T231">
        <v>1</v>
      </c>
      <c r="U231">
        <v>1</v>
      </c>
      <c r="V231">
        <v>350.64</v>
      </c>
      <c r="W231">
        <v>13130000229</v>
      </c>
    </row>
    <row r="232" spans="1:23" x14ac:dyDescent="0.2">
      <c r="A232" s="1">
        <v>44801</v>
      </c>
      <c r="B232" s="2">
        <v>0.50023148148148144</v>
      </c>
      <c r="C232">
        <v>1230</v>
      </c>
      <c r="D232">
        <v>13002561</v>
      </c>
      <c r="E232">
        <v>13</v>
      </c>
      <c r="F232">
        <v>22589</v>
      </c>
      <c r="G232" t="s">
        <v>23</v>
      </c>
      <c r="H232">
        <v>15</v>
      </c>
      <c r="I232">
        <v>88778</v>
      </c>
      <c r="J232" t="s">
        <v>61</v>
      </c>
      <c r="K232" t="s">
        <v>38</v>
      </c>
      <c r="L232" t="s">
        <v>26</v>
      </c>
      <c r="M232">
        <v>2</v>
      </c>
      <c r="N232">
        <v>362.34</v>
      </c>
      <c r="O232">
        <v>459.36</v>
      </c>
      <c r="P232">
        <v>22.97</v>
      </c>
      <c r="Q232">
        <v>22.97</v>
      </c>
      <c r="R232" t="s">
        <v>30</v>
      </c>
      <c r="S232">
        <v>29</v>
      </c>
      <c r="T232">
        <v>1</v>
      </c>
      <c r="U232">
        <v>2</v>
      </c>
      <c r="V232">
        <v>436.39</v>
      </c>
      <c r="W232">
        <v>13130000230</v>
      </c>
    </row>
    <row r="233" spans="1:23" x14ac:dyDescent="0.2">
      <c r="A233" s="1">
        <v>44798</v>
      </c>
      <c r="B233" s="2">
        <v>0.65015046296296297</v>
      </c>
      <c r="C233">
        <v>1231</v>
      </c>
      <c r="D233">
        <v>13002561</v>
      </c>
      <c r="E233">
        <v>13</v>
      </c>
      <c r="F233">
        <v>22589</v>
      </c>
      <c r="G233" t="s">
        <v>23</v>
      </c>
      <c r="H233">
        <v>18</v>
      </c>
      <c r="I233">
        <v>97005</v>
      </c>
      <c r="J233" t="s">
        <v>54</v>
      </c>
      <c r="K233" t="s">
        <v>45</v>
      </c>
      <c r="L233" t="s">
        <v>51</v>
      </c>
      <c r="M233">
        <v>3</v>
      </c>
      <c r="N233">
        <v>91.78</v>
      </c>
      <c r="O233">
        <v>133.02000000000001</v>
      </c>
      <c r="P233">
        <v>6.65</v>
      </c>
      <c r="Q233">
        <v>6.65</v>
      </c>
      <c r="R233" t="s">
        <v>30</v>
      </c>
      <c r="S233">
        <v>29</v>
      </c>
      <c r="T233">
        <v>1</v>
      </c>
      <c r="U233">
        <v>2</v>
      </c>
      <c r="V233">
        <v>126.37</v>
      </c>
      <c r="W233">
        <v>13130000231</v>
      </c>
    </row>
    <row r="234" spans="1:23" x14ac:dyDescent="0.2">
      <c r="A234" s="1">
        <v>44800</v>
      </c>
      <c r="B234" s="2">
        <v>0.38936342592592588</v>
      </c>
      <c r="C234">
        <v>1232</v>
      </c>
      <c r="D234">
        <v>13002561</v>
      </c>
      <c r="E234">
        <v>13</v>
      </c>
      <c r="F234">
        <v>22589</v>
      </c>
      <c r="G234" t="s">
        <v>23</v>
      </c>
      <c r="H234">
        <v>15</v>
      </c>
      <c r="I234">
        <v>33738</v>
      </c>
      <c r="J234" t="s">
        <v>113</v>
      </c>
      <c r="K234" t="s">
        <v>25</v>
      </c>
      <c r="L234" t="s">
        <v>36</v>
      </c>
      <c r="M234">
        <v>1</v>
      </c>
      <c r="N234">
        <v>365.54</v>
      </c>
      <c r="O234">
        <v>504.03</v>
      </c>
      <c r="P234">
        <v>50.4</v>
      </c>
      <c r="Q234">
        <v>50.4</v>
      </c>
      <c r="R234" t="s">
        <v>30</v>
      </c>
      <c r="S234">
        <v>29</v>
      </c>
      <c r="T234">
        <v>1</v>
      </c>
      <c r="U234">
        <v>1</v>
      </c>
      <c r="V234">
        <v>453.63</v>
      </c>
      <c r="W234">
        <v>13130000232</v>
      </c>
    </row>
    <row r="235" spans="1:23" x14ac:dyDescent="0.2">
      <c r="A235" s="1">
        <v>44797</v>
      </c>
      <c r="B235" s="2">
        <v>0.43156250000000002</v>
      </c>
      <c r="C235">
        <v>1233</v>
      </c>
      <c r="D235">
        <v>13002561</v>
      </c>
      <c r="E235">
        <v>13</v>
      </c>
      <c r="F235">
        <v>22589</v>
      </c>
      <c r="G235" t="s">
        <v>23</v>
      </c>
      <c r="H235">
        <v>15</v>
      </c>
      <c r="I235">
        <v>14163</v>
      </c>
      <c r="J235" t="s">
        <v>31</v>
      </c>
      <c r="K235" t="s">
        <v>28</v>
      </c>
      <c r="L235" t="s">
        <v>39</v>
      </c>
      <c r="M235">
        <v>2</v>
      </c>
      <c r="N235">
        <v>326.66000000000003</v>
      </c>
      <c r="O235">
        <v>531.33000000000004</v>
      </c>
      <c r="P235">
        <v>0</v>
      </c>
      <c r="Q235">
        <v>0</v>
      </c>
      <c r="S235">
        <v>29</v>
      </c>
      <c r="T235">
        <v>1</v>
      </c>
      <c r="U235">
        <v>3</v>
      </c>
      <c r="V235">
        <v>531.33000000000004</v>
      </c>
      <c r="W235">
        <v>13130000233</v>
      </c>
    </row>
    <row r="236" spans="1:23" x14ac:dyDescent="0.2">
      <c r="A236" s="1">
        <v>44784</v>
      </c>
      <c r="B236" s="2">
        <v>0.80910879629629628</v>
      </c>
      <c r="C236">
        <v>1234</v>
      </c>
      <c r="D236">
        <v>13002561</v>
      </c>
      <c r="E236">
        <v>13</v>
      </c>
      <c r="F236">
        <v>22589</v>
      </c>
      <c r="G236" t="s">
        <v>23</v>
      </c>
      <c r="H236">
        <v>15</v>
      </c>
      <c r="I236">
        <v>19576</v>
      </c>
      <c r="J236" t="s">
        <v>54</v>
      </c>
      <c r="K236" t="s">
        <v>44</v>
      </c>
      <c r="L236" t="s">
        <v>29</v>
      </c>
      <c r="M236">
        <v>1</v>
      </c>
      <c r="N236">
        <v>143.52000000000001</v>
      </c>
      <c r="O236">
        <v>204.21</v>
      </c>
      <c r="P236">
        <v>20.420000000000002</v>
      </c>
      <c r="Q236">
        <v>20.420000000000002</v>
      </c>
      <c r="R236" t="s">
        <v>30</v>
      </c>
      <c r="S236">
        <v>29</v>
      </c>
      <c r="T236">
        <v>1</v>
      </c>
      <c r="U236">
        <v>3</v>
      </c>
      <c r="V236">
        <v>183.79</v>
      </c>
      <c r="W236">
        <v>13130000234</v>
      </c>
    </row>
    <row r="237" spans="1:23" x14ac:dyDescent="0.2">
      <c r="A237" s="1">
        <v>44801</v>
      </c>
      <c r="B237" s="2">
        <v>0.51586805555555559</v>
      </c>
      <c r="C237">
        <v>1235</v>
      </c>
      <c r="D237">
        <v>13002561</v>
      </c>
      <c r="E237">
        <v>13</v>
      </c>
      <c r="F237">
        <v>22589</v>
      </c>
      <c r="G237" t="s">
        <v>23</v>
      </c>
      <c r="H237">
        <v>18</v>
      </c>
      <c r="I237">
        <v>72668</v>
      </c>
      <c r="J237" t="s">
        <v>119</v>
      </c>
      <c r="K237" t="s">
        <v>44</v>
      </c>
      <c r="L237" t="s">
        <v>32</v>
      </c>
      <c r="M237">
        <v>3</v>
      </c>
      <c r="N237">
        <v>395.53</v>
      </c>
      <c r="O237">
        <v>505.36</v>
      </c>
      <c r="P237">
        <v>0</v>
      </c>
      <c r="Q237">
        <v>0</v>
      </c>
      <c r="S237">
        <v>29</v>
      </c>
      <c r="T237">
        <v>1</v>
      </c>
      <c r="U237">
        <v>6</v>
      </c>
      <c r="V237">
        <v>505.36</v>
      </c>
      <c r="W237">
        <v>13130000235</v>
      </c>
    </row>
    <row r="238" spans="1:23" x14ac:dyDescent="0.2">
      <c r="A238" s="1">
        <v>44780</v>
      </c>
      <c r="B238" s="2">
        <v>0.4883912037037037</v>
      </c>
      <c r="C238">
        <v>1236</v>
      </c>
      <c r="D238">
        <v>13002561</v>
      </c>
      <c r="E238">
        <v>13</v>
      </c>
      <c r="F238">
        <v>22589</v>
      </c>
      <c r="G238" t="s">
        <v>23</v>
      </c>
      <c r="H238">
        <v>18</v>
      </c>
      <c r="I238">
        <v>70512</v>
      </c>
      <c r="J238" t="s">
        <v>103</v>
      </c>
      <c r="K238" t="s">
        <v>25</v>
      </c>
      <c r="L238" t="s">
        <v>47</v>
      </c>
      <c r="M238">
        <v>2</v>
      </c>
      <c r="N238">
        <v>50.32</v>
      </c>
      <c r="O238">
        <v>81.12</v>
      </c>
      <c r="P238">
        <v>8.11</v>
      </c>
      <c r="Q238">
        <v>8.11</v>
      </c>
      <c r="R238" t="s">
        <v>30</v>
      </c>
      <c r="S238">
        <v>29</v>
      </c>
      <c r="T238">
        <v>1</v>
      </c>
      <c r="U238">
        <v>6</v>
      </c>
      <c r="V238">
        <v>73.010000000000005</v>
      </c>
      <c r="W238">
        <v>13130000236</v>
      </c>
    </row>
    <row r="239" spans="1:23" x14ac:dyDescent="0.2">
      <c r="A239" s="1">
        <v>44802</v>
      </c>
      <c r="B239" s="2">
        <v>0.84521990740740738</v>
      </c>
      <c r="C239">
        <v>1237</v>
      </c>
      <c r="D239">
        <v>13002561</v>
      </c>
      <c r="E239">
        <v>13</v>
      </c>
      <c r="F239">
        <v>22589</v>
      </c>
      <c r="G239" t="s">
        <v>23</v>
      </c>
      <c r="H239">
        <v>18</v>
      </c>
      <c r="I239">
        <v>99190</v>
      </c>
      <c r="J239" t="s">
        <v>116</v>
      </c>
      <c r="K239" t="s">
        <v>60</v>
      </c>
      <c r="L239" t="s">
        <v>47</v>
      </c>
      <c r="M239">
        <v>2</v>
      </c>
      <c r="N239">
        <v>497.75</v>
      </c>
      <c r="O239">
        <v>707.84</v>
      </c>
      <c r="P239">
        <v>0</v>
      </c>
      <c r="Q239">
        <v>0</v>
      </c>
      <c r="S239">
        <v>29</v>
      </c>
      <c r="T239">
        <v>1</v>
      </c>
      <c r="U239">
        <v>1</v>
      </c>
      <c r="V239">
        <v>707.84</v>
      </c>
      <c r="W239">
        <v>13130000237</v>
      </c>
    </row>
    <row r="240" spans="1:23" x14ac:dyDescent="0.2">
      <c r="A240" s="1">
        <v>44781</v>
      </c>
      <c r="B240" s="2">
        <v>0.71520833333333333</v>
      </c>
      <c r="C240">
        <v>1238</v>
      </c>
      <c r="D240">
        <v>13002561</v>
      </c>
      <c r="E240">
        <v>13</v>
      </c>
      <c r="F240">
        <v>22589</v>
      </c>
      <c r="G240" t="s">
        <v>23</v>
      </c>
      <c r="H240">
        <v>18</v>
      </c>
      <c r="I240">
        <v>23935</v>
      </c>
      <c r="J240" t="s">
        <v>117</v>
      </c>
      <c r="K240" t="s">
        <v>38</v>
      </c>
      <c r="L240" t="s">
        <v>32</v>
      </c>
      <c r="M240">
        <v>2</v>
      </c>
      <c r="N240">
        <v>419.53</v>
      </c>
      <c r="O240">
        <v>550.76</v>
      </c>
      <c r="P240">
        <v>55.08</v>
      </c>
      <c r="Q240">
        <v>55.08</v>
      </c>
      <c r="R240" t="s">
        <v>30</v>
      </c>
      <c r="S240">
        <v>29</v>
      </c>
      <c r="T240">
        <v>1</v>
      </c>
      <c r="U240">
        <v>2</v>
      </c>
      <c r="V240">
        <v>495.68</v>
      </c>
      <c r="W240">
        <v>13130000238</v>
      </c>
    </row>
    <row r="241" spans="1:23" x14ac:dyDescent="0.2">
      <c r="A241" s="1">
        <v>44800</v>
      </c>
      <c r="B241" s="2">
        <v>0.46109953703703699</v>
      </c>
      <c r="C241">
        <v>1239</v>
      </c>
      <c r="D241">
        <v>13002561</v>
      </c>
      <c r="E241">
        <v>13</v>
      </c>
      <c r="F241">
        <v>22589</v>
      </c>
      <c r="G241" t="s">
        <v>23</v>
      </c>
      <c r="H241">
        <v>18</v>
      </c>
      <c r="I241">
        <v>56474</v>
      </c>
      <c r="J241" t="s">
        <v>80</v>
      </c>
      <c r="K241" t="s">
        <v>45</v>
      </c>
      <c r="L241" t="s">
        <v>47</v>
      </c>
      <c r="M241">
        <v>2</v>
      </c>
      <c r="N241">
        <v>315.89</v>
      </c>
      <c r="O241">
        <v>507.36</v>
      </c>
      <c r="P241">
        <v>0</v>
      </c>
      <c r="Q241">
        <v>0</v>
      </c>
      <c r="S241">
        <v>29</v>
      </c>
      <c r="T241">
        <v>1</v>
      </c>
      <c r="U241">
        <v>3</v>
      </c>
      <c r="V241">
        <v>507.36</v>
      </c>
      <c r="W241">
        <v>13130000239</v>
      </c>
    </row>
    <row r="242" spans="1:23" x14ac:dyDescent="0.2">
      <c r="A242" s="1">
        <v>44796</v>
      </c>
      <c r="B242" s="2">
        <v>0.9124768518518519</v>
      </c>
      <c r="C242">
        <v>1240</v>
      </c>
      <c r="D242">
        <v>13002561</v>
      </c>
      <c r="E242">
        <v>13</v>
      </c>
      <c r="F242">
        <v>22589</v>
      </c>
      <c r="G242" t="s">
        <v>23</v>
      </c>
      <c r="H242">
        <v>18</v>
      </c>
      <c r="I242">
        <v>50913</v>
      </c>
      <c r="J242" t="s">
        <v>35</v>
      </c>
      <c r="K242" t="s">
        <v>44</v>
      </c>
      <c r="L242" t="s">
        <v>32</v>
      </c>
      <c r="M242">
        <v>2</v>
      </c>
      <c r="N242">
        <v>442.84</v>
      </c>
      <c r="O242">
        <v>621.13</v>
      </c>
      <c r="P242">
        <v>0</v>
      </c>
      <c r="Q242">
        <v>0</v>
      </c>
      <c r="S242">
        <v>29</v>
      </c>
      <c r="T242">
        <v>1</v>
      </c>
      <c r="U242">
        <v>6</v>
      </c>
      <c r="V242">
        <v>621.13</v>
      </c>
      <c r="W242">
        <v>13130000240</v>
      </c>
    </row>
    <row r="243" spans="1:23" x14ac:dyDescent="0.2">
      <c r="A243" s="1">
        <v>44802</v>
      </c>
      <c r="B243" s="2">
        <v>0.39064814814814808</v>
      </c>
      <c r="C243">
        <v>1241</v>
      </c>
      <c r="D243">
        <v>13002561</v>
      </c>
      <c r="E243">
        <v>13</v>
      </c>
      <c r="F243">
        <v>22589</v>
      </c>
      <c r="G243" t="s">
        <v>23</v>
      </c>
      <c r="H243">
        <v>15</v>
      </c>
      <c r="I243">
        <v>30867</v>
      </c>
      <c r="J243" t="s">
        <v>110</v>
      </c>
      <c r="K243" t="s">
        <v>44</v>
      </c>
      <c r="L243" t="s">
        <v>29</v>
      </c>
      <c r="M243">
        <v>3</v>
      </c>
      <c r="N243">
        <v>284.36</v>
      </c>
      <c r="O243">
        <v>450.12</v>
      </c>
      <c r="P243">
        <v>45.01</v>
      </c>
      <c r="Q243">
        <v>45.01</v>
      </c>
      <c r="R243" t="s">
        <v>30</v>
      </c>
      <c r="S243">
        <v>29</v>
      </c>
      <c r="T243">
        <v>1</v>
      </c>
      <c r="U243">
        <v>6</v>
      </c>
      <c r="V243">
        <v>405.11</v>
      </c>
      <c r="W243">
        <v>13130000241</v>
      </c>
    </row>
    <row r="244" spans="1:23" x14ac:dyDescent="0.2">
      <c r="A244" s="1">
        <v>44779</v>
      </c>
      <c r="B244" s="2">
        <v>0.57187500000000002</v>
      </c>
      <c r="C244">
        <v>1242</v>
      </c>
      <c r="D244">
        <v>13002561</v>
      </c>
      <c r="E244">
        <v>13</v>
      </c>
      <c r="F244">
        <v>22589</v>
      </c>
      <c r="G244" t="s">
        <v>23</v>
      </c>
      <c r="H244">
        <v>18</v>
      </c>
      <c r="I244">
        <v>48674</v>
      </c>
      <c r="J244" t="s">
        <v>109</v>
      </c>
      <c r="K244" t="s">
        <v>25</v>
      </c>
      <c r="L244" t="s">
        <v>47</v>
      </c>
      <c r="M244">
        <v>1</v>
      </c>
      <c r="N244">
        <v>233.49</v>
      </c>
      <c r="O244">
        <v>372.93</v>
      </c>
      <c r="P244">
        <v>18.649999999999999</v>
      </c>
      <c r="Q244">
        <v>18.649999999999999</v>
      </c>
      <c r="R244" t="s">
        <v>30</v>
      </c>
      <c r="S244">
        <v>29</v>
      </c>
      <c r="T244">
        <v>1</v>
      </c>
      <c r="U244">
        <v>6</v>
      </c>
      <c r="V244">
        <v>354.28</v>
      </c>
      <c r="W244">
        <v>13130000242</v>
      </c>
    </row>
    <row r="245" spans="1:23" x14ac:dyDescent="0.2">
      <c r="A245" s="1">
        <v>44799</v>
      </c>
      <c r="B245" s="2">
        <v>0.50800925925925922</v>
      </c>
      <c r="C245">
        <v>1243</v>
      </c>
      <c r="D245">
        <v>13002561</v>
      </c>
      <c r="E245">
        <v>13</v>
      </c>
      <c r="F245">
        <v>22589</v>
      </c>
      <c r="G245" t="s">
        <v>23</v>
      </c>
      <c r="H245">
        <v>18</v>
      </c>
      <c r="I245">
        <v>28756</v>
      </c>
      <c r="J245" t="s">
        <v>106</v>
      </c>
      <c r="K245" t="s">
        <v>44</v>
      </c>
      <c r="L245" t="s">
        <v>47</v>
      </c>
      <c r="M245">
        <v>3</v>
      </c>
      <c r="N245">
        <v>446.57</v>
      </c>
      <c r="O245">
        <v>615.25</v>
      </c>
      <c r="P245">
        <v>30.76</v>
      </c>
      <c r="Q245">
        <v>30.76</v>
      </c>
      <c r="R245" t="s">
        <v>30</v>
      </c>
      <c r="S245">
        <v>29</v>
      </c>
      <c r="T245">
        <v>1</v>
      </c>
      <c r="U245">
        <v>3</v>
      </c>
      <c r="V245">
        <v>584.49</v>
      </c>
      <c r="W245">
        <v>13130000243</v>
      </c>
    </row>
    <row r="246" spans="1:23" x14ac:dyDescent="0.2">
      <c r="A246" s="1">
        <v>44777</v>
      </c>
      <c r="B246" s="2">
        <v>0.55464120370370373</v>
      </c>
      <c r="C246">
        <v>1244</v>
      </c>
      <c r="D246">
        <v>13002561</v>
      </c>
      <c r="E246">
        <v>13</v>
      </c>
      <c r="F246">
        <v>22589</v>
      </c>
      <c r="G246" t="s">
        <v>23</v>
      </c>
      <c r="H246">
        <v>15</v>
      </c>
      <c r="I246">
        <v>46280</v>
      </c>
      <c r="J246" t="s">
        <v>108</v>
      </c>
      <c r="K246" t="s">
        <v>38</v>
      </c>
      <c r="L246" t="s">
        <v>26</v>
      </c>
      <c r="M246">
        <v>3</v>
      </c>
      <c r="N246">
        <v>248.04</v>
      </c>
      <c r="O246">
        <v>378.72</v>
      </c>
      <c r="P246">
        <v>18.940000000000001</v>
      </c>
      <c r="Q246">
        <v>18.940000000000001</v>
      </c>
      <c r="R246" t="s">
        <v>30</v>
      </c>
      <c r="S246">
        <v>29</v>
      </c>
      <c r="T246">
        <v>1</v>
      </c>
      <c r="U246">
        <v>5</v>
      </c>
      <c r="V246">
        <v>359.78</v>
      </c>
      <c r="W246">
        <v>13130000244</v>
      </c>
    </row>
    <row r="247" spans="1:23" x14ac:dyDescent="0.2">
      <c r="A247" s="1">
        <v>44783</v>
      </c>
      <c r="B247" s="2">
        <v>0.84133101851851855</v>
      </c>
      <c r="C247">
        <v>1245</v>
      </c>
      <c r="D247">
        <v>13002561</v>
      </c>
      <c r="E247">
        <v>13</v>
      </c>
      <c r="F247">
        <v>22589</v>
      </c>
      <c r="G247" t="s">
        <v>23</v>
      </c>
      <c r="H247">
        <v>15</v>
      </c>
      <c r="I247">
        <v>58594</v>
      </c>
      <c r="J247" t="s">
        <v>43</v>
      </c>
      <c r="K247" t="s">
        <v>45</v>
      </c>
      <c r="L247" t="s">
        <v>39</v>
      </c>
      <c r="M247">
        <v>2</v>
      </c>
      <c r="N247">
        <v>82.41</v>
      </c>
      <c r="O247">
        <v>135.24</v>
      </c>
      <c r="P247">
        <v>13.52</v>
      </c>
      <c r="Q247">
        <v>13.52</v>
      </c>
      <c r="R247" t="s">
        <v>30</v>
      </c>
      <c r="S247">
        <v>29</v>
      </c>
      <c r="T247">
        <v>1</v>
      </c>
      <c r="U247">
        <v>1</v>
      </c>
      <c r="V247">
        <v>121.72</v>
      </c>
      <c r="W247">
        <v>13130000245</v>
      </c>
    </row>
    <row r="248" spans="1:23" x14ac:dyDescent="0.2">
      <c r="A248" s="1">
        <v>44799</v>
      </c>
      <c r="B248" s="2">
        <v>0.95349537037037035</v>
      </c>
      <c r="C248">
        <v>1246</v>
      </c>
      <c r="D248">
        <v>13002561</v>
      </c>
      <c r="E248">
        <v>13</v>
      </c>
      <c r="F248">
        <v>22589</v>
      </c>
      <c r="G248" t="s">
        <v>23</v>
      </c>
      <c r="H248">
        <v>15</v>
      </c>
      <c r="I248">
        <v>86847</v>
      </c>
      <c r="J248" t="s">
        <v>63</v>
      </c>
      <c r="K248" t="s">
        <v>45</v>
      </c>
      <c r="L248" t="s">
        <v>29</v>
      </c>
      <c r="M248">
        <v>1</v>
      </c>
      <c r="N248">
        <v>373.62</v>
      </c>
      <c r="O248">
        <v>630.32000000000005</v>
      </c>
      <c r="P248">
        <v>0</v>
      </c>
      <c r="Q248">
        <v>0</v>
      </c>
      <c r="S248">
        <v>29</v>
      </c>
      <c r="T248">
        <v>1</v>
      </c>
      <c r="U248">
        <v>6</v>
      </c>
      <c r="V248">
        <v>630.32000000000005</v>
      </c>
      <c r="W248">
        <v>13130000246</v>
      </c>
    </row>
    <row r="249" spans="1:23" x14ac:dyDescent="0.2">
      <c r="A249" s="1">
        <v>44789</v>
      </c>
      <c r="B249" s="2">
        <v>0.76269675925925928</v>
      </c>
      <c r="C249">
        <v>1247</v>
      </c>
      <c r="D249">
        <v>13002561</v>
      </c>
      <c r="E249">
        <v>13</v>
      </c>
      <c r="F249">
        <v>22589</v>
      </c>
      <c r="G249" t="s">
        <v>23</v>
      </c>
      <c r="H249">
        <v>15</v>
      </c>
      <c r="I249">
        <v>54702</v>
      </c>
      <c r="J249" t="s">
        <v>120</v>
      </c>
      <c r="K249" t="s">
        <v>60</v>
      </c>
      <c r="L249" t="s">
        <v>51</v>
      </c>
      <c r="M249">
        <v>3</v>
      </c>
      <c r="N249">
        <v>432.23</v>
      </c>
      <c r="O249">
        <v>559.64</v>
      </c>
      <c r="P249">
        <v>55.96</v>
      </c>
      <c r="Q249">
        <v>55.96</v>
      </c>
      <c r="R249" t="s">
        <v>30</v>
      </c>
      <c r="S249">
        <v>29</v>
      </c>
      <c r="T249">
        <v>1</v>
      </c>
      <c r="U249">
        <v>5</v>
      </c>
      <c r="V249">
        <v>503.68</v>
      </c>
      <c r="W249">
        <v>13130000247</v>
      </c>
    </row>
    <row r="250" spans="1:23" x14ac:dyDescent="0.2">
      <c r="A250" s="1">
        <v>44789</v>
      </c>
      <c r="B250" s="2">
        <v>0.60158564814814819</v>
      </c>
      <c r="C250">
        <v>1248</v>
      </c>
      <c r="D250">
        <v>13002561</v>
      </c>
      <c r="E250">
        <v>13</v>
      </c>
      <c r="F250">
        <v>22589</v>
      </c>
      <c r="G250" t="s">
        <v>23</v>
      </c>
      <c r="H250">
        <v>18</v>
      </c>
      <c r="I250">
        <v>29236</v>
      </c>
      <c r="J250" t="s">
        <v>73</v>
      </c>
      <c r="K250" t="s">
        <v>38</v>
      </c>
      <c r="L250" t="s">
        <v>47</v>
      </c>
      <c r="M250">
        <v>2</v>
      </c>
      <c r="N250">
        <v>236.91</v>
      </c>
      <c r="O250">
        <v>373.17</v>
      </c>
      <c r="P250">
        <v>18.66</v>
      </c>
      <c r="Q250">
        <v>18.66</v>
      </c>
      <c r="R250" t="s">
        <v>30</v>
      </c>
      <c r="S250">
        <v>29</v>
      </c>
      <c r="T250">
        <v>1</v>
      </c>
      <c r="U250">
        <v>2</v>
      </c>
      <c r="V250">
        <v>354.51</v>
      </c>
      <c r="W250">
        <v>13130000248</v>
      </c>
    </row>
    <row r="251" spans="1:23" x14ac:dyDescent="0.2">
      <c r="A251" s="1">
        <v>44789</v>
      </c>
      <c r="B251" s="2">
        <v>0.59195601851851853</v>
      </c>
      <c r="C251">
        <v>1249</v>
      </c>
      <c r="D251">
        <v>13002561</v>
      </c>
      <c r="E251">
        <v>13</v>
      </c>
      <c r="F251">
        <v>22589</v>
      </c>
      <c r="G251" t="s">
        <v>23</v>
      </c>
      <c r="H251">
        <v>15</v>
      </c>
      <c r="I251">
        <v>39320</v>
      </c>
      <c r="J251" t="s">
        <v>109</v>
      </c>
      <c r="K251" t="s">
        <v>25</v>
      </c>
      <c r="L251" t="s">
        <v>32</v>
      </c>
      <c r="M251">
        <v>1</v>
      </c>
      <c r="N251">
        <v>154.27000000000001</v>
      </c>
      <c r="O251">
        <v>251.9</v>
      </c>
      <c r="P251">
        <v>0</v>
      </c>
      <c r="Q251">
        <v>0</v>
      </c>
      <c r="S251">
        <v>29</v>
      </c>
      <c r="T251">
        <v>1</v>
      </c>
      <c r="U251">
        <v>2</v>
      </c>
      <c r="V251">
        <v>251.9</v>
      </c>
      <c r="W251">
        <v>13130000249</v>
      </c>
    </row>
    <row r="252" spans="1:23" x14ac:dyDescent="0.2">
      <c r="A252" s="1">
        <v>44792</v>
      </c>
      <c r="B252" s="2">
        <v>0.44604166666666673</v>
      </c>
      <c r="C252">
        <v>1250</v>
      </c>
      <c r="D252">
        <v>13002561</v>
      </c>
      <c r="E252">
        <v>13</v>
      </c>
      <c r="F252">
        <v>22589</v>
      </c>
      <c r="G252" t="s">
        <v>23</v>
      </c>
      <c r="H252">
        <v>15</v>
      </c>
      <c r="I252">
        <v>32966</v>
      </c>
      <c r="J252" t="s">
        <v>72</v>
      </c>
      <c r="K252" t="s">
        <v>44</v>
      </c>
      <c r="L252" t="s">
        <v>32</v>
      </c>
      <c r="M252">
        <v>3</v>
      </c>
      <c r="N252">
        <v>389.59</v>
      </c>
      <c r="O252">
        <v>560.91999999999996</v>
      </c>
      <c r="P252">
        <v>0</v>
      </c>
      <c r="Q252">
        <v>0</v>
      </c>
      <c r="S252">
        <v>29</v>
      </c>
      <c r="T252">
        <v>1</v>
      </c>
      <c r="U252">
        <v>1</v>
      </c>
      <c r="V252">
        <v>560.91999999999996</v>
      </c>
      <c r="W252">
        <v>13130000250</v>
      </c>
    </row>
    <row r="253" spans="1:23" x14ac:dyDescent="0.2">
      <c r="A253" s="1">
        <v>44801</v>
      </c>
      <c r="B253" s="2">
        <v>0.81752314814814819</v>
      </c>
      <c r="C253">
        <v>1251</v>
      </c>
      <c r="D253">
        <v>13002561</v>
      </c>
      <c r="E253">
        <v>13</v>
      </c>
      <c r="F253">
        <v>22589</v>
      </c>
      <c r="G253" t="s">
        <v>23</v>
      </c>
      <c r="H253">
        <v>15</v>
      </c>
      <c r="I253">
        <v>38700</v>
      </c>
      <c r="J253" t="s">
        <v>116</v>
      </c>
      <c r="K253" t="s">
        <v>44</v>
      </c>
      <c r="L253" t="s">
        <v>39</v>
      </c>
      <c r="M253">
        <v>2</v>
      </c>
      <c r="N253">
        <v>445.8</v>
      </c>
      <c r="O253">
        <v>629.76</v>
      </c>
      <c r="P253">
        <v>31.49</v>
      </c>
      <c r="Q253">
        <v>31.49</v>
      </c>
      <c r="R253" t="s">
        <v>30</v>
      </c>
      <c r="S253">
        <v>29</v>
      </c>
      <c r="T253">
        <v>1</v>
      </c>
      <c r="U253">
        <v>4</v>
      </c>
      <c r="V253">
        <v>598.27</v>
      </c>
      <c r="W253">
        <v>13130000251</v>
      </c>
    </row>
    <row r="254" spans="1:23" x14ac:dyDescent="0.2">
      <c r="A254" s="1">
        <v>44803</v>
      </c>
      <c r="B254" s="2">
        <v>0.71002314814814815</v>
      </c>
      <c r="C254">
        <v>1252</v>
      </c>
      <c r="D254">
        <v>13002561</v>
      </c>
      <c r="E254">
        <v>13</v>
      </c>
      <c r="F254">
        <v>22589</v>
      </c>
      <c r="G254" t="s">
        <v>23</v>
      </c>
      <c r="H254">
        <v>18</v>
      </c>
      <c r="I254">
        <v>62438</v>
      </c>
      <c r="J254" t="s">
        <v>101</v>
      </c>
      <c r="K254" t="s">
        <v>25</v>
      </c>
      <c r="L254" t="s">
        <v>34</v>
      </c>
      <c r="M254">
        <v>3</v>
      </c>
      <c r="N254">
        <v>334.98</v>
      </c>
      <c r="O254">
        <v>552.25</v>
      </c>
      <c r="P254">
        <v>0</v>
      </c>
      <c r="Q254">
        <v>0</v>
      </c>
      <c r="S254">
        <v>29</v>
      </c>
      <c r="T254">
        <v>1</v>
      </c>
      <c r="U254">
        <v>4</v>
      </c>
      <c r="V254">
        <v>552.25</v>
      </c>
      <c r="W254">
        <v>13130000252</v>
      </c>
    </row>
    <row r="255" spans="1:23" x14ac:dyDescent="0.2">
      <c r="A255" s="1">
        <v>44788</v>
      </c>
      <c r="B255" s="2">
        <v>0.83686342592592589</v>
      </c>
      <c r="C255">
        <v>1253</v>
      </c>
      <c r="D255">
        <v>13002561</v>
      </c>
      <c r="E255">
        <v>13</v>
      </c>
      <c r="F255">
        <v>22589</v>
      </c>
      <c r="G255" t="s">
        <v>23</v>
      </c>
      <c r="H255">
        <v>15</v>
      </c>
      <c r="I255">
        <v>29014</v>
      </c>
      <c r="J255" t="s">
        <v>82</v>
      </c>
      <c r="K255" t="s">
        <v>25</v>
      </c>
      <c r="L255" t="s">
        <v>47</v>
      </c>
      <c r="M255">
        <v>3</v>
      </c>
      <c r="N255">
        <v>70.489999999999995</v>
      </c>
      <c r="O255">
        <v>112.47</v>
      </c>
      <c r="P255">
        <v>0</v>
      </c>
      <c r="Q255">
        <v>0</v>
      </c>
      <c r="S255">
        <v>29</v>
      </c>
      <c r="T255">
        <v>1</v>
      </c>
      <c r="U255">
        <v>5</v>
      </c>
      <c r="V255">
        <v>112.47</v>
      </c>
      <c r="W255">
        <v>13130000253</v>
      </c>
    </row>
    <row r="256" spans="1:23" x14ac:dyDescent="0.2">
      <c r="A256" s="1">
        <v>44789</v>
      </c>
      <c r="B256" s="2">
        <v>0.42108796296296302</v>
      </c>
      <c r="C256">
        <v>1254</v>
      </c>
      <c r="D256">
        <v>13002561</v>
      </c>
      <c r="E256">
        <v>13</v>
      </c>
      <c r="F256">
        <v>22589</v>
      </c>
      <c r="G256" t="s">
        <v>23</v>
      </c>
      <c r="H256">
        <v>15</v>
      </c>
      <c r="I256">
        <v>33599</v>
      </c>
      <c r="J256" t="s">
        <v>43</v>
      </c>
      <c r="K256" t="s">
        <v>25</v>
      </c>
      <c r="L256" t="s">
        <v>29</v>
      </c>
      <c r="M256">
        <v>3</v>
      </c>
      <c r="N256">
        <v>343.42</v>
      </c>
      <c r="O256">
        <v>469.06</v>
      </c>
      <c r="P256">
        <v>0</v>
      </c>
      <c r="Q256">
        <v>0</v>
      </c>
      <c r="S256">
        <v>29</v>
      </c>
      <c r="T256">
        <v>1</v>
      </c>
      <c r="U256">
        <v>2</v>
      </c>
      <c r="V256">
        <v>469.06</v>
      </c>
      <c r="W256">
        <v>13130000254</v>
      </c>
    </row>
    <row r="257" spans="1:23" x14ac:dyDescent="0.2">
      <c r="A257" s="1">
        <v>44792</v>
      </c>
      <c r="B257" s="2">
        <v>0.78296296296296297</v>
      </c>
      <c r="C257">
        <v>1255</v>
      </c>
      <c r="D257">
        <v>13002561</v>
      </c>
      <c r="E257">
        <v>13</v>
      </c>
      <c r="F257">
        <v>22589</v>
      </c>
      <c r="G257" t="s">
        <v>23</v>
      </c>
      <c r="H257">
        <v>15</v>
      </c>
      <c r="I257">
        <v>24856</v>
      </c>
      <c r="J257" t="s">
        <v>84</v>
      </c>
      <c r="K257" t="s">
        <v>60</v>
      </c>
      <c r="L257" t="s">
        <v>39</v>
      </c>
      <c r="M257">
        <v>1</v>
      </c>
      <c r="N257">
        <v>97.95</v>
      </c>
      <c r="O257">
        <v>165.7</v>
      </c>
      <c r="P257">
        <v>8.2899999999999991</v>
      </c>
      <c r="Q257">
        <v>8.2899999999999991</v>
      </c>
      <c r="R257" t="s">
        <v>30</v>
      </c>
      <c r="S257">
        <v>29</v>
      </c>
      <c r="T257">
        <v>1</v>
      </c>
      <c r="U257">
        <v>6</v>
      </c>
      <c r="V257">
        <v>157.41</v>
      </c>
      <c r="W257">
        <v>13130000255</v>
      </c>
    </row>
    <row r="258" spans="1:23" x14ac:dyDescent="0.2">
      <c r="A258" s="1">
        <v>44775</v>
      </c>
      <c r="B258" s="2">
        <v>0.91770833333333335</v>
      </c>
      <c r="C258">
        <v>1256</v>
      </c>
      <c r="D258">
        <v>13002561</v>
      </c>
      <c r="E258">
        <v>13</v>
      </c>
      <c r="F258">
        <v>22589</v>
      </c>
      <c r="G258" t="s">
        <v>23</v>
      </c>
      <c r="H258">
        <v>18</v>
      </c>
      <c r="I258">
        <v>60315</v>
      </c>
      <c r="J258" t="s">
        <v>66</v>
      </c>
      <c r="K258" t="s">
        <v>38</v>
      </c>
      <c r="L258" t="s">
        <v>26</v>
      </c>
      <c r="M258">
        <v>2</v>
      </c>
      <c r="N258">
        <v>490.64</v>
      </c>
      <c r="O258">
        <v>799.12</v>
      </c>
      <c r="P258">
        <v>0</v>
      </c>
      <c r="Q258">
        <v>0</v>
      </c>
      <c r="S258">
        <v>29</v>
      </c>
      <c r="T258">
        <v>1</v>
      </c>
      <c r="U258">
        <v>2</v>
      </c>
      <c r="V258">
        <v>799.12</v>
      </c>
      <c r="W258">
        <v>13130000256</v>
      </c>
    </row>
    <row r="259" spans="1:23" x14ac:dyDescent="0.2">
      <c r="A259" s="1">
        <v>44786</v>
      </c>
      <c r="B259" s="2">
        <v>0.46959490740740739</v>
      </c>
      <c r="C259">
        <v>1257</v>
      </c>
      <c r="D259">
        <v>13002561</v>
      </c>
      <c r="E259">
        <v>13</v>
      </c>
      <c r="F259">
        <v>22589</v>
      </c>
      <c r="G259" t="s">
        <v>23</v>
      </c>
      <c r="H259">
        <v>15</v>
      </c>
      <c r="I259">
        <v>10499</v>
      </c>
      <c r="J259" t="s">
        <v>121</v>
      </c>
      <c r="K259" t="s">
        <v>44</v>
      </c>
      <c r="L259" t="s">
        <v>32</v>
      </c>
      <c r="M259">
        <v>3</v>
      </c>
      <c r="N259">
        <v>398.93</v>
      </c>
      <c r="O259">
        <v>551.36</v>
      </c>
      <c r="P259">
        <v>0</v>
      </c>
      <c r="Q259">
        <v>0</v>
      </c>
      <c r="S259">
        <v>29</v>
      </c>
      <c r="T259">
        <v>1</v>
      </c>
      <c r="U259">
        <v>4</v>
      </c>
      <c r="V259">
        <v>551.36</v>
      </c>
      <c r="W259">
        <v>13130000257</v>
      </c>
    </row>
    <row r="260" spans="1:23" x14ac:dyDescent="0.2">
      <c r="A260" s="1">
        <v>44782</v>
      </c>
      <c r="B260" s="2">
        <v>0.93012731481481481</v>
      </c>
      <c r="C260">
        <v>1258</v>
      </c>
      <c r="D260">
        <v>13002561</v>
      </c>
      <c r="E260">
        <v>13</v>
      </c>
      <c r="F260">
        <v>22589</v>
      </c>
      <c r="G260" t="s">
        <v>23</v>
      </c>
      <c r="H260">
        <v>18</v>
      </c>
      <c r="I260">
        <v>49395</v>
      </c>
      <c r="J260" t="s">
        <v>92</v>
      </c>
      <c r="K260" t="s">
        <v>28</v>
      </c>
      <c r="L260" t="s">
        <v>47</v>
      </c>
      <c r="M260">
        <v>3</v>
      </c>
      <c r="N260">
        <v>466.79</v>
      </c>
      <c r="O260">
        <v>686.57</v>
      </c>
      <c r="P260">
        <v>68.66</v>
      </c>
      <c r="Q260">
        <v>68.66</v>
      </c>
      <c r="R260" t="s">
        <v>30</v>
      </c>
      <c r="S260">
        <v>29</v>
      </c>
      <c r="T260">
        <v>1</v>
      </c>
      <c r="U260">
        <v>3</v>
      </c>
      <c r="V260">
        <v>617.91</v>
      </c>
      <c r="W260">
        <v>13130000258</v>
      </c>
    </row>
    <row r="261" spans="1:23" x14ac:dyDescent="0.2">
      <c r="A261" s="1">
        <v>44801</v>
      </c>
      <c r="B261" s="2">
        <v>0.55583333333333329</v>
      </c>
      <c r="C261">
        <v>1259</v>
      </c>
      <c r="D261">
        <v>13002561</v>
      </c>
      <c r="E261">
        <v>13</v>
      </c>
      <c r="F261">
        <v>22589</v>
      </c>
      <c r="G261" t="s">
        <v>23</v>
      </c>
      <c r="H261">
        <v>15</v>
      </c>
      <c r="I261">
        <v>90086</v>
      </c>
      <c r="J261" t="s">
        <v>85</v>
      </c>
      <c r="K261" t="s">
        <v>45</v>
      </c>
      <c r="L261" t="s">
        <v>26</v>
      </c>
      <c r="M261">
        <v>2</v>
      </c>
      <c r="N261">
        <v>418.93</v>
      </c>
      <c r="O261">
        <v>604.36</v>
      </c>
      <c r="P261">
        <v>60.44</v>
      </c>
      <c r="Q261">
        <v>60.44</v>
      </c>
      <c r="R261" t="s">
        <v>30</v>
      </c>
      <c r="S261">
        <v>29</v>
      </c>
      <c r="T261">
        <v>1</v>
      </c>
      <c r="U261">
        <v>1</v>
      </c>
      <c r="V261">
        <v>543.91999999999996</v>
      </c>
      <c r="W261">
        <v>13130000259</v>
      </c>
    </row>
    <row r="262" spans="1:23" x14ac:dyDescent="0.2">
      <c r="A262" s="1">
        <v>44796</v>
      </c>
      <c r="B262" s="2">
        <v>0.87245370370370368</v>
      </c>
      <c r="C262">
        <v>1260</v>
      </c>
      <c r="D262">
        <v>13002561</v>
      </c>
      <c r="E262">
        <v>13</v>
      </c>
      <c r="F262">
        <v>22589</v>
      </c>
      <c r="G262" t="s">
        <v>23</v>
      </c>
      <c r="H262">
        <v>18</v>
      </c>
      <c r="I262">
        <v>87806</v>
      </c>
      <c r="J262" t="s">
        <v>90</v>
      </c>
      <c r="K262" t="s">
        <v>44</v>
      </c>
      <c r="L262" t="s">
        <v>47</v>
      </c>
      <c r="M262">
        <v>2</v>
      </c>
      <c r="N262">
        <v>148.46</v>
      </c>
      <c r="O262">
        <v>250.17</v>
      </c>
      <c r="P262">
        <v>25.02</v>
      </c>
      <c r="Q262">
        <v>25.02</v>
      </c>
      <c r="R262" t="s">
        <v>30</v>
      </c>
      <c r="S262">
        <v>29</v>
      </c>
      <c r="T262">
        <v>1</v>
      </c>
      <c r="U262">
        <v>5</v>
      </c>
      <c r="V262">
        <v>225.15</v>
      </c>
      <c r="W262">
        <v>13130000260</v>
      </c>
    </row>
    <row r="263" spans="1:23" x14ac:dyDescent="0.2">
      <c r="A263" s="1">
        <v>44784</v>
      </c>
      <c r="B263" s="2">
        <v>0.83332175925925922</v>
      </c>
      <c r="C263">
        <v>1261</v>
      </c>
      <c r="D263">
        <v>13002561</v>
      </c>
      <c r="E263">
        <v>13</v>
      </c>
      <c r="F263">
        <v>22589</v>
      </c>
      <c r="G263" t="s">
        <v>23</v>
      </c>
      <c r="H263">
        <v>18</v>
      </c>
      <c r="I263">
        <v>97140</v>
      </c>
      <c r="J263" t="s">
        <v>92</v>
      </c>
      <c r="K263" t="s">
        <v>45</v>
      </c>
      <c r="L263" t="s">
        <v>29</v>
      </c>
      <c r="M263">
        <v>1</v>
      </c>
      <c r="N263">
        <v>47.92</v>
      </c>
      <c r="O263">
        <v>69.22</v>
      </c>
      <c r="P263">
        <v>3.46</v>
      </c>
      <c r="Q263">
        <v>3.46</v>
      </c>
      <c r="R263" t="s">
        <v>30</v>
      </c>
      <c r="S263">
        <v>29</v>
      </c>
      <c r="T263">
        <v>1</v>
      </c>
      <c r="U263">
        <v>5</v>
      </c>
      <c r="V263">
        <v>65.760000000000005</v>
      </c>
      <c r="W263">
        <v>13130000261</v>
      </c>
    </row>
    <row r="264" spans="1:23" x14ac:dyDescent="0.2">
      <c r="A264" s="1">
        <v>44801</v>
      </c>
      <c r="B264" s="2">
        <v>0.61656250000000001</v>
      </c>
      <c r="C264">
        <v>1262</v>
      </c>
      <c r="D264">
        <v>13002561</v>
      </c>
      <c r="E264">
        <v>13</v>
      </c>
      <c r="F264">
        <v>22589</v>
      </c>
      <c r="G264" t="s">
        <v>23</v>
      </c>
      <c r="H264">
        <v>15</v>
      </c>
      <c r="I264">
        <v>99715</v>
      </c>
      <c r="J264" t="s">
        <v>52</v>
      </c>
      <c r="K264" t="s">
        <v>25</v>
      </c>
      <c r="L264" t="s">
        <v>29</v>
      </c>
      <c r="M264">
        <v>1</v>
      </c>
      <c r="N264">
        <v>515.63</v>
      </c>
      <c r="O264">
        <v>813.15</v>
      </c>
      <c r="P264">
        <v>81.31</v>
      </c>
      <c r="Q264">
        <v>81.31</v>
      </c>
      <c r="R264" t="s">
        <v>30</v>
      </c>
      <c r="S264">
        <v>29</v>
      </c>
      <c r="T264">
        <v>1</v>
      </c>
      <c r="U264">
        <v>4</v>
      </c>
      <c r="V264">
        <v>731.84</v>
      </c>
      <c r="W264">
        <v>13130000262</v>
      </c>
    </row>
    <row r="265" spans="1:23" x14ac:dyDescent="0.2">
      <c r="A265" s="1">
        <v>44775</v>
      </c>
      <c r="B265" s="2">
        <v>0.59638888888888886</v>
      </c>
      <c r="C265">
        <v>1263</v>
      </c>
      <c r="D265">
        <v>13002561</v>
      </c>
      <c r="E265">
        <v>13</v>
      </c>
      <c r="F265">
        <v>22589</v>
      </c>
      <c r="G265" t="s">
        <v>23</v>
      </c>
      <c r="H265">
        <v>18</v>
      </c>
      <c r="I265">
        <v>25688</v>
      </c>
      <c r="J265" t="s">
        <v>66</v>
      </c>
      <c r="K265" t="s">
        <v>60</v>
      </c>
      <c r="L265" t="s">
        <v>51</v>
      </c>
      <c r="M265">
        <v>1</v>
      </c>
      <c r="N265">
        <v>73.42</v>
      </c>
      <c r="O265">
        <v>98.98</v>
      </c>
      <c r="P265">
        <v>0</v>
      </c>
      <c r="Q265">
        <v>0</v>
      </c>
      <c r="S265">
        <v>29</v>
      </c>
      <c r="T265">
        <v>1</v>
      </c>
      <c r="U265">
        <v>3</v>
      </c>
      <c r="V265">
        <v>98.98</v>
      </c>
      <c r="W265">
        <v>13130000263</v>
      </c>
    </row>
    <row r="266" spans="1:23" x14ac:dyDescent="0.2">
      <c r="A266" s="1">
        <v>44789</v>
      </c>
      <c r="B266" s="2">
        <v>0.53149305555555559</v>
      </c>
      <c r="C266">
        <v>1264</v>
      </c>
      <c r="D266">
        <v>13002561</v>
      </c>
      <c r="E266">
        <v>13</v>
      </c>
      <c r="F266">
        <v>22589</v>
      </c>
      <c r="G266" t="s">
        <v>23</v>
      </c>
      <c r="H266">
        <v>18</v>
      </c>
      <c r="I266">
        <v>82778</v>
      </c>
      <c r="J266" t="s">
        <v>76</v>
      </c>
      <c r="K266" t="s">
        <v>28</v>
      </c>
      <c r="L266" t="s">
        <v>51</v>
      </c>
      <c r="M266">
        <v>3</v>
      </c>
      <c r="N266">
        <v>559.25</v>
      </c>
      <c r="O266">
        <v>749.39</v>
      </c>
      <c r="P266">
        <v>0</v>
      </c>
      <c r="Q266">
        <v>0</v>
      </c>
      <c r="S266">
        <v>29</v>
      </c>
      <c r="T266">
        <v>1</v>
      </c>
      <c r="U266">
        <v>6</v>
      </c>
      <c r="V266">
        <v>749.39</v>
      </c>
      <c r="W266">
        <v>13130000264</v>
      </c>
    </row>
    <row r="267" spans="1:23" x14ac:dyDescent="0.2">
      <c r="A267" s="1">
        <v>44804</v>
      </c>
      <c r="B267" s="2">
        <v>0.60663194444444446</v>
      </c>
      <c r="C267">
        <v>1265</v>
      </c>
      <c r="D267">
        <v>13002561</v>
      </c>
      <c r="E267">
        <v>13</v>
      </c>
      <c r="F267">
        <v>22589</v>
      </c>
      <c r="G267" t="s">
        <v>23</v>
      </c>
      <c r="H267">
        <v>18</v>
      </c>
      <c r="I267">
        <v>24615</v>
      </c>
      <c r="J267" t="s">
        <v>80</v>
      </c>
      <c r="K267" t="s">
        <v>25</v>
      </c>
      <c r="L267" t="s">
        <v>39</v>
      </c>
      <c r="M267">
        <v>1</v>
      </c>
      <c r="N267">
        <v>119.32</v>
      </c>
      <c r="O267">
        <v>185.39</v>
      </c>
      <c r="P267">
        <v>18.54</v>
      </c>
      <c r="Q267">
        <v>18.54</v>
      </c>
      <c r="R267" t="s">
        <v>30</v>
      </c>
      <c r="S267">
        <v>29</v>
      </c>
      <c r="T267">
        <v>1</v>
      </c>
      <c r="U267">
        <v>3</v>
      </c>
      <c r="V267">
        <v>166.85</v>
      </c>
      <c r="W267">
        <v>13130000265</v>
      </c>
    </row>
    <row r="268" spans="1:23" x14ac:dyDescent="0.2">
      <c r="A268" s="1">
        <v>44781</v>
      </c>
      <c r="B268" s="2">
        <v>0.8885763888888889</v>
      </c>
      <c r="C268">
        <v>1266</v>
      </c>
      <c r="D268">
        <v>13002561</v>
      </c>
      <c r="E268">
        <v>13</v>
      </c>
      <c r="F268">
        <v>22589</v>
      </c>
      <c r="G268" t="s">
        <v>23</v>
      </c>
      <c r="H268">
        <v>15</v>
      </c>
      <c r="I268">
        <v>32964</v>
      </c>
      <c r="J268" t="s">
        <v>64</v>
      </c>
      <c r="K268" t="s">
        <v>60</v>
      </c>
      <c r="L268" t="s">
        <v>51</v>
      </c>
      <c r="M268">
        <v>3</v>
      </c>
      <c r="N268">
        <v>131.06</v>
      </c>
      <c r="O268">
        <v>205.46</v>
      </c>
      <c r="P268">
        <v>20.55</v>
      </c>
      <c r="Q268">
        <v>20.55</v>
      </c>
      <c r="R268" t="s">
        <v>30</v>
      </c>
      <c r="S268">
        <v>29</v>
      </c>
      <c r="T268">
        <v>1</v>
      </c>
      <c r="U268">
        <v>2</v>
      </c>
      <c r="V268">
        <v>184.91</v>
      </c>
      <c r="W268">
        <v>13130000266</v>
      </c>
    </row>
    <row r="269" spans="1:23" x14ac:dyDescent="0.2">
      <c r="A269" s="1">
        <v>44793</v>
      </c>
      <c r="B269" s="2">
        <v>0.91347222222222224</v>
      </c>
      <c r="C269">
        <v>1267</v>
      </c>
      <c r="D269">
        <v>13002561</v>
      </c>
      <c r="E269">
        <v>13</v>
      </c>
      <c r="F269">
        <v>22589</v>
      </c>
      <c r="G269" t="s">
        <v>23</v>
      </c>
      <c r="H269">
        <v>15</v>
      </c>
      <c r="I269">
        <v>22151</v>
      </c>
      <c r="J269" t="s">
        <v>90</v>
      </c>
      <c r="K269" t="s">
        <v>44</v>
      </c>
      <c r="L269" t="s">
        <v>26</v>
      </c>
      <c r="M269">
        <v>1</v>
      </c>
      <c r="N269">
        <v>318.67</v>
      </c>
      <c r="O269">
        <v>460.28</v>
      </c>
      <c r="P269">
        <v>23.01</v>
      </c>
      <c r="Q269">
        <v>23.01</v>
      </c>
      <c r="R269" t="s">
        <v>30</v>
      </c>
      <c r="S269">
        <v>29</v>
      </c>
      <c r="T269">
        <v>1</v>
      </c>
      <c r="U269">
        <v>3</v>
      </c>
      <c r="V269">
        <v>437.27</v>
      </c>
      <c r="W269">
        <v>13130000267</v>
      </c>
    </row>
    <row r="270" spans="1:23" x14ac:dyDescent="0.2">
      <c r="A270" s="1">
        <v>44791</v>
      </c>
      <c r="B270" s="2">
        <v>0.91324074074074069</v>
      </c>
      <c r="C270">
        <v>1268</v>
      </c>
      <c r="D270">
        <v>13002561</v>
      </c>
      <c r="E270">
        <v>13</v>
      </c>
      <c r="F270">
        <v>22589</v>
      </c>
      <c r="G270" t="s">
        <v>23</v>
      </c>
      <c r="H270">
        <v>15</v>
      </c>
      <c r="I270">
        <v>38745</v>
      </c>
      <c r="J270" t="s">
        <v>122</v>
      </c>
      <c r="K270" t="s">
        <v>44</v>
      </c>
      <c r="L270" t="s">
        <v>39</v>
      </c>
      <c r="M270">
        <v>1</v>
      </c>
      <c r="N270">
        <v>162.32</v>
      </c>
      <c r="O270">
        <v>264.51</v>
      </c>
      <c r="P270">
        <v>0</v>
      </c>
      <c r="Q270">
        <v>0</v>
      </c>
      <c r="S270">
        <v>29</v>
      </c>
      <c r="T270">
        <v>1</v>
      </c>
      <c r="U270">
        <v>3</v>
      </c>
      <c r="V270">
        <v>264.51</v>
      </c>
      <c r="W270">
        <v>13130000268</v>
      </c>
    </row>
    <row r="271" spans="1:23" x14ac:dyDescent="0.2">
      <c r="A271" s="1">
        <v>44788</v>
      </c>
      <c r="B271" s="2">
        <v>0.35084490740740742</v>
      </c>
      <c r="C271">
        <v>1269</v>
      </c>
      <c r="D271">
        <v>13002561</v>
      </c>
      <c r="E271">
        <v>13</v>
      </c>
      <c r="F271">
        <v>22589</v>
      </c>
      <c r="G271" t="s">
        <v>23</v>
      </c>
      <c r="H271">
        <v>18</v>
      </c>
      <c r="I271">
        <v>37476</v>
      </c>
      <c r="J271" t="s">
        <v>74</v>
      </c>
      <c r="K271" t="s">
        <v>45</v>
      </c>
      <c r="L271" t="s">
        <v>29</v>
      </c>
      <c r="M271">
        <v>1</v>
      </c>
      <c r="N271">
        <v>497.78</v>
      </c>
      <c r="O271">
        <v>782.3</v>
      </c>
      <c r="P271">
        <v>39.119999999999997</v>
      </c>
      <c r="Q271">
        <v>39.119999999999997</v>
      </c>
      <c r="R271" t="s">
        <v>30</v>
      </c>
      <c r="S271">
        <v>29</v>
      </c>
      <c r="T271">
        <v>1</v>
      </c>
      <c r="U271">
        <v>5</v>
      </c>
      <c r="V271">
        <v>743.18</v>
      </c>
      <c r="W271">
        <v>13130000269</v>
      </c>
    </row>
    <row r="272" spans="1:23" x14ac:dyDescent="0.2">
      <c r="A272" s="1">
        <v>44777</v>
      </c>
      <c r="B272" s="2">
        <v>0.85726851851851849</v>
      </c>
      <c r="C272">
        <v>1270</v>
      </c>
      <c r="D272">
        <v>13002561</v>
      </c>
      <c r="E272">
        <v>13</v>
      </c>
      <c r="F272">
        <v>22589</v>
      </c>
      <c r="G272" t="s">
        <v>23</v>
      </c>
      <c r="H272">
        <v>18</v>
      </c>
      <c r="I272">
        <v>19904</v>
      </c>
      <c r="J272" t="s">
        <v>84</v>
      </c>
      <c r="K272" t="s">
        <v>44</v>
      </c>
      <c r="L272" t="s">
        <v>26</v>
      </c>
      <c r="M272">
        <v>1</v>
      </c>
      <c r="N272">
        <v>92.76</v>
      </c>
      <c r="O272">
        <v>134.94999999999999</v>
      </c>
      <c r="P272">
        <v>13.49</v>
      </c>
      <c r="Q272">
        <v>13.49</v>
      </c>
      <c r="R272" t="s">
        <v>30</v>
      </c>
      <c r="S272">
        <v>29</v>
      </c>
      <c r="T272">
        <v>1</v>
      </c>
      <c r="U272">
        <v>5</v>
      </c>
      <c r="V272">
        <v>121.46</v>
      </c>
      <c r="W272">
        <v>13130000270</v>
      </c>
    </row>
    <row r="273" spans="1:23" x14ac:dyDescent="0.2">
      <c r="A273" s="1">
        <v>44788</v>
      </c>
      <c r="B273" s="2">
        <v>0.44891203703703703</v>
      </c>
      <c r="C273">
        <v>1271</v>
      </c>
      <c r="D273">
        <v>13002561</v>
      </c>
      <c r="E273">
        <v>13</v>
      </c>
      <c r="F273">
        <v>22589</v>
      </c>
      <c r="G273" t="s">
        <v>23</v>
      </c>
      <c r="H273">
        <v>15</v>
      </c>
      <c r="I273">
        <v>50173</v>
      </c>
      <c r="J273" t="s">
        <v>43</v>
      </c>
      <c r="K273" t="s">
        <v>60</v>
      </c>
      <c r="L273" t="s">
        <v>36</v>
      </c>
      <c r="M273">
        <v>2</v>
      </c>
      <c r="N273">
        <v>481.77</v>
      </c>
      <c r="O273">
        <v>736.82</v>
      </c>
      <c r="P273">
        <v>36.840000000000003</v>
      </c>
      <c r="Q273">
        <v>36.840000000000003</v>
      </c>
      <c r="R273" t="s">
        <v>30</v>
      </c>
      <c r="S273">
        <v>29</v>
      </c>
      <c r="T273">
        <v>1</v>
      </c>
      <c r="U273">
        <v>1</v>
      </c>
      <c r="V273">
        <v>699.98</v>
      </c>
      <c r="W273">
        <v>13130000271</v>
      </c>
    </row>
    <row r="274" spans="1:23" x14ac:dyDescent="0.2">
      <c r="A274" s="1">
        <v>44788</v>
      </c>
      <c r="B274" s="2">
        <v>0.8781944444444445</v>
      </c>
      <c r="C274">
        <v>1272</v>
      </c>
      <c r="D274">
        <v>13002561</v>
      </c>
      <c r="E274">
        <v>13</v>
      </c>
      <c r="F274">
        <v>22589</v>
      </c>
      <c r="G274" t="s">
        <v>23</v>
      </c>
      <c r="H274">
        <v>15</v>
      </c>
      <c r="I274">
        <v>19088</v>
      </c>
      <c r="J274" t="s">
        <v>79</v>
      </c>
      <c r="K274" t="s">
        <v>44</v>
      </c>
      <c r="L274" t="s">
        <v>47</v>
      </c>
      <c r="M274">
        <v>2</v>
      </c>
      <c r="N274">
        <v>300.75</v>
      </c>
      <c r="O274">
        <v>431.36</v>
      </c>
      <c r="P274">
        <v>21.57</v>
      </c>
      <c r="Q274">
        <v>21.57</v>
      </c>
      <c r="R274" t="s">
        <v>30</v>
      </c>
      <c r="S274">
        <v>29</v>
      </c>
      <c r="T274">
        <v>1</v>
      </c>
      <c r="U274">
        <v>2</v>
      </c>
      <c r="V274">
        <v>409.79</v>
      </c>
      <c r="W274">
        <v>13130000272</v>
      </c>
    </row>
    <row r="275" spans="1:23" x14ac:dyDescent="0.2">
      <c r="A275" s="1">
        <v>44784</v>
      </c>
      <c r="B275" s="2">
        <v>0.66545138888888888</v>
      </c>
      <c r="C275">
        <v>1273</v>
      </c>
      <c r="D275">
        <v>13002561</v>
      </c>
      <c r="E275">
        <v>13</v>
      </c>
      <c r="F275">
        <v>22589</v>
      </c>
      <c r="G275" t="s">
        <v>23</v>
      </c>
      <c r="H275">
        <v>15</v>
      </c>
      <c r="I275">
        <v>12857</v>
      </c>
      <c r="J275" t="s">
        <v>77</v>
      </c>
      <c r="K275" t="s">
        <v>25</v>
      </c>
      <c r="L275" t="s">
        <v>47</v>
      </c>
      <c r="M275">
        <v>1</v>
      </c>
      <c r="N275">
        <v>530.71</v>
      </c>
      <c r="O275">
        <v>814.87</v>
      </c>
      <c r="P275">
        <v>0</v>
      </c>
      <c r="Q275">
        <v>0</v>
      </c>
      <c r="S275">
        <v>29</v>
      </c>
      <c r="T275">
        <v>1</v>
      </c>
      <c r="U275">
        <v>4</v>
      </c>
      <c r="V275">
        <v>814.87</v>
      </c>
      <c r="W275">
        <v>13130000273</v>
      </c>
    </row>
    <row r="276" spans="1:23" x14ac:dyDescent="0.2">
      <c r="A276" s="1">
        <v>44781</v>
      </c>
      <c r="B276" s="2">
        <v>0.80592592592592593</v>
      </c>
      <c r="C276">
        <v>1274</v>
      </c>
      <c r="D276">
        <v>13002561</v>
      </c>
      <c r="E276">
        <v>13</v>
      </c>
      <c r="F276">
        <v>22589</v>
      </c>
      <c r="G276" t="s">
        <v>23</v>
      </c>
      <c r="H276">
        <v>18</v>
      </c>
      <c r="I276">
        <v>49132</v>
      </c>
      <c r="J276" t="s">
        <v>43</v>
      </c>
      <c r="K276" t="s">
        <v>60</v>
      </c>
      <c r="L276" t="s">
        <v>26</v>
      </c>
      <c r="M276">
        <v>1</v>
      </c>
      <c r="N276">
        <v>366.99</v>
      </c>
      <c r="O276">
        <v>601.49</v>
      </c>
      <c r="P276">
        <v>0</v>
      </c>
      <c r="Q276">
        <v>0</v>
      </c>
      <c r="S276">
        <v>29</v>
      </c>
      <c r="T276">
        <v>1</v>
      </c>
      <c r="U276">
        <v>3</v>
      </c>
      <c r="V276">
        <v>601.49</v>
      </c>
      <c r="W276">
        <v>13130000274</v>
      </c>
    </row>
    <row r="277" spans="1:23" x14ac:dyDescent="0.2">
      <c r="A277" s="1">
        <v>44801</v>
      </c>
      <c r="B277" s="2">
        <v>0.82870370370370372</v>
      </c>
      <c r="C277">
        <v>1275</v>
      </c>
      <c r="D277">
        <v>13002561</v>
      </c>
      <c r="E277">
        <v>13</v>
      </c>
      <c r="F277">
        <v>22589</v>
      </c>
      <c r="G277" t="s">
        <v>23</v>
      </c>
      <c r="H277">
        <v>18</v>
      </c>
      <c r="I277">
        <v>68533</v>
      </c>
      <c r="J277" t="s">
        <v>101</v>
      </c>
      <c r="K277" t="s">
        <v>28</v>
      </c>
      <c r="L277" t="s">
        <v>51</v>
      </c>
      <c r="M277">
        <v>1</v>
      </c>
      <c r="N277">
        <v>225</v>
      </c>
      <c r="O277">
        <v>301.56</v>
      </c>
      <c r="P277">
        <v>0</v>
      </c>
      <c r="Q277">
        <v>0</v>
      </c>
      <c r="S277">
        <v>29</v>
      </c>
      <c r="T277">
        <v>1</v>
      </c>
      <c r="U277">
        <v>2</v>
      </c>
      <c r="V277">
        <v>301.56</v>
      </c>
      <c r="W277">
        <v>13130000275</v>
      </c>
    </row>
    <row r="278" spans="1:23" x14ac:dyDescent="0.2">
      <c r="A278" s="1">
        <v>44799</v>
      </c>
      <c r="B278" s="2">
        <v>0.94780092592592591</v>
      </c>
      <c r="C278">
        <v>1276</v>
      </c>
      <c r="D278">
        <v>13002561</v>
      </c>
      <c r="E278">
        <v>13</v>
      </c>
      <c r="F278">
        <v>22589</v>
      </c>
      <c r="G278" t="s">
        <v>23</v>
      </c>
      <c r="H278">
        <v>18</v>
      </c>
      <c r="I278">
        <v>50250</v>
      </c>
      <c r="J278" t="s">
        <v>106</v>
      </c>
      <c r="K278" t="s">
        <v>28</v>
      </c>
      <c r="L278" t="s">
        <v>29</v>
      </c>
      <c r="M278">
        <v>2</v>
      </c>
      <c r="N278">
        <v>346.01</v>
      </c>
      <c r="O278">
        <v>438.07</v>
      </c>
      <c r="P278">
        <v>0</v>
      </c>
      <c r="Q278">
        <v>0</v>
      </c>
      <c r="S278">
        <v>29</v>
      </c>
      <c r="T278">
        <v>1</v>
      </c>
      <c r="U278">
        <v>4</v>
      </c>
      <c r="V278">
        <v>438.07</v>
      </c>
      <c r="W278">
        <v>13130000276</v>
      </c>
    </row>
    <row r="279" spans="1:23" x14ac:dyDescent="0.2">
      <c r="A279" s="1">
        <v>44787</v>
      </c>
      <c r="B279" s="2">
        <v>0.66222222222222227</v>
      </c>
      <c r="C279">
        <v>1277</v>
      </c>
      <c r="D279">
        <v>13002561</v>
      </c>
      <c r="E279">
        <v>13</v>
      </c>
      <c r="F279">
        <v>22589</v>
      </c>
      <c r="G279" t="s">
        <v>23</v>
      </c>
      <c r="H279">
        <v>18</v>
      </c>
      <c r="I279">
        <v>17114</v>
      </c>
      <c r="J279" t="s">
        <v>93</v>
      </c>
      <c r="K279" t="s">
        <v>60</v>
      </c>
      <c r="L279" t="s">
        <v>47</v>
      </c>
      <c r="M279">
        <v>3</v>
      </c>
      <c r="N279">
        <v>419.29</v>
      </c>
      <c r="O279">
        <v>639.16</v>
      </c>
      <c r="P279">
        <v>0</v>
      </c>
      <c r="Q279">
        <v>0</v>
      </c>
      <c r="S279">
        <v>29</v>
      </c>
      <c r="T279">
        <v>1</v>
      </c>
      <c r="U279">
        <v>4</v>
      </c>
      <c r="V279">
        <v>639.16</v>
      </c>
      <c r="W279">
        <v>13130000277</v>
      </c>
    </row>
    <row r="280" spans="1:23" x14ac:dyDescent="0.2">
      <c r="A280" s="1">
        <v>44783</v>
      </c>
      <c r="B280" s="2">
        <v>0.7163194444444444</v>
      </c>
      <c r="C280">
        <v>1278</v>
      </c>
      <c r="D280">
        <v>13002561</v>
      </c>
      <c r="E280">
        <v>13</v>
      </c>
      <c r="F280">
        <v>22589</v>
      </c>
      <c r="G280" t="s">
        <v>23</v>
      </c>
      <c r="H280">
        <v>15</v>
      </c>
      <c r="I280">
        <v>44044</v>
      </c>
      <c r="J280" t="s">
        <v>86</v>
      </c>
      <c r="K280" t="s">
        <v>38</v>
      </c>
      <c r="L280" t="s">
        <v>34</v>
      </c>
      <c r="M280">
        <v>3</v>
      </c>
      <c r="N280">
        <v>138.08000000000001</v>
      </c>
      <c r="O280">
        <v>205.17</v>
      </c>
      <c r="P280">
        <v>0</v>
      </c>
      <c r="Q280">
        <v>0</v>
      </c>
      <c r="S280">
        <v>29</v>
      </c>
      <c r="T280">
        <v>1</v>
      </c>
      <c r="U280">
        <v>5</v>
      </c>
      <c r="V280">
        <v>205.17</v>
      </c>
      <c r="W280">
        <v>13130000278</v>
      </c>
    </row>
    <row r="281" spans="1:23" x14ac:dyDescent="0.2">
      <c r="A281" s="1">
        <v>44792</v>
      </c>
      <c r="B281" s="2">
        <v>0.38325231481481481</v>
      </c>
      <c r="C281">
        <v>1279</v>
      </c>
      <c r="D281">
        <v>13002561</v>
      </c>
      <c r="E281">
        <v>13</v>
      </c>
      <c r="F281">
        <v>22589</v>
      </c>
      <c r="G281" t="s">
        <v>23</v>
      </c>
      <c r="H281">
        <v>15</v>
      </c>
      <c r="I281">
        <v>63547</v>
      </c>
      <c r="J281" t="s">
        <v>96</v>
      </c>
      <c r="K281" t="s">
        <v>45</v>
      </c>
      <c r="L281" t="s">
        <v>39</v>
      </c>
      <c r="M281">
        <v>1</v>
      </c>
      <c r="N281">
        <v>69.63</v>
      </c>
      <c r="O281">
        <v>109.72</v>
      </c>
      <c r="P281">
        <v>5.49</v>
      </c>
      <c r="Q281">
        <v>5.49</v>
      </c>
      <c r="R281" t="s">
        <v>30</v>
      </c>
      <c r="S281">
        <v>29</v>
      </c>
      <c r="T281">
        <v>1</v>
      </c>
      <c r="U281">
        <v>4</v>
      </c>
      <c r="V281">
        <v>104.23</v>
      </c>
      <c r="W281">
        <v>13130000279</v>
      </c>
    </row>
    <row r="282" spans="1:23" x14ac:dyDescent="0.2">
      <c r="A282" s="1">
        <v>44797</v>
      </c>
      <c r="B282" s="2">
        <v>0.78950231481481481</v>
      </c>
      <c r="C282">
        <v>1280</v>
      </c>
      <c r="D282">
        <v>13002561</v>
      </c>
      <c r="E282">
        <v>13</v>
      </c>
      <c r="F282">
        <v>22589</v>
      </c>
      <c r="G282" t="s">
        <v>23</v>
      </c>
      <c r="H282">
        <v>15</v>
      </c>
      <c r="I282">
        <v>47003</v>
      </c>
      <c r="J282" t="s">
        <v>90</v>
      </c>
      <c r="K282" t="s">
        <v>28</v>
      </c>
      <c r="L282" t="s">
        <v>26</v>
      </c>
      <c r="M282">
        <v>1</v>
      </c>
      <c r="N282">
        <v>24.2</v>
      </c>
      <c r="O282">
        <v>35.14</v>
      </c>
      <c r="P282">
        <v>1.76</v>
      </c>
      <c r="Q282">
        <v>1.76</v>
      </c>
      <c r="R282" t="s">
        <v>30</v>
      </c>
      <c r="S282">
        <v>29</v>
      </c>
      <c r="T282">
        <v>1</v>
      </c>
      <c r="U282">
        <v>3</v>
      </c>
      <c r="V282">
        <v>33.380000000000003</v>
      </c>
      <c r="W282">
        <v>13130000280</v>
      </c>
    </row>
    <row r="283" spans="1:23" x14ac:dyDescent="0.2">
      <c r="A283" s="1">
        <v>44791</v>
      </c>
      <c r="B283" s="2">
        <v>0.74135416666666665</v>
      </c>
      <c r="C283">
        <v>1281</v>
      </c>
      <c r="D283">
        <v>13002561</v>
      </c>
      <c r="E283">
        <v>13</v>
      </c>
      <c r="F283">
        <v>22589</v>
      </c>
      <c r="G283" t="s">
        <v>23</v>
      </c>
      <c r="H283">
        <v>15</v>
      </c>
      <c r="I283">
        <v>12728</v>
      </c>
      <c r="J283" t="s">
        <v>49</v>
      </c>
      <c r="K283" t="s">
        <v>44</v>
      </c>
      <c r="L283" t="s">
        <v>39</v>
      </c>
      <c r="M283">
        <v>1</v>
      </c>
      <c r="N283">
        <v>415.93</v>
      </c>
      <c r="O283">
        <v>618.28</v>
      </c>
      <c r="P283">
        <v>0</v>
      </c>
      <c r="Q283">
        <v>0</v>
      </c>
      <c r="S283">
        <v>29</v>
      </c>
      <c r="T283">
        <v>1</v>
      </c>
      <c r="U283">
        <v>6</v>
      </c>
      <c r="V283">
        <v>618.28</v>
      </c>
      <c r="W283">
        <v>13130000281</v>
      </c>
    </row>
    <row r="284" spans="1:23" x14ac:dyDescent="0.2">
      <c r="A284" s="1">
        <v>44779</v>
      </c>
      <c r="B284" s="2">
        <v>0.44753472222222218</v>
      </c>
      <c r="C284">
        <v>1282</v>
      </c>
      <c r="D284">
        <v>13002561</v>
      </c>
      <c r="E284">
        <v>13</v>
      </c>
      <c r="F284">
        <v>22589</v>
      </c>
      <c r="G284" t="s">
        <v>23</v>
      </c>
      <c r="H284">
        <v>15</v>
      </c>
      <c r="I284">
        <v>71881</v>
      </c>
      <c r="J284" t="s">
        <v>86</v>
      </c>
      <c r="K284" t="s">
        <v>25</v>
      </c>
      <c r="L284" t="s">
        <v>29</v>
      </c>
      <c r="M284">
        <v>1</v>
      </c>
      <c r="N284">
        <v>329.48</v>
      </c>
      <c r="O284">
        <v>460.01</v>
      </c>
      <c r="P284">
        <v>0</v>
      </c>
      <c r="Q284">
        <v>0</v>
      </c>
      <c r="S284">
        <v>29</v>
      </c>
      <c r="T284">
        <v>1</v>
      </c>
      <c r="U284">
        <v>5</v>
      </c>
      <c r="V284">
        <v>460.01</v>
      </c>
      <c r="W284">
        <v>13130000282</v>
      </c>
    </row>
    <row r="285" spans="1:23" x14ac:dyDescent="0.2">
      <c r="A285" s="1">
        <v>44780</v>
      </c>
      <c r="B285" s="2">
        <v>0.47245370370370371</v>
      </c>
      <c r="C285">
        <v>1283</v>
      </c>
      <c r="D285">
        <v>13002561</v>
      </c>
      <c r="E285">
        <v>13</v>
      </c>
      <c r="F285">
        <v>22589</v>
      </c>
      <c r="G285" t="s">
        <v>23</v>
      </c>
      <c r="H285">
        <v>18</v>
      </c>
      <c r="I285">
        <v>38312</v>
      </c>
      <c r="J285" t="s">
        <v>94</v>
      </c>
      <c r="K285" t="s">
        <v>44</v>
      </c>
      <c r="L285" t="s">
        <v>36</v>
      </c>
      <c r="M285">
        <v>1</v>
      </c>
      <c r="N285">
        <v>597.07000000000005</v>
      </c>
      <c r="O285">
        <v>842.04</v>
      </c>
      <c r="P285">
        <v>84.2</v>
      </c>
      <c r="Q285">
        <v>84.2</v>
      </c>
      <c r="R285" t="s">
        <v>30</v>
      </c>
      <c r="S285">
        <v>29</v>
      </c>
      <c r="T285">
        <v>1</v>
      </c>
      <c r="U285">
        <v>6</v>
      </c>
      <c r="V285">
        <v>757.84</v>
      </c>
      <c r="W285">
        <v>13130000283</v>
      </c>
    </row>
    <row r="286" spans="1:23" x14ac:dyDescent="0.2">
      <c r="A286" s="1">
        <v>44797</v>
      </c>
      <c r="B286" s="2">
        <v>0.48508101851851848</v>
      </c>
      <c r="C286">
        <v>1284</v>
      </c>
      <c r="D286">
        <v>13002561</v>
      </c>
      <c r="E286">
        <v>13</v>
      </c>
      <c r="F286">
        <v>22589</v>
      </c>
      <c r="G286" t="s">
        <v>23</v>
      </c>
      <c r="H286">
        <v>15</v>
      </c>
      <c r="I286">
        <v>86288</v>
      </c>
      <c r="J286" t="s">
        <v>43</v>
      </c>
      <c r="K286" t="s">
        <v>25</v>
      </c>
      <c r="L286" t="s">
        <v>29</v>
      </c>
      <c r="M286">
        <v>1</v>
      </c>
      <c r="N286">
        <v>356.57</v>
      </c>
      <c r="O286">
        <v>533.36</v>
      </c>
      <c r="P286">
        <v>26.67</v>
      </c>
      <c r="Q286">
        <v>26.67</v>
      </c>
      <c r="R286" t="s">
        <v>30</v>
      </c>
      <c r="S286">
        <v>29</v>
      </c>
      <c r="T286">
        <v>1</v>
      </c>
      <c r="U286">
        <v>1</v>
      </c>
      <c r="V286">
        <v>506.69</v>
      </c>
      <c r="W286">
        <v>13130000284</v>
      </c>
    </row>
    <row r="287" spans="1:23" x14ac:dyDescent="0.2">
      <c r="A287" s="1">
        <v>44788</v>
      </c>
      <c r="B287" s="2">
        <v>0.52981481481481485</v>
      </c>
      <c r="C287">
        <v>1285</v>
      </c>
      <c r="D287">
        <v>13002561</v>
      </c>
      <c r="E287">
        <v>13</v>
      </c>
      <c r="F287">
        <v>22589</v>
      </c>
      <c r="G287" t="s">
        <v>23</v>
      </c>
      <c r="H287">
        <v>15</v>
      </c>
      <c r="I287">
        <v>56575</v>
      </c>
      <c r="J287" t="s">
        <v>58</v>
      </c>
      <c r="K287" t="s">
        <v>25</v>
      </c>
      <c r="L287" t="s">
        <v>34</v>
      </c>
      <c r="M287">
        <v>3</v>
      </c>
      <c r="N287">
        <v>422.74</v>
      </c>
      <c r="O287">
        <v>542.5</v>
      </c>
      <c r="P287">
        <v>0</v>
      </c>
      <c r="Q287">
        <v>0</v>
      </c>
      <c r="S287">
        <v>29</v>
      </c>
      <c r="T287">
        <v>1</v>
      </c>
      <c r="U287">
        <v>1</v>
      </c>
      <c r="V287">
        <v>542.5</v>
      </c>
      <c r="W287">
        <v>13130000285</v>
      </c>
    </row>
    <row r="288" spans="1:23" x14ac:dyDescent="0.2">
      <c r="A288" s="1">
        <v>44778</v>
      </c>
      <c r="B288" s="2">
        <v>0.83303240740740736</v>
      </c>
      <c r="C288">
        <v>1286</v>
      </c>
      <c r="D288">
        <v>13002561</v>
      </c>
      <c r="E288">
        <v>13</v>
      </c>
      <c r="F288">
        <v>22589</v>
      </c>
      <c r="G288" t="s">
        <v>23</v>
      </c>
      <c r="H288">
        <v>15</v>
      </c>
      <c r="I288">
        <v>35197</v>
      </c>
      <c r="J288" t="s">
        <v>122</v>
      </c>
      <c r="K288" t="s">
        <v>38</v>
      </c>
      <c r="L288" t="s">
        <v>36</v>
      </c>
      <c r="M288">
        <v>1</v>
      </c>
      <c r="N288">
        <v>328.15</v>
      </c>
      <c r="O288">
        <v>490.52</v>
      </c>
      <c r="P288">
        <v>49.05</v>
      </c>
      <c r="Q288">
        <v>49.05</v>
      </c>
      <c r="R288" t="s">
        <v>30</v>
      </c>
      <c r="S288">
        <v>29</v>
      </c>
      <c r="T288">
        <v>1</v>
      </c>
      <c r="U288">
        <v>6</v>
      </c>
      <c r="V288">
        <v>441.47</v>
      </c>
      <c r="W288">
        <v>13130000286</v>
      </c>
    </row>
    <row r="289" spans="1:23" x14ac:dyDescent="0.2">
      <c r="A289" s="1">
        <v>44797</v>
      </c>
      <c r="B289" s="2">
        <v>0.54660879629629633</v>
      </c>
      <c r="C289">
        <v>1287</v>
      </c>
      <c r="D289">
        <v>13002561</v>
      </c>
      <c r="E289">
        <v>13</v>
      </c>
      <c r="F289">
        <v>22589</v>
      </c>
      <c r="G289" t="s">
        <v>23</v>
      </c>
      <c r="H289">
        <v>18</v>
      </c>
      <c r="I289">
        <v>98008</v>
      </c>
      <c r="J289" t="s">
        <v>113</v>
      </c>
      <c r="K289" t="s">
        <v>28</v>
      </c>
      <c r="L289" t="s">
        <v>39</v>
      </c>
      <c r="M289">
        <v>3</v>
      </c>
      <c r="N289">
        <v>412.11</v>
      </c>
      <c r="O289">
        <v>586.23</v>
      </c>
      <c r="P289">
        <v>0</v>
      </c>
      <c r="Q289">
        <v>0</v>
      </c>
      <c r="S289">
        <v>29</v>
      </c>
      <c r="T289">
        <v>1</v>
      </c>
      <c r="U289">
        <v>6</v>
      </c>
      <c r="V289">
        <v>586.23</v>
      </c>
      <c r="W289">
        <v>13130000287</v>
      </c>
    </row>
    <row r="290" spans="1:23" x14ac:dyDescent="0.2">
      <c r="A290" s="1">
        <v>44783</v>
      </c>
      <c r="B290" s="2">
        <v>0.58005787037037038</v>
      </c>
      <c r="C290">
        <v>1288</v>
      </c>
      <c r="D290">
        <v>13002561</v>
      </c>
      <c r="E290">
        <v>13</v>
      </c>
      <c r="F290">
        <v>22589</v>
      </c>
      <c r="G290" t="s">
        <v>23</v>
      </c>
      <c r="H290">
        <v>18</v>
      </c>
      <c r="I290">
        <v>39492</v>
      </c>
      <c r="J290" t="s">
        <v>73</v>
      </c>
      <c r="K290" t="s">
        <v>60</v>
      </c>
      <c r="L290" t="s">
        <v>34</v>
      </c>
      <c r="M290">
        <v>1</v>
      </c>
      <c r="N290">
        <v>551.35</v>
      </c>
      <c r="O290">
        <v>788.33</v>
      </c>
      <c r="P290">
        <v>78.83</v>
      </c>
      <c r="Q290">
        <v>78.83</v>
      </c>
      <c r="R290" t="s">
        <v>30</v>
      </c>
      <c r="S290">
        <v>29</v>
      </c>
      <c r="T290">
        <v>1</v>
      </c>
      <c r="U290">
        <v>3</v>
      </c>
      <c r="V290">
        <v>709.5</v>
      </c>
      <c r="W290">
        <v>13130000288</v>
      </c>
    </row>
    <row r="291" spans="1:23" x14ac:dyDescent="0.2">
      <c r="A291" s="1">
        <v>44790</v>
      </c>
      <c r="B291" s="2">
        <v>0.47325231481481478</v>
      </c>
      <c r="C291">
        <v>1289</v>
      </c>
      <c r="D291">
        <v>13002561</v>
      </c>
      <c r="E291">
        <v>13</v>
      </c>
      <c r="F291">
        <v>22589</v>
      </c>
      <c r="G291" t="s">
        <v>23</v>
      </c>
      <c r="H291">
        <v>15</v>
      </c>
      <c r="I291">
        <v>54570</v>
      </c>
      <c r="J291" t="s">
        <v>78</v>
      </c>
      <c r="K291" t="s">
        <v>45</v>
      </c>
      <c r="L291" t="s">
        <v>36</v>
      </c>
      <c r="M291">
        <v>2</v>
      </c>
      <c r="N291">
        <v>118.46</v>
      </c>
      <c r="O291">
        <v>164.22</v>
      </c>
      <c r="P291">
        <v>8.2100000000000009</v>
      </c>
      <c r="Q291">
        <v>8.2100000000000009</v>
      </c>
      <c r="R291" t="s">
        <v>30</v>
      </c>
      <c r="S291">
        <v>29</v>
      </c>
      <c r="T291">
        <v>1</v>
      </c>
      <c r="U291">
        <v>3</v>
      </c>
      <c r="V291">
        <v>156.01</v>
      </c>
      <c r="W291">
        <v>13130000289</v>
      </c>
    </row>
    <row r="292" spans="1:23" x14ac:dyDescent="0.2">
      <c r="A292" s="1">
        <v>44801</v>
      </c>
      <c r="B292" s="2">
        <v>0.61766203703703704</v>
      </c>
      <c r="C292">
        <v>1290</v>
      </c>
      <c r="D292">
        <v>13002561</v>
      </c>
      <c r="E292">
        <v>13</v>
      </c>
      <c r="F292">
        <v>22589</v>
      </c>
      <c r="G292" t="s">
        <v>23</v>
      </c>
      <c r="H292">
        <v>18</v>
      </c>
      <c r="I292">
        <v>86903</v>
      </c>
      <c r="J292" t="s">
        <v>27</v>
      </c>
      <c r="K292" t="s">
        <v>28</v>
      </c>
      <c r="L292" t="s">
        <v>47</v>
      </c>
      <c r="M292">
        <v>2</v>
      </c>
      <c r="N292">
        <v>581.15</v>
      </c>
      <c r="O292">
        <v>980.23</v>
      </c>
      <c r="P292">
        <v>0</v>
      </c>
      <c r="Q292">
        <v>0</v>
      </c>
      <c r="S292">
        <v>29</v>
      </c>
      <c r="T292">
        <v>1</v>
      </c>
      <c r="U292">
        <v>2</v>
      </c>
      <c r="V292">
        <v>980.23</v>
      </c>
      <c r="W292">
        <v>13130000290</v>
      </c>
    </row>
    <row r="293" spans="1:23" x14ac:dyDescent="0.2">
      <c r="A293" s="1">
        <v>44800</v>
      </c>
      <c r="B293" s="2">
        <v>0.89136574074074071</v>
      </c>
      <c r="C293">
        <v>1291</v>
      </c>
      <c r="D293">
        <v>13002561</v>
      </c>
      <c r="E293">
        <v>13</v>
      </c>
      <c r="F293">
        <v>22589</v>
      </c>
      <c r="G293" t="s">
        <v>23</v>
      </c>
      <c r="H293">
        <v>18</v>
      </c>
      <c r="I293">
        <v>45995</v>
      </c>
      <c r="J293" t="s">
        <v>121</v>
      </c>
      <c r="K293" t="s">
        <v>25</v>
      </c>
      <c r="L293" t="s">
        <v>29</v>
      </c>
      <c r="M293">
        <v>1</v>
      </c>
      <c r="N293">
        <v>299.42</v>
      </c>
      <c r="O293">
        <v>429.05</v>
      </c>
      <c r="P293">
        <v>21.45</v>
      </c>
      <c r="Q293">
        <v>21.45</v>
      </c>
      <c r="R293" t="s">
        <v>30</v>
      </c>
      <c r="S293">
        <v>29</v>
      </c>
      <c r="T293">
        <v>1</v>
      </c>
      <c r="U293">
        <v>5</v>
      </c>
      <c r="V293">
        <v>407.6</v>
      </c>
      <c r="W293">
        <v>13130000291</v>
      </c>
    </row>
    <row r="294" spans="1:23" x14ac:dyDescent="0.2">
      <c r="A294" s="1">
        <v>44796</v>
      </c>
      <c r="B294" s="2">
        <v>0.33982638888888889</v>
      </c>
      <c r="C294">
        <v>1292</v>
      </c>
      <c r="D294">
        <v>13002561</v>
      </c>
      <c r="E294">
        <v>13</v>
      </c>
      <c r="F294">
        <v>22589</v>
      </c>
      <c r="G294" t="s">
        <v>23</v>
      </c>
      <c r="H294">
        <v>15</v>
      </c>
      <c r="I294">
        <v>27376</v>
      </c>
      <c r="J294" t="s">
        <v>58</v>
      </c>
      <c r="K294" t="s">
        <v>44</v>
      </c>
      <c r="L294" t="s">
        <v>39</v>
      </c>
      <c r="M294">
        <v>1</v>
      </c>
      <c r="N294">
        <v>441.08</v>
      </c>
      <c r="O294">
        <v>640.49</v>
      </c>
      <c r="P294">
        <v>64.05</v>
      </c>
      <c r="Q294">
        <v>64.05</v>
      </c>
      <c r="R294" t="s">
        <v>30</v>
      </c>
      <c r="S294">
        <v>29</v>
      </c>
      <c r="T294">
        <v>1</v>
      </c>
      <c r="U294">
        <v>6</v>
      </c>
      <c r="V294">
        <v>576.44000000000005</v>
      </c>
      <c r="W294">
        <v>13130000292</v>
      </c>
    </row>
    <row r="295" spans="1:23" x14ac:dyDescent="0.2">
      <c r="A295" s="1">
        <v>44788</v>
      </c>
      <c r="B295" s="2">
        <v>0.60334490740740743</v>
      </c>
      <c r="C295">
        <v>1293</v>
      </c>
      <c r="D295">
        <v>13002561</v>
      </c>
      <c r="E295">
        <v>13</v>
      </c>
      <c r="F295">
        <v>22589</v>
      </c>
      <c r="G295" t="s">
        <v>23</v>
      </c>
      <c r="H295">
        <v>18</v>
      </c>
      <c r="I295">
        <v>35095</v>
      </c>
      <c r="J295" t="s">
        <v>114</v>
      </c>
      <c r="K295" t="s">
        <v>44</v>
      </c>
      <c r="L295" t="s">
        <v>39</v>
      </c>
      <c r="M295">
        <v>3</v>
      </c>
      <c r="N295">
        <v>263.94</v>
      </c>
      <c r="O295">
        <v>359.63</v>
      </c>
      <c r="P295">
        <v>0</v>
      </c>
      <c r="Q295">
        <v>0</v>
      </c>
      <c r="S295">
        <v>29</v>
      </c>
      <c r="T295">
        <v>1</v>
      </c>
      <c r="U295">
        <v>3</v>
      </c>
      <c r="V295">
        <v>359.63</v>
      </c>
      <c r="W295">
        <v>13130000293</v>
      </c>
    </row>
    <row r="296" spans="1:23" x14ac:dyDescent="0.2">
      <c r="A296" s="1">
        <v>44796</v>
      </c>
      <c r="B296" s="2">
        <v>0.46827546296296302</v>
      </c>
      <c r="C296">
        <v>1294</v>
      </c>
      <c r="D296">
        <v>13002561</v>
      </c>
      <c r="E296">
        <v>13</v>
      </c>
      <c r="F296">
        <v>22589</v>
      </c>
      <c r="G296" t="s">
        <v>23</v>
      </c>
      <c r="H296">
        <v>15</v>
      </c>
      <c r="I296">
        <v>52320</v>
      </c>
      <c r="J296" t="s">
        <v>69</v>
      </c>
      <c r="K296" t="s">
        <v>44</v>
      </c>
      <c r="L296" t="s">
        <v>36</v>
      </c>
      <c r="M296">
        <v>3</v>
      </c>
      <c r="N296">
        <v>513.54999999999995</v>
      </c>
      <c r="O296">
        <v>852.69</v>
      </c>
      <c r="P296">
        <v>0</v>
      </c>
      <c r="Q296">
        <v>0</v>
      </c>
      <c r="S296">
        <v>29</v>
      </c>
      <c r="T296">
        <v>1</v>
      </c>
      <c r="U296">
        <v>3</v>
      </c>
      <c r="V296">
        <v>852.69</v>
      </c>
      <c r="W296">
        <v>13130000294</v>
      </c>
    </row>
    <row r="297" spans="1:23" x14ac:dyDescent="0.2">
      <c r="A297" s="1">
        <v>44778</v>
      </c>
      <c r="B297" s="2">
        <v>0.85179398148148144</v>
      </c>
      <c r="C297">
        <v>1295</v>
      </c>
      <c r="D297">
        <v>13002561</v>
      </c>
      <c r="E297">
        <v>13</v>
      </c>
      <c r="F297">
        <v>22589</v>
      </c>
      <c r="G297" t="s">
        <v>23</v>
      </c>
      <c r="H297">
        <v>18</v>
      </c>
      <c r="I297">
        <v>98022</v>
      </c>
      <c r="J297" t="s">
        <v>123</v>
      </c>
      <c r="K297" t="s">
        <v>44</v>
      </c>
      <c r="L297" t="s">
        <v>34</v>
      </c>
      <c r="M297">
        <v>3</v>
      </c>
      <c r="N297">
        <v>402.16</v>
      </c>
      <c r="O297">
        <v>668.3</v>
      </c>
      <c r="P297">
        <v>66.83</v>
      </c>
      <c r="Q297">
        <v>66.83</v>
      </c>
      <c r="R297" t="s">
        <v>30</v>
      </c>
      <c r="S297">
        <v>29</v>
      </c>
      <c r="T297">
        <v>1</v>
      </c>
      <c r="U297">
        <v>6</v>
      </c>
      <c r="V297">
        <v>601.47</v>
      </c>
      <c r="W297">
        <v>13130000295</v>
      </c>
    </row>
    <row r="298" spans="1:23" x14ac:dyDescent="0.2">
      <c r="A298" s="1">
        <v>44781</v>
      </c>
      <c r="B298" s="2">
        <v>0.65178240740740745</v>
      </c>
      <c r="C298">
        <v>1296</v>
      </c>
      <c r="D298">
        <v>13002561</v>
      </c>
      <c r="E298">
        <v>13</v>
      </c>
      <c r="F298">
        <v>22589</v>
      </c>
      <c r="G298" t="s">
        <v>23</v>
      </c>
      <c r="H298">
        <v>18</v>
      </c>
      <c r="I298">
        <v>73133</v>
      </c>
      <c r="J298" t="s">
        <v>49</v>
      </c>
      <c r="K298" t="s">
        <v>44</v>
      </c>
      <c r="L298" t="s">
        <v>32</v>
      </c>
      <c r="M298">
        <v>1</v>
      </c>
      <c r="N298">
        <v>415.82</v>
      </c>
      <c r="O298">
        <v>600.14</v>
      </c>
      <c r="P298">
        <v>60.01</v>
      </c>
      <c r="Q298">
        <v>60.01</v>
      </c>
      <c r="R298" t="s">
        <v>30</v>
      </c>
      <c r="S298">
        <v>29</v>
      </c>
      <c r="T298">
        <v>1</v>
      </c>
      <c r="U298">
        <v>4</v>
      </c>
      <c r="V298">
        <v>540.13</v>
      </c>
      <c r="W298">
        <v>13130000296</v>
      </c>
    </row>
    <row r="299" spans="1:23" x14ac:dyDescent="0.2">
      <c r="A299" s="1">
        <v>44787</v>
      </c>
      <c r="B299" s="2">
        <v>0.73581018518518515</v>
      </c>
      <c r="C299">
        <v>1297</v>
      </c>
      <c r="D299">
        <v>13002561</v>
      </c>
      <c r="E299">
        <v>13</v>
      </c>
      <c r="F299">
        <v>22589</v>
      </c>
      <c r="G299" t="s">
        <v>23</v>
      </c>
      <c r="H299">
        <v>15</v>
      </c>
      <c r="I299">
        <v>16972</v>
      </c>
      <c r="J299" t="s">
        <v>75</v>
      </c>
      <c r="K299" t="s">
        <v>25</v>
      </c>
      <c r="L299" t="s">
        <v>26</v>
      </c>
      <c r="M299">
        <v>2</v>
      </c>
      <c r="N299">
        <v>8.9</v>
      </c>
      <c r="O299">
        <v>11.24</v>
      </c>
      <c r="P299">
        <v>0</v>
      </c>
      <c r="Q299">
        <v>0</v>
      </c>
      <c r="S299">
        <v>29</v>
      </c>
      <c r="T299">
        <v>1</v>
      </c>
      <c r="U299">
        <v>4</v>
      </c>
      <c r="V299">
        <v>11.24</v>
      </c>
      <c r="W299">
        <v>13130000297</v>
      </c>
    </row>
    <row r="300" spans="1:23" x14ac:dyDescent="0.2">
      <c r="A300" s="1">
        <v>44794</v>
      </c>
      <c r="B300" s="2">
        <v>0.72687500000000005</v>
      </c>
      <c r="C300">
        <v>1298</v>
      </c>
      <c r="D300">
        <v>13002561</v>
      </c>
      <c r="E300">
        <v>13</v>
      </c>
      <c r="F300">
        <v>22589</v>
      </c>
      <c r="G300" t="s">
        <v>23</v>
      </c>
      <c r="H300">
        <v>15</v>
      </c>
      <c r="I300">
        <v>93266</v>
      </c>
      <c r="J300" t="s">
        <v>118</v>
      </c>
      <c r="K300" t="s">
        <v>60</v>
      </c>
      <c r="L300" t="s">
        <v>34</v>
      </c>
      <c r="M300">
        <v>1</v>
      </c>
      <c r="N300">
        <v>37.24</v>
      </c>
      <c r="O300">
        <v>60.13</v>
      </c>
      <c r="P300">
        <v>3.01</v>
      </c>
      <c r="Q300">
        <v>3.01</v>
      </c>
      <c r="R300" t="s">
        <v>30</v>
      </c>
      <c r="S300">
        <v>29</v>
      </c>
      <c r="T300">
        <v>1</v>
      </c>
      <c r="U300">
        <v>4</v>
      </c>
      <c r="V300">
        <v>57.12</v>
      </c>
      <c r="W300">
        <v>13130000298</v>
      </c>
    </row>
    <row r="301" spans="1:23" x14ac:dyDescent="0.2">
      <c r="A301" s="1">
        <v>44798</v>
      </c>
      <c r="B301" s="2">
        <v>0.94998842592592592</v>
      </c>
      <c r="C301">
        <v>1299</v>
      </c>
      <c r="D301">
        <v>13002561</v>
      </c>
      <c r="E301">
        <v>13</v>
      </c>
      <c r="F301">
        <v>22589</v>
      </c>
      <c r="G301" t="s">
        <v>23</v>
      </c>
      <c r="H301">
        <v>18</v>
      </c>
      <c r="I301">
        <v>53280</v>
      </c>
      <c r="J301" t="s">
        <v>101</v>
      </c>
      <c r="K301" t="s">
        <v>38</v>
      </c>
      <c r="L301" t="s">
        <v>29</v>
      </c>
      <c r="M301">
        <v>3</v>
      </c>
      <c r="N301">
        <v>25.2</v>
      </c>
      <c r="O301">
        <v>42.29</v>
      </c>
      <c r="P301">
        <v>4.2300000000000004</v>
      </c>
      <c r="Q301">
        <v>4.2300000000000004</v>
      </c>
      <c r="R301" t="s">
        <v>30</v>
      </c>
      <c r="S301">
        <v>29</v>
      </c>
      <c r="T301">
        <v>1</v>
      </c>
      <c r="U301">
        <v>6</v>
      </c>
      <c r="V301">
        <v>38.06</v>
      </c>
      <c r="W301">
        <v>13130000299</v>
      </c>
    </row>
    <row r="302" spans="1:23" x14ac:dyDescent="0.2">
      <c r="A302" s="1">
        <v>44799</v>
      </c>
      <c r="B302" s="2">
        <v>0.35751157407407408</v>
      </c>
      <c r="C302">
        <v>1300</v>
      </c>
      <c r="D302">
        <v>13002561</v>
      </c>
      <c r="E302">
        <v>13</v>
      </c>
      <c r="F302">
        <v>22589</v>
      </c>
      <c r="G302" t="s">
        <v>23</v>
      </c>
      <c r="H302">
        <v>18</v>
      </c>
      <c r="I302">
        <v>94474</v>
      </c>
      <c r="J302" t="s">
        <v>62</v>
      </c>
      <c r="K302" t="s">
        <v>25</v>
      </c>
      <c r="L302" t="s">
        <v>51</v>
      </c>
      <c r="M302">
        <v>1</v>
      </c>
      <c r="N302">
        <v>400.91</v>
      </c>
      <c r="O302">
        <v>536.75</v>
      </c>
      <c r="P302">
        <v>53.68</v>
      </c>
      <c r="Q302">
        <v>53.68</v>
      </c>
      <c r="R302" t="s">
        <v>30</v>
      </c>
      <c r="S302">
        <v>29</v>
      </c>
      <c r="T302">
        <v>1</v>
      </c>
      <c r="U302">
        <v>3</v>
      </c>
      <c r="V302">
        <v>483.07</v>
      </c>
      <c r="W302">
        <v>13130000300</v>
      </c>
    </row>
    <row r="303" spans="1:23" x14ac:dyDescent="0.2">
      <c r="A303" s="1">
        <v>44784</v>
      </c>
      <c r="B303" s="2">
        <v>0.59384259259259264</v>
      </c>
      <c r="C303">
        <v>1301</v>
      </c>
      <c r="D303">
        <v>13002561</v>
      </c>
      <c r="E303">
        <v>13</v>
      </c>
      <c r="F303">
        <v>22589</v>
      </c>
      <c r="G303" t="s">
        <v>23</v>
      </c>
      <c r="H303">
        <v>18</v>
      </c>
      <c r="I303">
        <v>11181</v>
      </c>
      <c r="J303" t="s">
        <v>124</v>
      </c>
      <c r="K303" t="s">
        <v>38</v>
      </c>
      <c r="L303" t="s">
        <v>36</v>
      </c>
      <c r="M303">
        <v>3</v>
      </c>
      <c r="N303">
        <v>253.52</v>
      </c>
      <c r="O303">
        <v>394.25</v>
      </c>
      <c r="P303">
        <v>0</v>
      </c>
      <c r="Q303">
        <v>0</v>
      </c>
      <c r="S303">
        <v>29</v>
      </c>
      <c r="T303">
        <v>1</v>
      </c>
      <c r="U303">
        <v>2</v>
      </c>
      <c r="V303">
        <v>394.25</v>
      </c>
      <c r="W303">
        <v>13130000301</v>
      </c>
    </row>
    <row r="304" spans="1:23" x14ac:dyDescent="0.2">
      <c r="A304" s="1">
        <v>44788</v>
      </c>
      <c r="B304" s="2">
        <v>0.85525462962962961</v>
      </c>
      <c r="C304">
        <v>1302</v>
      </c>
      <c r="D304">
        <v>13002561</v>
      </c>
      <c r="E304">
        <v>13</v>
      </c>
      <c r="F304">
        <v>22589</v>
      </c>
      <c r="G304" t="s">
        <v>23</v>
      </c>
      <c r="H304">
        <v>15</v>
      </c>
      <c r="I304">
        <v>83548</v>
      </c>
      <c r="J304" t="s">
        <v>68</v>
      </c>
      <c r="K304" t="s">
        <v>60</v>
      </c>
      <c r="L304" t="s">
        <v>34</v>
      </c>
      <c r="M304">
        <v>2</v>
      </c>
      <c r="N304">
        <v>528.24</v>
      </c>
      <c r="O304">
        <v>765.47</v>
      </c>
      <c r="P304">
        <v>76.55</v>
      </c>
      <c r="Q304">
        <v>76.55</v>
      </c>
      <c r="R304" t="s">
        <v>30</v>
      </c>
      <c r="S304">
        <v>29</v>
      </c>
      <c r="T304">
        <v>1</v>
      </c>
      <c r="U304">
        <v>1</v>
      </c>
      <c r="V304">
        <v>688.92</v>
      </c>
      <c r="W304">
        <v>13130000302</v>
      </c>
    </row>
    <row r="305" spans="1:23" x14ac:dyDescent="0.2">
      <c r="A305" s="1">
        <v>44796</v>
      </c>
      <c r="B305" s="2">
        <v>0.47125</v>
      </c>
      <c r="C305">
        <v>1303</v>
      </c>
      <c r="D305">
        <v>13002561</v>
      </c>
      <c r="E305">
        <v>13</v>
      </c>
      <c r="F305">
        <v>22589</v>
      </c>
      <c r="G305" t="s">
        <v>23</v>
      </c>
      <c r="H305">
        <v>15</v>
      </c>
      <c r="I305">
        <v>42104</v>
      </c>
      <c r="J305" t="s">
        <v>50</v>
      </c>
      <c r="K305" t="s">
        <v>45</v>
      </c>
      <c r="L305" t="s">
        <v>29</v>
      </c>
      <c r="M305">
        <v>2</v>
      </c>
      <c r="N305">
        <v>332.34</v>
      </c>
      <c r="O305">
        <v>533.49</v>
      </c>
      <c r="P305">
        <v>26.67</v>
      </c>
      <c r="Q305">
        <v>26.67</v>
      </c>
      <c r="R305" t="s">
        <v>30</v>
      </c>
      <c r="S305">
        <v>29</v>
      </c>
      <c r="T305">
        <v>1</v>
      </c>
      <c r="U305">
        <v>2</v>
      </c>
      <c r="V305">
        <v>506.82</v>
      </c>
      <c r="W305">
        <v>13130000303</v>
      </c>
    </row>
    <row r="306" spans="1:23" x14ac:dyDescent="0.2">
      <c r="A306" s="1">
        <v>44788</v>
      </c>
      <c r="B306" s="2">
        <v>0.58092592592592596</v>
      </c>
      <c r="C306">
        <v>1304</v>
      </c>
      <c r="D306">
        <v>13002561</v>
      </c>
      <c r="E306">
        <v>13</v>
      </c>
      <c r="F306">
        <v>22589</v>
      </c>
      <c r="G306" t="s">
        <v>23</v>
      </c>
      <c r="H306">
        <v>15</v>
      </c>
      <c r="I306">
        <v>50084</v>
      </c>
      <c r="J306" t="s">
        <v>117</v>
      </c>
      <c r="K306" t="s">
        <v>28</v>
      </c>
      <c r="L306" t="s">
        <v>29</v>
      </c>
      <c r="M306">
        <v>2</v>
      </c>
      <c r="N306">
        <v>458.91</v>
      </c>
      <c r="O306">
        <v>724.36</v>
      </c>
      <c r="P306">
        <v>72.44</v>
      </c>
      <c r="Q306">
        <v>72.44</v>
      </c>
      <c r="R306" t="s">
        <v>30</v>
      </c>
      <c r="S306">
        <v>29</v>
      </c>
      <c r="T306">
        <v>1</v>
      </c>
      <c r="U306">
        <v>6</v>
      </c>
      <c r="V306">
        <v>651.91999999999996</v>
      </c>
      <c r="W306">
        <v>13130000304</v>
      </c>
    </row>
    <row r="307" spans="1:23" x14ac:dyDescent="0.2">
      <c r="A307" s="1">
        <v>44799</v>
      </c>
      <c r="B307" s="2">
        <v>0.34744212962962961</v>
      </c>
      <c r="C307">
        <v>1305</v>
      </c>
      <c r="D307">
        <v>13002561</v>
      </c>
      <c r="E307">
        <v>13</v>
      </c>
      <c r="F307">
        <v>22589</v>
      </c>
      <c r="G307" t="s">
        <v>23</v>
      </c>
      <c r="H307">
        <v>18</v>
      </c>
      <c r="I307">
        <v>95388</v>
      </c>
      <c r="J307" t="s">
        <v>125</v>
      </c>
      <c r="K307" t="s">
        <v>28</v>
      </c>
      <c r="L307" t="s">
        <v>39</v>
      </c>
      <c r="M307">
        <v>1</v>
      </c>
      <c r="N307">
        <v>6.94</v>
      </c>
      <c r="O307">
        <v>11.33</v>
      </c>
      <c r="P307">
        <v>0.56999999999999995</v>
      </c>
      <c r="Q307">
        <v>0.56999999999999995</v>
      </c>
      <c r="R307" t="s">
        <v>30</v>
      </c>
      <c r="S307">
        <v>29</v>
      </c>
      <c r="T307">
        <v>1</v>
      </c>
      <c r="U307">
        <v>4</v>
      </c>
      <c r="V307">
        <v>10.76</v>
      </c>
      <c r="W307">
        <v>13130000305</v>
      </c>
    </row>
    <row r="308" spans="1:23" x14ac:dyDescent="0.2">
      <c r="A308" s="1">
        <v>44787</v>
      </c>
      <c r="B308" s="2">
        <v>0.61206018518518523</v>
      </c>
      <c r="C308">
        <v>1306</v>
      </c>
      <c r="D308">
        <v>13002561</v>
      </c>
      <c r="E308">
        <v>13</v>
      </c>
      <c r="F308">
        <v>22589</v>
      </c>
      <c r="G308" t="s">
        <v>23</v>
      </c>
      <c r="H308">
        <v>18</v>
      </c>
      <c r="I308">
        <v>16169</v>
      </c>
      <c r="J308" t="s">
        <v>55</v>
      </c>
      <c r="K308" t="s">
        <v>28</v>
      </c>
      <c r="L308" t="s">
        <v>26</v>
      </c>
      <c r="M308">
        <v>1</v>
      </c>
      <c r="N308">
        <v>456.68</v>
      </c>
      <c r="O308">
        <v>614.62</v>
      </c>
      <c r="P308">
        <v>0</v>
      </c>
      <c r="Q308">
        <v>0</v>
      </c>
      <c r="S308">
        <v>29</v>
      </c>
      <c r="T308">
        <v>1</v>
      </c>
      <c r="U308">
        <v>2</v>
      </c>
      <c r="V308">
        <v>614.62</v>
      </c>
      <c r="W308">
        <v>13130000306</v>
      </c>
    </row>
    <row r="309" spans="1:23" x14ac:dyDescent="0.2">
      <c r="A309" s="1">
        <v>44797</v>
      </c>
      <c r="B309" s="2">
        <v>0.47247685185185179</v>
      </c>
      <c r="C309">
        <v>1307</v>
      </c>
      <c r="D309">
        <v>13002561</v>
      </c>
      <c r="E309">
        <v>13</v>
      </c>
      <c r="F309">
        <v>22589</v>
      </c>
      <c r="G309" t="s">
        <v>23</v>
      </c>
      <c r="H309">
        <v>18</v>
      </c>
      <c r="I309">
        <v>54243</v>
      </c>
      <c r="J309" t="s">
        <v>81</v>
      </c>
      <c r="K309" t="s">
        <v>28</v>
      </c>
      <c r="L309" t="s">
        <v>51</v>
      </c>
      <c r="M309">
        <v>2</v>
      </c>
      <c r="N309">
        <v>187.34</v>
      </c>
      <c r="O309">
        <v>275.14999999999998</v>
      </c>
      <c r="P309">
        <v>0</v>
      </c>
      <c r="Q309">
        <v>0</v>
      </c>
      <c r="S309">
        <v>29</v>
      </c>
      <c r="T309">
        <v>1</v>
      </c>
      <c r="U309">
        <v>1</v>
      </c>
      <c r="V309">
        <v>275.14999999999998</v>
      </c>
      <c r="W309">
        <v>13130000307</v>
      </c>
    </row>
    <row r="310" spans="1:23" x14ac:dyDescent="0.2">
      <c r="A310" s="1">
        <v>44787</v>
      </c>
      <c r="B310" s="2">
        <v>0.50519675925925922</v>
      </c>
      <c r="C310">
        <v>1308</v>
      </c>
      <c r="D310">
        <v>13002561</v>
      </c>
      <c r="E310">
        <v>13</v>
      </c>
      <c r="F310">
        <v>22589</v>
      </c>
      <c r="G310" t="s">
        <v>23</v>
      </c>
      <c r="H310">
        <v>18</v>
      </c>
      <c r="I310">
        <v>29230</v>
      </c>
      <c r="J310" t="s">
        <v>84</v>
      </c>
      <c r="K310" t="s">
        <v>60</v>
      </c>
      <c r="L310" t="s">
        <v>34</v>
      </c>
      <c r="M310">
        <v>2</v>
      </c>
      <c r="N310">
        <v>119.57</v>
      </c>
      <c r="O310">
        <v>196.75</v>
      </c>
      <c r="P310">
        <v>9.84</v>
      </c>
      <c r="Q310">
        <v>9.84</v>
      </c>
      <c r="R310" t="s">
        <v>30</v>
      </c>
      <c r="S310">
        <v>29</v>
      </c>
      <c r="T310">
        <v>1</v>
      </c>
      <c r="U310">
        <v>6</v>
      </c>
      <c r="V310">
        <v>186.91</v>
      </c>
      <c r="W310">
        <v>13130000308</v>
      </c>
    </row>
    <row r="311" spans="1:23" x14ac:dyDescent="0.2">
      <c r="A311" s="1">
        <v>44788</v>
      </c>
      <c r="B311" s="2">
        <v>0.33422453703703697</v>
      </c>
      <c r="C311">
        <v>1309</v>
      </c>
      <c r="D311">
        <v>13002561</v>
      </c>
      <c r="E311">
        <v>13</v>
      </c>
      <c r="F311">
        <v>22589</v>
      </c>
      <c r="G311" t="s">
        <v>23</v>
      </c>
      <c r="H311">
        <v>18</v>
      </c>
      <c r="I311">
        <v>85033</v>
      </c>
      <c r="J311" t="s">
        <v>99</v>
      </c>
      <c r="K311" t="s">
        <v>44</v>
      </c>
      <c r="L311" t="s">
        <v>36</v>
      </c>
      <c r="M311">
        <v>3</v>
      </c>
      <c r="N311">
        <v>284.55</v>
      </c>
      <c r="O311">
        <v>363.7</v>
      </c>
      <c r="P311">
        <v>18.18</v>
      </c>
      <c r="Q311">
        <v>18.18</v>
      </c>
      <c r="R311" t="s">
        <v>30</v>
      </c>
      <c r="S311">
        <v>29</v>
      </c>
      <c r="T311">
        <v>1</v>
      </c>
      <c r="U311">
        <v>1</v>
      </c>
      <c r="V311">
        <v>345.52</v>
      </c>
      <c r="W311">
        <v>13130000309</v>
      </c>
    </row>
    <row r="312" spans="1:23" x14ac:dyDescent="0.2">
      <c r="A312" s="1">
        <v>44790</v>
      </c>
      <c r="B312" s="2">
        <v>0.73700231481481482</v>
      </c>
      <c r="C312">
        <v>1310</v>
      </c>
      <c r="D312">
        <v>13002561</v>
      </c>
      <c r="E312">
        <v>13</v>
      </c>
      <c r="F312">
        <v>22589</v>
      </c>
      <c r="G312" t="s">
        <v>23</v>
      </c>
      <c r="H312">
        <v>15</v>
      </c>
      <c r="I312">
        <v>56836</v>
      </c>
      <c r="J312" t="s">
        <v>52</v>
      </c>
      <c r="K312" t="s">
        <v>38</v>
      </c>
      <c r="L312" t="s">
        <v>34</v>
      </c>
      <c r="M312">
        <v>1</v>
      </c>
      <c r="N312">
        <v>59.56</v>
      </c>
      <c r="O312">
        <v>76.7</v>
      </c>
      <c r="P312">
        <v>0</v>
      </c>
      <c r="Q312">
        <v>0</v>
      </c>
      <c r="S312">
        <v>29</v>
      </c>
      <c r="T312">
        <v>1</v>
      </c>
      <c r="U312">
        <v>2</v>
      </c>
      <c r="V312">
        <v>76.7</v>
      </c>
      <c r="W312">
        <v>13130000310</v>
      </c>
    </row>
    <row r="313" spans="1:23" x14ac:dyDescent="0.2">
      <c r="A313" s="1">
        <v>44792</v>
      </c>
      <c r="B313" s="2">
        <v>0.42587962962962961</v>
      </c>
      <c r="C313">
        <v>1311</v>
      </c>
      <c r="D313">
        <v>13002561</v>
      </c>
      <c r="E313">
        <v>13</v>
      </c>
      <c r="F313">
        <v>22589</v>
      </c>
      <c r="G313" t="s">
        <v>23</v>
      </c>
      <c r="H313">
        <v>18</v>
      </c>
      <c r="I313">
        <v>64329</v>
      </c>
      <c r="J313" t="s">
        <v>31</v>
      </c>
      <c r="K313" t="s">
        <v>38</v>
      </c>
      <c r="L313" t="s">
        <v>51</v>
      </c>
      <c r="M313">
        <v>3</v>
      </c>
      <c r="N313">
        <v>14.64</v>
      </c>
      <c r="O313">
        <v>23.68</v>
      </c>
      <c r="P313">
        <v>1.18</v>
      </c>
      <c r="Q313">
        <v>1.18</v>
      </c>
      <c r="R313" t="s">
        <v>30</v>
      </c>
      <c r="S313">
        <v>29</v>
      </c>
      <c r="T313">
        <v>1</v>
      </c>
      <c r="U313">
        <v>4</v>
      </c>
      <c r="V313">
        <v>22.5</v>
      </c>
      <c r="W313">
        <v>13130000311</v>
      </c>
    </row>
    <row r="314" spans="1:23" x14ac:dyDescent="0.2">
      <c r="A314" s="1">
        <v>44789</v>
      </c>
      <c r="B314" s="2">
        <v>0.63344907407407403</v>
      </c>
      <c r="C314">
        <v>1312</v>
      </c>
      <c r="D314">
        <v>13002561</v>
      </c>
      <c r="E314">
        <v>13</v>
      </c>
      <c r="F314">
        <v>22589</v>
      </c>
      <c r="G314" t="s">
        <v>23</v>
      </c>
      <c r="H314">
        <v>15</v>
      </c>
      <c r="I314">
        <v>30595</v>
      </c>
      <c r="J314" t="s">
        <v>75</v>
      </c>
      <c r="K314" t="s">
        <v>25</v>
      </c>
      <c r="L314" t="s">
        <v>36</v>
      </c>
      <c r="M314">
        <v>2</v>
      </c>
      <c r="N314">
        <v>210.79</v>
      </c>
      <c r="O314">
        <v>319</v>
      </c>
      <c r="P314">
        <v>15.95</v>
      </c>
      <c r="Q314">
        <v>15.95</v>
      </c>
      <c r="R314" t="s">
        <v>30</v>
      </c>
      <c r="S314">
        <v>29</v>
      </c>
      <c r="T314">
        <v>1</v>
      </c>
      <c r="U314">
        <v>2</v>
      </c>
      <c r="V314">
        <v>303.05</v>
      </c>
      <c r="W314">
        <v>13130000312</v>
      </c>
    </row>
    <row r="315" spans="1:23" x14ac:dyDescent="0.2">
      <c r="A315" s="1">
        <v>44802</v>
      </c>
      <c r="B315" s="2">
        <v>0.70353009259259258</v>
      </c>
      <c r="C315">
        <v>1313</v>
      </c>
      <c r="D315">
        <v>13002561</v>
      </c>
      <c r="E315">
        <v>13</v>
      </c>
      <c r="F315">
        <v>22589</v>
      </c>
      <c r="G315" t="s">
        <v>23</v>
      </c>
      <c r="H315">
        <v>18</v>
      </c>
      <c r="I315">
        <v>22735</v>
      </c>
      <c r="J315" t="s">
        <v>78</v>
      </c>
      <c r="K315" t="s">
        <v>28</v>
      </c>
      <c r="L315" t="s">
        <v>39</v>
      </c>
      <c r="M315">
        <v>1</v>
      </c>
      <c r="N315">
        <v>595.02</v>
      </c>
      <c r="O315">
        <v>797.17</v>
      </c>
      <c r="P315">
        <v>39.86</v>
      </c>
      <c r="Q315">
        <v>39.86</v>
      </c>
      <c r="R315" t="s">
        <v>30</v>
      </c>
      <c r="S315">
        <v>29</v>
      </c>
      <c r="T315">
        <v>1</v>
      </c>
      <c r="U315">
        <v>3</v>
      </c>
      <c r="V315">
        <v>757.31</v>
      </c>
      <c r="W315">
        <v>13130000313</v>
      </c>
    </row>
    <row r="316" spans="1:23" x14ac:dyDescent="0.2">
      <c r="A316" s="1">
        <v>44801</v>
      </c>
      <c r="B316" s="2">
        <v>0.71068287037037037</v>
      </c>
      <c r="C316">
        <v>1314</v>
      </c>
      <c r="D316">
        <v>13002561</v>
      </c>
      <c r="E316">
        <v>13</v>
      </c>
      <c r="F316">
        <v>22589</v>
      </c>
      <c r="G316" t="s">
        <v>23</v>
      </c>
      <c r="H316">
        <v>18</v>
      </c>
      <c r="I316">
        <v>19496</v>
      </c>
      <c r="J316" t="s">
        <v>120</v>
      </c>
      <c r="K316" t="s">
        <v>38</v>
      </c>
      <c r="L316" t="s">
        <v>29</v>
      </c>
      <c r="M316">
        <v>1</v>
      </c>
      <c r="N316">
        <v>387.96</v>
      </c>
      <c r="O316">
        <v>646.80999999999995</v>
      </c>
      <c r="P316">
        <v>64.680000000000007</v>
      </c>
      <c r="Q316">
        <v>64.680000000000007</v>
      </c>
      <c r="R316" t="s">
        <v>30</v>
      </c>
      <c r="S316">
        <v>29</v>
      </c>
      <c r="T316">
        <v>1</v>
      </c>
      <c r="U316">
        <v>6</v>
      </c>
      <c r="V316">
        <v>582.13</v>
      </c>
      <c r="W316">
        <v>13130000314</v>
      </c>
    </row>
    <row r="317" spans="1:23" x14ac:dyDescent="0.2">
      <c r="A317" s="1">
        <v>44802</v>
      </c>
      <c r="B317" s="2">
        <v>0.62045138888888884</v>
      </c>
      <c r="C317">
        <v>1315</v>
      </c>
      <c r="D317">
        <v>13002561</v>
      </c>
      <c r="E317">
        <v>13</v>
      </c>
      <c r="F317">
        <v>22589</v>
      </c>
      <c r="G317" t="s">
        <v>23</v>
      </c>
      <c r="H317">
        <v>15</v>
      </c>
      <c r="I317">
        <v>24164</v>
      </c>
      <c r="J317" t="s">
        <v>77</v>
      </c>
      <c r="K317" t="s">
        <v>44</v>
      </c>
      <c r="L317" t="s">
        <v>34</v>
      </c>
      <c r="M317">
        <v>2</v>
      </c>
      <c r="N317">
        <v>35.29</v>
      </c>
      <c r="O317">
        <v>58.95</v>
      </c>
      <c r="P317">
        <v>2.95</v>
      </c>
      <c r="Q317">
        <v>2.95</v>
      </c>
      <c r="R317" t="s">
        <v>30</v>
      </c>
      <c r="S317">
        <v>29</v>
      </c>
      <c r="T317">
        <v>1</v>
      </c>
      <c r="U317">
        <v>3</v>
      </c>
      <c r="V317">
        <v>56</v>
      </c>
      <c r="W317">
        <v>13130000315</v>
      </c>
    </row>
    <row r="318" spans="1:23" x14ac:dyDescent="0.2">
      <c r="A318" s="1">
        <v>44783</v>
      </c>
      <c r="B318" s="2">
        <v>0.67268518518518516</v>
      </c>
      <c r="C318">
        <v>1316</v>
      </c>
      <c r="D318">
        <v>13002561</v>
      </c>
      <c r="E318">
        <v>13</v>
      </c>
      <c r="F318">
        <v>22589</v>
      </c>
      <c r="G318" t="s">
        <v>23</v>
      </c>
      <c r="H318">
        <v>15</v>
      </c>
      <c r="I318">
        <v>12435</v>
      </c>
      <c r="J318" t="s">
        <v>126</v>
      </c>
      <c r="K318" t="s">
        <v>60</v>
      </c>
      <c r="L318" t="s">
        <v>51</v>
      </c>
      <c r="M318">
        <v>2</v>
      </c>
      <c r="N318">
        <v>541.22</v>
      </c>
      <c r="O318">
        <v>775.47</v>
      </c>
      <c r="P318">
        <v>0</v>
      </c>
      <c r="Q318">
        <v>0</v>
      </c>
      <c r="S318">
        <v>29</v>
      </c>
      <c r="T318">
        <v>1</v>
      </c>
      <c r="U318">
        <v>2</v>
      </c>
      <c r="V318">
        <v>775.47</v>
      </c>
      <c r="W318">
        <v>13130000316</v>
      </c>
    </row>
    <row r="319" spans="1:23" x14ac:dyDescent="0.2">
      <c r="A319" s="1">
        <v>44795</v>
      </c>
      <c r="B319" s="2">
        <v>0.41296296296296298</v>
      </c>
      <c r="C319">
        <v>1317</v>
      </c>
      <c r="D319">
        <v>13002561</v>
      </c>
      <c r="E319">
        <v>13</v>
      </c>
      <c r="F319">
        <v>22589</v>
      </c>
      <c r="G319" t="s">
        <v>23</v>
      </c>
      <c r="H319">
        <v>15</v>
      </c>
      <c r="I319">
        <v>95700</v>
      </c>
      <c r="J319" t="s">
        <v>27</v>
      </c>
      <c r="K319" t="s">
        <v>44</v>
      </c>
      <c r="L319" t="s">
        <v>36</v>
      </c>
      <c r="M319">
        <v>2</v>
      </c>
      <c r="N319">
        <v>126.43</v>
      </c>
      <c r="O319">
        <v>206.31</v>
      </c>
      <c r="P319">
        <v>0</v>
      </c>
      <c r="Q319">
        <v>0</v>
      </c>
      <c r="S319">
        <v>29</v>
      </c>
      <c r="T319">
        <v>1</v>
      </c>
      <c r="U319">
        <v>2</v>
      </c>
      <c r="V319">
        <v>206.31</v>
      </c>
      <c r="W319">
        <v>13130000317</v>
      </c>
    </row>
    <row r="320" spans="1:23" x14ac:dyDescent="0.2">
      <c r="A320" s="1">
        <v>44781</v>
      </c>
      <c r="B320" s="2">
        <v>0.49931712962962971</v>
      </c>
      <c r="C320">
        <v>1318</v>
      </c>
      <c r="D320">
        <v>13002561</v>
      </c>
      <c r="E320">
        <v>13</v>
      </c>
      <c r="F320">
        <v>22589</v>
      </c>
      <c r="G320" t="s">
        <v>23</v>
      </c>
      <c r="H320">
        <v>18</v>
      </c>
      <c r="I320">
        <v>41103</v>
      </c>
      <c r="J320" t="s">
        <v>108</v>
      </c>
      <c r="K320" t="s">
        <v>25</v>
      </c>
      <c r="L320" t="s">
        <v>47</v>
      </c>
      <c r="M320">
        <v>1</v>
      </c>
      <c r="N320">
        <v>236.32</v>
      </c>
      <c r="O320">
        <v>385.93</v>
      </c>
      <c r="P320">
        <v>19.3</v>
      </c>
      <c r="Q320">
        <v>19.3</v>
      </c>
      <c r="R320" t="s">
        <v>30</v>
      </c>
      <c r="S320">
        <v>29</v>
      </c>
      <c r="T320">
        <v>1</v>
      </c>
      <c r="U320">
        <v>1</v>
      </c>
      <c r="V320">
        <v>366.63</v>
      </c>
      <c r="W320">
        <v>13130000318</v>
      </c>
    </row>
    <row r="321" spans="1:23" x14ac:dyDescent="0.2">
      <c r="A321" s="1">
        <v>44774</v>
      </c>
      <c r="B321" s="2">
        <v>0.45124999999999998</v>
      </c>
      <c r="C321">
        <v>1319</v>
      </c>
      <c r="D321">
        <v>13002561</v>
      </c>
      <c r="E321">
        <v>13</v>
      </c>
      <c r="F321">
        <v>22589</v>
      </c>
      <c r="G321" t="s">
        <v>23</v>
      </c>
      <c r="H321">
        <v>18</v>
      </c>
      <c r="I321">
        <v>92512</v>
      </c>
      <c r="J321" t="s">
        <v>67</v>
      </c>
      <c r="K321" t="s">
        <v>44</v>
      </c>
      <c r="L321" t="s">
        <v>32</v>
      </c>
      <c r="M321">
        <v>1</v>
      </c>
      <c r="N321">
        <v>472.95</v>
      </c>
      <c r="O321">
        <v>722.74</v>
      </c>
      <c r="P321">
        <v>0</v>
      </c>
      <c r="Q321">
        <v>0</v>
      </c>
      <c r="S321">
        <v>29</v>
      </c>
      <c r="T321">
        <v>1</v>
      </c>
      <c r="U321">
        <v>3</v>
      </c>
      <c r="V321">
        <v>722.74</v>
      </c>
      <c r="W321">
        <v>13130000319</v>
      </c>
    </row>
    <row r="322" spans="1:23" x14ac:dyDescent="0.2">
      <c r="A322" s="1">
        <v>44799</v>
      </c>
      <c r="B322" s="2">
        <v>0.93843750000000004</v>
      </c>
      <c r="C322">
        <v>1320</v>
      </c>
      <c r="D322">
        <v>13002561</v>
      </c>
      <c r="E322">
        <v>13</v>
      </c>
      <c r="F322">
        <v>22589</v>
      </c>
      <c r="G322" t="s">
        <v>23</v>
      </c>
      <c r="H322">
        <v>18</v>
      </c>
      <c r="I322">
        <v>29362</v>
      </c>
      <c r="J322" t="s">
        <v>65</v>
      </c>
      <c r="K322" t="s">
        <v>45</v>
      </c>
      <c r="L322" t="s">
        <v>39</v>
      </c>
      <c r="M322">
        <v>3</v>
      </c>
      <c r="N322">
        <v>439.4</v>
      </c>
      <c r="O322">
        <v>614.67999999999995</v>
      </c>
      <c r="P322">
        <v>0</v>
      </c>
      <c r="Q322">
        <v>0</v>
      </c>
      <c r="S322">
        <v>29</v>
      </c>
      <c r="T322">
        <v>1</v>
      </c>
      <c r="U322">
        <v>1</v>
      </c>
      <c r="V322">
        <v>614.67999999999995</v>
      </c>
      <c r="W322">
        <v>13130000320</v>
      </c>
    </row>
    <row r="323" spans="1:23" x14ac:dyDescent="0.2">
      <c r="A323" s="1">
        <v>44787</v>
      </c>
      <c r="B323" s="2">
        <v>0.75057870370370372</v>
      </c>
      <c r="C323">
        <v>1321</v>
      </c>
      <c r="D323">
        <v>13002561</v>
      </c>
      <c r="E323">
        <v>13</v>
      </c>
      <c r="F323">
        <v>22589</v>
      </c>
      <c r="G323" t="s">
        <v>23</v>
      </c>
      <c r="H323">
        <v>18</v>
      </c>
      <c r="I323">
        <v>14193</v>
      </c>
      <c r="J323" t="s">
        <v>54</v>
      </c>
      <c r="K323" t="s">
        <v>60</v>
      </c>
      <c r="L323" t="s">
        <v>47</v>
      </c>
      <c r="M323">
        <v>1</v>
      </c>
      <c r="N323">
        <v>154.19</v>
      </c>
      <c r="O323">
        <v>206.05</v>
      </c>
      <c r="P323">
        <v>20.61</v>
      </c>
      <c r="Q323">
        <v>20.61</v>
      </c>
      <c r="R323" t="s">
        <v>30</v>
      </c>
      <c r="S323">
        <v>29</v>
      </c>
      <c r="T323">
        <v>1</v>
      </c>
      <c r="U323">
        <v>3</v>
      </c>
      <c r="V323">
        <v>185.44</v>
      </c>
      <c r="W323">
        <v>13130000321</v>
      </c>
    </row>
    <row r="324" spans="1:23" x14ac:dyDescent="0.2">
      <c r="A324" s="1">
        <v>44776</v>
      </c>
      <c r="B324" s="2">
        <v>0.90098379629629632</v>
      </c>
      <c r="C324">
        <v>1322</v>
      </c>
      <c r="D324">
        <v>13002561</v>
      </c>
      <c r="E324">
        <v>13</v>
      </c>
      <c r="F324">
        <v>22589</v>
      </c>
      <c r="G324" t="s">
        <v>23</v>
      </c>
      <c r="H324">
        <v>18</v>
      </c>
      <c r="I324">
        <v>45872</v>
      </c>
      <c r="J324" t="s">
        <v>111</v>
      </c>
      <c r="K324" t="s">
        <v>38</v>
      </c>
      <c r="L324" t="s">
        <v>34</v>
      </c>
      <c r="M324">
        <v>2</v>
      </c>
      <c r="N324">
        <v>453.78</v>
      </c>
      <c r="O324">
        <v>691.82</v>
      </c>
      <c r="P324">
        <v>34.590000000000003</v>
      </c>
      <c r="Q324">
        <v>34.590000000000003</v>
      </c>
      <c r="R324" t="s">
        <v>30</v>
      </c>
      <c r="S324">
        <v>29</v>
      </c>
      <c r="T324">
        <v>1</v>
      </c>
      <c r="U324">
        <v>1</v>
      </c>
      <c r="V324">
        <v>657.23</v>
      </c>
      <c r="W324">
        <v>13130000322</v>
      </c>
    </row>
    <row r="325" spans="1:23" x14ac:dyDescent="0.2">
      <c r="A325" s="1">
        <v>44794</v>
      </c>
      <c r="B325" s="2">
        <v>0.60239583333333335</v>
      </c>
      <c r="C325">
        <v>1323</v>
      </c>
      <c r="D325">
        <v>13002561</v>
      </c>
      <c r="E325">
        <v>13</v>
      </c>
      <c r="F325">
        <v>22589</v>
      </c>
      <c r="G325" t="s">
        <v>23</v>
      </c>
      <c r="H325">
        <v>15</v>
      </c>
      <c r="I325">
        <v>86074</v>
      </c>
      <c r="J325" t="s">
        <v>117</v>
      </c>
      <c r="K325" t="s">
        <v>44</v>
      </c>
      <c r="L325" t="s">
        <v>32</v>
      </c>
      <c r="M325">
        <v>3</v>
      </c>
      <c r="N325">
        <v>49.96</v>
      </c>
      <c r="O325">
        <v>69.25</v>
      </c>
      <c r="P325">
        <v>3.46</v>
      </c>
      <c r="Q325">
        <v>3.46</v>
      </c>
      <c r="R325" t="s">
        <v>30</v>
      </c>
      <c r="S325">
        <v>29</v>
      </c>
      <c r="T325">
        <v>1</v>
      </c>
      <c r="U325">
        <v>3</v>
      </c>
      <c r="V325">
        <v>65.790000000000006</v>
      </c>
      <c r="W325">
        <v>13130000323</v>
      </c>
    </row>
    <row r="326" spans="1:23" x14ac:dyDescent="0.2">
      <c r="A326" s="1">
        <v>44803</v>
      </c>
      <c r="B326" s="2">
        <v>0.76846064814814818</v>
      </c>
      <c r="C326">
        <v>1324</v>
      </c>
      <c r="D326">
        <v>13002561</v>
      </c>
      <c r="E326">
        <v>13</v>
      </c>
      <c r="F326">
        <v>22589</v>
      </c>
      <c r="G326" t="s">
        <v>23</v>
      </c>
      <c r="H326">
        <v>15</v>
      </c>
      <c r="I326">
        <v>48906</v>
      </c>
      <c r="J326" t="s">
        <v>48</v>
      </c>
      <c r="K326" t="s">
        <v>60</v>
      </c>
      <c r="L326" t="s">
        <v>34</v>
      </c>
      <c r="M326">
        <v>3</v>
      </c>
      <c r="N326">
        <v>145.57</v>
      </c>
      <c r="O326">
        <v>229.53</v>
      </c>
      <c r="P326">
        <v>0</v>
      </c>
      <c r="Q326">
        <v>0</v>
      </c>
      <c r="S326">
        <v>29</v>
      </c>
      <c r="T326">
        <v>1</v>
      </c>
      <c r="U326">
        <v>2</v>
      </c>
      <c r="V326">
        <v>229.53</v>
      </c>
      <c r="W326">
        <v>13130000324</v>
      </c>
    </row>
    <row r="327" spans="1:23" x14ac:dyDescent="0.2">
      <c r="A327" s="1">
        <v>44788</v>
      </c>
      <c r="B327" s="2">
        <v>0.59141203703703704</v>
      </c>
      <c r="C327">
        <v>1325</v>
      </c>
      <c r="D327">
        <v>13002561</v>
      </c>
      <c r="E327">
        <v>13</v>
      </c>
      <c r="F327">
        <v>22589</v>
      </c>
      <c r="G327" t="s">
        <v>23</v>
      </c>
      <c r="H327">
        <v>18</v>
      </c>
      <c r="I327">
        <v>20349</v>
      </c>
      <c r="J327" t="s">
        <v>74</v>
      </c>
      <c r="K327" t="s">
        <v>25</v>
      </c>
      <c r="L327" t="s">
        <v>39</v>
      </c>
      <c r="M327">
        <v>2</v>
      </c>
      <c r="N327">
        <v>286.88</v>
      </c>
      <c r="O327">
        <v>453.18</v>
      </c>
      <c r="P327">
        <v>22.66</v>
      </c>
      <c r="Q327">
        <v>22.66</v>
      </c>
      <c r="R327" t="s">
        <v>30</v>
      </c>
      <c r="S327">
        <v>29</v>
      </c>
      <c r="T327">
        <v>1</v>
      </c>
      <c r="U327">
        <v>5</v>
      </c>
      <c r="V327">
        <v>430.52</v>
      </c>
      <c r="W327">
        <v>13130000325</v>
      </c>
    </row>
    <row r="328" spans="1:23" x14ac:dyDescent="0.2">
      <c r="A328" s="1">
        <v>44788</v>
      </c>
      <c r="B328" s="2">
        <v>0.59439814814814818</v>
      </c>
      <c r="C328">
        <v>1326</v>
      </c>
      <c r="D328">
        <v>13002561</v>
      </c>
      <c r="E328">
        <v>13</v>
      </c>
      <c r="F328">
        <v>22589</v>
      </c>
      <c r="G328" t="s">
        <v>23</v>
      </c>
      <c r="H328">
        <v>15</v>
      </c>
      <c r="I328">
        <v>59628</v>
      </c>
      <c r="J328" t="s">
        <v>126</v>
      </c>
      <c r="K328" t="s">
        <v>25</v>
      </c>
      <c r="L328" t="s">
        <v>29</v>
      </c>
      <c r="M328">
        <v>2</v>
      </c>
      <c r="N328">
        <v>299.60000000000002</v>
      </c>
      <c r="O328">
        <v>488.06</v>
      </c>
      <c r="P328">
        <v>24.4</v>
      </c>
      <c r="Q328">
        <v>24.4</v>
      </c>
      <c r="R328" t="s">
        <v>30</v>
      </c>
      <c r="S328">
        <v>29</v>
      </c>
      <c r="T328">
        <v>1</v>
      </c>
      <c r="U328">
        <v>6</v>
      </c>
      <c r="V328">
        <v>463.66</v>
      </c>
      <c r="W328">
        <v>13130000326</v>
      </c>
    </row>
    <row r="329" spans="1:23" x14ac:dyDescent="0.2">
      <c r="A329" s="1">
        <v>44798</v>
      </c>
      <c r="B329" s="2">
        <v>0.57670138888888889</v>
      </c>
      <c r="C329">
        <v>1327</v>
      </c>
      <c r="D329">
        <v>13002561</v>
      </c>
      <c r="E329">
        <v>13</v>
      </c>
      <c r="F329">
        <v>22589</v>
      </c>
      <c r="G329" t="s">
        <v>23</v>
      </c>
      <c r="H329">
        <v>15</v>
      </c>
      <c r="I329">
        <v>88795</v>
      </c>
      <c r="J329" t="s">
        <v>122</v>
      </c>
      <c r="K329" t="s">
        <v>38</v>
      </c>
      <c r="L329" t="s">
        <v>47</v>
      </c>
      <c r="M329">
        <v>2</v>
      </c>
      <c r="N329">
        <v>518.4</v>
      </c>
      <c r="O329">
        <v>871.95</v>
      </c>
      <c r="P329">
        <v>43.6</v>
      </c>
      <c r="Q329">
        <v>43.6</v>
      </c>
      <c r="R329" t="s">
        <v>30</v>
      </c>
      <c r="S329">
        <v>29</v>
      </c>
      <c r="T329">
        <v>1</v>
      </c>
      <c r="U329">
        <v>4</v>
      </c>
      <c r="V329">
        <v>828.35</v>
      </c>
      <c r="W329">
        <v>13130000327</v>
      </c>
    </row>
    <row r="330" spans="1:23" x14ac:dyDescent="0.2">
      <c r="A330" s="1">
        <v>44802</v>
      </c>
      <c r="B330" s="2">
        <v>0.53869212962962965</v>
      </c>
      <c r="C330">
        <v>1328</v>
      </c>
      <c r="D330">
        <v>13002561</v>
      </c>
      <c r="E330">
        <v>13</v>
      </c>
      <c r="F330">
        <v>22589</v>
      </c>
      <c r="G330" t="s">
        <v>23</v>
      </c>
      <c r="H330">
        <v>18</v>
      </c>
      <c r="I330">
        <v>36293</v>
      </c>
      <c r="J330" t="s">
        <v>70</v>
      </c>
      <c r="K330" t="s">
        <v>28</v>
      </c>
      <c r="L330" t="s">
        <v>47</v>
      </c>
      <c r="M330">
        <v>1</v>
      </c>
      <c r="N330">
        <v>131.18</v>
      </c>
      <c r="O330">
        <v>171.86</v>
      </c>
      <c r="P330">
        <v>17.190000000000001</v>
      </c>
      <c r="Q330">
        <v>17.190000000000001</v>
      </c>
      <c r="R330" t="s">
        <v>30</v>
      </c>
      <c r="S330">
        <v>29</v>
      </c>
      <c r="T330">
        <v>1</v>
      </c>
      <c r="U330">
        <v>2</v>
      </c>
      <c r="V330">
        <v>154.66999999999999</v>
      </c>
      <c r="W330">
        <v>13130000328</v>
      </c>
    </row>
    <row r="331" spans="1:23" x14ac:dyDescent="0.2">
      <c r="A331" s="1">
        <v>44792</v>
      </c>
      <c r="B331" s="2">
        <v>0.52662037037037035</v>
      </c>
      <c r="C331">
        <v>1329</v>
      </c>
      <c r="D331">
        <v>13002561</v>
      </c>
      <c r="E331">
        <v>13</v>
      </c>
      <c r="F331">
        <v>22589</v>
      </c>
      <c r="G331" t="s">
        <v>23</v>
      </c>
      <c r="H331">
        <v>15</v>
      </c>
      <c r="I331">
        <v>60930</v>
      </c>
      <c r="J331" t="s">
        <v>31</v>
      </c>
      <c r="K331" t="s">
        <v>28</v>
      </c>
      <c r="L331" t="s">
        <v>29</v>
      </c>
      <c r="M331">
        <v>1</v>
      </c>
      <c r="N331">
        <v>520.4</v>
      </c>
      <c r="O331">
        <v>665.63</v>
      </c>
      <c r="P331">
        <v>0</v>
      </c>
      <c r="Q331">
        <v>0</v>
      </c>
      <c r="S331">
        <v>29</v>
      </c>
      <c r="T331">
        <v>1</v>
      </c>
      <c r="U331">
        <v>3</v>
      </c>
      <c r="V331">
        <v>665.63</v>
      </c>
      <c r="W331">
        <v>13130000329</v>
      </c>
    </row>
    <row r="332" spans="1:23" x14ac:dyDescent="0.2">
      <c r="A332" s="1">
        <v>44778</v>
      </c>
      <c r="B332" s="2">
        <v>0.49226851851851849</v>
      </c>
      <c r="C332">
        <v>1330</v>
      </c>
      <c r="D332">
        <v>13002561</v>
      </c>
      <c r="E332">
        <v>13</v>
      </c>
      <c r="F332">
        <v>22589</v>
      </c>
      <c r="G332" t="s">
        <v>23</v>
      </c>
      <c r="H332">
        <v>15</v>
      </c>
      <c r="I332">
        <v>97501</v>
      </c>
      <c r="J332" t="s">
        <v>121</v>
      </c>
      <c r="K332" t="s">
        <v>45</v>
      </c>
      <c r="L332" t="s">
        <v>34</v>
      </c>
      <c r="M332">
        <v>1</v>
      </c>
      <c r="N332">
        <v>67.17</v>
      </c>
      <c r="O332">
        <v>86.08</v>
      </c>
      <c r="P332">
        <v>8.61</v>
      </c>
      <c r="Q332">
        <v>8.61</v>
      </c>
      <c r="R332" t="s">
        <v>30</v>
      </c>
      <c r="S332">
        <v>29</v>
      </c>
      <c r="T332">
        <v>1</v>
      </c>
      <c r="U332">
        <v>5</v>
      </c>
      <c r="V332">
        <v>77.47</v>
      </c>
      <c r="W332">
        <v>13130000330</v>
      </c>
    </row>
    <row r="333" spans="1:23" x14ac:dyDescent="0.2">
      <c r="A333" s="1">
        <v>44790</v>
      </c>
      <c r="B333" s="2">
        <v>0.84484953703703702</v>
      </c>
      <c r="C333">
        <v>1331</v>
      </c>
      <c r="D333">
        <v>13002561</v>
      </c>
      <c r="E333">
        <v>13</v>
      </c>
      <c r="F333">
        <v>22589</v>
      </c>
      <c r="G333" t="s">
        <v>23</v>
      </c>
      <c r="H333">
        <v>18</v>
      </c>
      <c r="I333">
        <v>54544</v>
      </c>
      <c r="J333" t="s">
        <v>115</v>
      </c>
      <c r="K333" t="s">
        <v>25</v>
      </c>
      <c r="L333" t="s">
        <v>34</v>
      </c>
      <c r="M333">
        <v>2</v>
      </c>
      <c r="N333">
        <v>244.97</v>
      </c>
      <c r="O333">
        <v>346.97</v>
      </c>
      <c r="P333">
        <v>0</v>
      </c>
      <c r="Q333">
        <v>0</v>
      </c>
      <c r="S333">
        <v>29</v>
      </c>
      <c r="T333">
        <v>1</v>
      </c>
      <c r="U333">
        <v>4</v>
      </c>
      <c r="V333">
        <v>346.97</v>
      </c>
      <c r="W333">
        <v>13130000331</v>
      </c>
    </row>
    <row r="334" spans="1:23" x14ac:dyDescent="0.2">
      <c r="A334" s="1">
        <v>44789</v>
      </c>
      <c r="B334" s="2">
        <v>0.92052083333333334</v>
      </c>
      <c r="C334">
        <v>1332</v>
      </c>
      <c r="D334">
        <v>13002561</v>
      </c>
      <c r="E334">
        <v>13</v>
      </c>
      <c r="F334">
        <v>22589</v>
      </c>
      <c r="G334" t="s">
        <v>23</v>
      </c>
      <c r="H334">
        <v>15</v>
      </c>
      <c r="I334">
        <v>26200</v>
      </c>
      <c r="J334" t="s">
        <v>69</v>
      </c>
      <c r="K334" t="s">
        <v>45</v>
      </c>
      <c r="L334" t="s">
        <v>36</v>
      </c>
      <c r="M334">
        <v>2</v>
      </c>
      <c r="N334">
        <v>474.17</v>
      </c>
      <c r="O334">
        <v>670.42</v>
      </c>
      <c r="P334">
        <v>0</v>
      </c>
      <c r="Q334">
        <v>0</v>
      </c>
      <c r="S334">
        <v>29</v>
      </c>
      <c r="T334">
        <v>1</v>
      </c>
      <c r="U334">
        <v>6</v>
      </c>
      <c r="V334">
        <v>670.42</v>
      </c>
      <c r="W334">
        <v>13130000332</v>
      </c>
    </row>
    <row r="335" spans="1:23" x14ac:dyDescent="0.2">
      <c r="A335" s="1">
        <v>44779</v>
      </c>
      <c r="B335" s="2">
        <v>0.62861111111111112</v>
      </c>
      <c r="C335">
        <v>1333</v>
      </c>
      <c r="D335">
        <v>13002561</v>
      </c>
      <c r="E335">
        <v>13</v>
      </c>
      <c r="F335">
        <v>22589</v>
      </c>
      <c r="G335" t="s">
        <v>23</v>
      </c>
      <c r="H335">
        <v>15</v>
      </c>
      <c r="I335">
        <v>73706</v>
      </c>
      <c r="J335" t="s">
        <v>37</v>
      </c>
      <c r="K335" t="s">
        <v>28</v>
      </c>
      <c r="L335" t="s">
        <v>29</v>
      </c>
      <c r="M335">
        <v>2</v>
      </c>
      <c r="N335">
        <v>201.18</v>
      </c>
      <c r="O335">
        <v>254.43</v>
      </c>
      <c r="P335">
        <v>25.44</v>
      </c>
      <c r="Q335">
        <v>25.44</v>
      </c>
      <c r="R335" t="s">
        <v>30</v>
      </c>
      <c r="S335">
        <v>29</v>
      </c>
      <c r="T335">
        <v>1</v>
      </c>
      <c r="U335">
        <v>1</v>
      </c>
      <c r="V335">
        <v>228.99</v>
      </c>
      <c r="W335">
        <v>13130000333</v>
      </c>
    </row>
    <row r="336" spans="1:23" x14ac:dyDescent="0.2">
      <c r="A336" s="1">
        <v>44789</v>
      </c>
      <c r="B336" s="2">
        <v>0.86729166666666668</v>
      </c>
      <c r="C336">
        <v>1334</v>
      </c>
      <c r="D336">
        <v>13002561</v>
      </c>
      <c r="E336">
        <v>13</v>
      </c>
      <c r="F336">
        <v>22589</v>
      </c>
      <c r="G336" t="s">
        <v>23</v>
      </c>
      <c r="H336">
        <v>15</v>
      </c>
      <c r="I336">
        <v>92185</v>
      </c>
      <c r="J336" t="s">
        <v>62</v>
      </c>
      <c r="K336" t="s">
        <v>38</v>
      </c>
      <c r="L336" t="s">
        <v>36</v>
      </c>
      <c r="M336">
        <v>3</v>
      </c>
      <c r="N336">
        <v>80.83</v>
      </c>
      <c r="O336">
        <v>132.58000000000001</v>
      </c>
      <c r="P336">
        <v>6.63</v>
      </c>
      <c r="Q336">
        <v>6.63</v>
      </c>
      <c r="R336" t="s">
        <v>30</v>
      </c>
      <c r="S336">
        <v>29</v>
      </c>
      <c r="T336">
        <v>1</v>
      </c>
      <c r="U336">
        <v>1</v>
      </c>
      <c r="V336">
        <v>125.95</v>
      </c>
      <c r="W336">
        <v>13130000334</v>
      </c>
    </row>
    <row r="337" spans="1:23" x14ac:dyDescent="0.2">
      <c r="A337" s="1">
        <v>44788</v>
      </c>
      <c r="B337" s="2">
        <v>0.40030092592592592</v>
      </c>
      <c r="C337">
        <v>1335</v>
      </c>
      <c r="D337">
        <v>13002561</v>
      </c>
      <c r="E337">
        <v>13</v>
      </c>
      <c r="F337">
        <v>22589</v>
      </c>
      <c r="G337" t="s">
        <v>23</v>
      </c>
      <c r="H337">
        <v>15</v>
      </c>
      <c r="I337">
        <v>76216</v>
      </c>
      <c r="J337" t="s">
        <v>54</v>
      </c>
      <c r="K337" t="s">
        <v>45</v>
      </c>
      <c r="L337" t="s">
        <v>32</v>
      </c>
      <c r="M337">
        <v>2</v>
      </c>
      <c r="N337">
        <v>560.30999999999995</v>
      </c>
      <c r="O337">
        <v>703.79</v>
      </c>
      <c r="P337">
        <v>70.38</v>
      </c>
      <c r="Q337">
        <v>70.38</v>
      </c>
      <c r="R337" t="s">
        <v>30</v>
      </c>
      <c r="S337">
        <v>29</v>
      </c>
      <c r="T337">
        <v>1</v>
      </c>
      <c r="U337">
        <v>3</v>
      </c>
      <c r="V337">
        <v>633.41</v>
      </c>
      <c r="W337">
        <v>13130000335</v>
      </c>
    </row>
    <row r="338" spans="1:23" x14ac:dyDescent="0.2">
      <c r="A338" s="1">
        <v>44800</v>
      </c>
      <c r="B338" s="2">
        <v>0.73515046296296294</v>
      </c>
      <c r="C338">
        <v>1336</v>
      </c>
      <c r="D338">
        <v>13002561</v>
      </c>
      <c r="E338">
        <v>13</v>
      </c>
      <c r="F338">
        <v>22589</v>
      </c>
      <c r="G338" t="s">
        <v>23</v>
      </c>
      <c r="H338">
        <v>15</v>
      </c>
      <c r="I338">
        <v>45220</v>
      </c>
      <c r="J338" t="s">
        <v>43</v>
      </c>
      <c r="K338" t="s">
        <v>28</v>
      </c>
      <c r="L338" t="s">
        <v>36</v>
      </c>
      <c r="M338">
        <v>1</v>
      </c>
      <c r="N338">
        <v>224.42</v>
      </c>
      <c r="O338">
        <v>356.63</v>
      </c>
      <c r="P338">
        <v>0</v>
      </c>
      <c r="Q338">
        <v>0</v>
      </c>
      <c r="S338">
        <v>29</v>
      </c>
      <c r="T338">
        <v>1</v>
      </c>
      <c r="U338">
        <v>6</v>
      </c>
      <c r="V338">
        <v>356.63</v>
      </c>
      <c r="W338">
        <v>13130000336</v>
      </c>
    </row>
    <row r="339" spans="1:23" x14ac:dyDescent="0.2">
      <c r="A339" s="1">
        <v>44785</v>
      </c>
      <c r="B339" s="2">
        <v>0.82171296296296292</v>
      </c>
      <c r="C339">
        <v>1337</v>
      </c>
      <c r="D339">
        <v>13002561</v>
      </c>
      <c r="E339">
        <v>13</v>
      </c>
      <c r="F339">
        <v>22589</v>
      </c>
      <c r="G339" t="s">
        <v>23</v>
      </c>
      <c r="H339">
        <v>18</v>
      </c>
      <c r="I339">
        <v>35114</v>
      </c>
      <c r="J339" t="s">
        <v>124</v>
      </c>
      <c r="K339" t="s">
        <v>60</v>
      </c>
      <c r="L339" t="s">
        <v>47</v>
      </c>
      <c r="M339">
        <v>3</v>
      </c>
      <c r="N339">
        <v>424.87</v>
      </c>
      <c r="O339">
        <v>711.19</v>
      </c>
      <c r="P339">
        <v>71.12</v>
      </c>
      <c r="Q339">
        <v>71.12</v>
      </c>
      <c r="R339" t="s">
        <v>30</v>
      </c>
      <c r="S339">
        <v>29</v>
      </c>
      <c r="T339">
        <v>1</v>
      </c>
      <c r="U339">
        <v>1</v>
      </c>
      <c r="V339">
        <v>640.07000000000005</v>
      </c>
      <c r="W339">
        <v>13130000337</v>
      </c>
    </row>
    <row r="340" spans="1:23" x14ac:dyDescent="0.2">
      <c r="A340" s="1">
        <v>44802</v>
      </c>
      <c r="B340" s="2">
        <v>0.69214120370370369</v>
      </c>
      <c r="C340">
        <v>1338</v>
      </c>
      <c r="D340">
        <v>13002561</v>
      </c>
      <c r="E340">
        <v>13</v>
      </c>
      <c r="F340">
        <v>22589</v>
      </c>
      <c r="G340" t="s">
        <v>23</v>
      </c>
      <c r="H340">
        <v>18</v>
      </c>
      <c r="I340">
        <v>83635</v>
      </c>
      <c r="J340" t="s">
        <v>113</v>
      </c>
      <c r="K340" t="s">
        <v>60</v>
      </c>
      <c r="L340" t="s">
        <v>29</v>
      </c>
      <c r="M340">
        <v>2</v>
      </c>
      <c r="N340">
        <v>114.38</v>
      </c>
      <c r="O340">
        <v>160.94999999999999</v>
      </c>
      <c r="P340">
        <v>0</v>
      </c>
      <c r="Q340">
        <v>0</v>
      </c>
      <c r="S340">
        <v>29</v>
      </c>
      <c r="T340">
        <v>1</v>
      </c>
      <c r="U340">
        <v>5</v>
      </c>
      <c r="V340">
        <v>160.94999999999999</v>
      </c>
      <c r="W340">
        <v>13130000338</v>
      </c>
    </row>
    <row r="341" spans="1:23" x14ac:dyDescent="0.2">
      <c r="A341" s="1">
        <v>44779</v>
      </c>
      <c r="B341" s="2">
        <v>0.52306712962962965</v>
      </c>
      <c r="C341">
        <v>1339</v>
      </c>
      <c r="D341">
        <v>13002561</v>
      </c>
      <c r="E341">
        <v>13</v>
      </c>
      <c r="F341">
        <v>22589</v>
      </c>
      <c r="G341" t="s">
        <v>23</v>
      </c>
      <c r="H341">
        <v>18</v>
      </c>
      <c r="I341">
        <v>80346</v>
      </c>
      <c r="J341" t="s">
        <v>64</v>
      </c>
      <c r="K341" t="s">
        <v>38</v>
      </c>
      <c r="L341" t="s">
        <v>32</v>
      </c>
      <c r="M341">
        <v>1</v>
      </c>
      <c r="N341">
        <v>216.8</v>
      </c>
      <c r="O341">
        <v>345.82</v>
      </c>
      <c r="P341">
        <v>0</v>
      </c>
      <c r="Q341">
        <v>0</v>
      </c>
      <c r="S341">
        <v>29</v>
      </c>
      <c r="T341">
        <v>1</v>
      </c>
      <c r="U341">
        <v>4</v>
      </c>
      <c r="V341">
        <v>345.82</v>
      </c>
      <c r="W341">
        <v>13130000339</v>
      </c>
    </row>
    <row r="342" spans="1:23" x14ac:dyDescent="0.2">
      <c r="A342" s="1">
        <v>44792</v>
      </c>
      <c r="B342" s="2">
        <v>0.80121527777777779</v>
      </c>
      <c r="C342">
        <v>1340</v>
      </c>
      <c r="D342">
        <v>13002561</v>
      </c>
      <c r="E342">
        <v>13</v>
      </c>
      <c r="F342">
        <v>22589</v>
      </c>
      <c r="G342" t="s">
        <v>23</v>
      </c>
      <c r="H342">
        <v>18</v>
      </c>
      <c r="I342">
        <v>60710</v>
      </c>
      <c r="J342" t="s">
        <v>41</v>
      </c>
      <c r="K342" t="s">
        <v>38</v>
      </c>
      <c r="L342" t="s">
        <v>29</v>
      </c>
      <c r="M342">
        <v>1</v>
      </c>
      <c r="N342">
        <v>28.76</v>
      </c>
      <c r="O342">
        <v>37.83</v>
      </c>
      <c r="P342">
        <v>1.89</v>
      </c>
      <c r="Q342">
        <v>1.89</v>
      </c>
      <c r="R342" t="s">
        <v>30</v>
      </c>
      <c r="S342">
        <v>29</v>
      </c>
      <c r="T342">
        <v>1</v>
      </c>
      <c r="U342">
        <v>4</v>
      </c>
      <c r="V342">
        <v>35.94</v>
      </c>
      <c r="W342">
        <v>13130000340</v>
      </c>
    </row>
    <row r="343" spans="1:23" x14ac:dyDescent="0.2">
      <c r="A343" s="1">
        <v>44803</v>
      </c>
      <c r="B343" s="2">
        <v>0.4914351851851852</v>
      </c>
      <c r="C343">
        <v>1341</v>
      </c>
      <c r="D343">
        <v>13002561</v>
      </c>
      <c r="E343">
        <v>13</v>
      </c>
      <c r="F343">
        <v>22589</v>
      </c>
      <c r="G343" t="s">
        <v>23</v>
      </c>
      <c r="H343">
        <v>15</v>
      </c>
      <c r="I343">
        <v>93418</v>
      </c>
      <c r="J343" t="s">
        <v>77</v>
      </c>
      <c r="K343" t="s">
        <v>45</v>
      </c>
      <c r="L343" t="s">
        <v>36</v>
      </c>
      <c r="M343">
        <v>1</v>
      </c>
      <c r="N343">
        <v>362.52</v>
      </c>
      <c r="O343">
        <v>614.91</v>
      </c>
      <c r="P343">
        <v>0</v>
      </c>
      <c r="Q343">
        <v>0</v>
      </c>
      <c r="S343">
        <v>29</v>
      </c>
      <c r="T343">
        <v>1</v>
      </c>
      <c r="U343">
        <v>6</v>
      </c>
      <c r="V343">
        <v>614.91</v>
      </c>
      <c r="W343">
        <v>13130000341</v>
      </c>
    </row>
    <row r="344" spans="1:23" x14ac:dyDescent="0.2">
      <c r="A344" s="1">
        <v>44781</v>
      </c>
      <c r="B344" s="2">
        <v>0.75981481481481483</v>
      </c>
      <c r="C344">
        <v>1342</v>
      </c>
      <c r="D344">
        <v>13002561</v>
      </c>
      <c r="E344">
        <v>13</v>
      </c>
      <c r="F344">
        <v>22589</v>
      </c>
      <c r="G344" t="s">
        <v>23</v>
      </c>
      <c r="H344">
        <v>18</v>
      </c>
      <c r="I344">
        <v>27102</v>
      </c>
      <c r="J344" t="s">
        <v>93</v>
      </c>
      <c r="K344" t="s">
        <v>25</v>
      </c>
      <c r="L344" t="s">
        <v>47</v>
      </c>
      <c r="M344">
        <v>3</v>
      </c>
      <c r="N344">
        <v>58.67</v>
      </c>
      <c r="O344">
        <v>80.52</v>
      </c>
      <c r="P344">
        <v>0</v>
      </c>
      <c r="Q344">
        <v>0</v>
      </c>
      <c r="S344">
        <v>29</v>
      </c>
      <c r="T344">
        <v>1</v>
      </c>
      <c r="U344">
        <v>4</v>
      </c>
      <c r="V344">
        <v>80.52</v>
      </c>
      <c r="W344">
        <v>13130000342</v>
      </c>
    </row>
    <row r="345" spans="1:23" x14ac:dyDescent="0.2">
      <c r="A345" s="1">
        <v>44803</v>
      </c>
      <c r="B345" s="2">
        <v>0.69417824074074075</v>
      </c>
      <c r="C345">
        <v>1343</v>
      </c>
      <c r="D345">
        <v>13002561</v>
      </c>
      <c r="E345">
        <v>13</v>
      </c>
      <c r="F345">
        <v>22589</v>
      </c>
      <c r="G345" t="s">
        <v>23</v>
      </c>
      <c r="H345">
        <v>18</v>
      </c>
      <c r="I345">
        <v>54899</v>
      </c>
      <c r="J345" t="s">
        <v>33</v>
      </c>
      <c r="K345" t="s">
        <v>25</v>
      </c>
      <c r="L345" t="s">
        <v>47</v>
      </c>
      <c r="M345">
        <v>3</v>
      </c>
      <c r="N345">
        <v>542.95000000000005</v>
      </c>
      <c r="O345">
        <v>912.62</v>
      </c>
      <c r="P345">
        <v>0</v>
      </c>
      <c r="Q345">
        <v>0</v>
      </c>
      <c r="S345">
        <v>29</v>
      </c>
      <c r="T345">
        <v>1</v>
      </c>
      <c r="U345">
        <v>1</v>
      </c>
      <c r="V345">
        <v>912.62</v>
      </c>
      <c r="W345">
        <v>13130000343</v>
      </c>
    </row>
    <row r="346" spans="1:23" x14ac:dyDescent="0.2">
      <c r="A346" s="1">
        <v>44779</v>
      </c>
      <c r="B346" s="2">
        <v>0.74550925925925926</v>
      </c>
      <c r="C346">
        <v>1344</v>
      </c>
      <c r="D346">
        <v>13002561</v>
      </c>
      <c r="E346">
        <v>13</v>
      </c>
      <c r="F346">
        <v>22589</v>
      </c>
      <c r="G346" t="s">
        <v>23</v>
      </c>
      <c r="H346">
        <v>18</v>
      </c>
      <c r="I346">
        <v>88475</v>
      </c>
      <c r="J346" t="s">
        <v>67</v>
      </c>
      <c r="K346" t="s">
        <v>28</v>
      </c>
      <c r="L346" t="s">
        <v>51</v>
      </c>
      <c r="M346">
        <v>2</v>
      </c>
      <c r="N346">
        <v>102.74</v>
      </c>
      <c r="O346">
        <v>156.71</v>
      </c>
      <c r="P346">
        <v>15.67</v>
      </c>
      <c r="Q346">
        <v>15.67</v>
      </c>
      <c r="R346" t="s">
        <v>30</v>
      </c>
      <c r="S346">
        <v>29</v>
      </c>
      <c r="T346">
        <v>1</v>
      </c>
      <c r="U346">
        <v>4</v>
      </c>
      <c r="V346">
        <v>141.04</v>
      </c>
      <c r="W346">
        <v>13130000344</v>
      </c>
    </row>
    <row r="347" spans="1:23" x14ac:dyDescent="0.2">
      <c r="A347" s="1">
        <v>44777</v>
      </c>
      <c r="B347" s="2">
        <v>0.41824074074074069</v>
      </c>
      <c r="C347">
        <v>1345</v>
      </c>
      <c r="D347">
        <v>13002561</v>
      </c>
      <c r="E347">
        <v>13</v>
      </c>
      <c r="F347">
        <v>22589</v>
      </c>
      <c r="G347" t="s">
        <v>23</v>
      </c>
      <c r="H347">
        <v>15</v>
      </c>
      <c r="I347">
        <v>31978</v>
      </c>
      <c r="J347" t="s">
        <v>83</v>
      </c>
      <c r="K347" t="s">
        <v>45</v>
      </c>
      <c r="L347" t="s">
        <v>29</v>
      </c>
      <c r="M347">
        <v>2</v>
      </c>
      <c r="N347">
        <v>101.93</v>
      </c>
      <c r="O347">
        <v>164.52</v>
      </c>
      <c r="P347">
        <v>16.45</v>
      </c>
      <c r="Q347">
        <v>16.45</v>
      </c>
      <c r="R347" t="s">
        <v>30</v>
      </c>
      <c r="S347">
        <v>29</v>
      </c>
      <c r="T347">
        <v>1</v>
      </c>
      <c r="U347">
        <v>2</v>
      </c>
      <c r="V347">
        <v>148.07</v>
      </c>
      <c r="W347">
        <v>13130000345</v>
      </c>
    </row>
    <row r="348" spans="1:23" x14ac:dyDescent="0.2">
      <c r="A348" s="1">
        <v>44803</v>
      </c>
      <c r="B348" s="2">
        <v>0.54229166666666662</v>
      </c>
      <c r="C348">
        <v>1346</v>
      </c>
      <c r="D348">
        <v>13002561</v>
      </c>
      <c r="E348">
        <v>13</v>
      </c>
      <c r="F348">
        <v>22589</v>
      </c>
      <c r="G348" t="s">
        <v>23</v>
      </c>
      <c r="H348">
        <v>18</v>
      </c>
      <c r="I348">
        <v>70633</v>
      </c>
      <c r="J348" t="s">
        <v>90</v>
      </c>
      <c r="K348" t="s">
        <v>45</v>
      </c>
      <c r="L348" t="s">
        <v>32</v>
      </c>
      <c r="M348">
        <v>3</v>
      </c>
      <c r="N348">
        <v>9.16</v>
      </c>
      <c r="O348">
        <v>14.81</v>
      </c>
      <c r="P348">
        <v>0</v>
      </c>
      <c r="Q348">
        <v>0</v>
      </c>
      <c r="S348">
        <v>29</v>
      </c>
      <c r="T348">
        <v>1</v>
      </c>
      <c r="U348">
        <v>4</v>
      </c>
      <c r="V348">
        <v>14.81</v>
      </c>
      <c r="W348">
        <v>13130000346</v>
      </c>
    </row>
    <row r="349" spans="1:23" x14ac:dyDescent="0.2">
      <c r="A349" s="1">
        <v>44777</v>
      </c>
      <c r="B349" s="2">
        <v>0.90474537037037039</v>
      </c>
      <c r="C349">
        <v>1347</v>
      </c>
      <c r="D349">
        <v>13002561</v>
      </c>
      <c r="E349">
        <v>13</v>
      </c>
      <c r="F349">
        <v>22589</v>
      </c>
      <c r="G349" t="s">
        <v>23</v>
      </c>
      <c r="H349">
        <v>15</v>
      </c>
      <c r="I349">
        <v>46783</v>
      </c>
      <c r="J349" t="s">
        <v>117</v>
      </c>
      <c r="K349" t="s">
        <v>60</v>
      </c>
      <c r="L349" t="s">
        <v>26</v>
      </c>
      <c r="M349">
        <v>2</v>
      </c>
      <c r="N349">
        <v>142.83000000000001</v>
      </c>
      <c r="O349">
        <v>204.66</v>
      </c>
      <c r="P349">
        <v>20.47</v>
      </c>
      <c r="Q349">
        <v>20.47</v>
      </c>
      <c r="R349" t="s">
        <v>30</v>
      </c>
      <c r="S349">
        <v>29</v>
      </c>
      <c r="T349">
        <v>1</v>
      </c>
      <c r="U349">
        <v>2</v>
      </c>
      <c r="V349">
        <v>184.19</v>
      </c>
      <c r="W349">
        <v>13130000347</v>
      </c>
    </row>
    <row r="350" spans="1:23" x14ac:dyDescent="0.2">
      <c r="A350" s="1">
        <v>44780</v>
      </c>
      <c r="B350" s="2">
        <v>0.47545138888888888</v>
      </c>
      <c r="C350">
        <v>1348</v>
      </c>
      <c r="D350">
        <v>13002561</v>
      </c>
      <c r="E350">
        <v>13</v>
      </c>
      <c r="F350">
        <v>22589</v>
      </c>
      <c r="G350" t="s">
        <v>23</v>
      </c>
      <c r="H350">
        <v>15</v>
      </c>
      <c r="I350">
        <v>65322</v>
      </c>
      <c r="J350" t="s">
        <v>59</v>
      </c>
      <c r="K350" t="s">
        <v>60</v>
      </c>
      <c r="L350" t="s">
        <v>29</v>
      </c>
      <c r="M350">
        <v>2</v>
      </c>
      <c r="N350">
        <v>232.1</v>
      </c>
      <c r="O350">
        <v>301.83999999999997</v>
      </c>
      <c r="P350">
        <v>15.09</v>
      </c>
      <c r="Q350">
        <v>15.09</v>
      </c>
      <c r="R350" t="s">
        <v>30</v>
      </c>
      <c r="S350">
        <v>29</v>
      </c>
      <c r="T350">
        <v>1</v>
      </c>
      <c r="U350">
        <v>6</v>
      </c>
      <c r="V350">
        <v>286.75</v>
      </c>
      <c r="W350">
        <v>13130000348</v>
      </c>
    </row>
    <row r="351" spans="1:23" x14ac:dyDescent="0.2">
      <c r="A351" s="1">
        <v>44794</v>
      </c>
      <c r="B351" s="2">
        <v>0.52741898148148147</v>
      </c>
      <c r="C351">
        <v>1349</v>
      </c>
      <c r="D351">
        <v>13002561</v>
      </c>
      <c r="E351">
        <v>13</v>
      </c>
      <c r="F351">
        <v>22589</v>
      </c>
      <c r="G351" t="s">
        <v>23</v>
      </c>
      <c r="H351">
        <v>18</v>
      </c>
      <c r="I351">
        <v>71727</v>
      </c>
      <c r="J351" t="s">
        <v>91</v>
      </c>
      <c r="K351" t="s">
        <v>38</v>
      </c>
      <c r="L351" t="s">
        <v>32</v>
      </c>
      <c r="M351">
        <v>2</v>
      </c>
      <c r="N351">
        <v>119.94</v>
      </c>
      <c r="O351">
        <v>184.79</v>
      </c>
      <c r="P351">
        <v>0</v>
      </c>
      <c r="Q351">
        <v>0</v>
      </c>
      <c r="S351">
        <v>29</v>
      </c>
      <c r="T351">
        <v>1</v>
      </c>
      <c r="U351">
        <v>1</v>
      </c>
      <c r="V351">
        <v>184.79</v>
      </c>
      <c r="W351">
        <v>13130000349</v>
      </c>
    </row>
    <row r="352" spans="1:23" x14ac:dyDescent="0.2">
      <c r="A352" s="1">
        <v>44780</v>
      </c>
      <c r="B352" s="2">
        <v>0.64003472222222224</v>
      </c>
      <c r="C352">
        <v>1350</v>
      </c>
      <c r="D352">
        <v>13002561</v>
      </c>
      <c r="E352">
        <v>13</v>
      </c>
      <c r="F352">
        <v>22589</v>
      </c>
      <c r="G352" t="s">
        <v>23</v>
      </c>
      <c r="H352">
        <v>18</v>
      </c>
      <c r="I352">
        <v>69332</v>
      </c>
      <c r="J352" t="s">
        <v>75</v>
      </c>
      <c r="K352" t="s">
        <v>45</v>
      </c>
      <c r="L352" t="s">
        <v>29</v>
      </c>
      <c r="M352">
        <v>2</v>
      </c>
      <c r="N352">
        <v>124.09</v>
      </c>
      <c r="O352">
        <v>203.72</v>
      </c>
      <c r="P352">
        <v>20.37</v>
      </c>
      <c r="Q352">
        <v>20.37</v>
      </c>
      <c r="R352" t="s">
        <v>30</v>
      </c>
      <c r="S352">
        <v>29</v>
      </c>
      <c r="T352">
        <v>1</v>
      </c>
      <c r="U352">
        <v>1</v>
      </c>
      <c r="V352">
        <v>183.35</v>
      </c>
      <c r="W352">
        <v>13130000350</v>
      </c>
    </row>
    <row r="353" spans="1:23" x14ac:dyDescent="0.2">
      <c r="A353" s="1">
        <v>44791</v>
      </c>
      <c r="B353" s="2">
        <v>0.3447453703703704</v>
      </c>
      <c r="C353">
        <v>1351</v>
      </c>
      <c r="D353">
        <v>13002561</v>
      </c>
      <c r="E353">
        <v>13</v>
      </c>
      <c r="F353">
        <v>22589</v>
      </c>
      <c r="G353" t="s">
        <v>23</v>
      </c>
      <c r="H353">
        <v>18</v>
      </c>
      <c r="I353">
        <v>82052</v>
      </c>
      <c r="J353" t="s">
        <v>74</v>
      </c>
      <c r="K353" t="s">
        <v>60</v>
      </c>
      <c r="L353" t="s">
        <v>39</v>
      </c>
      <c r="M353">
        <v>2</v>
      </c>
      <c r="N353">
        <v>66.459999999999994</v>
      </c>
      <c r="O353">
        <v>84.52</v>
      </c>
      <c r="P353">
        <v>0</v>
      </c>
      <c r="Q353">
        <v>0</v>
      </c>
      <c r="S353">
        <v>29</v>
      </c>
      <c r="T353">
        <v>1</v>
      </c>
      <c r="U353">
        <v>3</v>
      </c>
      <c r="V353">
        <v>84.52</v>
      </c>
      <c r="W353">
        <v>13130000351</v>
      </c>
    </row>
    <row r="354" spans="1:23" x14ac:dyDescent="0.2">
      <c r="A354" s="1">
        <v>44794</v>
      </c>
      <c r="B354" s="2">
        <v>0.69135416666666671</v>
      </c>
      <c r="C354">
        <v>1352</v>
      </c>
      <c r="D354">
        <v>13002561</v>
      </c>
      <c r="E354">
        <v>13</v>
      </c>
      <c r="F354">
        <v>22589</v>
      </c>
      <c r="G354" t="s">
        <v>23</v>
      </c>
      <c r="H354">
        <v>15</v>
      </c>
      <c r="I354">
        <v>87959</v>
      </c>
      <c r="J354" t="s">
        <v>79</v>
      </c>
      <c r="K354" t="s">
        <v>44</v>
      </c>
      <c r="L354" t="s">
        <v>32</v>
      </c>
      <c r="M354">
        <v>3</v>
      </c>
      <c r="N354">
        <v>63.05</v>
      </c>
      <c r="O354">
        <v>89.51</v>
      </c>
      <c r="P354">
        <v>0</v>
      </c>
      <c r="Q354">
        <v>0</v>
      </c>
      <c r="S354">
        <v>29</v>
      </c>
      <c r="T354">
        <v>1</v>
      </c>
      <c r="U354">
        <v>2</v>
      </c>
      <c r="V354">
        <v>89.51</v>
      </c>
      <c r="W354">
        <v>13130000352</v>
      </c>
    </row>
    <row r="355" spans="1:23" x14ac:dyDescent="0.2">
      <c r="A355" s="1">
        <v>44791</v>
      </c>
      <c r="B355" s="2">
        <v>0.85971064814814813</v>
      </c>
      <c r="C355">
        <v>1353</v>
      </c>
      <c r="D355">
        <v>13002561</v>
      </c>
      <c r="E355">
        <v>13</v>
      </c>
      <c r="F355">
        <v>22589</v>
      </c>
      <c r="G355" t="s">
        <v>23</v>
      </c>
      <c r="H355">
        <v>15</v>
      </c>
      <c r="I355">
        <v>41006</v>
      </c>
      <c r="J355" t="s">
        <v>105</v>
      </c>
      <c r="K355" t="s">
        <v>44</v>
      </c>
      <c r="L355" t="s">
        <v>47</v>
      </c>
      <c r="M355">
        <v>3</v>
      </c>
      <c r="N355">
        <v>256.83</v>
      </c>
      <c r="O355">
        <v>414.27</v>
      </c>
      <c r="P355">
        <v>20.71</v>
      </c>
      <c r="Q355">
        <v>20.71</v>
      </c>
      <c r="R355" t="s">
        <v>30</v>
      </c>
      <c r="S355">
        <v>29</v>
      </c>
      <c r="T355">
        <v>1</v>
      </c>
      <c r="U355">
        <v>4</v>
      </c>
      <c r="V355">
        <v>393.56</v>
      </c>
      <c r="W355">
        <v>13130000353</v>
      </c>
    </row>
    <row r="356" spans="1:23" x14ac:dyDescent="0.2">
      <c r="A356" s="1">
        <v>44781</v>
      </c>
      <c r="B356" s="2">
        <v>0.5172106481481481</v>
      </c>
      <c r="C356">
        <v>1354</v>
      </c>
      <c r="D356">
        <v>13002561</v>
      </c>
      <c r="E356">
        <v>13</v>
      </c>
      <c r="F356">
        <v>22589</v>
      </c>
      <c r="G356" t="s">
        <v>23</v>
      </c>
      <c r="H356">
        <v>18</v>
      </c>
      <c r="I356">
        <v>44030</v>
      </c>
      <c r="J356" t="s">
        <v>53</v>
      </c>
      <c r="K356" t="s">
        <v>25</v>
      </c>
      <c r="L356" t="s">
        <v>34</v>
      </c>
      <c r="M356">
        <v>3</v>
      </c>
      <c r="N356">
        <v>451.15</v>
      </c>
      <c r="O356">
        <v>652.21</v>
      </c>
      <c r="P356">
        <v>32.61</v>
      </c>
      <c r="Q356">
        <v>32.61</v>
      </c>
      <c r="R356" t="s">
        <v>30</v>
      </c>
      <c r="S356">
        <v>29</v>
      </c>
      <c r="T356">
        <v>1</v>
      </c>
      <c r="U356">
        <v>4</v>
      </c>
      <c r="V356">
        <v>619.6</v>
      </c>
      <c r="W356">
        <v>13130000354</v>
      </c>
    </row>
    <row r="357" spans="1:23" x14ac:dyDescent="0.2">
      <c r="A357" s="1">
        <v>44785</v>
      </c>
      <c r="B357" s="2">
        <v>0.38383101851851847</v>
      </c>
      <c r="C357">
        <v>1355</v>
      </c>
      <c r="D357">
        <v>13002561</v>
      </c>
      <c r="E357">
        <v>13</v>
      </c>
      <c r="F357">
        <v>22589</v>
      </c>
      <c r="G357" t="s">
        <v>23</v>
      </c>
      <c r="H357">
        <v>18</v>
      </c>
      <c r="I357">
        <v>64226</v>
      </c>
      <c r="J357" t="s">
        <v>61</v>
      </c>
      <c r="K357" t="s">
        <v>60</v>
      </c>
      <c r="L357" t="s">
        <v>34</v>
      </c>
      <c r="M357">
        <v>3</v>
      </c>
      <c r="N357">
        <v>196.58</v>
      </c>
      <c r="O357">
        <v>295.92</v>
      </c>
      <c r="P357">
        <v>14.8</v>
      </c>
      <c r="Q357">
        <v>14.8</v>
      </c>
      <c r="R357" t="s">
        <v>30</v>
      </c>
      <c r="S357">
        <v>29</v>
      </c>
      <c r="T357">
        <v>1</v>
      </c>
      <c r="U357">
        <v>1</v>
      </c>
      <c r="V357">
        <v>281.12</v>
      </c>
      <c r="W357">
        <v>13130000355</v>
      </c>
    </row>
    <row r="358" spans="1:23" x14ac:dyDescent="0.2">
      <c r="A358" s="1">
        <v>44776</v>
      </c>
      <c r="B358" s="2">
        <v>0.82814814814814819</v>
      </c>
      <c r="C358">
        <v>1356</v>
      </c>
      <c r="D358">
        <v>13002561</v>
      </c>
      <c r="E358">
        <v>13</v>
      </c>
      <c r="F358">
        <v>22589</v>
      </c>
      <c r="G358" t="s">
        <v>23</v>
      </c>
      <c r="H358">
        <v>15</v>
      </c>
      <c r="I358">
        <v>63103</v>
      </c>
      <c r="J358" t="s">
        <v>76</v>
      </c>
      <c r="K358" t="s">
        <v>60</v>
      </c>
      <c r="L358" t="s">
        <v>51</v>
      </c>
      <c r="M358">
        <v>1</v>
      </c>
      <c r="N358">
        <v>46.53</v>
      </c>
      <c r="O358">
        <v>76.2</v>
      </c>
      <c r="P358">
        <v>0</v>
      </c>
      <c r="Q358">
        <v>0</v>
      </c>
      <c r="S358">
        <v>29</v>
      </c>
      <c r="T358">
        <v>1</v>
      </c>
      <c r="U358">
        <v>5</v>
      </c>
      <c r="V358">
        <v>76.2</v>
      </c>
      <c r="W358">
        <v>13130000356</v>
      </c>
    </row>
    <row r="359" spans="1:23" x14ac:dyDescent="0.2">
      <c r="A359" s="1">
        <v>44786</v>
      </c>
      <c r="B359" s="2">
        <v>0.61033564814814811</v>
      </c>
      <c r="C359">
        <v>1357</v>
      </c>
      <c r="D359">
        <v>13002561</v>
      </c>
      <c r="E359">
        <v>13</v>
      </c>
      <c r="F359">
        <v>22589</v>
      </c>
      <c r="G359" t="s">
        <v>23</v>
      </c>
      <c r="H359">
        <v>15</v>
      </c>
      <c r="I359">
        <v>84152</v>
      </c>
      <c r="J359" t="s">
        <v>104</v>
      </c>
      <c r="K359" t="s">
        <v>25</v>
      </c>
      <c r="L359" t="s">
        <v>32</v>
      </c>
      <c r="M359">
        <v>2</v>
      </c>
      <c r="N359">
        <v>466.16</v>
      </c>
      <c r="O359">
        <v>688.63</v>
      </c>
      <c r="P359">
        <v>68.86</v>
      </c>
      <c r="Q359">
        <v>68.86</v>
      </c>
      <c r="R359" t="s">
        <v>30</v>
      </c>
      <c r="S359">
        <v>29</v>
      </c>
      <c r="T359">
        <v>1</v>
      </c>
      <c r="U359">
        <v>4</v>
      </c>
      <c r="V359">
        <v>619.77</v>
      </c>
      <c r="W359">
        <v>13130000357</v>
      </c>
    </row>
    <row r="360" spans="1:23" x14ac:dyDescent="0.2">
      <c r="A360" s="1">
        <v>44801</v>
      </c>
      <c r="B360" s="2">
        <v>0.85636574074074079</v>
      </c>
      <c r="C360">
        <v>1358</v>
      </c>
      <c r="D360">
        <v>13002561</v>
      </c>
      <c r="E360">
        <v>13</v>
      </c>
      <c r="F360">
        <v>22589</v>
      </c>
      <c r="G360" t="s">
        <v>23</v>
      </c>
      <c r="H360">
        <v>18</v>
      </c>
      <c r="I360">
        <v>47184</v>
      </c>
      <c r="J360" t="s">
        <v>53</v>
      </c>
      <c r="K360" t="s">
        <v>60</v>
      </c>
      <c r="L360" t="s">
        <v>34</v>
      </c>
      <c r="M360">
        <v>3</v>
      </c>
      <c r="N360">
        <v>233.64</v>
      </c>
      <c r="O360">
        <v>344.25</v>
      </c>
      <c r="P360">
        <v>17.21</v>
      </c>
      <c r="Q360">
        <v>17.21</v>
      </c>
      <c r="R360" t="s">
        <v>30</v>
      </c>
      <c r="S360">
        <v>29</v>
      </c>
      <c r="T360">
        <v>1</v>
      </c>
      <c r="U360">
        <v>2</v>
      </c>
      <c r="V360">
        <v>327.04000000000002</v>
      </c>
      <c r="W360">
        <v>13130000358</v>
      </c>
    </row>
    <row r="361" spans="1:23" x14ac:dyDescent="0.2">
      <c r="A361" s="1">
        <v>44788</v>
      </c>
      <c r="B361" s="2">
        <v>0.56252314814814819</v>
      </c>
      <c r="C361">
        <v>1359</v>
      </c>
      <c r="D361">
        <v>13002561</v>
      </c>
      <c r="E361">
        <v>13</v>
      </c>
      <c r="F361">
        <v>22589</v>
      </c>
      <c r="G361" t="s">
        <v>23</v>
      </c>
      <c r="H361">
        <v>18</v>
      </c>
      <c r="I361">
        <v>99496</v>
      </c>
      <c r="J361" t="s">
        <v>70</v>
      </c>
      <c r="K361" t="s">
        <v>28</v>
      </c>
      <c r="L361" t="s">
        <v>34</v>
      </c>
      <c r="M361">
        <v>3</v>
      </c>
      <c r="N361">
        <v>58.66</v>
      </c>
      <c r="O361">
        <v>78.94</v>
      </c>
      <c r="P361">
        <v>7.89</v>
      </c>
      <c r="Q361">
        <v>7.89</v>
      </c>
      <c r="R361" t="s">
        <v>30</v>
      </c>
      <c r="S361">
        <v>29</v>
      </c>
      <c r="T361">
        <v>1</v>
      </c>
      <c r="U361">
        <v>1</v>
      </c>
      <c r="V361">
        <v>71.05</v>
      </c>
      <c r="W361">
        <v>13130000359</v>
      </c>
    </row>
    <row r="362" spans="1:23" x14ac:dyDescent="0.2">
      <c r="A362" s="1">
        <v>44776</v>
      </c>
      <c r="B362" s="2">
        <v>0.88223379629629628</v>
      </c>
      <c r="C362">
        <v>1360</v>
      </c>
      <c r="D362">
        <v>13002561</v>
      </c>
      <c r="E362">
        <v>13</v>
      </c>
      <c r="F362">
        <v>22589</v>
      </c>
      <c r="G362" t="s">
        <v>23</v>
      </c>
      <c r="H362">
        <v>18</v>
      </c>
      <c r="I362">
        <v>55402</v>
      </c>
      <c r="J362" t="s">
        <v>122</v>
      </c>
      <c r="K362" t="s">
        <v>45</v>
      </c>
      <c r="L362" t="s">
        <v>32</v>
      </c>
      <c r="M362">
        <v>3</v>
      </c>
      <c r="N362">
        <v>578.82000000000005</v>
      </c>
      <c r="O362">
        <v>959.45</v>
      </c>
      <c r="P362">
        <v>95.95</v>
      </c>
      <c r="Q362">
        <v>95.95</v>
      </c>
      <c r="R362" t="s">
        <v>30</v>
      </c>
      <c r="S362">
        <v>29</v>
      </c>
      <c r="T362">
        <v>1</v>
      </c>
      <c r="U362">
        <v>6</v>
      </c>
      <c r="V362">
        <v>863.5</v>
      </c>
      <c r="W362">
        <v>13130000360</v>
      </c>
    </row>
    <row r="363" spans="1:23" x14ac:dyDescent="0.2">
      <c r="A363" s="1">
        <v>44796</v>
      </c>
      <c r="B363" s="2">
        <v>0.60932870370370373</v>
      </c>
      <c r="C363">
        <v>1361</v>
      </c>
      <c r="D363">
        <v>13002561</v>
      </c>
      <c r="E363">
        <v>13</v>
      </c>
      <c r="F363">
        <v>22589</v>
      </c>
      <c r="G363" t="s">
        <v>23</v>
      </c>
      <c r="H363">
        <v>18</v>
      </c>
      <c r="I363">
        <v>54615</v>
      </c>
      <c r="J363" t="s">
        <v>89</v>
      </c>
      <c r="K363" t="s">
        <v>25</v>
      </c>
      <c r="L363" t="s">
        <v>34</v>
      </c>
      <c r="M363">
        <v>3</v>
      </c>
      <c r="N363">
        <v>113.44</v>
      </c>
      <c r="O363">
        <v>159.09</v>
      </c>
      <c r="P363">
        <v>7.95</v>
      </c>
      <c r="Q363">
        <v>7.95</v>
      </c>
      <c r="R363" t="s">
        <v>30</v>
      </c>
      <c r="S363">
        <v>29</v>
      </c>
      <c r="T363">
        <v>1</v>
      </c>
      <c r="U363">
        <v>4</v>
      </c>
      <c r="V363">
        <v>151.13999999999999</v>
      </c>
      <c r="W363">
        <v>13130000361</v>
      </c>
    </row>
    <row r="364" spans="1:23" x14ac:dyDescent="0.2">
      <c r="A364" s="1">
        <v>44803</v>
      </c>
      <c r="B364" s="2">
        <v>0.81416666666666671</v>
      </c>
      <c r="C364">
        <v>1362</v>
      </c>
      <c r="D364">
        <v>13002561</v>
      </c>
      <c r="E364">
        <v>13</v>
      </c>
      <c r="F364">
        <v>22589</v>
      </c>
      <c r="G364" t="s">
        <v>23</v>
      </c>
      <c r="H364">
        <v>15</v>
      </c>
      <c r="I364">
        <v>15540</v>
      </c>
      <c r="J364" t="s">
        <v>82</v>
      </c>
      <c r="K364" t="s">
        <v>45</v>
      </c>
      <c r="L364" t="s">
        <v>51</v>
      </c>
      <c r="M364">
        <v>3</v>
      </c>
      <c r="N364">
        <v>266.82</v>
      </c>
      <c r="O364">
        <v>405.68</v>
      </c>
      <c r="P364">
        <v>20.28</v>
      </c>
      <c r="Q364">
        <v>20.28</v>
      </c>
      <c r="R364" t="s">
        <v>30</v>
      </c>
      <c r="S364">
        <v>29</v>
      </c>
      <c r="T364">
        <v>1</v>
      </c>
      <c r="U364">
        <v>4</v>
      </c>
      <c r="V364">
        <v>385.4</v>
      </c>
      <c r="W364">
        <v>13130000362</v>
      </c>
    </row>
    <row r="365" spans="1:23" x14ac:dyDescent="0.2">
      <c r="A365" s="1">
        <v>44788</v>
      </c>
      <c r="B365" s="2">
        <v>0.53969907407407403</v>
      </c>
      <c r="C365">
        <v>1363</v>
      </c>
      <c r="D365">
        <v>13002561</v>
      </c>
      <c r="E365">
        <v>13</v>
      </c>
      <c r="F365">
        <v>22589</v>
      </c>
      <c r="G365" t="s">
        <v>23</v>
      </c>
      <c r="H365">
        <v>15</v>
      </c>
      <c r="I365">
        <v>37486</v>
      </c>
      <c r="J365" t="s">
        <v>46</v>
      </c>
      <c r="K365" t="s">
        <v>25</v>
      </c>
      <c r="L365" t="s">
        <v>51</v>
      </c>
      <c r="M365">
        <v>2</v>
      </c>
      <c r="N365">
        <v>555.51</v>
      </c>
      <c r="O365">
        <v>695.35</v>
      </c>
      <c r="P365">
        <v>69.540000000000006</v>
      </c>
      <c r="Q365">
        <v>69.540000000000006</v>
      </c>
      <c r="R365" t="s">
        <v>30</v>
      </c>
      <c r="S365">
        <v>29</v>
      </c>
      <c r="T365">
        <v>1</v>
      </c>
      <c r="U365">
        <v>5</v>
      </c>
      <c r="V365">
        <v>625.80999999999995</v>
      </c>
      <c r="W365">
        <v>13130000363</v>
      </c>
    </row>
    <row r="366" spans="1:23" x14ac:dyDescent="0.2">
      <c r="A366" s="1">
        <v>44788</v>
      </c>
      <c r="B366" s="2">
        <v>0.56158564814814815</v>
      </c>
      <c r="C366">
        <v>1364</v>
      </c>
      <c r="D366">
        <v>13002561</v>
      </c>
      <c r="E366">
        <v>13</v>
      </c>
      <c r="F366">
        <v>22589</v>
      </c>
      <c r="G366" t="s">
        <v>23</v>
      </c>
      <c r="H366">
        <v>18</v>
      </c>
      <c r="I366">
        <v>57393</v>
      </c>
      <c r="J366" t="s">
        <v>73</v>
      </c>
      <c r="K366" t="s">
        <v>25</v>
      </c>
      <c r="L366" t="s">
        <v>34</v>
      </c>
      <c r="M366">
        <v>3</v>
      </c>
      <c r="N366">
        <v>438.64</v>
      </c>
      <c r="O366">
        <v>614.37</v>
      </c>
      <c r="P366">
        <v>30.72</v>
      </c>
      <c r="Q366">
        <v>30.72</v>
      </c>
      <c r="R366" t="s">
        <v>30</v>
      </c>
      <c r="S366">
        <v>29</v>
      </c>
      <c r="T366">
        <v>1</v>
      </c>
      <c r="U366">
        <v>6</v>
      </c>
      <c r="V366">
        <v>583.65</v>
      </c>
      <c r="W366">
        <v>13130000364</v>
      </c>
    </row>
    <row r="367" spans="1:23" x14ac:dyDescent="0.2">
      <c r="A367" s="1">
        <v>44797</v>
      </c>
      <c r="B367" s="2">
        <v>0.75282407407407403</v>
      </c>
      <c r="C367">
        <v>1365</v>
      </c>
      <c r="D367">
        <v>13002561</v>
      </c>
      <c r="E367">
        <v>13</v>
      </c>
      <c r="F367">
        <v>22589</v>
      </c>
      <c r="G367" t="s">
        <v>23</v>
      </c>
      <c r="H367">
        <v>15</v>
      </c>
      <c r="I367">
        <v>64730</v>
      </c>
      <c r="J367" t="s">
        <v>68</v>
      </c>
      <c r="K367" t="s">
        <v>25</v>
      </c>
      <c r="L367" t="s">
        <v>29</v>
      </c>
      <c r="M367">
        <v>2</v>
      </c>
      <c r="N367">
        <v>40.35</v>
      </c>
      <c r="O367">
        <v>58.25</v>
      </c>
      <c r="P367">
        <v>0</v>
      </c>
      <c r="Q367">
        <v>0</v>
      </c>
      <c r="S367">
        <v>29</v>
      </c>
      <c r="T367">
        <v>1</v>
      </c>
      <c r="U367">
        <v>6</v>
      </c>
      <c r="V367">
        <v>58.25</v>
      </c>
      <c r="W367">
        <v>13130000365</v>
      </c>
    </row>
    <row r="368" spans="1:23" x14ac:dyDescent="0.2">
      <c r="A368" s="1">
        <v>44796</v>
      </c>
      <c r="B368" s="2">
        <v>0.59657407407407403</v>
      </c>
      <c r="C368">
        <v>1366</v>
      </c>
      <c r="D368">
        <v>13002561</v>
      </c>
      <c r="E368">
        <v>13</v>
      </c>
      <c r="F368">
        <v>22589</v>
      </c>
      <c r="G368" t="s">
        <v>23</v>
      </c>
      <c r="H368">
        <v>15</v>
      </c>
      <c r="I368">
        <v>44242</v>
      </c>
      <c r="J368" t="s">
        <v>107</v>
      </c>
      <c r="K368" t="s">
        <v>60</v>
      </c>
      <c r="L368" t="s">
        <v>51</v>
      </c>
      <c r="M368">
        <v>2</v>
      </c>
      <c r="N368">
        <v>532.74</v>
      </c>
      <c r="O368">
        <v>829.46</v>
      </c>
      <c r="P368">
        <v>0</v>
      </c>
      <c r="Q368">
        <v>0</v>
      </c>
      <c r="S368">
        <v>29</v>
      </c>
      <c r="T368">
        <v>1</v>
      </c>
      <c r="U368">
        <v>1</v>
      </c>
      <c r="V368">
        <v>829.46</v>
      </c>
      <c r="W368">
        <v>13130000366</v>
      </c>
    </row>
    <row r="369" spans="1:23" x14ac:dyDescent="0.2">
      <c r="A369" s="1">
        <v>44787</v>
      </c>
      <c r="B369" s="2">
        <v>0.65385416666666663</v>
      </c>
      <c r="C369">
        <v>1367</v>
      </c>
      <c r="D369">
        <v>13002561</v>
      </c>
      <c r="E369">
        <v>13</v>
      </c>
      <c r="F369">
        <v>22589</v>
      </c>
      <c r="G369" t="s">
        <v>23</v>
      </c>
      <c r="H369">
        <v>15</v>
      </c>
      <c r="I369">
        <v>23502</v>
      </c>
      <c r="J369" t="s">
        <v>24</v>
      </c>
      <c r="K369" t="s">
        <v>25</v>
      </c>
      <c r="L369" t="s">
        <v>29</v>
      </c>
      <c r="M369">
        <v>3</v>
      </c>
      <c r="N369">
        <v>559.54</v>
      </c>
      <c r="O369">
        <v>874.49</v>
      </c>
      <c r="P369">
        <v>0</v>
      </c>
      <c r="Q369">
        <v>0</v>
      </c>
      <c r="S369">
        <v>29</v>
      </c>
      <c r="T369">
        <v>1</v>
      </c>
      <c r="U369">
        <v>5</v>
      </c>
      <c r="V369">
        <v>874.49</v>
      </c>
      <c r="W369">
        <v>13130000367</v>
      </c>
    </row>
    <row r="370" spans="1:23" x14ac:dyDescent="0.2">
      <c r="A370" s="1">
        <v>44804</v>
      </c>
      <c r="B370" s="2">
        <v>0.63127314814814817</v>
      </c>
      <c r="C370">
        <v>1368</v>
      </c>
      <c r="D370">
        <v>13002561</v>
      </c>
      <c r="E370">
        <v>13</v>
      </c>
      <c r="F370">
        <v>22589</v>
      </c>
      <c r="G370" t="s">
        <v>23</v>
      </c>
      <c r="H370">
        <v>18</v>
      </c>
      <c r="I370">
        <v>43528</v>
      </c>
      <c r="J370" t="s">
        <v>118</v>
      </c>
      <c r="K370" t="s">
        <v>60</v>
      </c>
      <c r="L370" t="s">
        <v>32</v>
      </c>
      <c r="M370">
        <v>3</v>
      </c>
      <c r="N370">
        <v>69.8</v>
      </c>
      <c r="O370">
        <v>93.12</v>
      </c>
      <c r="P370">
        <v>9.31</v>
      </c>
      <c r="Q370">
        <v>9.31</v>
      </c>
      <c r="R370" t="s">
        <v>30</v>
      </c>
      <c r="S370">
        <v>29</v>
      </c>
      <c r="T370">
        <v>1</v>
      </c>
      <c r="U370">
        <v>5</v>
      </c>
      <c r="V370">
        <v>83.81</v>
      </c>
      <c r="W370">
        <v>13130000368</v>
      </c>
    </row>
    <row r="371" spans="1:23" x14ac:dyDescent="0.2">
      <c r="A371" s="1">
        <v>44788</v>
      </c>
      <c r="B371" s="2">
        <v>0.84759259259259256</v>
      </c>
      <c r="C371">
        <v>1369</v>
      </c>
      <c r="D371">
        <v>13002561</v>
      </c>
      <c r="E371">
        <v>13</v>
      </c>
      <c r="F371">
        <v>22589</v>
      </c>
      <c r="G371" t="s">
        <v>23</v>
      </c>
      <c r="H371">
        <v>15</v>
      </c>
      <c r="I371">
        <v>39705</v>
      </c>
      <c r="J371" t="s">
        <v>108</v>
      </c>
      <c r="K371" t="s">
        <v>38</v>
      </c>
      <c r="L371" t="s">
        <v>26</v>
      </c>
      <c r="M371">
        <v>3</v>
      </c>
      <c r="N371">
        <v>171.72</v>
      </c>
      <c r="O371">
        <v>230.78</v>
      </c>
      <c r="P371">
        <v>11.54</v>
      </c>
      <c r="Q371">
        <v>11.54</v>
      </c>
      <c r="R371" t="s">
        <v>30</v>
      </c>
      <c r="S371">
        <v>29</v>
      </c>
      <c r="T371">
        <v>1</v>
      </c>
      <c r="U371">
        <v>4</v>
      </c>
      <c r="V371">
        <v>219.24</v>
      </c>
      <c r="W371">
        <v>13130000369</v>
      </c>
    </row>
    <row r="372" spans="1:23" x14ac:dyDescent="0.2">
      <c r="A372" s="1">
        <v>44784</v>
      </c>
      <c r="B372" s="2">
        <v>0.93187500000000001</v>
      </c>
      <c r="C372">
        <v>1370</v>
      </c>
      <c r="D372">
        <v>13002561</v>
      </c>
      <c r="E372">
        <v>13</v>
      </c>
      <c r="F372">
        <v>22589</v>
      </c>
      <c r="G372" t="s">
        <v>23</v>
      </c>
      <c r="H372">
        <v>18</v>
      </c>
      <c r="I372">
        <v>24498</v>
      </c>
      <c r="J372" t="s">
        <v>109</v>
      </c>
      <c r="K372" t="s">
        <v>25</v>
      </c>
      <c r="L372" t="s">
        <v>29</v>
      </c>
      <c r="M372">
        <v>3</v>
      </c>
      <c r="N372">
        <v>503.97</v>
      </c>
      <c r="O372">
        <v>850.1</v>
      </c>
      <c r="P372">
        <v>85.01</v>
      </c>
      <c r="Q372">
        <v>85.01</v>
      </c>
      <c r="R372" t="s">
        <v>30</v>
      </c>
      <c r="S372">
        <v>29</v>
      </c>
      <c r="T372">
        <v>1</v>
      </c>
      <c r="U372">
        <v>6</v>
      </c>
      <c r="V372">
        <v>765.09</v>
      </c>
      <c r="W372">
        <v>13130000370</v>
      </c>
    </row>
    <row r="373" spans="1:23" x14ac:dyDescent="0.2">
      <c r="A373" s="1">
        <v>44799</v>
      </c>
      <c r="B373" s="2">
        <v>0.60708333333333331</v>
      </c>
      <c r="C373">
        <v>1371</v>
      </c>
      <c r="D373">
        <v>13002561</v>
      </c>
      <c r="E373">
        <v>13</v>
      </c>
      <c r="F373">
        <v>22589</v>
      </c>
      <c r="G373" t="s">
        <v>23</v>
      </c>
      <c r="H373">
        <v>15</v>
      </c>
      <c r="I373">
        <v>81694</v>
      </c>
      <c r="J373" t="s">
        <v>126</v>
      </c>
      <c r="K373" t="s">
        <v>38</v>
      </c>
      <c r="L373" t="s">
        <v>29</v>
      </c>
      <c r="M373">
        <v>3</v>
      </c>
      <c r="N373">
        <v>142.94999999999999</v>
      </c>
      <c r="O373">
        <v>192.63</v>
      </c>
      <c r="P373">
        <v>0</v>
      </c>
      <c r="Q373">
        <v>0</v>
      </c>
      <c r="S373">
        <v>29</v>
      </c>
      <c r="T373">
        <v>1</v>
      </c>
      <c r="U373">
        <v>5</v>
      </c>
      <c r="V373">
        <v>192.63</v>
      </c>
      <c r="W373">
        <v>13130000371</v>
      </c>
    </row>
    <row r="374" spans="1:23" x14ac:dyDescent="0.2">
      <c r="A374" s="1">
        <v>44779</v>
      </c>
      <c r="B374" s="2">
        <v>0.90590277777777772</v>
      </c>
      <c r="C374">
        <v>1372</v>
      </c>
      <c r="D374">
        <v>13002561</v>
      </c>
      <c r="E374">
        <v>13</v>
      </c>
      <c r="F374">
        <v>22589</v>
      </c>
      <c r="G374" t="s">
        <v>23</v>
      </c>
      <c r="H374">
        <v>15</v>
      </c>
      <c r="I374">
        <v>80164</v>
      </c>
      <c r="J374" t="s">
        <v>63</v>
      </c>
      <c r="K374" t="s">
        <v>44</v>
      </c>
      <c r="L374" t="s">
        <v>29</v>
      </c>
      <c r="M374">
        <v>2</v>
      </c>
      <c r="N374">
        <v>459.85</v>
      </c>
      <c r="O374">
        <v>613.51</v>
      </c>
      <c r="P374">
        <v>61.35</v>
      </c>
      <c r="Q374">
        <v>61.35</v>
      </c>
      <c r="R374" t="s">
        <v>30</v>
      </c>
      <c r="S374">
        <v>29</v>
      </c>
      <c r="T374">
        <v>1</v>
      </c>
      <c r="U374">
        <v>2</v>
      </c>
      <c r="V374">
        <v>552.16</v>
      </c>
      <c r="W374">
        <v>13130000372</v>
      </c>
    </row>
    <row r="375" spans="1:23" x14ac:dyDescent="0.2">
      <c r="A375" s="1">
        <v>44791</v>
      </c>
      <c r="B375" s="2">
        <v>0.74252314814814813</v>
      </c>
      <c r="C375">
        <v>1373</v>
      </c>
      <c r="D375">
        <v>13002561</v>
      </c>
      <c r="E375">
        <v>13</v>
      </c>
      <c r="F375">
        <v>22589</v>
      </c>
      <c r="G375" t="s">
        <v>23</v>
      </c>
      <c r="H375">
        <v>15</v>
      </c>
      <c r="I375">
        <v>97980</v>
      </c>
      <c r="J375" t="s">
        <v>70</v>
      </c>
      <c r="K375" t="s">
        <v>38</v>
      </c>
      <c r="L375" t="s">
        <v>47</v>
      </c>
      <c r="M375">
        <v>2</v>
      </c>
      <c r="N375">
        <v>150.03</v>
      </c>
      <c r="O375">
        <v>200.9</v>
      </c>
      <c r="P375">
        <v>20.09</v>
      </c>
      <c r="Q375">
        <v>20.09</v>
      </c>
      <c r="R375" t="s">
        <v>30</v>
      </c>
      <c r="S375">
        <v>29</v>
      </c>
      <c r="T375">
        <v>1</v>
      </c>
      <c r="U375">
        <v>6</v>
      </c>
      <c r="V375">
        <v>180.81</v>
      </c>
      <c r="W375">
        <v>13130000373</v>
      </c>
    </row>
    <row r="376" spans="1:23" x14ac:dyDescent="0.2">
      <c r="A376" s="1">
        <v>44779</v>
      </c>
      <c r="B376" s="2">
        <v>0.53097222222222218</v>
      </c>
      <c r="C376">
        <v>1374</v>
      </c>
      <c r="D376">
        <v>13002561</v>
      </c>
      <c r="E376">
        <v>13</v>
      </c>
      <c r="F376">
        <v>22589</v>
      </c>
      <c r="G376" t="s">
        <v>23</v>
      </c>
      <c r="H376">
        <v>15</v>
      </c>
      <c r="I376">
        <v>40511</v>
      </c>
      <c r="J376" t="s">
        <v>95</v>
      </c>
      <c r="K376" t="s">
        <v>28</v>
      </c>
      <c r="L376" t="s">
        <v>51</v>
      </c>
      <c r="M376">
        <v>2</v>
      </c>
      <c r="N376">
        <v>209.33</v>
      </c>
      <c r="O376">
        <v>351.44</v>
      </c>
      <c r="P376">
        <v>17.57</v>
      </c>
      <c r="Q376">
        <v>17.57</v>
      </c>
      <c r="R376" t="s">
        <v>30</v>
      </c>
      <c r="S376">
        <v>29</v>
      </c>
      <c r="T376">
        <v>1</v>
      </c>
      <c r="U376">
        <v>6</v>
      </c>
      <c r="V376">
        <v>333.87</v>
      </c>
      <c r="W376">
        <v>13130000374</v>
      </c>
    </row>
    <row r="377" spans="1:23" x14ac:dyDescent="0.2">
      <c r="A377" s="1">
        <v>44801</v>
      </c>
      <c r="B377" s="2">
        <v>0.5141782407407407</v>
      </c>
      <c r="C377">
        <v>1375</v>
      </c>
      <c r="D377">
        <v>13002561</v>
      </c>
      <c r="E377">
        <v>13</v>
      </c>
      <c r="F377">
        <v>22589</v>
      </c>
      <c r="G377" t="s">
        <v>23</v>
      </c>
      <c r="H377">
        <v>15</v>
      </c>
      <c r="I377">
        <v>67153</v>
      </c>
      <c r="J377" t="s">
        <v>107</v>
      </c>
      <c r="K377" t="s">
        <v>44</v>
      </c>
      <c r="L377" t="s">
        <v>32</v>
      </c>
      <c r="M377">
        <v>3</v>
      </c>
      <c r="N377">
        <v>514.82000000000005</v>
      </c>
      <c r="O377">
        <v>825.62</v>
      </c>
      <c r="P377">
        <v>0</v>
      </c>
      <c r="Q377">
        <v>0</v>
      </c>
      <c r="S377">
        <v>29</v>
      </c>
      <c r="T377">
        <v>1</v>
      </c>
      <c r="U377">
        <v>1</v>
      </c>
      <c r="V377">
        <v>825.62</v>
      </c>
      <c r="W377">
        <v>13130000375</v>
      </c>
    </row>
    <row r="378" spans="1:23" x14ac:dyDescent="0.2">
      <c r="A378" s="1">
        <v>44801</v>
      </c>
      <c r="B378" s="2">
        <v>0.62525462962962963</v>
      </c>
      <c r="C378">
        <v>1376</v>
      </c>
      <c r="D378">
        <v>13002561</v>
      </c>
      <c r="E378">
        <v>13</v>
      </c>
      <c r="F378">
        <v>22589</v>
      </c>
      <c r="G378" t="s">
        <v>23</v>
      </c>
      <c r="H378">
        <v>15</v>
      </c>
      <c r="I378">
        <v>68414</v>
      </c>
      <c r="J378" t="s">
        <v>106</v>
      </c>
      <c r="K378" t="s">
        <v>38</v>
      </c>
      <c r="L378" t="s">
        <v>26</v>
      </c>
      <c r="M378">
        <v>2</v>
      </c>
      <c r="N378">
        <v>575.63</v>
      </c>
      <c r="O378">
        <v>757.89</v>
      </c>
      <c r="P378">
        <v>0</v>
      </c>
      <c r="Q378">
        <v>0</v>
      </c>
      <c r="S378">
        <v>29</v>
      </c>
      <c r="T378">
        <v>1</v>
      </c>
      <c r="U378">
        <v>6</v>
      </c>
      <c r="V378">
        <v>757.89</v>
      </c>
      <c r="W378">
        <v>13130000376</v>
      </c>
    </row>
    <row r="379" spans="1:23" x14ac:dyDescent="0.2">
      <c r="A379" s="1">
        <v>44795</v>
      </c>
      <c r="B379" s="2">
        <v>0.46163194444444439</v>
      </c>
      <c r="C379">
        <v>1377</v>
      </c>
      <c r="D379">
        <v>13002561</v>
      </c>
      <c r="E379">
        <v>13</v>
      </c>
      <c r="F379">
        <v>22589</v>
      </c>
      <c r="G379" t="s">
        <v>23</v>
      </c>
      <c r="H379">
        <v>15</v>
      </c>
      <c r="I379">
        <v>73332</v>
      </c>
      <c r="J379" t="s">
        <v>120</v>
      </c>
      <c r="K379" t="s">
        <v>44</v>
      </c>
      <c r="L379" t="s">
        <v>32</v>
      </c>
      <c r="M379">
        <v>3</v>
      </c>
      <c r="N379">
        <v>149.53</v>
      </c>
      <c r="O379">
        <v>196.96</v>
      </c>
      <c r="P379">
        <v>19.7</v>
      </c>
      <c r="Q379">
        <v>19.7</v>
      </c>
      <c r="R379" t="s">
        <v>30</v>
      </c>
      <c r="S379">
        <v>29</v>
      </c>
      <c r="T379">
        <v>1</v>
      </c>
      <c r="U379">
        <v>1</v>
      </c>
      <c r="V379">
        <v>177.26</v>
      </c>
      <c r="W379">
        <v>13130000377</v>
      </c>
    </row>
    <row r="380" spans="1:23" x14ac:dyDescent="0.2">
      <c r="A380" s="1">
        <v>44793</v>
      </c>
      <c r="B380" s="2">
        <v>0.82788194444444441</v>
      </c>
      <c r="C380">
        <v>1378</v>
      </c>
      <c r="D380">
        <v>13002561</v>
      </c>
      <c r="E380">
        <v>13</v>
      </c>
      <c r="F380">
        <v>22589</v>
      </c>
      <c r="G380" t="s">
        <v>23</v>
      </c>
      <c r="H380">
        <v>15</v>
      </c>
      <c r="I380">
        <v>86502</v>
      </c>
      <c r="J380" t="s">
        <v>88</v>
      </c>
      <c r="K380" t="s">
        <v>60</v>
      </c>
      <c r="L380" t="s">
        <v>36</v>
      </c>
      <c r="M380">
        <v>1</v>
      </c>
      <c r="N380">
        <v>303.20999999999998</v>
      </c>
      <c r="O380">
        <v>394.76</v>
      </c>
      <c r="P380">
        <v>39.479999999999997</v>
      </c>
      <c r="Q380">
        <v>39.479999999999997</v>
      </c>
      <c r="R380" t="s">
        <v>30</v>
      </c>
      <c r="S380">
        <v>29</v>
      </c>
      <c r="T380">
        <v>1</v>
      </c>
      <c r="U380">
        <v>2</v>
      </c>
      <c r="V380">
        <v>355.28</v>
      </c>
      <c r="W380">
        <v>13130000378</v>
      </c>
    </row>
    <row r="381" spans="1:23" x14ac:dyDescent="0.2">
      <c r="A381" s="1">
        <v>44779</v>
      </c>
      <c r="B381" s="2">
        <v>0.51167824074074075</v>
      </c>
      <c r="C381">
        <v>1379</v>
      </c>
      <c r="D381">
        <v>13002561</v>
      </c>
      <c r="E381">
        <v>13</v>
      </c>
      <c r="F381">
        <v>22589</v>
      </c>
      <c r="G381" t="s">
        <v>23</v>
      </c>
      <c r="H381">
        <v>15</v>
      </c>
      <c r="I381">
        <v>49891</v>
      </c>
      <c r="J381" t="s">
        <v>37</v>
      </c>
      <c r="K381" t="s">
        <v>45</v>
      </c>
      <c r="L381" t="s">
        <v>29</v>
      </c>
      <c r="M381">
        <v>2</v>
      </c>
      <c r="N381">
        <v>299.82</v>
      </c>
      <c r="O381">
        <v>449.11</v>
      </c>
      <c r="P381">
        <v>0</v>
      </c>
      <c r="Q381">
        <v>0</v>
      </c>
      <c r="S381">
        <v>29</v>
      </c>
      <c r="T381">
        <v>1</v>
      </c>
      <c r="U381">
        <v>5</v>
      </c>
      <c r="V381">
        <v>449.11</v>
      </c>
      <c r="W381">
        <v>13130000379</v>
      </c>
    </row>
    <row r="382" spans="1:23" x14ac:dyDescent="0.2">
      <c r="A382" s="1">
        <v>44792</v>
      </c>
      <c r="B382" s="2">
        <v>0.56108796296296293</v>
      </c>
      <c r="C382">
        <v>1380</v>
      </c>
      <c r="D382">
        <v>13002561</v>
      </c>
      <c r="E382">
        <v>13</v>
      </c>
      <c r="F382">
        <v>22589</v>
      </c>
      <c r="G382" t="s">
        <v>23</v>
      </c>
      <c r="H382">
        <v>15</v>
      </c>
      <c r="I382">
        <v>21635</v>
      </c>
      <c r="J382" t="s">
        <v>43</v>
      </c>
      <c r="K382" t="s">
        <v>44</v>
      </c>
      <c r="L382" t="s">
        <v>26</v>
      </c>
      <c r="M382">
        <v>1</v>
      </c>
      <c r="N382">
        <v>367.18</v>
      </c>
      <c r="O382">
        <v>511.78</v>
      </c>
      <c r="P382">
        <v>51.18</v>
      </c>
      <c r="Q382">
        <v>51.18</v>
      </c>
      <c r="R382" t="s">
        <v>30</v>
      </c>
      <c r="S382">
        <v>29</v>
      </c>
      <c r="T382">
        <v>1</v>
      </c>
      <c r="U382">
        <v>5</v>
      </c>
      <c r="V382">
        <v>460.6</v>
      </c>
      <c r="W382">
        <v>13130000380</v>
      </c>
    </row>
    <row r="383" spans="1:23" x14ac:dyDescent="0.2">
      <c r="A383" s="1">
        <v>44788</v>
      </c>
      <c r="B383" s="2">
        <v>0.8122800925925926</v>
      </c>
      <c r="C383">
        <v>1381</v>
      </c>
      <c r="D383">
        <v>13002561</v>
      </c>
      <c r="E383">
        <v>13</v>
      </c>
      <c r="F383">
        <v>22589</v>
      </c>
      <c r="G383" t="s">
        <v>23</v>
      </c>
      <c r="H383">
        <v>18</v>
      </c>
      <c r="I383">
        <v>20960</v>
      </c>
      <c r="J383" t="s">
        <v>90</v>
      </c>
      <c r="K383" t="s">
        <v>44</v>
      </c>
      <c r="L383" t="s">
        <v>47</v>
      </c>
      <c r="M383">
        <v>3</v>
      </c>
      <c r="N383">
        <v>396.42</v>
      </c>
      <c r="O383">
        <v>610.79999999999995</v>
      </c>
      <c r="P383">
        <v>61.08</v>
      </c>
      <c r="Q383">
        <v>61.08</v>
      </c>
      <c r="R383" t="s">
        <v>30</v>
      </c>
      <c r="S383">
        <v>29</v>
      </c>
      <c r="T383">
        <v>1</v>
      </c>
      <c r="U383">
        <v>5</v>
      </c>
      <c r="V383">
        <v>549.72</v>
      </c>
      <c r="W383">
        <v>13130000381</v>
      </c>
    </row>
    <row r="384" spans="1:23" x14ac:dyDescent="0.2">
      <c r="A384" s="1">
        <v>44792</v>
      </c>
      <c r="B384" s="2">
        <v>0.3900925925925926</v>
      </c>
      <c r="C384">
        <v>1382</v>
      </c>
      <c r="D384">
        <v>13002561</v>
      </c>
      <c r="E384">
        <v>13</v>
      </c>
      <c r="F384">
        <v>22589</v>
      </c>
      <c r="G384" t="s">
        <v>23</v>
      </c>
      <c r="H384">
        <v>15</v>
      </c>
      <c r="I384">
        <v>13459</v>
      </c>
      <c r="J384" t="s">
        <v>100</v>
      </c>
      <c r="K384" t="s">
        <v>28</v>
      </c>
      <c r="L384" t="s">
        <v>34</v>
      </c>
      <c r="M384">
        <v>1</v>
      </c>
      <c r="N384">
        <v>423.15</v>
      </c>
      <c r="O384">
        <v>560.02</v>
      </c>
      <c r="P384">
        <v>0</v>
      </c>
      <c r="Q384">
        <v>0</v>
      </c>
      <c r="S384">
        <v>29</v>
      </c>
      <c r="T384">
        <v>1</v>
      </c>
      <c r="U384">
        <v>1</v>
      </c>
      <c r="V384">
        <v>560.02</v>
      </c>
      <c r="W384">
        <v>13130000382</v>
      </c>
    </row>
    <row r="385" spans="1:23" x14ac:dyDescent="0.2">
      <c r="A385" s="1">
        <v>44798</v>
      </c>
      <c r="B385" s="2">
        <v>0.39304398148148151</v>
      </c>
      <c r="C385">
        <v>1383</v>
      </c>
      <c r="D385">
        <v>13002561</v>
      </c>
      <c r="E385">
        <v>13</v>
      </c>
      <c r="F385">
        <v>22589</v>
      </c>
      <c r="G385" t="s">
        <v>23</v>
      </c>
      <c r="H385">
        <v>18</v>
      </c>
      <c r="I385">
        <v>98858</v>
      </c>
      <c r="J385" t="s">
        <v>111</v>
      </c>
      <c r="K385" t="s">
        <v>45</v>
      </c>
      <c r="L385" t="s">
        <v>32</v>
      </c>
      <c r="M385">
        <v>1</v>
      </c>
      <c r="N385">
        <v>200.86</v>
      </c>
      <c r="O385">
        <v>314.64999999999998</v>
      </c>
      <c r="P385">
        <v>15.73</v>
      </c>
      <c r="Q385">
        <v>15.73</v>
      </c>
      <c r="R385" t="s">
        <v>30</v>
      </c>
      <c r="S385">
        <v>29</v>
      </c>
      <c r="T385">
        <v>1</v>
      </c>
      <c r="U385">
        <v>4</v>
      </c>
      <c r="V385">
        <v>298.92</v>
      </c>
      <c r="W385">
        <v>13130000383</v>
      </c>
    </row>
    <row r="386" spans="1:23" x14ac:dyDescent="0.2">
      <c r="A386" s="1">
        <v>44804</v>
      </c>
      <c r="B386" s="2">
        <v>0.94557870370370367</v>
      </c>
      <c r="C386">
        <v>1384</v>
      </c>
      <c r="D386">
        <v>13002561</v>
      </c>
      <c r="E386">
        <v>13</v>
      </c>
      <c r="F386">
        <v>22589</v>
      </c>
      <c r="G386" t="s">
        <v>23</v>
      </c>
      <c r="H386">
        <v>15</v>
      </c>
      <c r="I386">
        <v>47194</v>
      </c>
      <c r="J386" t="s">
        <v>42</v>
      </c>
      <c r="K386" t="s">
        <v>28</v>
      </c>
      <c r="L386" t="s">
        <v>34</v>
      </c>
      <c r="M386">
        <v>2</v>
      </c>
      <c r="N386">
        <v>261.79000000000002</v>
      </c>
      <c r="O386">
        <v>369.44</v>
      </c>
      <c r="P386">
        <v>0</v>
      </c>
      <c r="Q386">
        <v>0</v>
      </c>
      <c r="S386">
        <v>29</v>
      </c>
      <c r="T386">
        <v>1</v>
      </c>
      <c r="U386">
        <v>1</v>
      </c>
      <c r="V386">
        <v>369.44</v>
      </c>
      <c r="W386">
        <v>13130000384</v>
      </c>
    </row>
    <row r="387" spans="1:23" x14ac:dyDescent="0.2">
      <c r="A387" s="1">
        <v>44795</v>
      </c>
      <c r="B387" s="2">
        <v>0.84785879629629635</v>
      </c>
      <c r="C387">
        <v>1385</v>
      </c>
      <c r="D387">
        <v>13002561</v>
      </c>
      <c r="E387">
        <v>13</v>
      </c>
      <c r="F387">
        <v>22589</v>
      </c>
      <c r="G387" t="s">
        <v>23</v>
      </c>
      <c r="H387">
        <v>15</v>
      </c>
      <c r="I387">
        <v>99983</v>
      </c>
      <c r="J387" t="s">
        <v>113</v>
      </c>
      <c r="K387" t="s">
        <v>28</v>
      </c>
      <c r="L387" t="s">
        <v>51</v>
      </c>
      <c r="M387">
        <v>2</v>
      </c>
      <c r="N387">
        <v>158.82</v>
      </c>
      <c r="O387">
        <v>216.96</v>
      </c>
      <c r="P387">
        <v>10.85</v>
      </c>
      <c r="Q387">
        <v>10.85</v>
      </c>
      <c r="R387" t="s">
        <v>30</v>
      </c>
      <c r="S387">
        <v>29</v>
      </c>
      <c r="T387">
        <v>1</v>
      </c>
      <c r="U387">
        <v>6</v>
      </c>
      <c r="V387">
        <v>206.11</v>
      </c>
      <c r="W387">
        <v>13130000385</v>
      </c>
    </row>
    <row r="388" spans="1:23" x14ac:dyDescent="0.2">
      <c r="A388" s="1">
        <v>44793</v>
      </c>
      <c r="B388" s="2">
        <v>0.89784722222222224</v>
      </c>
      <c r="C388">
        <v>1386</v>
      </c>
      <c r="D388">
        <v>13002561</v>
      </c>
      <c r="E388">
        <v>13</v>
      </c>
      <c r="F388">
        <v>22589</v>
      </c>
      <c r="G388" t="s">
        <v>23</v>
      </c>
      <c r="H388">
        <v>18</v>
      </c>
      <c r="I388">
        <v>71262</v>
      </c>
      <c r="J388" t="s">
        <v>88</v>
      </c>
      <c r="K388" t="s">
        <v>60</v>
      </c>
      <c r="L388" t="s">
        <v>34</v>
      </c>
      <c r="M388">
        <v>2</v>
      </c>
      <c r="N388">
        <v>351.29</v>
      </c>
      <c r="O388">
        <v>521.99</v>
      </c>
      <c r="P388">
        <v>26.1</v>
      </c>
      <c r="Q388">
        <v>26.1</v>
      </c>
      <c r="R388" t="s">
        <v>30</v>
      </c>
      <c r="S388">
        <v>29</v>
      </c>
      <c r="T388">
        <v>1</v>
      </c>
      <c r="U388">
        <v>6</v>
      </c>
      <c r="V388">
        <v>495.89</v>
      </c>
      <c r="W388">
        <v>13130000386</v>
      </c>
    </row>
    <row r="389" spans="1:23" x14ac:dyDescent="0.2">
      <c r="A389" s="1">
        <v>44774</v>
      </c>
      <c r="B389" s="2">
        <v>0.44399305555555563</v>
      </c>
      <c r="C389">
        <v>1387</v>
      </c>
      <c r="D389">
        <v>13002561</v>
      </c>
      <c r="E389">
        <v>13</v>
      </c>
      <c r="F389">
        <v>22589</v>
      </c>
      <c r="G389" t="s">
        <v>23</v>
      </c>
      <c r="H389">
        <v>15</v>
      </c>
      <c r="I389">
        <v>76611</v>
      </c>
      <c r="J389" t="s">
        <v>83</v>
      </c>
      <c r="K389" t="s">
        <v>45</v>
      </c>
      <c r="L389" t="s">
        <v>36</v>
      </c>
      <c r="M389">
        <v>1</v>
      </c>
      <c r="N389">
        <v>289.47000000000003</v>
      </c>
      <c r="O389">
        <v>389.17</v>
      </c>
      <c r="P389">
        <v>0</v>
      </c>
      <c r="Q389">
        <v>0</v>
      </c>
      <c r="S389">
        <v>29</v>
      </c>
      <c r="T389">
        <v>1</v>
      </c>
      <c r="U389">
        <v>6</v>
      </c>
      <c r="V389">
        <v>389.17</v>
      </c>
      <c r="W389">
        <v>13130000387</v>
      </c>
    </row>
    <row r="390" spans="1:23" x14ac:dyDescent="0.2">
      <c r="A390" s="1">
        <v>44786</v>
      </c>
      <c r="B390" s="2">
        <v>0.78427083333333336</v>
      </c>
      <c r="C390">
        <v>1388</v>
      </c>
      <c r="D390">
        <v>13002561</v>
      </c>
      <c r="E390">
        <v>13</v>
      </c>
      <c r="F390">
        <v>22589</v>
      </c>
      <c r="G390" t="s">
        <v>23</v>
      </c>
      <c r="H390">
        <v>18</v>
      </c>
      <c r="I390">
        <v>92760</v>
      </c>
      <c r="J390" t="s">
        <v>115</v>
      </c>
      <c r="K390" t="s">
        <v>28</v>
      </c>
      <c r="L390" t="s">
        <v>51</v>
      </c>
      <c r="M390">
        <v>2</v>
      </c>
      <c r="N390">
        <v>124.13</v>
      </c>
      <c r="O390">
        <v>175.68</v>
      </c>
      <c r="P390">
        <v>0</v>
      </c>
      <c r="Q390">
        <v>0</v>
      </c>
      <c r="S390">
        <v>29</v>
      </c>
      <c r="T390">
        <v>1</v>
      </c>
      <c r="U390">
        <v>5</v>
      </c>
      <c r="V390">
        <v>175.68</v>
      </c>
      <c r="W390">
        <v>13130000388</v>
      </c>
    </row>
    <row r="391" spans="1:23" x14ac:dyDescent="0.2">
      <c r="A391" s="1">
        <v>44774</v>
      </c>
      <c r="B391" s="2">
        <v>0.62776620370370373</v>
      </c>
      <c r="C391">
        <v>1389</v>
      </c>
      <c r="D391">
        <v>13002561</v>
      </c>
      <c r="E391">
        <v>13</v>
      </c>
      <c r="F391">
        <v>22589</v>
      </c>
      <c r="G391" t="s">
        <v>23</v>
      </c>
      <c r="H391">
        <v>18</v>
      </c>
      <c r="I391">
        <v>57116</v>
      </c>
      <c r="J391" t="s">
        <v>118</v>
      </c>
      <c r="K391" t="s">
        <v>38</v>
      </c>
      <c r="L391" t="s">
        <v>39</v>
      </c>
      <c r="M391">
        <v>1</v>
      </c>
      <c r="N391">
        <v>129.80000000000001</v>
      </c>
      <c r="O391">
        <v>218.7</v>
      </c>
      <c r="P391">
        <v>0</v>
      </c>
      <c r="Q391">
        <v>0</v>
      </c>
      <c r="S391">
        <v>29</v>
      </c>
      <c r="T391">
        <v>1</v>
      </c>
      <c r="U391">
        <v>3</v>
      </c>
      <c r="V391">
        <v>218.7</v>
      </c>
      <c r="W391">
        <v>13130000389</v>
      </c>
    </row>
    <row r="392" spans="1:23" x14ac:dyDescent="0.2">
      <c r="A392" s="1">
        <v>44801</v>
      </c>
      <c r="B392" s="2">
        <v>0.64069444444444446</v>
      </c>
      <c r="C392">
        <v>1390</v>
      </c>
      <c r="D392">
        <v>13002561</v>
      </c>
      <c r="E392">
        <v>13</v>
      </c>
      <c r="F392">
        <v>22589</v>
      </c>
      <c r="G392" t="s">
        <v>23</v>
      </c>
      <c r="H392">
        <v>18</v>
      </c>
      <c r="I392">
        <v>32984</v>
      </c>
      <c r="J392" t="s">
        <v>43</v>
      </c>
      <c r="K392" t="s">
        <v>25</v>
      </c>
      <c r="L392" t="s">
        <v>29</v>
      </c>
      <c r="M392">
        <v>2</v>
      </c>
      <c r="N392">
        <v>429.86</v>
      </c>
      <c r="O392">
        <v>688.9</v>
      </c>
      <c r="P392">
        <v>68.89</v>
      </c>
      <c r="Q392">
        <v>68.89</v>
      </c>
      <c r="R392" t="s">
        <v>30</v>
      </c>
      <c r="S392">
        <v>29</v>
      </c>
      <c r="T392">
        <v>1</v>
      </c>
      <c r="U392">
        <v>3</v>
      </c>
      <c r="V392">
        <v>620.01</v>
      </c>
      <c r="W392">
        <v>13130000390</v>
      </c>
    </row>
    <row r="393" spans="1:23" x14ac:dyDescent="0.2">
      <c r="A393" s="1">
        <v>44799</v>
      </c>
      <c r="B393" s="2">
        <v>0.3843287037037037</v>
      </c>
      <c r="C393">
        <v>1391</v>
      </c>
      <c r="D393">
        <v>13002561</v>
      </c>
      <c r="E393">
        <v>13</v>
      </c>
      <c r="F393">
        <v>22589</v>
      </c>
      <c r="G393" t="s">
        <v>23</v>
      </c>
      <c r="H393">
        <v>15</v>
      </c>
      <c r="I393">
        <v>28698</v>
      </c>
      <c r="J393" t="s">
        <v>40</v>
      </c>
      <c r="K393" t="s">
        <v>60</v>
      </c>
      <c r="L393" t="s">
        <v>51</v>
      </c>
      <c r="M393">
        <v>2</v>
      </c>
      <c r="N393">
        <v>522.73</v>
      </c>
      <c r="O393">
        <v>657.89</v>
      </c>
      <c r="P393">
        <v>32.89</v>
      </c>
      <c r="Q393">
        <v>32.89</v>
      </c>
      <c r="R393" t="s">
        <v>30</v>
      </c>
      <c r="S393">
        <v>29</v>
      </c>
      <c r="T393">
        <v>1</v>
      </c>
      <c r="U393">
        <v>5</v>
      </c>
      <c r="V393">
        <v>625</v>
      </c>
      <c r="W393">
        <v>13130000391</v>
      </c>
    </row>
    <row r="394" spans="1:23" x14ac:dyDescent="0.2">
      <c r="A394" s="1">
        <v>44789</v>
      </c>
      <c r="B394" s="2">
        <v>0.39353009259259258</v>
      </c>
      <c r="C394">
        <v>1392</v>
      </c>
      <c r="D394">
        <v>13002561</v>
      </c>
      <c r="E394">
        <v>13</v>
      </c>
      <c r="F394">
        <v>22589</v>
      </c>
      <c r="G394" t="s">
        <v>23</v>
      </c>
      <c r="H394">
        <v>15</v>
      </c>
      <c r="I394">
        <v>54342</v>
      </c>
      <c r="J394" t="s">
        <v>94</v>
      </c>
      <c r="K394" t="s">
        <v>45</v>
      </c>
      <c r="L394" t="s">
        <v>34</v>
      </c>
      <c r="M394">
        <v>3</v>
      </c>
      <c r="N394">
        <v>211.34</v>
      </c>
      <c r="O394">
        <v>276.66000000000003</v>
      </c>
      <c r="P394">
        <v>0</v>
      </c>
      <c r="Q394">
        <v>0</v>
      </c>
      <c r="S394">
        <v>29</v>
      </c>
      <c r="T394">
        <v>1</v>
      </c>
      <c r="U394">
        <v>1</v>
      </c>
      <c r="V394">
        <v>276.66000000000003</v>
      </c>
      <c r="W394">
        <v>13130000392</v>
      </c>
    </row>
    <row r="395" spans="1:23" x14ac:dyDescent="0.2">
      <c r="A395" s="1">
        <v>44798</v>
      </c>
      <c r="B395" s="2">
        <v>0.39901620370370372</v>
      </c>
      <c r="C395">
        <v>1393</v>
      </c>
      <c r="D395">
        <v>13002561</v>
      </c>
      <c r="E395">
        <v>13</v>
      </c>
      <c r="F395">
        <v>22589</v>
      </c>
      <c r="G395" t="s">
        <v>23</v>
      </c>
      <c r="H395">
        <v>18</v>
      </c>
      <c r="I395">
        <v>81356</v>
      </c>
      <c r="J395" t="s">
        <v>50</v>
      </c>
      <c r="K395" t="s">
        <v>44</v>
      </c>
      <c r="L395" t="s">
        <v>29</v>
      </c>
      <c r="M395">
        <v>2</v>
      </c>
      <c r="N395">
        <v>532.03</v>
      </c>
      <c r="O395">
        <v>732.19</v>
      </c>
      <c r="P395">
        <v>0</v>
      </c>
      <c r="Q395">
        <v>0</v>
      </c>
      <c r="S395">
        <v>29</v>
      </c>
      <c r="T395">
        <v>1</v>
      </c>
      <c r="U395">
        <v>6</v>
      </c>
      <c r="V395">
        <v>732.19</v>
      </c>
      <c r="W395">
        <v>13130000393</v>
      </c>
    </row>
    <row r="396" spans="1:23" x14ac:dyDescent="0.2">
      <c r="A396" s="1">
        <v>44782</v>
      </c>
      <c r="B396" s="2">
        <v>0.36495370370370372</v>
      </c>
      <c r="C396">
        <v>1394</v>
      </c>
      <c r="D396">
        <v>13002561</v>
      </c>
      <c r="E396">
        <v>13</v>
      </c>
      <c r="F396">
        <v>22589</v>
      </c>
      <c r="G396" t="s">
        <v>23</v>
      </c>
      <c r="H396">
        <v>18</v>
      </c>
      <c r="I396">
        <v>76040</v>
      </c>
      <c r="J396" t="s">
        <v>62</v>
      </c>
      <c r="K396" t="s">
        <v>44</v>
      </c>
      <c r="L396" t="s">
        <v>51</v>
      </c>
      <c r="M396">
        <v>3</v>
      </c>
      <c r="N396">
        <v>536.37</v>
      </c>
      <c r="O396">
        <v>823.17</v>
      </c>
      <c r="P396">
        <v>41.16</v>
      </c>
      <c r="Q396">
        <v>41.16</v>
      </c>
      <c r="R396" t="s">
        <v>30</v>
      </c>
      <c r="S396">
        <v>29</v>
      </c>
      <c r="T396">
        <v>1</v>
      </c>
      <c r="U396">
        <v>3</v>
      </c>
      <c r="V396">
        <v>782.01</v>
      </c>
      <c r="W396">
        <v>13130000394</v>
      </c>
    </row>
    <row r="397" spans="1:23" x14ac:dyDescent="0.2">
      <c r="A397" s="1">
        <v>44780</v>
      </c>
      <c r="B397" s="2">
        <v>0.40489583333333329</v>
      </c>
      <c r="C397">
        <v>1395</v>
      </c>
      <c r="D397">
        <v>13002561</v>
      </c>
      <c r="E397">
        <v>13</v>
      </c>
      <c r="F397">
        <v>22589</v>
      </c>
      <c r="G397" t="s">
        <v>23</v>
      </c>
      <c r="H397">
        <v>18</v>
      </c>
      <c r="I397">
        <v>96399</v>
      </c>
      <c r="J397" t="s">
        <v>98</v>
      </c>
      <c r="K397" t="s">
        <v>25</v>
      </c>
      <c r="L397" t="s">
        <v>34</v>
      </c>
      <c r="M397">
        <v>2</v>
      </c>
      <c r="N397">
        <v>537.52</v>
      </c>
      <c r="O397">
        <v>675.09</v>
      </c>
      <c r="P397">
        <v>67.510000000000005</v>
      </c>
      <c r="Q397">
        <v>67.510000000000005</v>
      </c>
      <c r="R397" t="s">
        <v>30</v>
      </c>
      <c r="S397">
        <v>29</v>
      </c>
      <c r="T397">
        <v>1</v>
      </c>
      <c r="U397">
        <v>6</v>
      </c>
      <c r="V397">
        <v>607.58000000000004</v>
      </c>
      <c r="W397">
        <v>13130000395</v>
      </c>
    </row>
    <row r="398" spans="1:23" x14ac:dyDescent="0.2">
      <c r="A398" s="1">
        <v>44791</v>
      </c>
      <c r="B398" s="2">
        <v>0.36057870370370371</v>
      </c>
      <c r="C398">
        <v>1396</v>
      </c>
      <c r="D398">
        <v>13002561</v>
      </c>
      <c r="E398">
        <v>13</v>
      </c>
      <c r="F398">
        <v>22589</v>
      </c>
      <c r="G398" t="s">
        <v>23</v>
      </c>
      <c r="H398">
        <v>18</v>
      </c>
      <c r="I398">
        <v>69864</v>
      </c>
      <c r="J398" t="s">
        <v>99</v>
      </c>
      <c r="K398" t="s">
        <v>25</v>
      </c>
      <c r="L398" t="s">
        <v>32</v>
      </c>
      <c r="M398">
        <v>2</v>
      </c>
      <c r="N398">
        <v>36.06</v>
      </c>
      <c r="O398">
        <v>58.05</v>
      </c>
      <c r="P398">
        <v>5.8</v>
      </c>
      <c r="Q398">
        <v>5.8</v>
      </c>
      <c r="R398" t="s">
        <v>30</v>
      </c>
      <c r="S398">
        <v>29</v>
      </c>
      <c r="T398">
        <v>1</v>
      </c>
      <c r="U398">
        <v>5</v>
      </c>
      <c r="V398">
        <v>52.25</v>
      </c>
      <c r="W398">
        <v>13130000396</v>
      </c>
    </row>
    <row r="399" spans="1:23" x14ac:dyDescent="0.2">
      <c r="A399" s="1">
        <v>44791</v>
      </c>
      <c r="B399" s="2">
        <v>0.61585648148148153</v>
      </c>
      <c r="C399">
        <v>1397</v>
      </c>
      <c r="D399">
        <v>13002561</v>
      </c>
      <c r="E399">
        <v>13</v>
      </c>
      <c r="F399">
        <v>22589</v>
      </c>
      <c r="G399" t="s">
        <v>23</v>
      </c>
      <c r="H399">
        <v>18</v>
      </c>
      <c r="I399">
        <v>89396</v>
      </c>
      <c r="J399" t="s">
        <v>127</v>
      </c>
      <c r="K399" t="s">
        <v>28</v>
      </c>
      <c r="L399" t="s">
        <v>26</v>
      </c>
      <c r="M399">
        <v>3</v>
      </c>
      <c r="N399">
        <v>362.58</v>
      </c>
      <c r="O399">
        <v>507.14</v>
      </c>
      <c r="P399">
        <v>50.71</v>
      </c>
      <c r="Q399">
        <v>50.71</v>
      </c>
      <c r="R399" t="s">
        <v>30</v>
      </c>
      <c r="S399">
        <v>29</v>
      </c>
      <c r="T399">
        <v>1</v>
      </c>
      <c r="U399">
        <v>5</v>
      </c>
      <c r="V399">
        <v>456.43</v>
      </c>
      <c r="W399">
        <v>13130000397</v>
      </c>
    </row>
    <row r="400" spans="1:23" x14ac:dyDescent="0.2">
      <c r="A400" s="1">
        <v>44775</v>
      </c>
      <c r="B400" s="2">
        <v>0.72158564814814818</v>
      </c>
      <c r="C400">
        <v>1398</v>
      </c>
      <c r="D400">
        <v>13002561</v>
      </c>
      <c r="E400">
        <v>13</v>
      </c>
      <c r="F400">
        <v>22589</v>
      </c>
      <c r="G400" t="s">
        <v>23</v>
      </c>
      <c r="H400">
        <v>15</v>
      </c>
      <c r="I400">
        <v>84312</v>
      </c>
      <c r="J400" t="s">
        <v>110</v>
      </c>
      <c r="K400" t="s">
        <v>25</v>
      </c>
      <c r="L400" t="s">
        <v>51</v>
      </c>
      <c r="M400">
        <v>3</v>
      </c>
      <c r="N400">
        <v>137.08000000000001</v>
      </c>
      <c r="O400">
        <v>171.73</v>
      </c>
      <c r="P400">
        <v>8.59</v>
      </c>
      <c r="Q400">
        <v>8.59</v>
      </c>
      <c r="R400" t="s">
        <v>30</v>
      </c>
      <c r="S400">
        <v>29</v>
      </c>
      <c r="T400">
        <v>1</v>
      </c>
      <c r="U400">
        <v>5</v>
      </c>
      <c r="V400">
        <v>163.13999999999999</v>
      </c>
      <c r="W400">
        <v>13130000398</v>
      </c>
    </row>
    <row r="401" spans="1:23" x14ac:dyDescent="0.2">
      <c r="A401" s="1">
        <v>44792</v>
      </c>
      <c r="B401" s="2">
        <v>0.58812500000000001</v>
      </c>
      <c r="C401">
        <v>1399</v>
      </c>
      <c r="D401">
        <v>13002561</v>
      </c>
      <c r="E401">
        <v>13</v>
      </c>
      <c r="F401">
        <v>22589</v>
      </c>
      <c r="G401" t="s">
        <v>23</v>
      </c>
      <c r="H401">
        <v>15</v>
      </c>
      <c r="I401">
        <v>58145</v>
      </c>
      <c r="J401" t="s">
        <v>40</v>
      </c>
      <c r="K401" t="s">
        <v>45</v>
      </c>
      <c r="L401" t="s">
        <v>47</v>
      </c>
      <c r="M401">
        <v>1</v>
      </c>
      <c r="N401">
        <v>89.53</v>
      </c>
      <c r="O401">
        <v>129.38999999999999</v>
      </c>
      <c r="P401">
        <v>0</v>
      </c>
      <c r="Q401">
        <v>0</v>
      </c>
      <c r="S401">
        <v>29</v>
      </c>
      <c r="T401">
        <v>1</v>
      </c>
      <c r="U401">
        <v>2</v>
      </c>
      <c r="V401">
        <v>129.38999999999999</v>
      </c>
      <c r="W401">
        <v>13130000399</v>
      </c>
    </row>
    <row r="402" spans="1:23" x14ac:dyDescent="0.2">
      <c r="A402" s="1">
        <v>44793</v>
      </c>
      <c r="B402" s="2">
        <v>0.44555555555555548</v>
      </c>
      <c r="C402">
        <v>1400</v>
      </c>
      <c r="D402">
        <v>13002561</v>
      </c>
      <c r="E402">
        <v>13</v>
      </c>
      <c r="F402">
        <v>22589</v>
      </c>
      <c r="G402" t="s">
        <v>23</v>
      </c>
      <c r="H402">
        <v>18</v>
      </c>
      <c r="I402">
        <v>73945</v>
      </c>
      <c r="J402" t="s">
        <v>40</v>
      </c>
      <c r="K402" t="s">
        <v>25</v>
      </c>
      <c r="L402" t="s">
        <v>26</v>
      </c>
      <c r="M402">
        <v>2</v>
      </c>
      <c r="N402">
        <v>60.03</v>
      </c>
      <c r="O402">
        <v>92.75</v>
      </c>
      <c r="P402">
        <v>0</v>
      </c>
      <c r="Q402">
        <v>0</v>
      </c>
      <c r="S402">
        <v>29</v>
      </c>
      <c r="T402">
        <v>1</v>
      </c>
      <c r="U402">
        <v>6</v>
      </c>
      <c r="V402">
        <v>92.75</v>
      </c>
      <c r="W402">
        <v>13130000400</v>
      </c>
    </row>
    <row r="403" spans="1:23" x14ac:dyDescent="0.2">
      <c r="A403" s="1">
        <v>44796</v>
      </c>
      <c r="B403" s="2">
        <v>0.62649305555555557</v>
      </c>
      <c r="C403">
        <v>1401</v>
      </c>
      <c r="D403">
        <v>13002561</v>
      </c>
      <c r="E403">
        <v>13</v>
      </c>
      <c r="F403">
        <v>22589</v>
      </c>
      <c r="G403" t="s">
        <v>23</v>
      </c>
      <c r="H403">
        <v>18</v>
      </c>
      <c r="I403">
        <v>20138</v>
      </c>
      <c r="J403" t="s">
        <v>55</v>
      </c>
      <c r="K403" t="s">
        <v>60</v>
      </c>
      <c r="L403" t="s">
        <v>47</v>
      </c>
      <c r="M403">
        <v>2</v>
      </c>
      <c r="N403">
        <v>268.7</v>
      </c>
      <c r="O403">
        <v>357.51</v>
      </c>
      <c r="P403">
        <v>0</v>
      </c>
      <c r="Q403">
        <v>0</v>
      </c>
      <c r="S403">
        <v>29</v>
      </c>
      <c r="T403">
        <v>1</v>
      </c>
      <c r="U403">
        <v>1</v>
      </c>
      <c r="V403">
        <v>357.51</v>
      </c>
      <c r="W403">
        <v>13130000401</v>
      </c>
    </row>
    <row r="404" spans="1:23" x14ac:dyDescent="0.2">
      <c r="A404" s="1">
        <v>44802</v>
      </c>
      <c r="B404" s="2">
        <v>0.82570601851851855</v>
      </c>
      <c r="C404">
        <v>1402</v>
      </c>
      <c r="D404">
        <v>13002561</v>
      </c>
      <c r="E404">
        <v>13</v>
      </c>
      <c r="F404">
        <v>22589</v>
      </c>
      <c r="G404" t="s">
        <v>23</v>
      </c>
      <c r="H404">
        <v>18</v>
      </c>
      <c r="I404">
        <v>43803</v>
      </c>
      <c r="J404" t="s">
        <v>59</v>
      </c>
      <c r="K404" t="s">
        <v>45</v>
      </c>
      <c r="L404" t="s">
        <v>51</v>
      </c>
      <c r="M404">
        <v>1</v>
      </c>
      <c r="N404">
        <v>536.97</v>
      </c>
      <c r="O404">
        <v>714.27</v>
      </c>
      <c r="P404">
        <v>0</v>
      </c>
      <c r="Q404">
        <v>0</v>
      </c>
      <c r="S404">
        <v>29</v>
      </c>
      <c r="T404">
        <v>1</v>
      </c>
      <c r="U404">
        <v>4</v>
      </c>
      <c r="V404">
        <v>714.27</v>
      </c>
      <c r="W404">
        <v>13130000402</v>
      </c>
    </row>
    <row r="405" spans="1:23" x14ac:dyDescent="0.2">
      <c r="A405" s="1">
        <v>44793</v>
      </c>
      <c r="B405" s="2">
        <v>0.72577546296296291</v>
      </c>
      <c r="C405">
        <v>1403</v>
      </c>
      <c r="D405">
        <v>13002561</v>
      </c>
      <c r="E405">
        <v>13</v>
      </c>
      <c r="F405">
        <v>22589</v>
      </c>
      <c r="G405" t="s">
        <v>23</v>
      </c>
      <c r="H405">
        <v>18</v>
      </c>
      <c r="I405">
        <v>49451</v>
      </c>
      <c r="J405" t="s">
        <v>46</v>
      </c>
      <c r="K405" t="s">
        <v>45</v>
      </c>
      <c r="L405" t="s">
        <v>39</v>
      </c>
      <c r="M405">
        <v>1</v>
      </c>
      <c r="N405">
        <v>359.45</v>
      </c>
      <c r="O405">
        <v>530.73</v>
      </c>
      <c r="P405">
        <v>26.54</v>
      </c>
      <c r="Q405">
        <v>26.54</v>
      </c>
      <c r="R405" t="s">
        <v>30</v>
      </c>
      <c r="S405">
        <v>29</v>
      </c>
      <c r="T405">
        <v>1</v>
      </c>
      <c r="U405">
        <v>4</v>
      </c>
      <c r="V405">
        <v>504.19</v>
      </c>
      <c r="W405">
        <v>13130000403</v>
      </c>
    </row>
    <row r="406" spans="1:23" x14ac:dyDescent="0.2">
      <c r="A406" s="1">
        <v>44793</v>
      </c>
      <c r="B406" s="2">
        <v>0.39496527777777779</v>
      </c>
      <c r="C406">
        <v>1404</v>
      </c>
      <c r="D406">
        <v>13002561</v>
      </c>
      <c r="E406">
        <v>13</v>
      </c>
      <c r="F406">
        <v>22589</v>
      </c>
      <c r="G406" t="s">
        <v>23</v>
      </c>
      <c r="H406">
        <v>15</v>
      </c>
      <c r="I406">
        <v>66085</v>
      </c>
      <c r="J406" t="s">
        <v>101</v>
      </c>
      <c r="K406" t="s">
        <v>60</v>
      </c>
      <c r="L406" t="s">
        <v>34</v>
      </c>
      <c r="M406">
        <v>3</v>
      </c>
      <c r="N406">
        <v>425.3</v>
      </c>
      <c r="O406">
        <v>578.84</v>
      </c>
      <c r="P406">
        <v>57.88</v>
      </c>
      <c r="Q406">
        <v>57.88</v>
      </c>
      <c r="R406" t="s">
        <v>30</v>
      </c>
      <c r="S406">
        <v>29</v>
      </c>
      <c r="T406">
        <v>1</v>
      </c>
      <c r="U406">
        <v>1</v>
      </c>
      <c r="V406">
        <v>520.96</v>
      </c>
      <c r="W406">
        <v>13130000404</v>
      </c>
    </row>
    <row r="407" spans="1:23" x14ac:dyDescent="0.2">
      <c r="A407" s="1">
        <v>44781</v>
      </c>
      <c r="B407" s="2">
        <v>0.87791666666666668</v>
      </c>
      <c r="C407">
        <v>1405</v>
      </c>
      <c r="D407">
        <v>13002561</v>
      </c>
      <c r="E407">
        <v>13</v>
      </c>
      <c r="F407">
        <v>22589</v>
      </c>
      <c r="G407" t="s">
        <v>23</v>
      </c>
      <c r="H407">
        <v>18</v>
      </c>
      <c r="I407">
        <v>46886</v>
      </c>
      <c r="J407" t="s">
        <v>37</v>
      </c>
      <c r="K407" t="s">
        <v>44</v>
      </c>
      <c r="L407" t="s">
        <v>51</v>
      </c>
      <c r="M407">
        <v>2</v>
      </c>
      <c r="N407">
        <v>194.27</v>
      </c>
      <c r="O407">
        <v>286.56</v>
      </c>
      <c r="P407">
        <v>14.33</v>
      </c>
      <c r="Q407">
        <v>14.33</v>
      </c>
      <c r="R407" t="s">
        <v>30</v>
      </c>
      <c r="S407">
        <v>29</v>
      </c>
      <c r="T407">
        <v>1</v>
      </c>
      <c r="U407">
        <v>1</v>
      </c>
      <c r="V407">
        <v>272.23</v>
      </c>
      <c r="W407">
        <v>13130000405</v>
      </c>
    </row>
    <row r="408" spans="1:23" x14ac:dyDescent="0.2">
      <c r="A408" s="1">
        <v>44797</v>
      </c>
      <c r="B408" s="2">
        <v>0.93552083333333336</v>
      </c>
      <c r="C408">
        <v>1406</v>
      </c>
      <c r="D408">
        <v>13002561</v>
      </c>
      <c r="E408">
        <v>13</v>
      </c>
      <c r="F408">
        <v>22589</v>
      </c>
      <c r="G408" t="s">
        <v>23</v>
      </c>
      <c r="H408">
        <v>18</v>
      </c>
      <c r="I408">
        <v>68258</v>
      </c>
      <c r="J408" t="s">
        <v>93</v>
      </c>
      <c r="K408" t="s">
        <v>44</v>
      </c>
      <c r="L408" t="s">
        <v>34</v>
      </c>
      <c r="M408">
        <v>1</v>
      </c>
      <c r="N408">
        <v>96.53</v>
      </c>
      <c r="O408">
        <v>148.76</v>
      </c>
      <c r="P408">
        <v>0</v>
      </c>
      <c r="Q408">
        <v>0</v>
      </c>
      <c r="S408">
        <v>29</v>
      </c>
      <c r="T408">
        <v>1</v>
      </c>
      <c r="U408">
        <v>1</v>
      </c>
      <c r="V408">
        <v>148.76</v>
      </c>
      <c r="W408">
        <v>13130000406</v>
      </c>
    </row>
    <row r="409" spans="1:23" x14ac:dyDescent="0.2">
      <c r="A409" s="1">
        <v>44796</v>
      </c>
      <c r="B409" s="2">
        <v>0.47263888888888889</v>
      </c>
      <c r="C409">
        <v>1407</v>
      </c>
      <c r="D409">
        <v>13002561</v>
      </c>
      <c r="E409">
        <v>13</v>
      </c>
      <c r="F409">
        <v>22589</v>
      </c>
      <c r="G409" t="s">
        <v>23</v>
      </c>
      <c r="H409">
        <v>18</v>
      </c>
      <c r="I409">
        <v>41983</v>
      </c>
      <c r="J409" t="s">
        <v>71</v>
      </c>
      <c r="K409" t="s">
        <v>38</v>
      </c>
      <c r="L409" t="s">
        <v>26</v>
      </c>
      <c r="M409">
        <v>2</v>
      </c>
      <c r="N409">
        <v>254.36</v>
      </c>
      <c r="O409">
        <v>368.52</v>
      </c>
      <c r="P409">
        <v>0</v>
      </c>
      <c r="Q409">
        <v>0</v>
      </c>
      <c r="S409">
        <v>29</v>
      </c>
      <c r="T409">
        <v>1</v>
      </c>
      <c r="U409">
        <v>3</v>
      </c>
      <c r="V409">
        <v>368.52</v>
      </c>
      <c r="W409">
        <v>13130000407</v>
      </c>
    </row>
    <row r="410" spans="1:23" x14ac:dyDescent="0.2">
      <c r="A410" s="1">
        <v>44786</v>
      </c>
      <c r="B410" s="2">
        <v>0.6814930555555555</v>
      </c>
      <c r="C410">
        <v>1408</v>
      </c>
      <c r="D410">
        <v>13002561</v>
      </c>
      <c r="E410">
        <v>13</v>
      </c>
      <c r="F410">
        <v>22589</v>
      </c>
      <c r="G410" t="s">
        <v>23</v>
      </c>
      <c r="H410">
        <v>15</v>
      </c>
      <c r="I410">
        <v>50578</v>
      </c>
      <c r="J410" t="s">
        <v>48</v>
      </c>
      <c r="K410" t="s">
        <v>38</v>
      </c>
      <c r="L410" t="s">
        <v>47</v>
      </c>
      <c r="M410">
        <v>3</v>
      </c>
      <c r="N410">
        <v>353.22</v>
      </c>
      <c r="O410">
        <v>590.54</v>
      </c>
      <c r="P410">
        <v>59.05</v>
      </c>
      <c r="Q410">
        <v>59.05</v>
      </c>
      <c r="R410" t="s">
        <v>30</v>
      </c>
      <c r="S410">
        <v>29</v>
      </c>
      <c r="T410">
        <v>1</v>
      </c>
      <c r="U410">
        <v>2</v>
      </c>
      <c r="V410">
        <v>531.49</v>
      </c>
      <c r="W410">
        <v>13130000408</v>
      </c>
    </row>
    <row r="411" spans="1:23" x14ac:dyDescent="0.2">
      <c r="A411" s="1">
        <v>44780</v>
      </c>
      <c r="B411" s="2">
        <v>0.66087962962962965</v>
      </c>
      <c r="C411">
        <v>1409</v>
      </c>
      <c r="D411">
        <v>13002561</v>
      </c>
      <c r="E411">
        <v>13</v>
      </c>
      <c r="F411">
        <v>22589</v>
      </c>
      <c r="G411" t="s">
        <v>23</v>
      </c>
      <c r="H411">
        <v>18</v>
      </c>
      <c r="I411">
        <v>83579</v>
      </c>
      <c r="J411" t="s">
        <v>46</v>
      </c>
      <c r="K411" t="s">
        <v>25</v>
      </c>
      <c r="L411" t="s">
        <v>47</v>
      </c>
      <c r="M411">
        <v>1</v>
      </c>
      <c r="N411">
        <v>205.03</v>
      </c>
      <c r="O411">
        <v>291.33</v>
      </c>
      <c r="P411">
        <v>0</v>
      </c>
      <c r="Q411">
        <v>0</v>
      </c>
      <c r="S411">
        <v>29</v>
      </c>
      <c r="T411">
        <v>1</v>
      </c>
      <c r="U411">
        <v>4</v>
      </c>
      <c r="V411">
        <v>291.33</v>
      </c>
      <c r="W411">
        <v>13130000409</v>
      </c>
    </row>
    <row r="412" spans="1:23" x14ac:dyDescent="0.2">
      <c r="A412" s="1">
        <v>44780</v>
      </c>
      <c r="B412" s="2">
        <v>0.8616435185185185</v>
      </c>
      <c r="C412">
        <v>1410</v>
      </c>
      <c r="D412">
        <v>13002561</v>
      </c>
      <c r="E412">
        <v>13</v>
      </c>
      <c r="F412">
        <v>22589</v>
      </c>
      <c r="G412" t="s">
        <v>23</v>
      </c>
      <c r="H412">
        <v>15</v>
      </c>
      <c r="I412">
        <v>65365</v>
      </c>
      <c r="J412" t="s">
        <v>104</v>
      </c>
      <c r="K412" t="s">
        <v>28</v>
      </c>
      <c r="L412" t="s">
        <v>47</v>
      </c>
      <c r="M412">
        <v>3</v>
      </c>
      <c r="N412">
        <v>200.34</v>
      </c>
      <c r="O412">
        <v>294.67</v>
      </c>
      <c r="P412">
        <v>29.47</v>
      </c>
      <c r="Q412">
        <v>29.47</v>
      </c>
      <c r="R412" t="s">
        <v>30</v>
      </c>
      <c r="S412">
        <v>29</v>
      </c>
      <c r="T412">
        <v>1</v>
      </c>
      <c r="U412">
        <v>1</v>
      </c>
      <c r="V412">
        <v>265.2</v>
      </c>
      <c r="W412">
        <v>13130000410</v>
      </c>
    </row>
    <row r="413" spans="1:23" x14ac:dyDescent="0.2">
      <c r="A413" s="1">
        <v>44803</v>
      </c>
      <c r="B413" s="2">
        <v>0.44784722222222217</v>
      </c>
      <c r="C413">
        <v>1411</v>
      </c>
      <c r="D413">
        <v>13002561</v>
      </c>
      <c r="E413">
        <v>13</v>
      </c>
      <c r="F413">
        <v>22589</v>
      </c>
      <c r="G413" t="s">
        <v>23</v>
      </c>
      <c r="H413">
        <v>15</v>
      </c>
      <c r="I413">
        <v>22463</v>
      </c>
      <c r="J413" t="s">
        <v>66</v>
      </c>
      <c r="K413" t="s">
        <v>60</v>
      </c>
      <c r="L413" t="s">
        <v>47</v>
      </c>
      <c r="M413">
        <v>1</v>
      </c>
      <c r="N413">
        <v>407.55</v>
      </c>
      <c r="O413">
        <v>625.13</v>
      </c>
      <c r="P413">
        <v>31.26</v>
      </c>
      <c r="Q413">
        <v>31.26</v>
      </c>
      <c r="R413" t="s">
        <v>30</v>
      </c>
      <c r="S413">
        <v>29</v>
      </c>
      <c r="T413">
        <v>1</v>
      </c>
      <c r="U413">
        <v>2</v>
      </c>
      <c r="V413">
        <v>593.87</v>
      </c>
      <c r="W413">
        <v>13130000411</v>
      </c>
    </row>
    <row r="414" spans="1:23" x14ac:dyDescent="0.2">
      <c r="A414" s="1">
        <v>44791</v>
      </c>
      <c r="B414" s="2">
        <v>0.35337962962962971</v>
      </c>
      <c r="C414">
        <v>1412</v>
      </c>
      <c r="D414">
        <v>13002561</v>
      </c>
      <c r="E414">
        <v>13</v>
      </c>
      <c r="F414">
        <v>22589</v>
      </c>
      <c r="G414" t="s">
        <v>23</v>
      </c>
      <c r="H414">
        <v>18</v>
      </c>
      <c r="I414">
        <v>95076</v>
      </c>
      <c r="J414" t="s">
        <v>66</v>
      </c>
      <c r="K414" t="s">
        <v>45</v>
      </c>
      <c r="L414" t="s">
        <v>32</v>
      </c>
      <c r="M414">
        <v>1</v>
      </c>
      <c r="N414">
        <v>487.08</v>
      </c>
      <c r="O414">
        <v>620.20000000000005</v>
      </c>
      <c r="P414">
        <v>0</v>
      </c>
      <c r="Q414">
        <v>0</v>
      </c>
      <c r="S414">
        <v>29</v>
      </c>
      <c r="T414">
        <v>1</v>
      </c>
      <c r="U414">
        <v>5</v>
      </c>
      <c r="V414">
        <v>620.20000000000005</v>
      </c>
      <c r="W414">
        <v>13130000412</v>
      </c>
    </row>
    <row r="415" spans="1:23" x14ac:dyDescent="0.2">
      <c r="A415" s="1">
        <v>44793</v>
      </c>
      <c r="B415" s="2">
        <v>0.77158564814814812</v>
      </c>
      <c r="C415">
        <v>1413</v>
      </c>
      <c r="D415">
        <v>13002561</v>
      </c>
      <c r="E415">
        <v>13</v>
      </c>
      <c r="F415">
        <v>22589</v>
      </c>
      <c r="G415" t="s">
        <v>23</v>
      </c>
      <c r="H415">
        <v>18</v>
      </c>
      <c r="I415">
        <v>59539</v>
      </c>
      <c r="J415" t="s">
        <v>108</v>
      </c>
      <c r="K415" t="s">
        <v>28</v>
      </c>
      <c r="L415" t="s">
        <v>47</v>
      </c>
      <c r="M415">
        <v>1</v>
      </c>
      <c r="N415">
        <v>459.79</v>
      </c>
      <c r="O415">
        <v>595.01</v>
      </c>
      <c r="P415">
        <v>59.5</v>
      </c>
      <c r="Q415">
        <v>59.5</v>
      </c>
      <c r="R415" t="s">
        <v>30</v>
      </c>
      <c r="S415">
        <v>29</v>
      </c>
      <c r="T415">
        <v>1</v>
      </c>
      <c r="U415">
        <v>2</v>
      </c>
      <c r="V415">
        <v>535.51</v>
      </c>
      <c r="W415">
        <v>13130000413</v>
      </c>
    </row>
    <row r="416" spans="1:23" x14ac:dyDescent="0.2">
      <c r="A416" s="1">
        <v>44792</v>
      </c>
      <c r="B416" s="2">
        <v>0.74937500000000001</v>
      </c>
      <c r="C416">
        <v>1414</v>
      </c>
      <c r="D416">
        <v>13002561</v>
      </c>
      <c r="E416">
        <v>13</v>
      </c>
      <c r="F416">
        <v>22589</v>
      </c>
      <c r="G416" t="s">
        <v>23</v>
      </c>
      <c r="H416">
        <v>15</v>
      </c>
      <c r="I416">
        <v>47219</v>
      </c>
      <c r="J416" t="s">
        <v>104</v>
      </c>
      <c r="K416" t="s">
        <v>38</v>
      </c>
      <c r="L416" t="s">
        <v>32</v>
      </c>
      <c r="M416">
        <v>2</v>
      </c>
      <c r="N416">
        <v>538.89</v>
      </c>
      <c r="O416">
        <v>718.4</v>
      </c>
      <c r="P416">
        <v>0</v>
      </c>
      <c r="Q416">
        <v>0</v>
      </c>
      <c r="S416">
        <v>29</v>
      </c>
      <c r="T416">
        <v>1</v>
      </c>
      <c r="U416">
        <v>5</v>
      </c>
      <c r="V416">
        <v>718.4</v>
      </c>
      <c r="W416">
        <v>13130000414</v>
      </c>
    </row>
    <row r="417" spans="1:23" x14ac:dyDescent="0.2">
      <c r="A417" s="1">
        <v>44793</v>
      </c>
      <c r="B417" s="2">
        <v>0.65298611111111116</v>
      </c>
      <c r="C417">
        <v>1415</v>
      </c>
      <c r="D417">
        <v>13002561</v>
      </c>
      <c r="E417">
        <v>13</v>
      </c>
      <c r="F417">
        <v>22589</v>
      </c>
      <c r="G417" t="s">
        <v>23</v>
      </c>
      <c r="H417">
        <v>18</v>
      </c>
      <c r="I417">
        <v>65955</v>
      </c>
      <c r="J417" t="s">
        <v>114</v>
      </c>
      <c r="K417" t="s">
        <v>60</v>
      </c>
      <c r="L417" t="s">
        <v>29</v>
      </c>
      <c r="M417">
        <v>2</v>
      </c>
      <c r="N417">
        <v>218.37</v>
      </c>
      <c r="O417">
        <v>321.62</v>
      </c>
      <c r="P417">
        <v>0</v>
      </c>
      <c r="Q417">
        <v>0</v>
      </c>
      <c r="S417">
        <v>29</v>
      </c>
      <c r="T417">
        <v>1</v>
      </c>
      <c r="U417">
        <v>6</v>
      </c>
      <c r="V417">
        <v>321.62</v>
      </c>
      <c r="W417">
        <v>13130000415</v>
      </c>
    </row>
    <row r="418" spans="1:23" x14ac:dyDescent="0.2">
      <c r="A418" s="1">
        <v>44799</v>
      </c>
      <c r="B418" s="2">
        <v>0.6771180555555556</v>
      </c>
      <c r="C418">
        <v>1416</v>
      </c>
      <c r="D418">
        <v>13002561</v>
      </c>
      <c r="E418">
        <v>13</v>
      </c>
      <c r="F418">
        <v>22589</v>
      </c>
      <c r="G418" t="s">
        <v>23</v>
      </c>
      <c r="H418">
        <v>18</v>
      </c>
      <c r="I418">
        <v>28117</v>
      </c>
      <c r="J418" t="s">
        <v>74</v>
      </c>
      <c r="K418" t="s">
        <v>38</v>
      </c>
      <c r="L418" t="s">
        <v>29</v>
      </c>
      <c r="M418">
        <v>2</v>
      </c>
      <c r="N418">
        <v>306.93</v>
      </c>
      <c r="O418">
        <v>452.49</v>
      </c>
      <c r="P418">
        <v>0</v>
      </c>
      <c r="Q418">
        <v>0</v>
      </c>
      <c r="S418">
        <v>29</v>
      </c>
      <c r="T418">
        <v>1</v>
      </c>
      <c r="U418">
        <v>5</v>
      </c>
      <c r="V418">
        <v>452.49</v>
      </c>
      <c r="W418">
        <v>13130000416</v>
      </c>
    </row>
    <row r="419" spans="1:23" x14ac:dyDescent="0.2">
      <c r="A419" s="1">
        <v>44783</v>
      </c>
      <c r="B419" s="2">
        <v>0.42083333333333328</v>
      </c>
      <c r="C419">
        <v>1417</v>
      </c>
      <c r="D419">
        <v>13002561</v>
      </c>
      <c r="E419">
        <v>13</v>
      </c>
      <c r="F419">
        <v>22589</v>
      </c>
      <c r="G419" t="s">
        <v>23</v>
      </c>
      <c r="H419">
        <v>18</v>
      </c>
      <c r="I419">
        <v>20823</v>
      </c>
      <c r="J419" t="s">
        <v>40</v>
      </c>
      <c r="K419" t="s">
        <v>28</v>
      </c>
      <c r="L419" t="s">
        <v>29</v>
      </c>
      <c r="M419">
        <v>2</v>
      </c>
      <c r="N419">
        <v>583.64</v>
      </c>
      <c r="O419">
        <v>903.35</v>
      </c>
      <c r="P419">
        <v>90.34</v>
      </c>
      <c r="Q419">
        <v>90.34</v>
      </c>
      <c r="R419" t="s">
        <v>30</v>
      </c>
      <c r="S419">
        <v>29</v>
      </c>
      <c r="T419">
        <v>1</v>
      </c>
      <c r="U419">
        <v>4</v>
      </c>
      <c r="V419">
        <v>813.01</v>
      </c>
      <c r="W419">
        <v>13130000417</v>
      </c>
    </row>
    <row r="420" spans="1:23" x14ac:dyDescent="0.2">
      <c r="A420" s="1">
        <v>44798</v>
      </c>
      <c r="B420" s="2">
        <v>0.94150462962962966</v>
      </c>
      <c r="C420">
        <v>1418</v>
      </c>
      <c r="D420">
        <v>13002561</v>
      </c>
      <c r="E420">
        <v>13</v>
      </c>
      <c r="F420">
        <v>22589</v>
      </c>
      <c r="G420" t="s">
        <v>23</v>
      </c>
      <c r="H420">
        <v>15</v>
      </c>
      <c r="I420">
        <v>18533</v>
      </c>
      <c r="J420" t="s">
        <v>83</v>
      </c>
      <c r="K420" t="s">
        <v>38</v>
      </c>
      <c r="L420" t="s">
        <v>51</v>
      </c>
      <c r="M420">
        <v>1</v>
      </c>
      <c r="N420">
        <v>580.41999999999996</v>
      </c>
      <c r="O420">
        <v>873.84</v>
      </c>
      <c r="P420">
        <v>87.38</v>
      </c>
      <c r="Q420">
        <v>87.38</v>
      </c>
      <c r="R420" t="s">
        <v>30</v>
      </c>
      <c r="S420">
        <v>29</v>
      </c>
      <c r="T420">
        <v>1</v>
      </c>
      <c r="U420">
        <v>1</v>
      </c>
      <c r="V420">
        <v>786.46</v>
      </c>
      <c r="W420">
        <v>13130000418</v>
      </c>
    </row>
    <row r="421" spans="1:23" x14ac:dyDescent="0.2">
      <c r="A421" s="1">
        <v>44795</v>
      </c>
      <c r="B421" s="2">
        <v>0.43979166666666669</v>
      </c>
      <c r="C421">
        <v>1419</v>
      </c>
      <c r="D421">
        <v>13002561</v>
      </c>
      <c r="E421">
        <v>13</v>
      </c>
      <c r="F421">
        <v>22589</v>
      </c>
      <c r="G421" t="s">
        <v>23</v>
      </c>
      <c r="H421">
        <v>18</v>
      </c>
      <c r="I421">
        <v>31464</v>
      </c>
      <c r="J421" t="s">
        <v>75</v>
      </c>
      <c r="K421" t="s">
        <v>38</v>
      </c>
      <c r="L421" t="s">
        <v>34</v>
      </c>
      <c r="M421">
        <v>3</v>
      </c>
      <c r="N421">
        <v>380.25</v>
      </c>
      <c r="O421">
        <v>612.20000000000005</v>
      </c>
      <c r="P421">
        <v>61.22</v>
      </c>
      <c r="Q421">
        <v>61.22</v>
      </c>
      <c r="R421" t="s">
        <v>30</v>
      </c>
      <c r="S421">
        <v>29</v>
      </c>
      <c r="T421">
        <v>1</v>
      </c>
      <c r="U421">
        <v>6</v>
      </c>
      <c r="V421">
        <v>550.98</v>
      </c>
      <c r="W421">
        <v>13130000419</v>
      </c>
    </row>
    <row r="422" spans="1:23" x14ac:dyDescent="0.2">
      <c r="A422" s="1">
        <v>44791</v>
      </c>
      <c r="B422" s="2">
        <v>0.60708333333333331</v>
      </c>
      <c r="C422">
        <v>1420</v>
      </c>
      <c r="D422">
        <v>13002561</v>
      </c>
      <c r="E422">
        <v>13</v>
      </c>
      <c r="F422">
        <v>22589</v>
      </c>
      <c r="G422" t="s">
        <v>23</v>
      </c>
      <c r="H422">
        <v>18</v>
      </c>
      <c r="I422">
        <v>85143</v>
      </c>
      <c r="J422" t="s">
        <v>52</v>
      </c>
      <c r="K422" t="s">
        <v>60</v>
      </c>
      <c r="L422" t="s">
        <v>51</v>
      </c>
      <c r="M422">
        <v>3</v>
      </c>
      <c r="N422">
        <v>523.16</v>
      </c>
      <c r="O422">
        <v>870.93</v>
      </c>
      <c r="P422">
        <v>43.55</v>
      </c>
      <c r="Q422">
        <v>43.55</v>
      </c>
      <c r="R422" t="s">
        <v>30</v>
      </c>
      <c r="S422">
        <v>29</v>
      </c>
      <c r="T422">
        <v>1</v>
      </c>
      <c r="U422">
        <v>2</v>
      </c>
      <c r="V422">
        <v>827.38</v>
      </c>
      <c r="W422">
        <v>13130000420</v>
      </c>
    </row>
    <row r="423" spans="1:23" x14ac:dyDescent="0.2">
      <c r="A423" s="1">
        <v>44795</v>
      </c>
      <c r="B423" s="2">
        <v>0.89513888888888893</v>
      </c>
      <c r="C423">
        <v>1421</v>
      </c>
      <c r="D423">
        <v>13002561</v>
      </c>
      <c r="E423">
        <v>13</v>
      </c>
      <c r="F423">
        <v>22589</v>
      </c>
      <c r="G423" t="s">
        <v>23</v>
      </c>
      <c r="H423">
        <v>18</v>
      </c>
      <c r="I423">
        <v>94582</v>
      </c>
      <c r="J423" t="s">
        <v>72</v>
      </c>
      <c r="K423" t="s">
        <v>60</v>
      </c>
      <c r="L423" t="s">
        <v>29</v>
      </c>
      <c r="M423">
        <v>3</v>
      </c>
      <c r="N423">
        <v>113.66</v>
      </c>
      <c r="O423">
        <v>187.57</v>
      </c>
      <c r="P423">
        <v>0</v>
      </c>
      <c r="Q423">
        <v>0</v>
      </c>
      <c r="S423">
        <v>29</v>
      </c>
      <c r="T423">
        <v>1</v>
      </c>
      <c r="U423">
        <v>6</v>
      </c>
      <c r="V423">
        <v>187.57</v>
      </c>
      <c r="W423">
        <v>13130000421</v>
      </c>
    </row>
    <row r="424" spans="1:23" x14ac:dyDescent="0.2">
      <c r="A424" s="1">
        <v>44777</v>
      </c>
      <c r="B424" s="2">
        <v>0.86418981481481483</v>
      </c>
      <c r="C424">
        <v>1422</v>
      </c>
      <c r="D424">
        <v>13002561</v>
      </c>
      <c r="E424">
        <v>13</v>
      </c>
      <c r="F424">
        <v>22589</v>
      </c>
      <c r="G424" t="s">
        <v>23</v>
      </c>
      <c r="H424">
        <v>15</v>
      </c>
      <c r="I424">
        <v>74144</v>
      </c>
      <c r="J424" t="s">
        <v>76</v>
      </c>
      <c r="K424" t="s">
        <v>45</v>
      </c>
      <c r="L424" t="s">
        <v>36</v>
      </c>
      <c r="M424">
        <v>1</v>
      </c>
      <c r="N424">
        <v>230.58</v>
      </c>
      <c r="O424">
        <v>388.34</v>
      </c>
      <c r="P424">
        <v>19.420000000000002</v>
      </c>
      <c r="Q424">
        <v>19.420000000000002</v>
      </c>
      <c r="R424" t="s">
        <v>30</v>
      </c>
      <c r="S424">
        <v>29</v>
      </c>
      <c r="T424">
        <v>1</v>
      </c>
      <c r="U424">
        <v>3</v>
      </c>
      <c r="V424">
        <v>368.92</v>
      </c>
      <c r="W424">
        <v>13130000422</v>
      </c>
    </row>
    <row r="425" spans="1:23" x14ac:dyDescent="0.2">
      <c r="A425" s="1">
        <v>44785</v>
      </c>
      <c r="B425" s="2">
        <v>0.5816203703703704</v>
      </c>
      <c r="C425">
        <v>1423</v>
      </c>
      <c r="D425">
        <v>13002561</v>
      </c>
      <c r="E425">
        <v>13</v>
      </c>
      <c r="F425">
        <v>22589</v>
      </c>
      <c r="G425" t="s">
        <v>23</v>
      </c>
      <c r="H425">
        <v>18</v>
      </c>
      <c r="I425">
        <v>41326</v>
      </c>
      <c r="J425" t="s">
        <v>96</v>
      </c>
      <c r="K425" t="s">
        <v>44</v>
      </c>
      <c r="L425" t="s">
        <v>32</v>
      </c>
      <c r="M425">
        <v>3</v>
      </c>
      <c r="N425">
        <v>507.03</v>
      </c>
      <c r="O425">
        <v>691.22</v>
      </c>
      <c r="P425">
        <v>0</v>
      </c>
      <c r="Q425">
        <v>0</v>
      </c>
      <c r="S425">
        <v>29</v>
      </c>
      <c r="T425">
        <v>1</v>
      </c>
      <c r="U425">
        <v>2</v>
      </c>
      <c r="V425">
        <v>691.22</v>
      </c>
      <c r="W425">
        <v>13130000423</v>
      </c>
    </row>
    <row r="426" spans="1:23" x14ac:dyDescent="0.2">
      <c r="A426" s="1">
        <v>44783</v>
      </c>
      <c r="B426" s="2">
        <v>0.37261574074074072</v>
      </c>
      <c r="C426">
        <v>1424</v>
      </c>
      <c r="D426">
        <v>13002561</v>
      </c>
      <c r="E426">
        <v>13</v>
      </c>
      <c r="F426">
        <v>22589</v>
      </c>
      <c r="G426" t="s">
        <v>23</v>
      </c>
      <c r="H426">
        <v>18</v>
      </c>
      <c r="I426">
        <v>17181</v>
      </c>
      <c r="J426" t="s">
        <v>122</v>
      </c>
      <c r="K426" t="s">
        <v>28</v>
      </c>
      <c r="L426" t="s">
        <v>32</v>
      </c>
      <c r="M426">
        <v>1</v>
      </c>
      <c r="N426">
        <v>410.98</v>
      </c>
      <c r="O426">
        <v>693.41</v>
      </c>
      <c r="P426">
        <v>34.67</v>
      </c>
      <c r="Q426">
        <v>34.67</v>
      </c>
      <c r="R426" t="s">
        <v>30</v>
      </c>
      <c r="S426">
        <v>29</v>
      </c>
      <c r="T426">
        <v>1</v>
      </c>
      <c r="U426">
        <v>5</v>
      </c>
      <c r="V426">
        <v>658.74</v>
      </c>
      <c r="W426">
        <v>13130000424</v>
      </c>
    </row>
    <row r="427" spans="1:23" x14ac:dyDescent="0.2">
      <c r="A427" s="1">
        <v>44794</v>
      </c>
      <c r="B427" s="2">
        <v>0.49642361111111111</v>
      </c>
      <c r="C427">
        <v>1425</v>
      </c>
      <c r="D427">
        <v>13002561</v>
      </c>
      <c r="E427">
        <v>13</v>
      </c>
      <c r="F427">
        <v>22589</v>
      </c>
      <c r="G427" t="s">
        <v>23</v>
      </c>
      <c r="H427">
        <v>18</v>
      </c>
      <c r="I427">
        <v>41913</v>
      </c>
      <c r="J427" t="s">
        <v>37</v>
      </c>
      <c r="K427" t="s">
        <v>28</v>
      </c>
      <c r="L427" t="s">
        <v>47</v>
      </c>
      <c r="M427">
        <v>2</v>
      </c>
      <c r="N427">
        <v>308.02999999999997</v>
      </c>
      <c r="O427">
        <v>489.28</v>
      </c>
      <c r="P427">
        <v>0</v>
      </c>
      <c r="Q427">
        <v>0</v>
      </c>
      <c r="S427">
        <v>29</v>
      </c>
      <c r="T427">
        <v>1</v>
      </c>
      <c r="U427">
        <v>4</v>
      </c>
      <c r="V427">
        <v>489.28</v>
      </c>
      <c r="W427">
        <v>13130000425</v>
      </c>
    </row>
    <row r="428" spans="1:23" x14ac:dyDescent="0.2">
      <c r="A428" s="1">
        <v>44801</v>
      </c>
      <c r="B428" s="2">
        <v>0.86040509259259257</v>
      </c>
      <c r="C428">
        <v>1426</v>
      </c>
      <c r="D428">
        <v>13002561</v>
      </c>
      <c r="E428">
        <v>13</v>
      </c>
      <c r="F428">
        <v>22589</v>
      </c>
      <c r="G428" t="s">
        <v>23</v>
      </c>
      <c r="H428">
        <v>15</v>
      </c>
      <c r="I428">
        <v>81367</v>
      </c>
      <c r="J428" t="s">
        <v>33</v>
      </c>
      <c r="K428" t="s">
        <v>25</v>
      </c>
      <c r="L428" t="s">
        <v>34</v>
      </c>
      <c r="M428">
        <v>2</v>
      </c>
      <c r="N428">
        <v>128.22999999999999</v>
      </c>
      <c r="O428">
        <v>192.15</v>
      </c>
      <c r="P428">
        <v>19.22</v>
      </c>
      <c r="Q428">
        <v>19.22</v>
      </c>
      <c r="R428" t="s">
        <v>30</v>
      </c>
      <c r="S428">
        <v>29</v>
      </c>
      <c r="T428">
        <v>1</v>
      </c>
      <c r="U428">
        <v>5</v>
      </c>
      <c r="V428">
        <v>172.93</v>
      </c>
      <c r="W428">
        <v>13130000426</v>
      </c>
    </row>
    <row r="429" spans="1:23" x14ac:dyDescent="0.2">
      <c r="A429" s="1">
        <v>44783</v>
      </c>
      <c r="B429" s="2">
        <v>0.95488425925925924</v>
      </c>
      <c r="C429">
        <v>1427</v>
      </c>
      <c r="D429">
        <v>13002561</v>
      </c>
      <c r="E429">
        <v>13</v>
      </c>
      <c r="F429">
        <v>22589</v>
      </c>
      <c r="G429" t="s">
        <v>23</v>
      </c>
      <c r="H429">
        <v>15</v>
      </c>
      <c r="I429">
        <v>86303</v>
      </c>
      <c r="J429" t="s">
        <v>56</v>
      </c>
      <c r="K429" t="s">
        <v>25</v>
      </c>
      <c r="L429" t="s">
        <v>29</v>
      </c>
      <c r="M429">
        <v>1</v>
      </c>
      <c r="N429">
        <v>259.42</v>
      </c>
      <c r="O429">
        <v>383.64</v>
      </c>
      <c r="P429">
        <v>19.18</v>
      </c>
      <c r="Q429">
        <v>19.18</v>
      </c>
      <c r="R429" t="s">
        <v>30</v>
      </c>
      <c r="S429">
        <v>29</v>
      </c>
      <c r="T429">
        <v>1</v>
      </c>
      <c r="U429">
        <v>6</v>
      </c>
      <c r="V429">
        <v>364.46</v>
      </c>
      <c r="W429">
        <v>13130000427</v>
      </c>
    </row>
    <row r="430" spans="1:23" x14ac:dyDescent="0.2">
      <c r="A430" s="1">
        <v>44778</v>
      </c>
      <c r="B430" s="2">
        <v>0.56965277777777779</v>
      </c>
      <c r="C430">
        <v>1428</v>
      </c>
      <c r="D430">
        <v>13002561</v>
      </c>
      <c r="E430">
        <v>13</v>
      </c>
      <c r="F430">
        <v>22589</v>
      </c>
      <c r="G430" t="s">
        <v>23</v>
      </c>
      <c r="H430">
        <v>15</v>
      </c>
      <c r="I430">
        <v>66652</v>
      </c>
      <c r="J430" t="s">
        <v>75</v>
      </c>
      <c r="K430" t="s">
        <v>28</v>
      </c>
      <c r="L430" t="s">
        <v>34</v>
      </c>
      <c r="M430">
        <v>2</v>
      </c>
      <c r="N430">
        <v>368.71</v>
      </c>
      <c r="O430">
        <v>497.09</v>
      </c>
      <c r="P430">
        <v>0</v>
      </c>
      <c r="Q430">
        <v>0</v>
      </c>
      <c r="S430">
        <v>29</v>
      </c>
      <c r="T430">
        <v>1</v>
      </c>
      <c r="U430">
        <v>2</v>
      </c>
      <c r="V430">
        <v>497.09</v>
      </c>
      <c r="W430">
        <v>13130000428</v>
      </c>
    </row>
    <row r="431" spans="1:23" x14ac:dyDescent="0.2">
      <c r="A431" s="1">
        <v>44776</v>
      </c>
      <c r="B431" s="2">
        <v>0.64167824074074076</v>
      </c>
      <c r="C431">
        <v>1429</v>
      </c>
      <c r="D431">
        <v>13002561</v>
      </c>
      <c r="E431">
        <v>13</v>
      </c>
      <c r="F431">
        <v>22589</v>
      </c>
      <c r="G431" t="s">
        <v>23</v>
      </c>
      <c r="H431">
        <v>18</v>
      </c>
      <c r="I431">
        <v>10480</v>
      </c>
      <c r="J431" t="s">
        <v>85</v>
      </c>
      <c r="K431" t="s">
        <v>45</v>
      </c>
      <c r="L431" t="s">
        <v>32</v>
      </c>
      <c r="M431">
        <v>2</v>
      </c>
      <c r="N431">
        <v>419.44</v>
      </c>
      <c r="O431">
        <v>563.32000000000005</v>
      </c>
      <c r="P431">
        <v>56.33</v>
      </c>
      <c r="Q431">
        <v>56.33</v>
      </c>
      <c r="R431" t="s">
        <v>30</v>
      </c>
      <c r="S431">
        <v>29</v>
      </c>
      <c r="T431">
        <v>1</v>
      </c>
      <c r="U431">
        <v>2</v>
      </c>
      <c r="V431">
        <v>506.99</v>
      </c>
      <c r="W431">
        <v>13130000429</v>
      </c>
    </row>
    <row r="432" spans="1:23" x14ac:dyDescent="0.2">
      <c r="A432" s="1">
        <v>44788</v>
      </c>
      <c r="B432" s="2">
        <v>0.60260416666666672</v>
      </c>
      <c r="C432">
        <v>1430</v>
      </c>
      <c r="D432">
        <v>13002561</v>
      </c>
      <c r="E432">
        <v>13</v>
      </c>
      <c r="F432">
        <v>22589</v>
      </c>
      <c r="G432" t="s">
        <v>23</v>
      </c>
      <c r="H432">
        <v>18</v>
      </c>
      <c r="I432">
        <v>88025</v>
      </c>
      <c r="J432" t="s">
        <v>89</v>
      </c>
      <c r="K432" t="s">
        <v>38</v>
      </c>
      <c r="L432" t="s">
        <v>39</v>
      </c>
      <c r="M432">
        <v>2</v>
      </c>
      <c r="N432">
        <v>341.1</v>
      </c>
      <c r="O432">
        <v>523.41999999999996</v>
      </c>
      <c r="P432">
        <v>52.34</v>
      </c>
      <c r="Q432">
        <v>52.34</v>
      </c>
      <c r="R432" t="s">
        <v>30</v>
      </c>
      <c r="S432">
        <v>29</v>
      </c>
      <c r="T432">
        <v>1</v>
      </c>
      <c r="U432">
        <v>5</v>
      </c>
      <c r="V432">
        <v>471.08</v>
      </c>
      <c r="W432">
        <v>13130000430</v>
      </c>
    </row>
    <row r="433" spans="1:23" x14ac:dyDescent="0.2">
      <c r="A433" s="1">
        <v>44793</v>
      </c>
      <c r="B433" s="2">
        <v>0.60966435185185186</v>
      </c>
      <c r="C433">
        <v>1431</v>
      </c>
      <c r="D433">
        <v>13002561</v>
      </c>
      <c r="E433">
        <v>13</v>
      </c>
      <c r="F433">
        <v>22589</v>
      </c>
      <c r="G433" t="s">
        <v>23</v>
      </c>
      <c r="H433">
        <v>15</v>
      </c>
      <c r="I433">
        <v>12177</v>
      </c>
      <c r="J433" t="s">
        <v>50</v>
      </c>
      <c r="K433" t="s">
        <v>38</v>
      </c>
      <c r="L433" t="s">
        <v>36</v>
      </c>
      <c r="M433">
        <v>3</v>
      </c>
      <c r="N433">
        <v>462.77</v>
      </c>
      <c r="O433">
        <v>659.02</v>
      </c>
      <c r="P433">
        <v>0</v>
      </c>
      <c r="Q433">
        <v>0</v>
      </c>
      <c r="S433">
        <v>29</v>
      </c>
      <c r="T433">
        <v>1</v>
      </c>
      <c r="U433">
        <v>3</v>
      </c>
      <c r="V433">
        <v>659.02</v>
      </c>
      <c r="W433">
        <v>13130000431</v>
      </c>
    </row>
    <row r="434" spans="1:23" x14ac:dyDescent="0.2">
      <c r="A434" s="1">
        <v>44782</v>
      </c>
      <c r="B434" s="2">
        <v>0.55913194444444447</v>
      </c>
      <c r="C434">
        <v>1432</v>
      </c>
      <c r="D434">
        <v>13002561</v>
      </c>
      <c r="E434">
        <v>13</v>
      </c>
      <c r="F434">
        <v>22589</v>
      </c>
      <c r="G434" t="s">
        <v>23</v>
      </c>
      <c r="H434">
        <v>15</v>
      </c>
      <c r="I434">
        <v>54395</v>
      </c>
      <c r="J434" t="s">
        <v>124</v>
      </c>
      <c r="K434" t="s">
        <v>60</v>
      </c>
      <c r="L434" t="s">
        <v>47</v>
      </c>
      <c r="M434">
        <v>2</v>
      </c>
      <c r="N434">
        <v>207.3</v>
      </c>
      <c r="O434">
        <v>322.13</v>
      </c>
      <c r="P434">
        <v>0</v>
      </c>
      <c r="Q434">
        <v>0</v>
      </c>
      <c r="S434">
        <v>29</v>
      </c>
      <c r="T434">
        <v>1</v>
      </c>
      <c r="U434">
        <v>2</v>
      </c>
      <c r="V434">
        <v>322.13</v>
      </c>
      <c r="W434">
        <v>13130000432</v>
      </c>
    </row>
    <row r="435" spans="1:23" x14ac:dyDescent="0.2">
      <c r="A435" s="1">
        <v>44800</v>
      </c>
      <c r="B435" s="2">
        <v>0.75305555555555559</v>
      </c>
      <c r="C435">
        <v>1433</v>
      </c>
      <c r="D435">
        <v>13002561</v>
      </c>
      <c r="E435">
        <v>13</v>
      </c>
      <c r="F435">
        <v>22589</v>
      </c>
      <c r="G435" t="s">
        <v>23</v>
      </c>
      <c r="H435">
        <v>15</v>
      </c>
      <c r="I435">
        <v>28236</v>
      </c>
      <c r="J435" t="s">
        <v>86</v>
      </c>
      <c r="K435" t="s">
        <v>60</v>
      </c>
      <c r="L435" t="s">
        <v>39</v>
      </c>
      <c r="M435">
        <v>2</v>
      </c>
      <c r="N435">
        <v>106.8</v>
      </c>
      <c r="O435">
        <v>168.35</v>
      </c>
      <c r="P435">
        <v>8.42</v>
      </c>
      <c r="Q435">
        <v>8.42</v>
      </c>
      <c r="R435" t="s">
        <v>30</v>
      </c>
      <c r="S435">
        <v>29</v>
      </c>
      <c r="T435">
        <v>1</v>
      </c>
      <c r="U435">
        <v>5</v>
      </c>
      <c r="V435">
        <v>159.93</v>
      </c>
      <c r="W435">
        <v>13130000433</v>
      </c>
    </row>
    <row r="436" spans="1:23" x14ac:dyDescent="0.2">
      <c r="A436" s="1">
        <v>44783</v>
      </c>
      <c r="B436" s="2">
        <v>0.3895601851851852</v>
      </c>
      <c r="C436">
        <v>1434</v>
      </c>
      <c r="D436">
        <v>13002561</v>
      </c>
      <c r="E436">
        <v>13</v>
      </c>
      <c r="F436">
        <v>22589</v>
      </c>
      <c r="G436" t="s">
        <v>23</v>
      </c>
      <c r="H436">
        <v>15</v>
      </c>
      <c r="I436">
        <v>10349</v>
      </c>
      <c r="J436" t="s">
        <v>37</v>
      </c>
      <c r="K436" t="s">
        <v>45</v>
      </c>
      <c r="L436" t="s">
        <v>29</v>
      </c>
      <c r="M436">
        <v>2</v>
      </c>
      <c r="N436">
        <v>229.06</v>
      </c>
      <c r="O436">
        <v>344.45</v>
      </c>
      <c r="P436">
        <v>34.450000000000003</v>
      </c>
      <c r="Q436">
        <v>34.450000000000003</v>
      </c>
      <c r="R436" t="s">
        <v>30</v>
      </c>
      <c r="S436">
        <v>29</v>
      </c>
      <c r="T436">
        <v>1</v>
      </c>
      <c r="U436">
        <v>5</v>
      </c>
      <c r="V436">
        <v>310</v>
      </c>
      <c r="W436">
        <v>13130000434</v>
      </c>
    </row>
    <row r="437" spans="1:23" x14ac:dyDescent="0.2">
      <c r="A437" s="1">
        <v>44778</v>
      </c>
      <c r="B437" s="2">
        <v>0.95164351851851847</v>
      </c>
      <c r="C437">
        <v>1435</v>
      </c>
      <c r="D437">
        <v>13002561</v>
      </c>
      <c r="E437">
        <v>13</v>
      </c>
      <c r="F437">
        <v>22589</v>
      </c>
      <c r="G437" t="s">
        <v>23</v>
      </c>
      <c r="H437">
        <v>18</v>
      </c>
      <c r="I437">
        <v>83284</v>
      </c>
      <c r="J437" t="s">
        <v>56</v>
      </c>
      <c r="K437" t="s">
        <v>44</v>
      </c>
      <c r="L437" t="s">
        <v>32</v>
      </c>
      <c r="M437">
        <v>1</v>
      </c>
      <c r="N437">
        <v>182.37</v>
      </c>
      <c r="O437">
        <v>281.35000000000002</v>
      </c>
      <c r="P437">
        <v>14.07</v>
      </c>
      <c r="Q437">
        <v>14.07</v>
      </c>
      <c r="R437" t="s">
        <v>30</v>
      </c>
      <c r="S437">
        <v>29</v>
      </c>
      <c r="T437">
        <v>1</v>
      </c>
      <c r="U437">
        <v>1</v>
      </c>
      <c r="V437">
        <v>267.27999999999997</v>
      </c>
      <c r="W437">
        <v>13130000435</v>
      </c>
    </row>
    <row r="438" spans="1:23" x14ac:dyDescent="0.2">
      <c r="A438" s="1">
        <v>44787</v>
      </c>
      <c r="B438" s="2">
        <v>0.46086805555555549</v>
      </c>
      <c r="C438">
        <v>1436</v>
      </c>
      <c r="D438">
        <v>13002561</v>
      </c>
      <c r="E438">
        <v>13</v>
      </c>
      <c r="F438">
        <v>22589</v>
      </c>
      <c r="G438" t="s">
        <v>23</v>
      </c>
      <c r="H438">
        <v>15</v>
      </c>
      <c r="I438">
        <v>70480</v>
      </c>
      <c r="J438" t="s">
        <v>75</v>
      </c>
      <c r="K438" t="s">
        <v>45</v>
      </c>
      <c r="L438" t="s">
        <v>39</v>
      </c>
      <c r="M438">
        <v>3</v>
      </c>
      <c r="N438">
        <v>71.349999999999994</v>
      </c>
      <c r="O438">
        <v>101.72</v>
      </c>
      <c r="P438">
        <v>0</v>
      </c>
      <c r="Q438">
        <v>0</v>
      </c>
      <c r="S438">
        <v>29</v>
      </c>
      <c r="T438">
        <v>1</v>
      </c>
      <c r="U438">
        <v>1</v>
      </c>
      <c r="V438">
        <v>101.72</v>
      </c>
      <c r="W438">
        <v>13130000436</v>
      </c>
    </row>
    <row r="439" spans="1:23" x14ac:dyDescent="0.2">
      <c r="A439" s="1">
        <v>44794</v>
      </c>
      <c r="B439" s="2">
        <v>0.85659722222222223</v>
      </c>
      <c r="C439">
        <v>1437</v>
      </c>
      <c r="D439">
        <v>13002561</v>
      </c>
      <c r="E439">
        <v>13</v>
      </c>
      <c r="F439">
        <v>22589</v>
      </c>
      <c r="G439" t="s">
        <v>23</v>
      </c>
      <c r="H439">
        <v>15</v>
      </c>
      <c r="I439">
        <v>30244</v>
      </c>
      <c r="J439" t="s">
        <v>67</v>
      </c>
      <c r="K439" t="s">
        <v>25</v>
      </c>
      <c r="L439" t="s">
        <v>32</v>
      </c>
      <c r="M439">
        <v>3</v>
      </c>
      <c r="N439">
        <v>33.97</v>
      </c>
      <c r="O439">
        <v>50.62</v>
      </c>
      <c r="P439">
        <v>2.5299999999999998</v>
      </c>
      <c r="Q439">
        <v>2.5299999999999998</v>
      </c>
      <c r="R439" t="s">
        <v>30</v>
      </c>
      <c r="S439">
        <v>29</v>
      </c>
      <c r="T439">
        <v>1</v>
      </c>
      <c r="U439">
        <v>5</v>
      </c>
      <c r="V439">
        <v>48.09</v>
      </c>
      <c r="W439">
        <v>13130000437</v>
      </c>
    </row>
    <row r="440" spans="1:23" x14ac:dyDescent="0.2">
      <c r="A440" s="1">
        <v>44798</v>
      </c>
      <c r="B440" s="2">
        <v>0.63027777777777783</v>
      </c>
      <c r="C440">
        <v>1438</v>
      </c>
      <c r="D440">
        <v>13002561</v>
      </c>
      <c r="E440">
        <v>13</v>
      </c>
      <c r="F440">
        <v>22589</v>
      </c>
      <c r="G440" t="s">
        <v>23</v>
      </c>
      <c r="H440">
        <v>15</v>
      </c>
      <c r="I440">
        <v>19673</v>
      </c>
      <c r="J440" t="s">
        <v>99</v>
      </c>
      <c r="K440" t="s">
        <v>28</v>
      </c>
      <c r="L440" t="s">
        <v>39</v>
      </c>
      <c r="M440">
        <v>2</v>
      </c>
      <c r="N440">
        <v>144.66</v>
      </c>
      <c r="O440">
        <v>191.18</v>
      </c>
      <c r="P440">
        <v>0</v>
      </c>
      <c r="Q440">
        <v>0</v>
      </c>
      <c r="S440">
        <v>29</v>
      </c>
      <c r="T440">
        <v>1</v>
      </c>
      <c r="U440">
        <v>2</v>
      </c>
      <c r="V440">
        <v>191.18</v>
      </c>
      <c r="W440">
        <v>13130000438</v>
      </c>
    </row>
    <row r="441" spans="1:23" x14ac:dyDescent="0.2">
      <c r="A441" s="1">
        <v>44801</v>
      </c>
      <c r="B441" s="2">
        <v>0.8271412037037037</v>
      </c>
      <c r="C441">
        <v>1439</v>
      </c>
      <c r="D441">
        <v>13002561</v>
      </c>
      <c r="E441">
        <v>13</v>
      </c>
      <c r="F441">
        <v>22589</v>
      </c>
      <c r="G441" t="s">
        <v>23</v>
      </c>
      <c r="H441">
        <v>15</v>
      </c>
      <c r="I441">
        <v>84505</v>
      </c>
      <c r="J441" t="s">
        <v>101</v>
      </c>
      <c r="K441" t="s">
        <v>28</v>
      </c>
      <c r="L441" t="s">
        <v>32</v>
      </c>
      <c r="M441">
        <v>1</v>
      </c>
      <c r="N441">
        <v>564.77</v>
      </c>
      <c r="O441">
        <v>837.33</v>
      </c>
      <c r="P441">
        <v>83.73</v>
      </c>
      <c r="Q441">
        <v>83.73</v>
      </c>
      <c r="R441" t="s">
        <v>30</v>
      </c>
      <c r="S441">
        <v>29</v>
      </c>
      <c r="T441">
        <v>1</v>
      </c>
      <c r="U441">
        <v>5</v>
      </c>
      <c r="V441">
        <v>753.6</v>
      </c>
      <c r="W441">
        <v>13130000439</v>
      </c>
    </row>
    <row r="442" spans="1:23" x14ac:dyDescent="0.2">
      <c r="A442" s="1">
        <v>44782</v>
      </c>
      <c r="B442" s="2">
        <v>0.88564814814814818</v>
      </c>
      <c r="C442">
        <v>1440</v>
      </c>
      <c r="D442">
        <v>13002561</v>
      </c>
      <c r="E442">
        <v>13</v>
      </c>
      <c r="F442">
        <v>22589</v>
      </c>
      <c r="G442" t="s">
        <v>23</v>
      </c>
      <c r="H442">
        <v>18</v>
      </c>
      <c r="I442">
        <v>93627</v>
      </c>
      <c r="J442" t="s">
        <v>122</v>
      </c>
      <c r="K442" t="s">
        <v>45</v>
      </c>
      <c r="L442" t="s">
        <v>51</v>
      </c>
      <c r="M442">
        <v>2</v>
      </c>
      <c r="N442">
        <v>521.67999999999995</v>
      </c>
      <c r="O442">
        <v>817.53</v>
      </c>
      <c r="P442">
        <v>40.880000000000003</v>
      </c>
      <c r="Q442">
        <v>40.880000000000003</v>
      </c>
      <c r="R442" t="s">
        <v>30</v>
      </c>
      <c r="S442">
        <v>29</v>
      </c>
      <c r="T442">
        <v>1</v>
      </c>
      <c r="U442">
        <v>4</v>
      </c>
      <c r="V442">
        <v>776.65</v>
      </c>
      <c r="W442">
        <v>13130000440</v>
      </c>
    </row>
    <row r="443" spans="1:23" x14ac:dyDescent="0.2">
      <c r="A443" s="1">
        <v>44778</v>
      </c>
      <c r="B443" s="2">
        <v>0.49061342592592588</v>
      </c>
      <c r="C443">
        <v>1441</v>
      </c>
      <c r="D443">
        <v>13002561</v>
      </c>
      <c r="E443">
        <v>13</v>
      </c>
      <c r="F443">
        <v>22589</v>
      </c>
      <c r="G443" t="s">
        <v>23</v>
      </c>
      <c r="H443">
        <v>15</v>
      </c>
      <c r="I443">
        <v>19905</v>
      </c>
      <c r="J443" t="s">
        <v>75</v>
      </c>
      <c r="K443" t="s">
        <v>45</v>
      </c>
      <c r="L443" t="s">
        <v>47</v>
      </c>
      <c r="M443">
        <v>3</v>
      </c>
      <c r="N443">
        <v>240.95</v>
      </c>
      <c r="O443">
        <v>398.21</v>
      </c>
      <c r="P443">
        <v>0</v>
      </c>
      <c r="Q443">
        <v>0</v>
      </c>
      <c r="S443">
        <v>29</v>
      </c>
      <c r="T443">
        <v>1</v>
      </c>
      <c r="U443">
        <v>6</v>
      </c>
      <c r="V443">
        <v>398.21</v>
      </c>
      <c r="W443">
        <v>13130000441</v>
      </c>
    </row>
    <row r="444" spans="1:23" x14ac:dyDescent="0.2">
      <c r="A444" s="1">
        <v>44801</v>
      </c>
      <c r="B444" s="2">
        <v>0.37078703703703703</v>
      </c>
      <c r="C444">
        <v>1442</v>
      </c>
      <c r="D444">
        <v>13002561</v>
      </c>
      <c r="E444">
        <v>13</v>
      </c>
      <c r="F444">
        <v>22589</v>
      </c>
      <c r="G444" t="s">
        <v>23</v>
      </c>
      <c r="H444">
        <v>15</v>
      </c>
      <c r="I444">
        <v>95284</v>
      </c>
      <c r="J444" t="s">
        <v>76</v>
      </c>
      <c r="K444" t="s">
        <v>28</v>
      </c>
      <c r="L444" t="s">
        <v>36</v>
      </c>
      <c r="M444">
        <v>3</v>
      </c>
      <c r="N444">
        <v>503.2</v>
      </c>
      <c r="O444">
        <v>822.75</v>
      </c>
      <c r="P444">
        <v>0</v>
      </c>
      <c r="Q444">
        <v>0</v>
      </c>
      <c r="S444">
        <v>29</v>
      </c>
      <c r="T444">
        <v>1</v>
      </c>
      <c r="U444">
        <v>6</v>
      </c>
      <c r="V444">
        <v>822.75</v>
      </c>
      <c r="W444">
        <v>13130000442</v>
      </c>
    </row>
    <row r="445" spans="1:23" x14ac:dyDescent="0.2">
      <c r="A445" s="1">
        <v>44792</v>
      </c>
      <c r="B445" s="2">
        <v>0.55638888888888893</v>
      </c>
      <c r="C445">
        <v>1443</v>
      </c>
      <c r="D445">
        <v>13002561</v>
      </c>
      <c r="E445">
        <v>13</v>
      </c>
      <c r="F445">
        <v>22589</v>
      </c>
      <c r="G445" t="s">
        <v>23</v>
      </c>
      <c r="H445">
        <v>15</v>
      </c>
      <c r="I445">
        <v>38746</v>
      </c>
      <c r="J445" t="s">
        <v>85</v>
      </c>
      <c r="K445" t="s">
        <v>38</v>
      </c>
      <c r="L445" t="s">
        <v>39</v>
      </c>
      <c r="M445">
        <v>2</v>
      </c>
      <c r="N445">
        <v>568.58000000000004</v>
      </c>
      <c r="O445">
        <v>771.65</v>
      </c>
      <c r="P445">
        <v>77.17</v>
      </c>
      <c r="Q445">
        <v>77.17</v>
      </c>
      <c r="R445" t="s">
        <v>30</v>
      </c>
      <c r="S445">
        <v>29</v>
      </c>
      <c r="T445">
        <v>1</v>
      </c>
      <c r="U445">
        <v>3</v>
      </c>
      <c r="V445">
        <v>694.48</v>
      </c>
      <c r="W445">
        <v>13130000443</v>
      </c>
    </row>
    <row r="446" spans="1:23" x14ac:dyDescent="0.2">
      <c r="A446" s="1">
        <v>44790</v>
      </c>
      <c r="B446" s="2">
        <v>0.37988425925925928</v>
      </c>
      <c r="C446">
        <v>1444</v>
      </c>
      <c r="D446">
        <v>13002561</v>
      </c>
      <c r="E446">
        <v>13</v>
      </c>
      <c r="F446">
        <v>22589</v>
      </c>
      <c r="G446" t="s">
        <v>23</v>
      </c>
      <c r="H446">
        <v>15</v>
      </c>
      <c r="I446">
        <v>77259</v>
      </c>
      <c r="J446" t="s">
        <v>98</v>
      </c>
      <c r="K446" t="s">
        <v>44</v>
      </c>
      <c r="L446" t="s">
        <v>47</v>
      </c>
      <c r="M446">
        <v>1</v>
      </c>
      <c r="N446">
        <v>174.69</v>
      </c>
      <c r="O446">
        <v>274.02999999999997</v>
      </c>
      <c r="P446">
        <v>13.7</v>
      </c>
      <c r="Q446">
        <v>13.7</v>
      </c>
      <c r="R446" t="s">
        <v>30</v>
      </c>
      <c r="S446">
        <v>29</v>
      </c>
      <c r="T446">
        <v>1</v>
      </c>
      <c r="U446">
        <v>1</v>
      </c>
      <c r="V446">
        <v>260.33</v>
      </c>
      <c r="W446">
        <v>13130000444</v>
      </c>
    </row>
    <row r="447" spans="1:23" x14ac:dyDescent="0.2">
      <c r="A447" s="1">
        <v>44784</v>
      </c>
      <c r="B447" s="2">
        <v>0.62854166666666667</v>
      </c>
      <c r="C447">
        <v>1445</v>
      </c>
      <c r="D447">
        <v>13002561</v>
      </c>
      <c r="E447">
        <v>13</v>
      </c>
      <c r="F447">
        <v>22589</v>
      </c>
      <c r="G447" t="s">
        <v>23</v>
      </c>
      <c r="H447">
        <v>18</v>
      </c>
      <c r="I447">
        <v>75221</v>
      </c>
      <c r="J447" t="s">
        <v>79</v>
      </c>
      <c r="K447" t="s">
        <v>28</v>
      </c>
      <c r="L447" t="s">
        <v>26</v>
      </c>
      <c r="M447">
        <v>2</v>
      </c>
      <c r="N447">
        <v>247.53</v>
      </c>
      <c r="O447">
        <v>368.57</v>
      </c>
      <c r="P447">
        <v>36.86</v>
      </c>
      <c r="Q447">
        <v>36.86</v>
      </c>
      <c r="R447" t="s">
        <v>30</v>
      </c>
      <c r="S447">
        <v>29</v>
      </c>
      <c r="T447">
        <v>1</v>
      </c>
      <c r="U447">
        <v>2</v>
      </c>
      <c r="V447">
        <v>331.71</v>
      </c>
      <c r="W447">
        <v>13130000445</v>
      </c>
    </row>
    <row r="448" spans="1:23" x14ac:dyDescent="0.2">
      <c r="A448" s="1">
        <v>44774</v>
      </c>
      <c r="B448" s="2">
        <v>0.45297453703703711</v>
      </c>
      <c r="C448">
        <v>1446</v>
      </c>
      <c r="D448">
        <v>13002561</v>
      </c>
      <c r="E448">
        <v>13</v>
      </c>
      <c r="F448">
        <v>22589</v>
      </c>
      <c r="G448" t="s">
        <v>23</v>
      </c>
      <c r="H448">
        <v>18</v>
      </c>
      <c r="I448">
        <v>52374</v>
      </c>
      <c r="J448" t="s">
        <v>74</v>
      </c>
      <c r="K448" t="s">
        <v>44</v>
      </c>
      <c r="L448" t="s">
        <v>51</v>
      </c>
      <c r="M448">
        <v>3</v>
      </c>
      <c r="N448">
        <v>579.09</v>
      </c>
      <c r="O448">
        <v>923.44</v>
      </c>
      <c r="P448">
        <v>46.17</v>
      </c>
      <c r="Q448">
        <v>46.17</v>
      </c>
      <c r="R448" t="s">
        <v>30</v>
      </c>
      <c r="S448">
        <v>29</v>
      </c>
      <c r="T448">
        <v>1</v>
      </c>
      <c r="U448">
        <v>5</v>
      </c>
      <c r="V448">
        <v>877.27</v>
      </c>
      <c r="W448">
        <v>13130000446</v>
      </c>
    </row>
    <row r="449" spans="1:23" x14ac:dyDescent="0.2">
      <c r="A449" s="1">
        <v>44777</v>
      </c>
      <c r="B449" s="2">
        <v>0.44274305555555549</v>
      </c>
      <c r="C449">
        <v>1447</v>
      </c>
      <c r="D449">
        <v>13002561</v>
      </c>
      <c r="E449">
        <v>13</v>
      </c>
      <c r="F449">
        <v>22589</v>
      </c>
      <c r="G449" t="s">
        <v>23</v>
      </c>
      <c r="H449">
        <v>15</v>
      </c>
      <c r="I449">
        <v>11610</v>
      </c>
      <c r="J449" t="s">
        <v>37</v>
      </c>
      <c r="K449" t="s">
        <v>28</v>
      </c>
      <c r="L449" t="s">
        <v>26</v>
      </c>
      <c r="M449">
        <v>1</v>
      </c>
      <c r="N449">
        <v>574.32000000000005</v>
      </c>
      <c r="O449">
        <v>785.82</v>
      </c>
      <c r="P449">
        <v>78.58</v>
      </c>
      <c r="Q449">
        <v>78.58</v>
      </c>
      <c r="R449" t="s">
        <v>30</v>
      </c>
      <c r="S449">
        <v>29</v>
      </c>
      <c r="T449">
        <v>1</v>
      </c>
      <c r="U449">
        <v>4</v>
      </c>
      <c r="V449">
        <v>707.24</v>
      </c>
      <c r="W449">
        <v>13130000447</v>
      </c>
    </row>
    <row r="450" spans="1:23" x14ac:dyDescent="0.2">
      <c r="A450" s="1">
        <v>44788</v>
      </c>
      <c r="B450" s="2">
        <v>0.43229166666666669</v>
      </c>
      <c r="C450">
        <v>1448</v>
      </c>
      <c r="D450">
        <v>13002561</v>
      </c>
      <c r="E450">
        <v>13</v>
      </c>
      <c r="F450">
        <v>22589</v>
      </c>
      <c r="G450" t="s">
        <v>23</v>
      </c>
      <c r="H450">
        <v>15</v>
      </c>
      <c r="I450">
        <v>79098</v>
      </c>
      <c r="J450" t="s">
        <v>111</v>
      </c>
      <c r="K450" t="s">
        <v>44</v>
      </c>
      <c r="L450" t="s">
        <v>29</v>
      </c>
      <c r="M450">
        <v>2</v>
      </c>
      <c r="N450">
        <v>463.83</v>
      </c>
      <c r="O450">
        <v>753.86</v>
      </c>
      <c r="P450">
        <v>75.39</v>
      </c>
      <c r="Q450">
        <v>75.39</v>
      </c>
      <c r="R450" t="s">
        <v>30</v>
      </c>
      <c r="S450">
        <v>29</v>
      </c>
      <c r="T450">
        <v>1</v>
      </c>
      <c r="U450">
        <v>3</v>
      </c>
      <c r="V450">
        <v>678.47</v>
      </c>
      <c r="W450">
        <v>13130000448</v>
      </c>
    </row>
    <row r="451" spans="1:23" x14ac:dyDescent="0.2">
      <c r="A451" s="1">
        <v>44789</v>
      </c>
      <c r="B451" s="2">
        <v>0.94055555555555559</v>
      </c>
      <c r="C451">
        <v>1449</v>
      </c>
      <c r="D451">
        <v>13002561</v>
      </c>
      <c r="E451">
        <v>13</v>
      </c>
      <c r="F451">
        <v>22589</v>
      </c>
      <c r="G451" t="s">
        <v>23</v>
      </c>
      <c r="H451">
        <v>15</v>
      </c>
      <c r="I451">
        <v>97532</v>
      </c>
      <c r="J451" t="s">
        <v>101</v>
      </c>
      <c r="K451" t="s">
        <v>44</v>
      </c>
      <c r="L451" t="s">
        <v>29</v>
      </c>
      <c r="M451">
        <v>3</v>
      </c>
      <c r="N451">
        <v>216.78</v>
      </c>
      <c r="O451">
        <v>323.05</v>
      </c>
      <c r="P451">
        <v>0</v>
      </c>
      <c r="Q451">
        <v>0</v>
      </c>
      <c r="S451">
        <v>29</v>
      </c>
      <c r="T451">
        <v>1</v>
      </c>
      <c r="U451">
        <v>5</v>
      </c>
      <c r="V451">
        <v>323.05</v>
      </c>
      <c r="W451">
        <v>13130000449</v>
      </c>
    </row>
    <row r="452" spans="1:23" x14ac:dyDescent="0.2">
      <c r="A452" s="1">
        <v>44799</v>
      </c>
      <c r="B452" s="2">
        <v>0.533599537037037</v>
      </c>
      <c r="C452">
        <v>1450</v>
      </c>
      <c r="D452">
        <v>13002561</v>
      </c>
      <c r="E452">
        <v>13</v>
      </c>
      <c r="F452">
        <v>22589</v>
      </c>
      <c r="G452" t="s">
        <v>23</v>
      </c>
      <c r="H452">
        <v>18</v>
      </c>
      <c r="I452">
        <v>88743</v>
      </c>
      <c r="J452" t="s">
        <v>105</v>
      </c>
      <c r="K452" t="s">
        <v>38</v>
      </c>
      <c r="L452" t="s">
        <v>29</v>
      </c>
      <c r="M452">
        <v>3</v>
      </c>
      <c r="N452">
        <v>175.82</v>
      </c>
      <c r="O452">
        <v>293.77999999999997</v>
      </c>
      <c r="P452">
        <v>14.69</v>
      </c>
      <c r="Q452">
        <v>14.69</v>
      </c>
      <c r="R452" t="s">
        <v>30</v>
      </c>
      <c r="S452">
        <v>29</v>
      </c>
      <c r="T452">
        <v>1</v>
      </c>
      <c r="U452">
        <v>3</v>
      </c>
      <c r="V452">
        <v>279.08999999999997</v>
      </c>
      <c r="W452">
        <v>13130000450</v>
      </c>
    </row>
    <row r="453" spans="1:23" x14ac:dyDescent="0.2">
      <c r="A453" s="1">
        <v>44781</v>
      </c>
      <c r="B453" s="2">
        <v>0.40369212962962958</v>
      </c>
      <c r="C453">
        <v>1451</v>
      </c>
      <c r="D453">
        <v>13002561</v>
      </c>
      <c r="E453">
        <v>13</v>
      </c>
      <c r="F453">
        <v>22589</v>
      </c>
      <c r="G453" t="s">
        <v>23</v>
      </c>
      <c r="H453">
        <v>15</v>
      </c>
      <c r="I453">
        <v>56664</v>
      </c>
      <c r="J453" t="s">
        <v>127</v>
      </c>
      <c r="K453" t="s">
        <v>45</v>
      </c>
      <c r="L453" t="s">
        <v>36</v>
      </c>
      <c r="M453">
        <v>1</v>
      </c>
      <c r="N453">
        <v>282.37</v>
      </c>
      <c r="O453">
        <v>363.6</v>
      </c>
      <c r="P453">
        <v>0</v>
      </c>
      <c r="Q453">
        <v>0</v>
      </c>
      <c r="S453">
        <v>29</v>
      </c>
      <c r="T453">
        <v>1</v>
      </c>
      <c r="U453">
        <v>2</v>
      </c>
      <c r="V453">
        <v>363.6</v>
      </c>
      <c r="W453">
        <v>13130000451</v>
      </c>
    </row>
    <row r="454" spans="1:23" x14ac:dyDescent="0.2">
      <c r="A454" s="1">
        <v>44792</v>
      </c>
      <c r="B454" s="2">
        <v>0.61201388888888886</v>
      </c>
      <c r="C454">
        <v>1452</v>
      </c>
      <c r="D454">
        <v>13002561</v>
      </c>
      <c r="E454">
        <v>13</v>
      </c>
      <c r="F454">
        <v>22589</v>
      </c>
      <c r="G454" t="s">
        <v>23</v>
      </c>
      <c r="H454">
        <v>15</v>
      </c>
      <c r="I454">
        <v>63714</v>
      </c>
      <c r="J454" t="s">
        <v>124</v>
      </c>
      <c r="K454" t="s">
        <v>25</v>
      </c>
      <c r="L454" t="s">
        <v>34</v>
      </c>
      <c r="M454">
        <v>3</v>
      </c>
      <c r="N454">
        <v>326.56</v>
      </c>
      <c r="O454">
        <v>506.8</v>
      </c>
      <c r="P454">
        <v>25.34</v>
      </c>
      <c r="Q454">
        <v>25.34</v>
      </c>
      <c r="R454" t="s">
        <v>30</v>
      </c>
      <c r="S454">
        <v>29</v>
      </c>
      <c r="T454">
        <v>1</v>
      </c>
      <c r="U454">
        <v>6</v>
      </c>
      <c r="V454">
        <v>481.46</v>
      </c>
      <c r="W454">
        <v>13130000452</v>
      </c>
    </row>
    <row r="455" spans="1:23" x14ac:dyDescent="0.2">
      <c r="A455" s="1">
        <v>44782</v>
      </c>
      <c r="B455" s="2">
        <v>0.77149305555555558</v>
      </c>
      <c r="C455">
        <v>1453</v>
      </c>
      <c r="D455">
        <v>13002561</v>
      </c>
      <c r="E455">
        <v>13</v>
      </c>
      <c r="F455">
        <v>22589</v>
      </c>
      <c r="G455" t="s">
        <v>23</v>
      </c>
      <c r="H455">
        <v>18</v>
      </c>
      <c r="I455">
        <v>46684</v>
      </c>
      <c r="J455" t="s">
        <v>48</v>
      </c>
      <c r="K455" t="s">
        <v>44</v>
      </c>
      <c r="L455" t="s">
        <v>26</v>
      </c>
      <c r="M455">
        <v>1</v>
      </c>
      <c r="N455">
        <v>124.66</v>
      </c>
      <c r="O455">
        <v>188.77</v>
      </c>
      <c r="P455">
        <v>9.44</v>
      </c>
      <c r="Q455">
        <v>9.44</v>
      </c>
      <c r="R455" t="s">
        <v>30</v>
      </c>
      <c r="S455">
        <v>29</v>
      </c>
      <c r="T455">
        <v>1</v>
      </c>
      <c r="U455">
        <v>3</v>
      </c>
      <c r="V455">
        <v>179.33</v>
      </c>
      <c r="W455">
        <v>13130000453</v>
      </c>
    </row>
    <row r="456" spans="1:23" x14ac:dyDescent="0.2">
      <c r="A456" s="1">
        <v>44802</v>
      </c>
      <c r="B456" s="2">
        <v>0.59260416666666671</v>
      </c>
      <c r="C456">
        <v>1454</v>
      </c>
      <c r="D456">
        <v>13002561</v>
      </c>
      <c r="E456">
        <v>13</v>
      </c>
      <c r="F456">
        <v>22589</v>
      </c>
      <c r="G456" t="s">
        <v>23</v>
      </c>
      <c r="H456">
        <v>15</v>
      </c>
      <c r="I456">
        <v>99611</v>
      </c>
      <c r="J456" t="s">
        <v>91</v>
      </c>
      <c r="K456" t="s">
        <v>45</v>
      </c>
      <c r="L456" t="s">
        <v>47</v>
      </c>
      <c r="M456">
        <v>3</v>
      </c>
      <c r="N456">
        <v>156.30000000000001</v>
      </c>
      <c r="O456">
        <v>226.76</v>
      </c>
      <c r="P456">
        <v>11.34</v>
      </c>
      <c r="Q456">
        <v>11.34</v>
      </c>
      <c r="R456" t="s">
        <v>30</v>
      </c>
      <c r="S456">
        <v>29</v>
      </c>
      <c r="T456">
        <v>1</v>
      </c>
      <c r="U456">
        <v>1</v>
      </c>
      <c r="V456">
        <v>215.42</v>
      </c>
      <c r="W456">
        <v>13130000454</v>
      </c>
    </row>
    <row r="457" spans="1:23" x14ac:dyDescent="0.2">
      <c r="A457" s="1">
        <v>44794</v>
      </c>
      <c r="B457" s="2">
        <v>0.86733796296296295</v>
      </c>
      <c r="C457">
        <v>1455</v>
      </c>
      <c r="D457">
        <v>13002561</v>
      </c>
      <c r="E457">
        <v>13</v>
      </c>
      <c r="F457">
        <v>22589</v>
      </c>
      <c r="G457" t="s">
        <v>23</v>
      </c>
      <c r="H457">
        <v>15</v>
      </c>
      <c r="I457">
        <v>47114</v>
      </c>
      <c r="J457" t="s">
        <v>121</v>
      </c>
      <c r="K457" t="s">
        <v>44</v>
      </c>
      <c r="L457" t="s">
        <v>29</v>
      </c>
      <c r="M457">
        <v>1</v>
      </c>
      <c r="N457">
        <v>470.18</v>
      </c>
      <c r="O457">
        <v>795.56</v>
      </c>
      <c r="P457">
        <v>39.78</v>
      </c>
      <c r="Q457">
        <v>39.78</v>
      </c>
      <c r="R457" t="s">
        <v>30</v>
      </c>
      <c r="S457">
        <v>29</v>
      </c>
      <c r="T457">
        <v>1</v>
      </c>
      <c r="U457">
        <v>3</v>
      </c>
      <c r="V457">
        <v>755.78</v>
      </c>
      <c r="W457">
        <v>13130000455</v>
      </c>
    </row>
    <row r="458" spans="1:23" x14ac:dyDescent="0.2">
      <c r="A458" s="1">
        <v>44798</v>
      </c>
      <c r="B458" s="2">
        <v>0.79965277777777777</v>
      </c>
      <c r="C458">
        <v>1456</v>
      </c>
      <c r="D458">
        <v>13002561</v>
      </c>
      <c r="E458">
        <v>13</v>
      </c>
      <c r="F458">
        <v>22589</v>
      </c>
      <c r="G458" t="s">
        <v>23</v>
      </c>
      <c r="H458">
        <v>15</v>
      </c>
      <c r="I458">
        <v>76247</v>
      </c>
      <c r="J458" t="s">
        <v>100</v>
      </c>
      <c r="K458" t="s">
        <v>60</v>
      </c>
      <c r="L458" t="s">
        <v>36</v>
      </c>
      <c r="M458">
        <v>2</v>
      </c>
      <c r="N458">
        <v>501.41</v>
      </c>
      <c r="O458">
        <v>718.71</v>
      </c>
      <c r="P458">
        <v>0</v>
      </c>
      <c r="Q458">
        <v>0</v>
      </c>
      <c r="S458">
        <v>29</v>
      </c>
      <c r="T458">
        <v>1</v>
      </c>
      <c r="U458">
        <v>2</v>
      </c>
      <c r="V458">
        <v>718.71</v>
      </c>
      <c r="W458">
        <v>13130000456</v>
      </c>
    </row>
    <row r="459" spans="1:23" x14ac:dyDescent="0.2">
      <c r="A459" s="1">
        <v>44798</v>
      </c>
      <c r="B459" s="2">
        <v>0.53435185185185186</v>
      </c>
      <c r="C459">
        <v>1457</v>
      </c>
      <c r="D459">
        <v>13002561</v>
      </c>
      <c r="E459">
        <v>13</v>
      </c>
      <c r="F459">
        <v>22589</v>
      </c>
      <c r="G459" t="s">
        <v>23</v>
      </c>
      <c r="H459">
        <v>18</v>
      </c>
      <c r="I459">
        <v>99394</v>
      </c>
      <c r="J459" t="s">
        <v>84</v>
      </c>
      <c r="K459" t="s">
        <v>25</v>
      </c>
      <c r="L459" t="s">
        <v>51</v>
      </c>
      <c r="M459">
        <v>2</v>
      </c>
      <c r="N459">
        <v>14.57</v>
      </c>
      <c r="O459">
        <v>20.190000000000001</v>
      </c>
      <c r="P459">
        <v>0</v>
      </c>
      <c r="Q459">
        <v>0</v>
      </c>
      <c r="S459">
        <v>29</v>
      </c>
      <c r="T459">
        <v>1</v>
      </c>
      <c r="U459">
        <v>6</v>
      </c>
      <c r="V459">
        <v>20.190000000000001</v>
      </c>
      <c r="W459">
        <v>13130000457</v>
      </c>
    </row>
    <row r="460" spans="1:23" x14ac:dyDescent="0.2">
      <c r="A460" s="1">
        <v>44794</v>
      </c>
      <c r="B460" s="2">
        <v>0.47826388888888888</v>
      </c>
      <c r="C460">
        <v>1458</v>
      </c>
      <c r="D460">
        <v>13002561</v>
      </c>
      <c r="E460">
        <v>13</v>
      </c>
      <c r="F460">
        <v>22589</v>
      </c>
      <c r="G460" t="s">
        <v>23</v>
      </c>
      <c r="H460">
        <v>18</v>
      </c>
      <c r="I460">
        <v>74799</v>
      </c>
      <c r="J460" t="s">
        <v>79</v>
      </c>
      <c r="K460" t="s">
        <v>38</v>
      </c>
      <c r="L460" t="s">
        <v>47</v>
      </c>
      <c r="M460">
        <v>1</v>
      </c>
      <c r="N460">
        <v>72.31</v>
      </c>
      <c r="O460">
        <v>100.21</v>
      </c>
      <c r="P460">
        <v>0</v>
      </c>
      <c r="Q460">
        <v>0</v>
      </c>
      <c r="S460">
        <v>29</v>
      </c>
      <c r="T460">
        <v>1</v>
      </c>
      <c r="U460">
        <v>6</v>
      </c>
      <c r="V460">
        <v>100.21</v>
      </c>
      <c r="W460">
        <v>13130000458</v>
      </c>
    </row>
    <row r="461" spans="1:23" x14ac:dyDescent="0.2">
      <c r="A461" s="1">
        <v>44781</v>
      </c>
      <c r="B461" s="2">
        <v>0.71057870370370368</v>
      </c>
      <c r="C461">
        <v>1459</v>
      </c>
      <c r="D461">
        <v>13002561</v>
      </c>
      <c r="E461">
        <v>13</v>
      </c>
      <c r="F461">
        <v>22589</v>
      </c>
      <c r="G461" t="s">
        <v>23</v>
      </c>
      <c r="H461">
        <v>15</v>
      </c>
      <c r="I461">
        <v>94154</v>
      </c>
      <c r="J461" t="s">
        <v>78</v>
      </c>
      <c r="K461" t="s">
        <v>45</v>
      </c>
      <c r="L461" t="s">
        <v>39</v>
      </c>
      <c r="M461">
        <v>1</v>
      </c>
      <c r="N461">
        <v>9.83</v>
      </c>
      <c r="O461">
        <v>14.34</v>
      </c>
      <c r="P461">
        <v>0.72</v>
      </c>
      <c r="Q461">
        <v>0.72</v>
      </c>
      <c r="R461" t="s">
        <v>30</v>
      </c>
      <c r="S461">
        <v>29</v>
      </c>
      <c r="T461">
        <v>1</v>
      </c>
      <c r="U461">
        <v>1</v>
      </c>
      <c r="V461">
        <v>13.62</v>
      </c>
      <c r="W461">
        <v>13130000459</v>
      </c>
    </row>
    <row r="462" spans="1:23" x14ac:dyDescent="0.2">
      <c r="A462" s="1">
        <v>44800</v>
      </c>
      <c r="B462" s="2">
        <v>0.37006944444444451</v>
      </c>
      <c r="C462">
        <v>1460</v>
      </c>
      <c r="D462">
        <v>13002561</v>
      </c>
      <c r="E462">
        <v>13</v>
      </c>
      <c r="F462">
        <v>22589</v>
      </c>
      <c r="G462" t="s">
        <v>23</v>
      </c>
      <c r="H462">
        <v>15</v>
      </c>
      <c r="I462">
        <v>94651</v>
      </c>
      <c r="J462" t="s">
        <v>128</v>
      </c>
      <c r="K462" t="s">
        <v>60</v>
      </c>
      <c r="L462" t="s">
        <v>26</v>
      </c>
      <c r="M462">
        <v>3</v>
      </c>
      <c r="N462">
        <v>479.91</v>
      </c>
      <c r="O462">
        <v>733.32</v>
      </c>
      <c r="P462">
        <v>0</v>
      </c>
      <c r="Q462">
        <v>0</v>
      </c>
      <c r="S462">
        <v>29</v>
      </c>
      <c r="T462">
        <v>1</v>
      </c>
      <c r="U462">
        <v>3</v>
      </c>
      <c r="V462">
        <v>733.32</v>
      </c>
      <c r="W462">
        <v>13130000460</v>
      </c>
    </row>
    <row r="463" spans="1:23" x14ac:dyDescent="0.2">
      <c r="A463" s="1">
        <v>44785</v>
      </c>
      <c r="B463" s="2">
        <v>0.62894675925925925</v>
      </c>
      <c r="C463">
        <v>1461</v>
      </c>
      <c r="D463">
        <v>13002561</v>
      </c>
      <c r="E463">
        <v>13</v>
      </c>
      <c r="F463">
        <v>22589</v>
      </c>
      <c r="G463" t="s">
        <v>23</v>
      </c>
      <c r="H463">
        <v>18</v>
      </c>
      <c r="I463">
        <v>15595</v>
      </c>
      <c r="J463" t="s">
        <v>41</v>
      </c>
      <c r="K463" t="s">
        <v>45</v>
      </c>
      <c r="L463" t="s">
        <v>47</v>
      </c>
      <c r="M463">
        <v>2</v>
      </c>
      <c r="N463">
        <v>56.3</v>
      </c>
      <c r="O463">
        <v>72.55</v>
      </c>
      <c r="P463">
        <v>7.25</v>
      </c>
      <c r="Q463">
        <v>7.25</v>
      </c>
      <c r="R463" t="s">
        <v>30</v>
      </c>
      <c r="S463">
        <v>29</v>
      </c>
      <c r="T463">
        <v>1</v>
      </c>
      <c r="U463">
        <v>1</v>
      </c>
      <c r="V463">
        <v>65.3</v>
      </c>
      <c r="W463">
        <v>13130000461</v>
      </c>
    </row>
    <row r="464" spans="1:23" x14ac:dyDescent="0.2">
      <c r="A464" s="1">
        <v>44776</v>
      </c>
      <c r="B464" s="2">
        <v>0.66658564814814814</v>
      </c>
      <c r="C464">
        <v>1462</v>
      </c>
      <c r="D464">
        <v>13002561</v>
      </c>
      <c r="E464">
        <v>13</v>
      </c>
      <c r="F464">
        <v>22589</v>
      </c>
      <c r="G464" t="s">
        <v>23</v>
      </c>
      <c r="H464">
        <v>18</v>
      </c>
      <c r="I464">
        <v>56929</v>
      </c>
      <c r="J464" t="s">
        <v>122</v>
      </c>
      <c r="K464" t="s">
        <v>38</v>
      </c>
      <c r="L464" t="s">
        <v>36</v>
      </c>
      <c r="M464">
        <v>3</v>
      </c>
      <c r="N464">
        <v>109.89</v>
      </c>
      <c r="O464">
        <v>183.9</v>
      </c>
      <c r="P464">
        <v>0</v>
      </c>
      <c r="Q464">
        <v>0</v>
      </c>
      <c r="S464">
        <v>29</v>
      </c>
      <c r="T464">
        <v>1</v>
      </c>
      <c r="U464">
        <v>6</v>
      </c>
      <c r="V464">
        <v>183.9</v>
      </c>
      <c r="W464">
        <v>13130000462</v>
      </c>
    </row>
    <row r="465" spans="1:23" x14ac:dyDescent="0.2">
      <c r="A465" s="1">
        <v>44783</v>
      </c>
      <c r="B465" s="2">
        <v>0.86833333333333329</v>
      </c>
      <c r="C465">
        <v>1463</v>
      </c>
      <c r="D465">
        <v>13002561</v>
      </c>
      <c r="E465">
        <v>13</v>
      </c>
      <c r="F465">
        <v>22589</v>
      </c>
      <c r="G465" t="s">
        <v>23</v>
      </c>
      <c r="H465">
        <v>18</v>
      </c>
      <c r="I465">
        <v>55008</v>
      </c>
      <c r="J465" t="s">
        <v>74</v>
      </c>
      <c r="K465" t="s">
        <v>60</v>
      </c>
      <c r="L465" t="s">
        <v>47</v>
      </c>
      <c r="M465">
        <v>2</v>
      </c>
      <c r="N465">
        <v>45.81</v>
      </c>
      <c r="O465">
        <v>63.6</v>
      </c>
      <c r="P465">
        <v>0</v>
      </c>
      <c r="Q465">
        <v>0</v>
      </c>
      <c r="S465">
        <v>29</v>
      </c>
      <c r="T465">
        <v>1</v>
      </c>
      <c r="U465">
        <v>6</v>
      </c>
      <c r="V465">
        <v>63.6</v>
      </c>
      <c r="W465">
        <v>13130000463</v>
      </c>
    </row>
    <row r="466" spans="1:23" x14ac:dyDescent="0.2">
      <c r="A466" s="1">
        <v>44785</v>
      </c>
      <c r="B466" s="2">
        <v>0.68010416666666662</v>
      </c>
      <c r="C466">
        <v>1464</v>
      </c>
      <c r="D466">
        <v>13002561</v>
      </c>
      <c r="E466">
        <v>13</v>
      </c>
      <c r="F466">
        <v>22589</v>
      </c>
      <c r="G466" t="s">
        <v>23</v>
      </c>
      <c r="H466">
        <v>18</v>
      </c>
      <c r="I466">
        <v>77344</v>
      </c>
      <c r="J466" t="s">
        <v>80</v>
      </c>
      <c r="K466" t="s">
        <v>60</v>
      </c>
      <c r="L466" t="s">
        <v>39</v>
      </c>
      <c r="M466">
        <v>1</v>
      </c>
      <c r="N466">
        <v>122.76</v>
      </c>
      <c r="O466">
        <v>156.91999999999999</v>
      </c>
      <c r="P466">
        <v>7.85</v>
      </c>
      <c r="Q466">
        <v>7.85</v>
      </c>
      <c r="R466" t="s">
        <v>30</v>
      </c>
      <c r="S466">
        <v>29</v>
      </c>
      <c r="T466">
        <v>1</v>
      </c>
      <c r="U466">
        <v>2</v>
      </c>
      <c r="V466">
        <v>149.07</v>
      </c>
      <c r="W466">
        <v>13130000464</v>
      </c>
    </row>
    <row r="467" spans="1:23" x14ac:dyDescent="0.2">
      <c r="A467" s="1">
        <v>44774</v>
      </c>
      <c r="B467" s="2">
        <v>0.53662037037037036</v>
      </c>
      <c r="C467">
        <v>1465</v>
      </c>
      <c r="D467">
        <v>13002561</v>
      </c>
      <c r="E467">
        <v>13</v>
      </c>
      <c r="F467">
        <v>22589</v>
      </c>
      <c r="G467" t="s">
        <v>23</v>
      </c>
      <c r="H467">
        <v>18</v>
      </c>
      <c r="I467">
        <v>15325</v>
      </c>
      <c r="J467" t="s">
        <v>105</v>
      </c>
      <c r="K467" t="s">
        <v>38</v>
      </c>
      <c r="L467" t="s">
        <v>34</v>
      </c>
      <c r="M467">
        <v>3</v>
      </c>
      <c r="N467">
        <v>520.59</v>
      </c>
      <c r="O467">
        <v>819.65</v>
      </c>
      <c r="P467">
        <v>81.97</v>
      </c>
      <c r="Q467">
        <v>81.97</v>
      </c>
      <c r="R467" t="s">
        <v>30</v>
      </c>
      <c r="S467">
        <v>29</v>
      </c>
      <c r="T467">
        <v>1</v>
      </c>
      <c r="U467">
        <v>3</v>
      </c>
      <c r="V467">
        <v>737.68</v>
      </c>
      <c r="W467">
        <v>13130000465</v>
      </c>
    </row>
    <row r="468" spans="1:23" x14ac:dyDescent="0.2">
      <c r="A468" s="1">
        <v>44799</v>
      </c>
      <c r="B468" s="2">
        <v>0.59523148148148153</v>
      </c>
      <c r="C468">
        <v>1466</v>
      </c>
      <c r="D468">
        <v>13002561</v>
      </c>
      <c r="E468">
        <v>13</v>
      </c>
      <c r="F468">
        <v>22589</v>
      </c>
      <c r="G468" t="s">
        <v>23</v>
      </c>
      <c r="H468">
        <v>18</v>
      </c>
      <c r="I468">
        <v>69625</v>
      </c>
      <c r="J468" t="s">
        <v>40</v>
      </c>
      <c r="K468" t="s">
        <v>25</v>
      </c>
      <c r="L468" t="s">
        <v>26</v>
      </c>
      <c r="M468">
        <v>2</v>
      </c>
      <c r="N468">
        <v>583.29999999999995</v>
      </c>
      <c r="O468">
        <v>770.3</v>
      </c>
      <c r="P468">
        <v>0</v>
      </c>
      <c r="Q468">
        <v>0</v>
      </c>
      <c r="S468">
        <v>29</v>
      </c>
      <c r="T468">
        <v>1</v>
      </c>
      <c r="U468">
        <v>2</v>
      </c>
      <c r="V468">
        <v>770.3</v>
      </c>
      <c r="W468">
        <v>13130000466</v>
      </c>
    </row>
    <row r="469" spans="1:23" x14ac:dyDescent="0.2">
      <c r="A469" s="1">
        <v>44804</v>
      </c>
      <c r="B469" s="2">
        <v>0.58957175925925931</v>
      </c>
      <c r="C469">
        <v>1467</v>
      </c>
      <c r="D469">
        <v>13002561</v>
      </c>
      <c r="E469">
        <v>13</v>
      </c>
      <c r="F469">
        <v>22589</v>
      </c>
      <c r="G469" t="s">
        <v>23</v>
      </c>
      <c r="H469">
        <v>15</v>
      </c>
      <c r="I469">
        <v>21976</v>
      </c>
      <c r="J469" t="s">
        <v>78</v>
      </c>
      <c r="K469" t="s">
        <v>44</v>
      </c>
      <c r="L469" t="s">
        <v>26</v>
      </c>
      <c r="M469">
        <v>1</v>
      </c>
      <c r="N469">
        <v>405.54</v>
      </c>
      <c r="O469">
        <v>657.82</v>
      </c>
      <c r="P469">
        <v>65.78</v>
      </c>
      <c r="Q469">
        <v>65.78</v>
      </c>
      <c r="R469" t="s">
        <v>30</v>
      </c>
      <c r="S469">
        <v>29</v>
      </c>
      <c r="T469">
        <v>1</v>
      </c>
      <c r="U469">
        <v>3</v>
      </c>
      <c r="V469">
        <v>592.04</v>
      </c>
      <c r="W469">
        <v>13130000467</v>
      </c>
    </row>
    <row r="470" spans="1:23" x14ac:dyDescent="0.2">
      <c r="A470" s="1">
        <v>44788</v>
      </c>
      <c r="B470" s="2">
        <v>0.43335648148148148</v>
      </c>
      <c r="C470">
        <v>1468</v>
      </c>
      <c r="D470">
        <v>13002561</v>
      </c>
      <c r="E470">
        <v>13</v>
      </c>
      <c r="F470">
        <v>22589</v>
      </c>
      <c r="G470" t="s">
        <v>23</v>
      </c>
      <c r="H470">
        <v>18</v>
      </c>
      <c r="I470">
        <v>40143</v>
      </c>
      <c r="J470" t="s">
        <v>80</v>
      </c>
      <c r="K470" t="s">
        <v>38</v>
      </c>
      <c r="L470" t="s">
        <v>34</v>
      </c>
      <c r="M470">
        <v>3</v>
      </c>
      <c r="N470">
        <v>397.01</v>
      </c>
      <c r="O470">
        <v>606.38</v>
      </c>
      <c r="P470">
        <v>0</v>
      </c>
      <c r="Q470">
        <v>0</v>
      </c>
      <c r="S470">
        <v>29</v>
      </c>
      <c r="T470">
        <v>1</v>
      </c>
      <c r="U470">
        <v>1</v>
      </c>
      <c r="V470">
        <v>606.38</v>
      </c>
      <c r="W470">
        <v>13130000468</v>
      </c>
    </row>
    <row r="471" spans="1:23" x14ac:dyDescent="0.2">
      <c r="A471" s="1">
        <v>44793</v>
      </c>
      <c r="B471" s="2">
        <v>0.91803240740740744</v>
      </c>
      <c r="C471">
        <v>1469</v>
      </c>
      <c r="D471">
        <v>13002561</v>
      </c>
      <c r="E471">
        <v>13</v>
      </c>
      <c r="F471">
        <v>22589</v>
      </c>
      <c r="G471" t="s">
        <v>23</v>
      </c>
      <c r="H471">
        <v>15</v>
      </c>
      <c r="I471">
        <v>65732</v>
      </c>
      <c r="J471" t="s">
        <v>119</v>
      </c>
      <c r="K471" t="s">
        <v>45</v>
      </c>
      <c r="L471" t="s">
        <v>47</v>
      </c>
      <c r="M471">
        <v>1</v>
      </c>
      <c r="N471">
        <v>258.42</v>
      </c>
      <c r="O471">
        <v>389.83</v>
      </c>
      <c r="P471">
        <v>0</v>
      </c>
      <c r="Q471">
        <v>0</v>
      </c>
      <c r="S471">
        <v>29</v>
      </c>
      <c r="T471">
        <v>1</v>
      </c>
      <c r="U471">
        <v>5</v>
      </c>
      <c r="V471">
        <v>389.83</v>
      </c>
      <c r="W471">
        <v>13130000469</v>
      </c>
    </row>
    <row r="472" spans="1:23" x14ac:dyDescent="0.2">
      <c r="A472" s="1">
        <v>44793</v>
      </c>
      <c r="B472" s="2">
        <v>0.40953703703703698</v>
      </c>
      <c r="C472">
        <v>1470</v>
      </c>
      <c r="D472">
        <v>13002561</v>
      </c>
      <c r="E472">
        <v>13</v>
      </c>
      <c r="F472">
        <v>22589</v>
      </c>
      <c r="G472" t="s">
        <v>23</v>
      </c>
      <c r="H472">
        <v>18</v>
      </c>
      <c r="I472">
        <v>87431</v>
      </c>
      <c r="J472" t="s">
        <v>95</v>
      </c>
      <c r="K472" t="s">
        <v>44</v>
      </c>
      <c r="L472" t="s">
        <v>39</v>
      </c>
      <c r="M472">
        <v>1</v>
      </c>
      <c r="N472">
        <v>13.3</v>
      </c>
      <c r="O472">
        <v>18.899999999999999</v>
      </c>
      <c r="P472">
        <v>0</v>
      </c>
      <c r="Q472">
        <v>0</v>
      </c>
      <c r="S472">
        <v>29</v>
      </c>
      <c r="T472">
        <v>1</v>
      </c>
      <c r="U472">
        <v>3</v>
      </c>
      <c r="V472">
        <v>18.899999999999999</v>
      </c>
      <c r="W472">
        <v>13130000470</v>
      </c>
    </row>
    <row r="473" spans="1:23" x14ac:dyDescent="0.2">
      <c r="A473" s="1">
        <v>44796</v>
      </c>
      <c r="B473" s="2">
        <v>0.83030092592592597</v>
      </c>
      <c r="C473">
        <v>1471</v>
      </c>
      <c r="D473">
        <v>13002561</v>
      </c>
      <c r="E473">
        <v>13</v>
      </c>
      <c r="F473">
        <v>22589</v>
      </c>
      <c r="G473" t="s">
        <v>23</v>
      </c>
      <c r="H473">
        <v>18</v>
      </c>
      <c r="I473">
        <v>58479</v>
      </c>
      <c r="J473" t="s">
        <v>76</v>
      </c>
      <c r="K473" t="s">
        <v>45</v>
      </c>
      <c r="L473" t="s">
        <v>26</v>
      </c>
      <c r="M473">
        <v>3</v>
      </c>
      <c r="N473">
        <v>253.29</v>
      </c>
      <c r="O473">
        <v>378.27</v>
      </c>
      <c r="P473">
        <v>18.91</v>
      </c>
      <c r="Q473">
        <v>18.91</v>
      </c>
      <c r="R473" t="s">
        <v>30</v>
      </c>
      <c r="S473">
        <v>29</v>
      </c>
      <c r="T473">
        <v>1</v>
      </c>
      <c r="U473">
        <v>5</v>
      </c>
      <c r="V473">
        <v>359.36</v>
      </c>
      <c r="W473">
        <v>13130000471</v>
      </c>
    </row>
    <row r="474" spans="1:23" x14ac:dyDescent="0.2">
      <c r="A474" s="1">
        <v>44792</v>
      </c>
      <c r="B474" s="2">
        <v>0.83240740740740737</v>
      </c>
      <c r="C474">
        <v>1472</v>
      </c>
      <c r="D474">
        <v>13002561</v>
      </c>
      <c r="E474">
        <v>13</v>
      </c>
      <c r="F474">
        <v>22589</v>
      </c>
      <c r="G474" t="s">
        <v>23</v>
      </c>
      <c r="H474">
        <v>15</v>
      </c>
      <c r="I474">
        <v>10282</v>
      </c>
      <c r="J474" t="s">
        <v>84</v>
      </c>
      <c r="K474" t="s">
        <v>60</v>
      </c>
      <c r="L474" t="s">
        <v>29</v>
      </c>
      <c r="M474">
        <v>1</v>
      </c>
      <c r="N474">
        <v>94.71</v>
      </c>
      <c r="O474">
        <v>140.38999999999999</v>
      </c>
      <c r="P474">
        <v>7.02</v>
      </c>
      <c r="Q474">
        <v>7.02</v>
      </c>
      <c r="R474" t="s">
        <v>30</v>
      </c>
      <c r="S474">
        <v>29</v>
      </c>
      <c r="T474">
        <v>1</v>
      </c>
      <c r="U474">
        <v>4</v>
      </c>
      <c r="V474">
        <v>133.37</v>
      </c>
      <c r="W474">
        <v>13130000472</v>
      </c>
    </row>
    <row r="475" spans="1:23" x14ac:dyDescent="0.2">
      <c r="A475" s="1">
        <v>44783</v>
      </c>
      <c r="B475" s="2">
        <v>0.70403935185185185</v>
      </c>
      <c r="C475">
        <v>1473</v>
      </c>
      <c r="D475">
        <v>13002561</v>
      </c>
      <c r="E475">
        <v>13</v>
      </c>
      <c r="F475">
        <v>22589</v>
      </c>
      <c r="G475" t="s">
        <v>23</v>
      </c>
      <c r="H475">
        <v>18</v>
      </c>
      <c r="I475">
        <v>85613</v>
      </c>
      <c r="J475" t="s">
        <v>117</v>
      </c>
      <c r="K475" t="s">
        <v>45</v>
      </c>
      <c r="L475" t="s">
        <v>29</v>
      </c>
      <c r="M475">
        <v>2</v>
      </c>
      <c r="N475">
        <v>594.85</v>
      </c>
      <c r="O475">
        <v>851.67</v>
      </c>
      <c r="P475">
        <v>0</v>
      </c>
      <c r="Q475">
        <v>0</v>
      </c>
      <c r="S475">
        <v>29</v>
      </c>
      <c r="T475">
        <v>1</v>
      </c>
      <c r="U475">
        <v>4</v>
      </c>
      <c r="V475">
        <v>851.67</v>
      </c>
      <c r="W475">
        <v>13130000473</v>
      </c>
    </row>
    <row r="476" spans="1:23" x14ac:dyDescent="0.2">
      <c r="A476" s="1">
        <v>44793</v>
      </c>
      <c r="B476" s="2">
        <v>0.79777777777777781</v>
      </c>
      <c r="C476">
        <v>1474</v>
      </c>
      <c r="D476">
        <v>13002561</v>
      </c>
      <c r="E476">
        <v>13</v>
      </c>
      <c r="F476">
        <v>22589</v>
      </c>
      <c r="G476" t="s">
        <v>23</v>
      </c>
      <c r="H476">
        <v>18</v>
      </c>
      <c r="I476">
        <v>67615</v>
      </c>
      <c r="J476" t="s">
        <v>104</v>
      </c>
      <c r="K476" t="s">
        <v>38</v>
      </c>
      <c r="L476" t="s">
        <v>47</v>
      </c>
      <c r="M476">
        <v>3</v>
      </c>
      <c r="N476">
        <v>566.59</v>
      </c>
      <c r="O476">
        <v>757.26</v>
      </c>
      <c r="P476">
        <v>75.73</v>
      </c>
      <c r="Q476">
        <v>75.73</v>
      </c>
      <c r="R476" t="s">
        <v>30</v>
      </c>
      <c r="S476">
        <v>29</v>
      </c>
      <c r="T476">
        <v>1</v>
      </c>
      <c r="U476">
        <v>1</v>
      </c>
      <c r="V476">
        <v>681.53</v>
      </c>
      <c r="W476">
        <v>13130000474</v>
      </c>
    </row>
    <row r="477" spans="1:23" x14ac:dyDescent="0.2">
      <c r="A477" s="1">
        <v>44777</v>
      </c>
      <c r="B477" s="2">
        <v>0.37579861111111112</v>
      </c>
      <c r="C477">
        <v>1475</v>
      </c>
      <c r="D477">
        <v>13002561</v>
      </c>
      <c r="E477">
        <v>13</v>
      </c>
      <c r="F477">
        <v>22589</v>
      </c>
      <c r="G477" t="s">
        <v>23</v>
      </c>
      <c r="H477">
        <v>18</v>
      </c>
      <c r="I477">
        <v>70144</v>
      </c>
      <c r="J477" t="s">
        <v>103</v>
      </c>
      <c r="K477" t="s">
        <v>38</v>
      </c>
      <c r="L477" t="s">
        <v>29</v>
      </c>
      <c r="M477">
        <v>3</v>
      </c>
      <c r="N477">
        <v>237.31</v>
      </c>
      <c r="O477">
        <v>366.69</v>
      </c>
      <c r="P477">
        <v>0</v>
      </c>
      <c r="Q477">
        <v>0</v>
      </c>
      <c r="S477">
        <v>29</v>
      </c>
      <c r="T477">
        <v>1</v>
      </c>
      <c r="U477">
        <v>4</v>
      </c>
      <c r="V477">
        <v>366.69</v>
      </c>
      <c r="W477">
        <v>13130000475</v>
      </c>
    </row>
    <row r="478" spans="1:23" x14ac:dyDescent="0.2">
      <c r="A478" s="1">
        <v>44794</v>
      </c>
      <c r="B478" s="2">
        <v>0.5481018518518519</v>
      </c>
      <c r="C478">
        <v>1476</v>
      </c>
      <c r="D478">
        <v>13002561</v>
      </c>
      <c r="E478">
        <v>13</v>
      </c>
      <c r="F478">
        <v>22589</v>
      </c>
      <c r="G478" t="s">
        <v>23</v>
      </c>
      <c r="H478">
        <v>15</v>
      </c>
      <c r="I478">
        <v>81428</v>
      </c>
      <c r="J478" t="s">
        <v>49</v>
      </c>
      <c r="K478" t="s">
        <v>44</v>
      </c>
      <c r="L478" t="s">
        <v>34</v>
      </c>
      <c r="M478">
        <v>2</v>
      </c>
      <c r="N478">
        <v>122.21</v>
      </c>
      <c r="O478">
        <v>174.5</v>
      </c>
      <c r="P478">
        <v>8.7200000000000006</v>
      </c>
      <c r="Q478">
        <v>8.7200000000000006</v>
      </c>
      <c r="R478" t="s">
        <v>30</v>
      </c>
      <c r="S478">
        <v>29</v>
      </c>
      <c r="T478">
        <v>1</v>
      </c>
      <c r="U478">
        <v>4</v>
      </c>
      <c r="V478">
        <v>165.78</v>
      </c>
      <c r="W478">
        <v>13130000476</v>
      </c>
    </row>
    <row r="479" spans="1:23" x14ac:dyDescent="0.2">
      <c r="A479" s="1">
        <v>44803</v>
      </c>
      <c r="B479" s="2">
        <v>0.48396990740740742</v>
      </c>
      <c r="C479">
        <v>1477</v>
      </c>
      <c r="D479">
        <v>13002561</v>
      </c>
      <c r="E479">
        <v>13</v>
      </c>
      <c r="F479">
        <v>22589</v>
      </c>
      <c r="G479" t="s">
        <v>23</v>
      </c>
      <c r="H479">
        <v>18</v>
      </c>
      <c r="I479">
        <v>94885</v>
      </c>
      <c r="J479" t="s">
        <v>35</v>
      </c>
      <c r="K479" t="s">
        <v>38</v>
      </c>
      <c r="L479" t="s">
        <v>51</v>
      </c>
      <c r="M479">
        <v>1</v>
      </c>
      <c r="N479">
        <v>594.62</v>
      </c>
      <c r="O479">
        <v>843.12</v>
      </c>
      <c r="P479">
        <v>84.31</v>
      </c>
      <c r="Q479">
        <v>84.31</v>
      </c>
      <c r="R479" t="s">
        <v>30</v>
      </c>
      <c r="S479">
        <v>29</v>
      </c>
      <c r="T479">
        <v>1</v>
      </c>
      <c r="U479">
        <v>6</v>
      </c>
      <c r="V479">
        <v>758.81</v>
      </c>
      <c r="W479">
        <v>13130000477</v>
      </c>
    </row>
    <row r="480" spans="1:23" x14ac:dyDescent="0.2">
      <c r="A480" s="1">
        <v>44783</v>
      </c>
      <c r="B480" s="2">
        <v>0.54695601851851849</v>
      </c>
      <c r="C480">
        <v>1478</v>
      </c>
      <c r="D480">
        <v>13002561</v>
      </c>
      <c r="E480">
        <v>13</v>
      </c>
      <c r="F480">
        <v>22589</v>
      </c>
      <c r="G480" t="s">
        <v>23</v>
      </c>
      <c r="H480">
        <v>15</v>
      </c>
      <c r="I480">
        <v>77322</v>
      </c>
      <c r="J480" t="s">
        <v>35</v>
      </c>
      <c r="K480" t="s">
        <v>45</v>
      </c>
      <c r="L480" t="s">
        <v>51</v>
      </c>
      <c r="M480">
        <v>3</v>
      </c>
      <c r="N480">
        <v>151.31</v>
      </c>
      <c r="O480">
        <v>198.88</v>
      </c>
      <c r="P480">
        <v>19.89</v>
      </c>
      <c r="Q480">
        <v>19.89</v>
      </c>
      <c r="R480" t="s">
        <v>30</v>
      </c>
      <c r="S480">
        <v>29</v>
      </c>
      <c r="T480">
        <v>1</v>
      </c>
      <c r="U480">
        <v>3</v>
      </c>
      <c r="V480">
        <v>178.99</v>
      </c>
      <c r="W480">
        <v>13130000478</v>
      </c>
    </row>
    <row r="481" spans="1:23" x14ac:dyDescent="0.2">
      <c r="A481" s="1">
        <v>44790</v>
      </c>
      <c r="B481" s="2">
        <v>0.39600694444444451</v>
      </c>
      <c r="C481">
        <v>1479</v>
      </c>
      <c r="D481">
        <v>13002561</v>
      </c>
      <c r="E481">
        <v>13</v>
      </c>
      <c r="F481">
        <v>22589</v>
      </c>
      <c r="G481" t="s">
        <v>23</v>
      </c>
      <c r="H481">
        <v>15</v>
      </c>
      <c r="I481">
        <v>69188</v>
      </c>
      <c r="J481" t="s">
        <v>107</v>
      </c>
      <c r="K481" t="s">
        <v>28</v>
      </c>
      <c r="L481" t="s">
        <v>26</v>
      </c>
      <c r="M481">
        <v>3</v>
      </c>
      <c r="N481">
        <v>531.27</v>
      </c>
      <c r="O481">
        <v>751.86</v>
      </c>
      <c r="P481">
        <v>75.19</v>
      </c>
      <c r="Q481">
        <v>75.19</v>
      </c>
      <c r="R481" t="s">
        <v>30</v>
      </c>
      <c r="S481">
        <v>29</v>
      </c>
      <c r="T481">
        <v>1</v>
      </c>
      <c r="U481">
        <v>6</v>
      </c>
      <c r="V481">
        <v>676.67</v>
      </c>
      <c r="W481">
        <v>13130000479</v>
      </c>
    </row>
    <row r="482" spans="1:23" x14ac:dyDescent="0.2">
      <c r="A482" s="1">
        <v>44799</v>
      </c>
      <c r="B482" s="2">
        <v>0.84186342592592589</v>
      </c>
      <c r="C482">
        <v>1480</v>
      </c>
      <c r="D482">
        <v>13002561</v>
      </c>
      <c r="E482">
        <v>13</v>
      </c>
      <c r="F482">
        <v>22589</v>
      </c>
      <c r="G482" t="s">
        <v>23</v>
      </c>
      <c r="H482">
        <v>18</v>
      </c>
      <c r="I482">
        <v>98373</v>
      </c>
      <c r="J482" t="s">
        <v>109</v>
      </c>
      <c r="K482" t="s">
        <v>38</v>
      </c>
      <c r="L482" t="s">
        <v>47</v>
      </c>
      <c r="M482">
        <v>3</v>
      </c>
      <c r="N482">
        <v>263.56</v>
      </c>
      <c r="O482">
        <v>428.13</v>
      </c>
      <c r="P482">
        <v>42.81</v>
      </c>
      <c r="Q482">
        <v>42.81</v>
      </c>
      <c r="R482" t="s">
        <v>30</v>
      </c>
      <c r="S482">
        <v>29</v>
      </c>
      <c r="T482">
        <v>1</v>
      </c>
      <c r="U482">
        <v>4</v>
      </c>
      <c r="V482">
        <v>385.32</v>
      </c>
      <c r="W482">
        <v>13130000480</v>
      </c>
    </row>
    <row r="483" spans="1:23" x14ac:dyDescent="0.2">
      <c r="A483" s="1">
        <v>44778</v>
      </c>
      <c r="B483" s="2">
        <v>0.64269675925925929</v>
      </c>
      <c r="C483">
        <v>1481</v>
      </c>
      <c r="D483">
        <v>13002561</v>
      </c>
      <c r="E483">
        <v>13</v>
      </c>
      <c r="F483">
        <v>22589</v>
      </c>
      <c r="G483" t="s">
        <v>23</v>
      </c>
      <c r="H483">
        <v>15</v>
      </c>
      <c r="I483">
        <v>17543</v>
      </c>
      <c r="J483" t="s">
        <v>65</v>
      </c>
      <c r="K483" t="s">
        <v>28</v>
      </c>
      <c r="L483" t="s">
        <v>36</v>
      </c>
      <c r="M483">
        <v>3</v>
      </c>
      <c r="N483">
        <v>323.39</v>
      </c>
      <c r="O483">
        <v>430.04</v>
      </c>
      <c r="P483">
        <v>0</v>
      </c>
      <c r="Q483">
        <v>0</v>
      </c>
      <c r="S483">
        <v>29</v>
      </c>
      <c r="T483">
        <v>1</v>
      </c>
      <c r="U483">
        <v>4</v>
      </c>
      <c r="V483">
        <v>430.04</v>
      </c>
      <c r="W483">
        <v>13130000481</v>
      </c>
    </row>
    <row r="484" spans="1:23" x14ac:dyDescent="0.2">
      <c r="A484" s="1">
        <v>44803</v>
      </c>
      <c r="B484" s="2">
        <v>0.38093749999999998</v>
      </c>
      <c r="C484">
        <v>1482</v>
      </c>
      <c r="D484">
        <v>13002561</v>
      </c>
      <c r="E484">
        <v>13</v>
      </c>
      <c r="F484">
        <v>22589</v>
      </c>
      <c r="G484" t="s">
        <v>23</v>
      </c>
      <c r="H484">
        <v>15</v>
      </c>
      <c r="I484">
        <v>42307</v>
      </c>
      <c r="J484" t="s">
        <v>67</v>
      </c>
      <c r="K484" t="s">
        <v>45</v>
      </c>
      <c r="L484" t="s">
        <v>29</v>
      </c>
      <c r="M484">
        <v>2</v>
      </c>
      <c r="N484">
        <v>165.08</v>
      </c>
      <c r="O484">
        <v>243.21</v>
      </c>
      <c r="P484">
        <v>24.32</v>
      </c>
      <c r="Q484">
        <v>24.32</v>
      </c>
      <c r="R484" t="s">
        <v>30</v>
      </c>
      <c r="S484">
        <v>29</v>
      </c>
      <c r="T484">
        <v>1</v>
      </c>
      <c r="U484">
        <v>1</v>
      </c>
      <c r="V484">
        <v>218.89</v>
      </c>
      <c r="W484">
        <v>13130000482</v>
      </c>
    </row>
    <row r="485" spans="1:23" x14ac:dyDescent="0.2">
      <c r="A485" s="1">
        <v>44796</v>
      </c>
      <c r="B485" s="2">
        <v>0.79905092592592597</v>
      </c>
      <c r="C485">
        <v>1483</v>
      </c>
      <c r="D485">
        <v>13002561</v>
      </c>
      <c r="E485">
        <v>13</v>
      </c>
      <c r="F485">
        <v>22589</v>
      </c>
      <c r="G485" t="s">
        <v>23</v>
      </c>
      <c r="H485">
        <v>15</v>
      </c>
      <c r="I485">
        <v>94003</v>
      </c>
      <c r="J485" t="s">
        <v>66</v>
      </c>
      <c r="K485" t="s">
        <v>38</v>
      </c>
      <c r="L485" t="s">
        <v>26</v>
      </c>
      <c r="M485">
        <v>1</v>
      </c>
      <c r="N485">
        <v>105.09</v>
      </c>
      <c r="O485">
        <v>170.52</v>
      </c>
      <c r="P485">
        <v>8.5299999999999994</v>
      </c>
      <c r="Q485">
        <v>8.5299999999999994</v>
      </c>
      <c r="R485" t="s">
        <v>30</v>
      </c>
      <c r="S485">
        <v>29</v>
      </c>
      <c r="T485">
        <v>1</v>
      </c>
      <c r="U485">
        <v>5</v>
      </c>
      <c r="V485">
        <v>161.99</v>
      </c>
      <c r="W485">
        <v>13130000483</v>
      </c>
    </row>
    <row r="486" spans="1:23" x14ac:dyDescent="0.2">
      <c r="A486" s="1">
        <v>44804</v>
      </c>
      <c r="B486" s="2">
        <v>0.48696759259259259</v>
      </c>
      <c r="C486">
        <v>1484</v>
      </c>
      <c r="D486">
        <v>13002561</v>
      </c>
      <c r="E486">
        <v>13</v>
      </c>
      <c r="F486">
        <v>22589</v>
      </c>
      <c r="G486" t="s">
        <v>23</v>
      </c>
      <c r="H486">
        <v>18</v>
      </c>
      <c r="I486">
        <v>12585</v>
      </c>
      <c r="J486" t="s">
        <v>128</v>
      </c>
      <c r="K486" t="s">
        <v>60</v>
      </c>
      <c r="L486" t="s">
        <v>26</v>
      </c>
      <c r="M486">
        <v>1</v>
      </c>
      <c r="N486">
        <v>264.61</v>
      </c>
      <c r="O486">
        <v>404.98</v>
      </c>
      <c r="P486">
        <v>40.5</v>
      </c>
      <c r="Q486">
        <v>40.5</v>
      </c>
      <c r="R486" t="s">
        <v>30</v>
      </c>
      <c r="S486">
        <v>29</v>
      </c>
      <c r="T486">
        <v>1</v>
      </c>
      <c r="U486">
        <v>6</v>
      </c>
      <c r="V486">
        <v>364.48</v>
      </c>
      <c r="W486">
        <v>13130000484</v>
      </c>
    </row>
    <row r="487" spans="1:23" x14ac:dyDescent="0.2">
      <c r="A487" s="1">
        <v>44800</v>
      </c>
      <c r="B487" s="2">
        <v>0.39907407407407408</v>
      </c>
      <c r="C487">
        <v>1485</v>
      </c>
      <c r="D487">
        <v>13002561</v>
      </c>
      <c r="E487">
        <v>13</v>
      </c>
      <c r="F487">
        <v>22589</v>
      </c>
      <c r="G487" t="s">
        <v>23</v>
      </c>
      <c r="H487">
        <v>15</v>
      </c>
      <c r="I487">
        <v>46076</v>
      </c>
      <c r="J487" t="s">
        <v>42</v>
      </c>
      <c r="K487" t="s">
        <v>44</v>
      </c>
      <c r="L487" t="s">
        <v>26</v>
      </c>
      <c r="M487">
        <v>3</v>
      </c>
      <c r="N487">
        <v>380.98</v>
      </c>
      <c r="O487">
        <v>515.44000000000005</v>
      </c>
      <c r="P487">
        <v>0</v>
      </c>
      <c r="Q487">
        <v>0</v>
      </c>
      <c r="S487">
        <v>29</v>
      </c>
      <c r="T487">
        <v>1</v>
      </c>
      <c r="U487">
        <v>1</v>
      </c>
      <c r="V487">
        <v>515.44000000000005</v>
      </c>
      <c r="W487">
        <v>13130000485</v>
      </c>
    </row>
    <row r="488" spans="1:23" x14ac:dyDescent="0.2">
      <c r="A488" s="1">
        <v>44798</v>
      </c>
      <c r="B488" s="2">
        <v>0.56920138888888894</v>
      </c>
      <c r="C488">
        <v>1486</v>
      </c>
      <c r="D488">
        <v>13002561</v>
      </c>
      <c r="E488">
        <v>13</v>
      </c>
      <c r="F488">
        <v>22589</v>
      </c>
      <c r="G488" t="s">
        <v>23</v>
      </c>
      <c r="H488">
        <v>18</v>
      </c>
      <c r="I488">
        <v>75042</v>
      </c>
      <c r="J488" t="s">
        <v>79</v>
      </c>
      <c r="K488" t="s">
        <v>45</v>
      </c>
      <c r="L488" t="s">
        <v>26</v>
      </c>
      <c r="M488">
        <v>1</v>
      </c>
      <c r="N488">
        <v>414.67</v>
      </c>
      <c r="O488">
        <v>561.44000000000005</v>
      </c>
      <c r="P488">
        <v>0</v>
      </c>
      <c r="Q488">
        <v>0</v>
      </c>
      <c r="S488">
        <v>29</v>
      </c>
      <c r="T488">
        <v>1</v>
      </c>
      <c r="U488">
        <v>2</v>
      </c>
      <c r="V488">
        <v>561.44000000000005</v>
      </c>
      <c r="W488">
        <v>13130000486</v>
      </c>
    </row>
    <row r="489" spans="1:23" x14ac:dyDescent="0.2">
      <c r="A489" s="1">
        <v>44788</v>
      </c>
      <c r="B489" s="2">
        <v>0.58016203703703706</v>
      </c>
      <c r="C489">
        <v>1487</v>
      </c>
      <c r="D489">
        <v>13002561</v>
      </c>
      <c r="E489">
        <v>13</v>
      </c>
      <c r="F489">
        <v>22589</v>
      </c>
      <c r="G489" t="s">
        <v>23</v>
      </c>
      <c r="H489">
        <v>15</v>
      </c>
      <c r="I489">
        <v>96808</v>
      </c>
      <c r="J489" t="s">
        <v>101</v>
      </c>
      <c r="K489" t="s">
        <v>60</v>
      </c>
      <c r="L489" t="s">
        <v>39</v>
      </c>
      <c r="M489">
        <v>3</v>
      </c>
      <c r="N489">
        <v>11.41</v>
      </c>
      <c r="O489">
        <v>15.66</v>
      </c>
      <c r="P489">
        <v>0.78</v>
      </c>
      <c r="Q489">
        <v>0.78</v>
      </c>
      <c r="R489" t="s">
        <v>30</v>
      </c>
      <c r="S489">
        <v>29</v>
      </c>
      <c r="T489">
        <v>1</v>
      </c>
      <c r="U489">
        <v>5</v>
      </c>
      <c r="V489">
        <v>14.88</v>
      </c>
      <c r="W489">
        <v>13130000487</v>
      </c>
    </row>
    <row r="490" spans="1:23" x14ac:dyDescent="0.2">
      <c r="A490" s="1">
        <v>44801</v>
      </c>
      <c r="B490" s="2">
        <v>0.64523148148148146</v>
      </c>
      <c r="C490">
        <v>1488</v>
      </c>
      <c r="D490">
        <v>13002561</v>
      </c>
      <c r="E490">
        <v>13</v>
      </c>
      <c r="F490">
        <v>22589</v>
      </c>
      <c r="G490" t="s">
        <v>23</v>
      </c>
      <c r="H490">
        <v>15</v>
      </c>
      <c r="I490">
        <v>66784</v>
      </c>
      <c r="J490" t="s">
        <v>116</v>
      </c>
      <c r="K490" t="s">
        <v>44</v>
      </c>
      <c r="L490" t="s">
        <v>34</v>
      </c>
      <c r="M490">
        <v>3</v>
      </c>
      <c r="N490">
        <v>91.32</v>
      </c>
      <c r="O490">
        <v>139.19999999999999</v>
      </c>
      <c r="P490">
        <v>6.96</v>
      </c>
      <c r="Q490">
        <v>6.96</v>
      </c>
      <c r="R490" t="s">
        <v>30</v>
      </c>
      <c r="S490">
        <v>29</v>
      </c>
      <c r="T490">
        <v>1</v>
      </c>
      <c r="U490">
        <v>2</v>
      </c>
      <c r="V490">
        <v>132.24</v>
      </c>
      <c r="W490">
        <v>13130000488</v>
      </c>
    </row>
    <row r="491" spans="1:23" x14ac:dyDescent="0.2">
      <c r="A491" s="1">
        <v>44796</v>
      </c>
      <c r="B491" s="2">
        <v>0.93336805555555558</v>
      </c>
      <c r="C491">
        <v>1489</v>
      </c>
      <c r="D491">
        <v>13002561</v>
      </c>
      <c r="E491">
        <v>13</v>
      </c>
      <c r="F491">
        <v>22589</v>
      </c>
      <c r="G491" t="s">
        <v>23</v>
      </c>
      <c r="H491">
        <v>15</v>
      </c>
      <c r="I491">
        <v>68094</v>
      </c>
      <c r="J491" t="s">
        <v>103</v>
      </c>
      <c r="K491" t="s">
        <v>38</v>
      </c>
      <c r="L491" t="s">
        <v>47</v>
      </c>
      <c r="M491">
        <v>2</v>
      </c>
      <c r="N491">
        <v>247.76</v>
      </c>
      <c r="O491">
        <v>343.66</v>
      </c>
      <c r="P491">
        <v>0</v>
      </c>
      <c r="Q491">
        <v>0</v>
      </c>
      <c r="S491">
        <v>29</v>
      </c>
      <c r="T491">
        <v>1</v>
      </c>
      <c r="U491">
        <v>2</v>
      </c>
      <c r="V491">
        <v>343.66</v>
      </c>
      <c r="W491">
        <v>13130000489</v>
      </c>
    </row>
    <row r="492" spans="1:23" x14ac:dyDescent="0.2">
      <c r="A492" s="1">
        <v>44784</v>
      </c>
      <c r="B492" s="2">
        <v>0.66454861111111108</v>
      </c>
      <c r="C492">
        <v>1490</v>
      </c>
      <c r="D492">
        <v>13002561</v>
      </c>
      <c r="E492">
        <v>13</v>
      </c>
      <c r="F492">
        <v>22589</v>
      </c>
      <c r="G492" t="s">
        <v>23</v>
      </c>
      <c r="H492">
        <v>15</v>
      </c>
      <c r="I492">
        <v>79065</v>
      </c>
      <c r="J492" t="s">
        <v>27</v>
      </c>
      <c r="K492" t="s">
        <v>28</v>
      </c>
      <c r="L492" t="s">
        <v>26</v>
      </c>
      <c r="M492">
        <v>2</v>
      </c>
      <c r="N492">
        <v>55.72</v>
      </c>
      <c r="O492">
        <v>88.18</v>
      </c>
      <c r="P492">
        <v>0</v>
      </c>
      <c r="Q492">
        <v>0</v>
      </c>
      <c r="S492">
        <v>29</v>
      </c>
      <c r="T492">
        <v>1</v>
      </c>
      <c r="U492">
        <v>6</v>
      </c>
      <c r="V492">
        <v>88.18</v>
      </c>
      <c r="W492">
        <v>13130000490</v>
      </c>
    </row>
    <row r="493" spans="1:23" x14ac:dyDescent="0.2">
      <c r="A493" s="1">
        <v>44780</v>
      </c>
      <c r="B493" s="2">
        <v>0.81401620370370376</v>
      </c>
      <c r="C493">
        <v>1491</v>
      </c>
      <c r="D493">
        <v>13002561</v>
      </c>
      <c r="E493">
        <v>13</v>
      </c>
      <c r="F493">
        <v>22589</v>
      </c>
      <c r="G493" t="s">
        <v>23</v>
      </c>
      <c r="H493">
        <v>15</v>
      </c>
      <c r="I493">
        <v>35336</v>
      </c>
      <c r="J493" t="s">
        <v>109</v>
      </c>
      <c r="K493" t="s">
        <v>60</v>
      </c>
      <c r="L493" t="s">
        <v>39</v>
      </c>
      <c r="M493">
        <v>1</v>
      </c>
      <c r="N493">
        <v>491.27</v>
      </c>
      <c r="O493">
        <v>634.5</v>
      </c>
      <c r="P493">
        <v>63.45</v>
      </c>
      <c r="Q493">
        <v>63.45</v>
      </c>
      <c r="R493" t="s">
        <v>30</v>
      </c>
      <c r="S493">
        <v>29</v>
      </c>
      <c r="T493">
        <v>1</v>
      </c>
      <c r="U493">
        <v>2</v>
      </c>
      <c r="V493">
        <v>571.04999999999995</v>
      </c>
      <c r="W493">
        <v>13130000491</v>
      </c>
    </row>
    <row r="494" spans="1:23" x14ac:dyDescent="0.2">
      <c r="A494" s="1">
        <v>44784</v>
      </c>
      <c r="B494" s="2">
        <v>0.61523148148148143</v>
      </c>
      <c r="C494">
        <v>1492</v>
      </c>
      <c r="D494">
        <v>13002561</v>
      </c>
      <c r="E494">
        <v>13</v>
      </c>
      <c r="F494">
        <v>22589</v>
      </c>
      <c r="G494" t="s">
        <v>23</v>
      </c>
      <c r="H494">
        <v>15</v>
      </c>
      <c r="I494">
        <v>69071</v>
      </c>
      <c r="J494" t="s">
        <v>112</v>
      </c>
      <c r="K494" t="s">
        <v>38</v>
      </c>
      <c r="L494" t="s">
        <v>32</v>
      </c>
      <c r="M494">
        <v>3</v>
      </c>
      <c r="N494">
        <v>538.38</v>
      </c>
      <c r="O494">
        <v>736.97</v>
      </c>
      <c r="P494">
        <v>0</v>
      </c>
      <c r="Q494">
        <v>0</v>
      </c>
      <c r="S494">
        <v>29</v>
      </c>
      <c r="T494">
        <v>1</v>
      </c>
      <c r="U494">
        <v>4</v>
      </c>
      <c r="V494">
        <v>736.97</v>
      </c>
      <c r="W494">
        <v>13130000492</v>
      </c>
    </row>
    <row r="495" spans="1:23" x14ac:dyDescent="0.2">
      <c r="A495" s="1">
        <v>44802</v>
      </c>
      <c r="B495" s="2">
        <v>0.771087962962963</v>
      </c>
      <c r="C495">
        <v>1493</v>
      </c>
      <c r="D495">
        <v>13002561</v>
      </c>
      <c r="E495">
        <v>13</v>
      </c>
      <c r="F495">
        <v>22589</v>
      </c>
      <c r="G495" t="s">
        <v>23</v>
      </c>
      <c r="H495">
        <v>15</v>
      </c>
      <c r="I495">
        <v>18609</v>
      </c>
      <c r="J495" t="s">
        <v>99</v>
      </c>
      <c r="K495" t="s">
        <v>60</v>
      </c>
      <c r="L495" t="s">
        <v>34</v>
      </c>
      <c r="M495">
        <v>2</v>
      </c>
      <c r="N495">
        <v>361.57</v>
      </c>
      <c r="O495">
        <v>457.94</v>
      </c>
      <c r="P495">
        <v>45.79</v>
      </c>
      <c r="Q495">
        <v>45.79</v>
      </c>
      <c r="R495" t="s">
        <v>30</v>
      </c>
      <c r="S495">
        <v>29</v>
      </c>
      <c r="T495">
        <v>1</v>
      </c>
      <c r="U495">
        <v>4</v>
      </c>
      <c r="V495">
        <v>412.15</v>
      </c>
      <c r="W495">
        <v>13130000493</v>
      </c>
    </row>
    <row r="496" spans="1:23" x14ac:dyDescent="0.2">
      <c r="A496" s="1">
        <v>44774</v>
      </c>
      <c r="B496" s="2">
        <v>0.78141203703703699</v>
      </c>
      <c r="C496">
        <v>1494</v>
      </c>
      <c r="D496">
        <v>13002561</v>
      </c>
      <c r="E496">
        <v>13</v>
      </c>
      <c r="F496">
        <v>22589</v>
      </c>
      <c r="G496" t="s">
        <v>23</v>
      </c>
      <c r="H496">
        <v>15</v>
      </c>
      <c r="I496">
        <v>10920</v>
      </c>
      <c r="J496" t="s">
        <v>115</v>
      </c>
      <c r="K496" t="s">
        <v>38</v>
      </c>
      <c r="L496" t="s">
        <v>51</v>
      </c>
      <c r="M496">
        <v>2</v>
      </c>
      <c r="N496">
        <v>80.47</v>
      </c>
      <c r="O496">
        <v>108.22</v>
      </c>
      <c r="P496">
        <v>10.82</v>
      </c>
      <c r="Q496">
        <v>10.82</v>
      </c>
      <c r="R496" t="s">
        <v>30</v>
      </c>
      <c r="S496">
        <v>29</v>
      </c>
      <c r="T496">
        <v>1</v>
      </c>
      <c r="U496">
        <v>3</v>
      </c>
      <c r="V496">
        <v>97.4</v>
      </c>
      <c r="W496">
        <v>13130000494</v>
      </c>
    </row>
    <row r="497" spans="1:23" x14ac:dyDescent="0.2">
      <c r="A497" s="1">
        <v>44795</v>
      </c>
      <c r="B497" s="2">
        <v>0.36686342592592591</v>
      </c>
      <c r="C497">
        <v>1495</v>
      </c>
      <c r="D497">
        <v>13002561</v>
      </c>
      <c r="E497">
        <v>13</v>
      </c>
      <c r="F497">
        <v>22589</v>
      </c>
      <c r="G497" t="s">
        <v>23</v>
      </c>
      <c r="H497">
        <v>18</v>
      </c>
      <c r="I497">
        <v>87839</v>
      </c>
      <c r="J497" t="s">
        <v>35</v>
      </c>
      <c r="K497" t="s">
        <v>44</v>
      </c>
      <c r="L497" t="s">
        <v>51</v>
      </c>
      <c r="M497">
        <v>1</v>
      </c>
      <c r="N497">
        <v>389.71</v>
      </c>
      <c r="O497">
        <v>516.80999999999995</v>
      </c>
      <c r="P497">
        <v>0</v>
      </c>
      <c r="Q497">
        <v>0</v>
      </c>
      <c r="S497">
        <v>29</v>
      </c>
      <c r="T497">
        <v>1</v>
      </c>
      <c r="U497">
        <v>3</v>
      </c>
      <c r="V497">
        <v>516.80999999999995</v>
      </c>
      <c r="W497">
        <v>13130000495</v>
      </c>
    </row>
    <row r="498" spans="1:23" x14ac:dyDescent="0.2">
      <c r="A498" s="1">
        <v>44790</v>
      </c>
      <c r="B498" s="2">
        <v>0.80364583333333328</v>
      </c>
      <c r="C498">
        <v>1496</v>
      </c>
      <c r="D498">
        <v>13002561</v>
      </c>
      <c r="E498">
        <v>13</v>
      </c>
      <c r="F498">
        <v>22589</v>
      </c>
      <c r="G498" t="s">
        <v>23</v>
      </c>
      <c r="H498">
        <v>18</v>
      </c>
      <c r="I498">
        <v>64599</v>
      </c>
      <c r="J498" t="s">
        <v>41</v>
      </c>
      <c r="K498" t="s">
        <v>38</v>
      </c>
      <c r="L498" t="s">
        <v>29</v>
      </c>
      <c r="M498">
        <v>1</v>
      </c>
      <c r="N498">
        <v>292.58</v>
      </c>
      <c r="O498">
        <v>489.46</v>
      </c>
      <c r="P498">
        <v>24.47</v>
      </c>
      <c r="Q498">
        <v>24.47</v>
      </c>
      <c r="R498" t="s">
        <v>30</v>
      </c>
      <c r="S498">
        <v>29</v>
      </c>
      <c r="T498">
        <v>1</v>
      </c>
      <c r="U498">
        <v>1</v>
      </c>
      <c r="V498">
        <v>464.99</v>
      </c>
      <c r="W498">
        <v>13130000496</v>
      </c>
    </row>
    <row r="499" spans="1:23" x14ac:dyDescent="0.2">
      <c r="A499" s="1">
        <v>44782</v>
      </c>
      <c r="B499" s="2">
        <v>0.82515046296296302</v>
      </c>
      <c r="C499">
        <v>1497</v>
      </c>
      <c r="D499">
        <v>13002561</v>
      </c>
      <c r="E499">
        <v>13</v>
      </c>
      <c r="F499">
        <v>22589</v>
      </c>
      <c r="G499" t="s">
        <v>23</v>
      </c>
      <c r="H499">
        <v>15</v>
      </c>
      <c r="I499">
        <v>73886</v>
      </c>
      <c r="J499" t="s">
        <v>87</v>
      </c>
      <c r="K499" t="s">
        <v>44</v>
      </c>
      <c r="L499" t="s">
        <v>51</v>
      </c>
      <c r="M499">
        <v>3</v>
      </c>
      <c r="N499">
        <v>103.28</v>
      </c>
      <c r="O499">
        <v>171.2</v>
      </c>
      <c r="P499">
        <v>0</v>
      </c>
      <c r="Q499">
        <v>0</v>
      </c>
      <c r="S499">
        <v>29</v>
      </c>
      <c r="T499">
        <v>1</v>
      </c>
      <c r="U499">
        <v>2</v>
      </c>
      <c r="V499">
        <v>171.2</v>
      </c>
      <c r="W499">
        <v>13130000497</v>
      </c>
    </row>
    <row r="500" spans="1:23" x14ac:dyDescent="0.2">
      <c r="A500" s="1">
        <v>44785</v>
      </c>
      <c r="B500" s="2">
        <v>0.94753472222222224</v>
      </c>
      <c r="C500">
        <v>1498</v>
      </c>
      <c r="D500">
        <v>13002561</v>
      </c>
      <c r="E500">
        <v>13</v>
      </c>
      <c r="F500">
        <v>22589</v>
      </c>
      <c r="G500" t="s">
        <v>23</v>
      </c>
      <c r="H500">
        <v>15</v>
      </c>
      <c r="I500">
        <v>66184</v>
      </c>
      <c r="J500" t="s">
        <v>117</v>
      </c>
      <c r="K500" t="s">
        <v>60</v>
      </c>
      <c r="L500" t="s">
        <v>47</v>
      </c>
      <c r="M500">
        <v>1</v>
      </c>
      <c r="N500">
        <v>192.4</v>
      </c>
      <c r="O500">
        <v>285.66000000000003</v>
      </c>
      <c r="P500">
        <v>14.28</v>
      </c>
      <c r="Q500">
        <v>14.28</v>
      </c>
      <c r="R500" t="s">
        <v>30</v>
      </c>
      <c r="S500">
        <v>29</v>
      </c>
      <c r="T500">
        <v>1</v>
      </c>
      <c r="U500">
        <v>3</v>
      </c>
      <c r="V500">
        <v>271.38</v>
      </c>
      <c r="W500">
        <v>13130000498</v>
      </c>
    </row>
    <row r="501" spans="1:23" x14ac:dyDescent="0.2">
      <c r="A501" s="1">
        <v>44790</v>
      </c>
      <c r="B501" s="2">
        <v>0.81991898148148146</v>
      </c>
      <c r="C501">
        <v>1499</v>
      </c>
      <c r="D501">
        <v>13002561</v>
      </c>
      <c r="E501">
        <v>13</v>
      </c>
      <c r="F501">
        <v>22589</v>
      </c>
      <c r="G501" t="s">
        <v>23</v>
      </c>
      <c r="H501">
        <v>18</v>
      </c>
      <c r="I501">
        <v>34241</v>
      </c>
      <c r="J501" t="s">
        <v>75</v>
      </c>
      <c r="K501" t="s">
        <v>60</v>
      </c>
      <c r="L501" t="s">
        <v>32</v>
      </c>
      <c r="M501">
        <v>1</v>
      </c>
      <c r="N501">
        <v>67.83</v>
      </c>
      <c r="O501">
        <v>89.32</v>
      </c>
      <c r="P501">
        <v>0</v>
      </c>
      <c r="Q501">
        <v>0</v>
      </c>
      <c r="S501">
        <v>29</v>
      </c>
      <c r="T501">
        <v>1</v>
      </c>
      <c r="U501">
        <v>3</v>
      </c>
      <c r="V501">
        <v>89.32</v>
      </c>
      <c r="W501">
        <v>13130000499</v>
      </c>
    </row>
    <row r="502" spans="1:23" x14ac:dyDescent="0.2">
      <c r="A502" s="1">
        <v>44802</v>
      </c>
      <c r="B502" s="2">
        <v>0.37755787037037042</v>
      </c>
      <c r="C502">
        <v>1500</v>
      </c>
      <c r="D502">
        <v>13002561</v>
      </c>
      <c r="E502">
        <v>13</v>
      </c>
      <c r="F502">
        <v>22589</v>
      </c>
      <c r="G502" t="s">
        <v>23</v>
      </c>
      <c r="H502">
        <v>18</v>
      </c>
      <c r="I502">
        <v>41903</v>
      </c>
      <c r="J502" t="s">
        <v>90</v>
      </c>
      <c r="K502" t="s">
        <v>60</v>
      </c>
      <c r="L502" t="s">
        <v>34</v>
      </c>
      <c r="M502">
        <v>3</v>
      </c>
      <c r="N502">
        <v>540.72</v>
      </c>
      <c r="O502">
        <v>683.02</v>
      </c>
      <c r="P502">
        <v>68.3</v>
      </c>
      <c r="Q502">
        <v>68.3</v>
      </c>
      <c r="R502" t="s">
        <v>30</v>
      </c>
      <c r="S502">
        <v>29</v>
      </c>
      <c r="T502">
        <v>1</v>
      </c>
      <c r="U502">
        <v>5</v>
      </c>
      <c r="V502">
        <v>614.72</v>
      </c>
      <c r="W502">
        <v>13130000500</v>
      </c>
    </row>
    <row r="503" spans="1:23" x14ac:dyDescent="0.2">
      <c r="A503" s="1">
        <v>44785</v>
      </c>
      <c r="B503" s="2">
        <v>0.63065972222222222</v>
      </c>
      <c r="C503">
        <v>1501</v>
      </c>
      <c r="D503">
        <v>13002561</v>
      </c>
      <c r="E503">
        <v>13</v>
      </c>
      <c r="F503">
        <v>22589</v>
      </c>
      <c r="G503" t="s">
        <v>23</v>
      </c>
      <c r="H503">
        <v>15</v>
      </c>
      <c r="I503">
        <v>55323</v>
      </c>
      <c r="J503" t="s">
        <v>54</v>
      </c>
      <c r="K503" t="s">
        <v>38</v>
      </c>
      <c r="L503" t="s">
        <v>36</v>
      </c>
      <c r="M503">
        <v>1</v>
      </c>
      <c r="N503">
        <v>246.37</v>
      </c>
      <c r="O503">
        <v>377.22</v>
      </c>
      <c r="P503">
        <v>0</v>
      </c>
      <c r="Q503">
        <v>0</v>
      </c>
      <c r="S503">
        <v>29</v>
      </c>
      <c r="T503">
        <v>1</v>
      </c>
      <c r="U503">
        <v>2</v>
      </c>
      <c r="V503">
        <v>377.22</v>
      </c>
      <c r="W503">
        <v>13130000501</v>
      </c>
    </row>
    <row r="504" spans="1:23" x14ac:dyDescent="0.2">
      <c r="A504" s="1">
        <v>44790</v>
      </c>
      <c r="B504" s="2">
        <v>0.42103009259259261</v>
      </c>
      <c r="C504">
        <v>1502</v>
      </c>
      <c r="D504">
        <v>13002561</v>
      </c>
      <c r="E504">
        <v>13</v>
      </c>
      <c r="F504">
        <v>22589</v>
      </c>
      <c r="G504" t="s">
        <v>23</v>
      </c>
      <c r="H504">
        <v>15</v>
      </c>
      <c r="I504">
        <v>14383</v>
      </c>
      <c r="J504" t="s">
        <v>111</v>
      </c>
      <c r="K504" t="s">
        <v>38</v>
      </c>
      <c r="L504" t="s">
        <v>34</v>
      </c>
      <c r="M504">
        <v>3</v>
      </c>
      <c r="N504">
        <v>442.53</v>
      </c>
      <c r="O504">
        <v>660.78</v>
      </c>
      <c r="P504">
        <v>33.04</v>
      </c>
      <c r="Q504">
        <v>33.04</v>
      </c>
      <c r="R504" t="s">
        <v>30</v>
      </c>
      <c r="S504">
        <v>29</v>
      </c>
      <c r="T504">
        <v>1</v>
      </c>
      <c r="U504">
        <v>2</v>
      </c>
      <c r="V504">
        <v>627.74</v>
      </c>
      <c r="W504">
        <v>13130000502</v>
      </c>
    </row>
    <row r="505" spans="1:23" x14ac:dyDescent="0.2">
      <c r="A505" s="1">
        <v>44781</v>
      </c>
      <c r="B505" s="2">
        <v>0.44702546296296303</v>
      </c>
      <c r="C505">
        <v>1503</v>
      </c>
      <c r="D505">
        <v>13002561</v>
      </c>
      <c r="E505">
        <v>13</v>
      </c>
      <c r="F505">
        <v>22589</v>
      </c>
      <c r="G505" t="s">
        <v>23</v>
      </c>
      <c r="H505">
        <v>18</v>
      </c>
      <c r="I505">
        <v>53971</v>
      </c>
      <c r="J505" t="s">
        <v>125</v>
      </c>
      <c r="K505" t="s">
        <v>60</v>
      </c>
      <c r="L505" t="s">
        <v>26</v>
      </c>
      <c r="M505">
        <v>1</v>
      </c>
      <c r="N505">
        <v>550.62</v>
      </c>
      <c r="O505">
        <v>723.53</v>
      </c>
      <c r="P505">
        <v>0</v>
      </c>
      <c r="Q505">
        <v>0</v>
      </c>
      <c r="S505">
        <v>29</v>
      </c>
      <c r="T505">
        <v>1</v>
      </c>
      <c r="U505">
        <v>3</v>
      </c>
      <c r="V505">
        <v>723.53</v>
      </c>
      <c r="W505">
        <v>13130000503</v>
      </c>
    </row>
    <row r="506" spans="1:23" x14ac:dyDescent="0.2">
      <c r="A506" s="1">
        <v>44799</v>
      </c>
      <c r="B506" s="2">
        <v>0.85017361111111112</v>
      </c>
      <c r="C506">
        <v>1504</v>
      </c>
      <c r="D506">
        <v>13002561</v>
      </c>
      <c r="E506">
        <v>13</v>
      </c>
      <c r="F506">
        <v>22589</v>
      </c>
      <c r="G506" t="s">
        <v>23</v>
      </c>
      <c r="H506">
        <v>18</v>
      </c>
      <c r="I506">
        <v>22868</v>
      </c>
      <c r="J506" t="s">
        <v>113</v>
      </c>
      <c r="K506" t="s">
        <v>28</v>
      </c>
      <c r="L506" t="s">
        <v>39</v>
      </c>
      <c r="M506">
        <v>2</v>
      </c>
      <c r="N506">
        <v>271.38</v>
      </c>
      <c r="O506">
        <v>400.54</v>
      </c>
      <c r="P506">
        <v>20.03</v>
      </c>
      <c r="Q506">
        <v>20.03</v>
      </c>
      <c r="R506" t="s">
        <v>30</v>
      </c>
      <c r="S506">
        <v>29</v>
      </c>
      <c r="T506">
        <v>1</v>
      </c>
      <c r="U506">
        <v>6</v>
      </c>
      <c r="V506">
        <v>380.51</v>
      </c>
      <c r="W506">
        <v>13130000504</v>
      </c>
    </row>
    <row r="507" spans="1:23" x14ac:dyDescent="0.2">
      <c r="A507" s="1">
        <v>44774</v>
      </c>
      <c r="B507" s="2">
        <v>0.79496527777777781</v>
      </c>
      <c r="C507">
        <v>1505</v>
      </c>
      <c r="D507">
        <v>13002561</v>
      </c>
      <c r="E507">
        <v>13</v>
      </c>
      <c r="F507">
        <v>22589</v>
      </c>
      <c r="G507" t="s">
        <v>23</v>
      </c>
      <c r="H507">
        <v>18</v>
      </c>
      <c r="I507">
        <v>41816</v>
      </c>
      <c r="J507" t="s">
        <v>24</v>
      </c>
      <c r="K507" t="s">
        <v>38</v>
      </c>
      <c r="L507" t="s">
        <v>26</v>
      </c>
      <c r="M507">
        <v>1</v>
      </c>
      <c r="N507">
        <v>72.53</v>
      </c>
      <c r="O507">
        <v>105.75</v>
      </c>
      <c r="P507">
        <v>10.58</v>
      </c>
      <c r="Q507">
        <v>10.58</v>
      </c>
      <c r="R507" t="s">
        <v>30</v>
      </c>
      <c r="S507">
        <v>29</v>
      </c>
      <c r="T507">
        <v>1</v>
      </c>
      <c r="U507">
        <v>1</v>
      </c>
      <c r="V507">
        <v>95.17</v>
      </c>
      <c r="W507">
        <v>13130000505</v>
      </c>
    </row>
    <row r="508" spans="1:23" x14ac:dyDescent="0.2">
      <c r="A508" s="1">
        <v>44777</v>
      </c>
      <c r="B508" s="2">
        <v>0.64354166666666668</v>
      </c>
      <c r="C508">
        <v>1506</v>
      </c>
      <c r="D508">
        <v>13002561</v>
      </c>
      <c r="E508">
        <v>13</v>
      </c>
      <c r="F508">
        <v>22589</v>
      </c>
      <c r="G508" t="s">
        <v>23</v>
      </c>
      <c r="H508">
        <v>18</v>
      </c>
      <c r="I508">
        <v>46312</v>
      </c>
      <c r="J508" t="s">
        <v>62</v>
      </c>
      <c r="K508" t="s">
        <v>25</v>
      </c>
      <c r="L508" t="s">
        <v>29</v>
      </c>
      <c r="M508">
        <v>3</v>
      </c>
      <c r="N508">
        <v>390.83</v>
      </c>
      <c r="O508">
        <v>569.57000000000005</v>
      </c>
      <c r="P508">
        <v>56.96</v>
      </c>
      <c r="Q508">
        <v>56.96</v>
      </c>
      <c r="R508" t="s">
        <v>30</v>
      </c>
      <c r="S508">
        <v>29</v>
      </c>
      <c r="T508">
        <v>1</v>
      </c>
      <c r="U508">
        <v>1</v>
      </c>
      <c r="V508">
        <v>512.61</v>
      </c>
      <c r="W508">
        <v>13130000506</v>
      </c>
    </row>
    <row r="509" spans="1:23" x14ac:dyDescent="0.2">
      <c r="A509" s="1">
        <v>44797</v>
      </c>
      <c r="B509" s="2">
        <v>0.59100694444444446</v>
      </c>
      <c r="C509">
        <v>1507</v>
      </c>
      <c r="D509">
        <v>13002561</v>
      </c>
      <c r="E509">
        <v>13</v>
      </c>
      <c r="F509">
        <v>22589</v>
      </c>
      <c r="G509" t="s">
        <v>23</v>
      </c>
      <c r="H509">
        <v>18</v>
      </c>
      <c r="I509">
        <v>68546</v>
      </c>
      <c r="J509" t="s">
        <v>88</v>
      </c>
      <c r="K509" t="s">
        <v>44</v>
      </c>
      <c r="L509" t="s">
        <v>51</v>
      </c>
      <c r="M509">
        <v>3</v>
      </c>
      <c r="N509">
        <v>327.23</v>
      </c>
      <c r="O509">
        <v>422.32</v>
      </c>
      <c r="P509">
        <v>21.12</v>
      </c>
      <c r="Q509">
        <v>21.12</v>
      </c>
      <c r="R509" t="s">
        <v>30</v>
      </c>
      <c r="S509">
        <v>29</v>
      </c>
      <c r="T509">
        <v>1</v>
      </c>
      <c r="U509">
        <v>4</v>
      </c>
      <c r="V509">
        <v>401.2</v>
      </c>
      <c r="W509">
        <v>13130000507</v>
      </c>
    </row>
    <row r="510" spans="1:23" x14ac:dyDescent="0.2">
      <c r="A510" s="1">
        <v>44780</v>
      </c>
      <c r="B510" s="2">
        <v>0.59490740740740744</v>
      </c>
      <c r="C510">
        <v>1508</v>
      </c>
      <c r="D510">
        <v>13002561</v>
      </c>
      <c r="E510">
        <v>13</v>
      </c>
      <c r="F510">
        <v>22589</v>
      </c>
      <c r="G510" t="s">
        <v>23</v>
      </c>
      <c r="H510">
        <v>18</v>
      </c>
      <c r="I510">
        <v>25096</v>
      </c>
      <c r="J510" t="s">
        <v>75</v>
      </c>
      <c r="K510" t="s">
        <v>60</v>
      </c>
      <c r="L510" t="s">
        <v>34</v>
      </c>
      <c r="M510">
        <v>1</v>
      </c>
      <c r="N510">
        <v>87.22</v>
      </c>
      <c r="O510">
        <v>132.88999999999999</v>
      </c>
      <c r="P510">
        <v>0</v>
      </c>
      <c r="Q510">
        <v>0</v>
      </c>
      <c r="S510">
        <v>29</v>
      </c>
      <c r="T510">
        <v>1</v>
      </c>
      <c r="U510">
        <v>5</v>
      </c>
      <c r="V510">
        <v>132.88999999999999</v>
      </c>
      <c r="W510">
        <v>13130000508</v>
      </c>
    </row>
    <row r="511" spans="1:23" x14ac:dyDescent="0.2">
      <c r="A511" s="1">
        <v>44799</v>
      </c>
      <c r="B511" s="2">
        <v>0.42815972222222221</v>
      </c>
      <c r="C511">
        <v>1509</v>
      </c>
      <c r="D511">
        <v>13002561</v>
      </c>
      <c r="E511">
        <v>13</v>
      </c>
      <c r="F511">
        <v>22589</v>
      </c>
      <c r="G511" t="s">
        <v>23</v>
      </c>
      <c r="H511">
        <v>15</v>
      </c>
      <c r="I511">
        <v>21854</v>
      </c>
      <c r="J511" t="s">
        <v>67</v>
      </c>
      <c r="K511" t="s">
        <v>44</v>
      </c>
      <c r="L511" t="s">
        <v>36</v>
      </c>
      <c r="M511">
        <v>1</v>
      </c>
      <c r="N511">
        <v>388.24</v>
      </c>
      <c r="O511">
        <v>575.77</v>
      </c>
      <c r="P511">
        <v>57.58</v>
      </c>
      <c r="Q511">
        <v>57.58</v>
      </c>
      <c r="R511" t="s">
        <v>30</v>
      </c>
      <c r="S511">
        <v>29</v>
      </c>
      <c r="T511">
        <v>1</v>
      </c>
      <c r="U511">
        <v>5</v>
      </c>
      <c r="V511">
        <v>518.19000000000005</v>
      </c>
      <c r="W511">
        <v>13130000509</v>
      </c>
    </row>
    <row r="512" spans="1:23" x14ac:dyDescent="0.2">
      <c r="A512" s="1">
        <v>44803</v>
      </c>
      <c r="B512" s="2">
        <v>0.52153935185185185</v>
      </c>
      <c r="C512">
        <v>1510</v>
      </c>
      <c r="D512">
        <v>13002561</v>
      </c>
      <c r="E512">
        <v>13</v>
      </c>
      <c r="F512">
        <v>22589</v>
      </c>
      <c r="G512" t="s">
        <v>23</v>
      </c>
      <c r="H512">
        <v>18</v>
      </c>
      <c r="I512">
        <v>91885</v>
      </c>
      <c r="J512" t="s">
        <v>101</v>
      </c>
      <c r="K512" t="s">
        <v>28</v>
      </c>
      <c r="L512" t="s">
        <v>32</v>
      </c>
      <c r="M512">
        <v>1</v>
      </c>
      <c r="N512">
        <v>289.99</v>
      </c>
      <c r="O512">
        <v>433.71</v>
      </c>
      <c r="P512">
        <v>21.69</v>
      </c>
      <c r="Q512">
        <v>21.69</v>
      </c>
      <c r="R512" t="s">
        <v>30</v>
      </c>
      <c r="S512">
        <v>29</v>
      </c>
      <c r="T512">
        <v>1</v>
      </c>
      <c r="U512">
        <v>4</v>
      </c>
      <c r="V512">
        <v>412.02</v>
      </c>
      <c r="W512">
        <v>13130000510</v>
      </c>
    </row>
    <row r="513" spans="1:23" x14ac:dyDescent="0.2">
      <c r="A513" s="1">
        <v>44783</v>
      </c>
      <c r="B513" s="2">
        <v>0.68021990740740745</v>
      </c>
      <c r="C513">
        <v>1511</v>
      </c>
      <c r="D513">
        <v>13002561</v>
      </c>
      <c r="E513">
        <v>13</v>
      </c>
      <c r="F513">
        <v>22589</v>
      </c>
      <c r="G513" t="s">
        <v>23</v>
      </c>
      <c r="H513">
        <v>15</v>
      </c>
      <c r="I513">
        <v>53327</v>
      </c>
      <c r="J513" t="s">
        <v>119</v>
      </c>
      <c r="K513" t="s">
        <v>38</v>
      </c>
      <c r="L513" t="s">
        <v>26</v>
      </c>
      <c r="M513">
        <v>3</v>
      </c>
      <c r="N513">
        <v>475.03</v>
      </c>
      <c r="O513">
        <v>730.83</v>
      </c>
      <c r="P513">
        <v>73.08</v>
      </c>
      <c r="Q513">
        <v>73.08</v>
      </c>
      <c r="R513" t="s">
        <v>30</v>
      </c>
      <c r="S513">
        <v>29</v>
      </c>
      <c r="T513">
        <v>1</v>
      </c>
      <c r="U513">
        <v>6</v>
      </c>
      <c r="V513">
        <v>657.75</v>
      </c>
      <c r="W513">
        <v>13130000511</v>
      </c>
    </row>
    <row r="514" spans="1:23" x14ac:dyDescent="0.2">
      <c r="A514" s="1">
        <v>44777</v>
      </c>
      <c r="B514" s="2">
        <v>0.62042824074074077</v>
      </c>
      <c r="C514">
        <v>1512</v>
      </c>
      <c r="D514">
        <v>13002561</v>
      </c>
      <c r="E514">
        <v>13</v>
      </c>
      <c r="F514">
        <v>22589</v>
      </c>
      <c r="G514" t="s">
        <v>23</v>
      </c>
      <c r="H514">
        <v>18</v>
      </c>
      <c r="I514">
        <v>40578</v>
      </c>
      <c r="J514" t="s">
        <v>109</v>
      </c>
      <c r="K514" t="s">
        <v>44</v>
      </c>
      <c r="L514" t="s">
        <v>26</v>
      </c>
      <c r="M514">
        <v>3</v>
      </c>
      <c r="N514">
        <v>148.77000000000001</v>
      </c>
      <c r="O514">
        <v>214.59</v>
      </c>
      <c r="P514">
        <v>0</v>
      </c>
      <c r="Q514">
        <v>0</v>
      </c>
      <c r="S514">
        <v>29</v>
      </c>
      <c r="T514">
        <v>1</v>
      </c>
      <c r="U514">
        <v>1</v>
      </c>
      <c r="V514">
        <v>214.59</v>
      </c>
      <c r="W514">
        <v>13130000512</v>
      </c>
    </row>
    <row r="515" spans="1:23" x14ac:dyDescent="0.2">
      <c r="A515" s="1">
        <v>44789</v>
      </c>
      <c r="B515" s="2">
        <v>0.63356481481481486</v>
      </c>
      <c r="C515">
        <v>1513</v>
      </c>
      <c r="D515">
        <v>13002561</v>
      </c>
      <c r="E515">
        <v>13</v>
      </c>
      <c r="F515">
        <v>22589</v>
      </c>
      <c r="G515" t="s">
        <v>23</v>
      </c>
      <c r="H515">
        <v>18</v>
      </c>
      <c r="I515">
        <v>94769</v>
      </c>
      <c r="J515" t="s">
        <v>73</v>
      </c>
      <c r="K515" t="s">
        <v>28</v>
      </c>
      <c r="L515" t="s">
        <v>32</v>
      </c>
      <c r="M515">
        <v>2</v>
      </c>
      <c r="N515">
        <v>313.61</v>
      </c>
      <c r="O515">
        <v>402.22</v>
      </c>
      <c r="P515">
        <v>0</v>
      </c>
      <c r="Q515">
        <v>0</v>
      </c>
      <c r="S515">
        <v>29</v>
      </c>
      <c r="T515">
        <v>1</v>
      </c>
      <c r="U515">
        <v>6</v>
      </c>
      <c r="V515">
        <v>402.22</v>
      </c>
      <c r="W515">
        <v>13130000513</v>
      </c>
    </row>
    <row r="516" spans="1:23" x14ac:dyDescent="0.2">
      <c r="A516" s="1">
        <v>44792</v>
      </c>
      <c r="B516" s="2">
        <v>0.7252777777777778</v>
      </c>
      <c r="C516">
        <v>1514</v>
      </c>
      <c r="D516">
        <v>13002561</v>
      </c>
      <c r="E516">
        <v>13</v>
      </c>
      <c r="F516">
        <v>22589</v>
      </c>
      <c r="G516" t="s">
        <v>23</v>
      </c>
      <c r="H516">
        <v>15</v>
      </c>
      <c r="I516">
        <v>50556</v>
      </c>
      <c r="J516" t="s">
        <v>101</v>
      </c>
      <c r="K516" t="s">
        <v>60</v>
      </c>
      <c r="L516" t="s">
        <v>29</v>
      </c>
      <c r="M516">
        <v>2</v>
      </c>
      <c r="N516">
        <v>418.91</v>
      </c>
      <c r="O516">
        <v>543.53</v>
      </c>
      <c r="P516">
        <v>54.35</v>
      </c>
      <c r="Q516">
        <v>54.35</v>
      </c>
      <c r="R516" t="s">
        <v>30</v>
      </c>
      <c r="S516">
        <v>29</v>
      </c>
      <c r="T516">
        <v>1</v>
      </c>
      <c r="U516">
        <v>5</v>
      </c>
      <c r="V516">
        <v>489.18</v>
      </c>
      <c r="W516">
        <v>13130000514</v>
      </c>
    </row>
    <row r="517" spans="1:23" x14ac:dyDescent="0.2">
      <c r="A517" s="1">
        <v>44789</v>
      </c>
      <c r="B517" s="2">
        <v>0.53887731481481482</v>
      </c>
      <c r="C517">
        <v>1515</v>
      </c>
      <c r="D517">
        <v>13002561</v>
      </c>
      <c r="E517">
        <v>13</v>
      </c>
      <c r="F517">
        <v>22589</v>
      </c>
      <c r="G517" t="s">
        <v>23</v>
      </c>
      <c r="H517">
        <v>18</v>
      </c>
      <c r="I517">
        <v>36687</v>
      </c>
      <c r="J517" t="s">
        <v>101</v>
      </c>
      <c r="K517" t="s">
        <v>60</v>
      </c>
      <c r="L517" t="s">
        <v>51</v>
      </c>
      <c r="M517">
        <v>1</v>
      </c>
      <c r="N517">
        <v>58.06</v>
      </c>
      <c r="O517">
        <v>84.62</v>
      </c>
      <c r="P517">
        <v>0</v>
      </c>
      <c r="Q517">
        <v>0</v>
      </c>
      <c r="S517">
        <v>29</v>
      </c>
      <c r="T517">
        <v>1</v>
      </c>
      <c r="U517">
        <v>1</v>
      </c>
      <c r="V517">
        <v>84.62</v>
      </c>
      <c r="W517">
        <v>13130000515</v>
      </c>
    </row>
    <row r="518" spans="1:23" x14ac:dyDescent="0.2">
      <c r="A518" s="1">
        <v>44781</v>
      </c>
      <c r="B518" s="2">
        <v>0.82172453703703707</v>
      </c>
      <c r="C518">
        <v>1516</v>
      </c>
      <c r="D518">
        <v>13002561</v>
      </c>
      <c r="E518">
        <v>13</v>
      </c>
      <c r="F518">
        <v>22589</v>
      </c>
      <c r="G518" t="s">
        <v>23</v>
      </c>
      <c r="H518">
        <v>18</v>
      </c>
      <c r="I518">
        <v>11879</v>
      </c>
      <c r="J518" t="s">
        <v>53</v>
      </c>
      <c r="K518" t="s">
        <v>45</v>
      </c>
      <c r="L518" t="s">
        <v>47</v>
      </c>
      <c r="M518">
        <v>1</v>
      </c>
      <c r="N518">
        <v>5.62</v>
      </c>
      <c r="O518">
        <v>8.74</v>
      </c>
      <c r="P518">
        <v>0.44</v>
      </c>
      <c r="Q518">
        <v>0.44</v>
      </c>
      <c r="R518" t="s">
        <v>30</v>
      </c>
      <c r="S518">
        <v>29</v>
      </c>
      <c r="T518">
        <v>1</v>
      </c>
      <c r="U518">
        <v>2</v>
      </c>
      <c r="V518">
        <v>8.3000000000000007</v>
      </c>
      <c r="W518">
        <v>13130000516</v>
      </c>
    </row>
    <row r="519" spans="1:23" x14ac:dyDescent="0.2">
      <c r="A519" s="1">
        <v>44777</v>
      </c>
      <c r="B519" s="2">
        <v>0.89184027777777775</v>
      </c>
      <c r="C519">
        <v>1517</v>
      </c>
      <c r="D519">
        <v>13002561</v>
      </c>
      <c r="E519">
        <v>13</v>
      </c>
      <c r="F519">
        <v>22589</v>
      </c>
      <c r="G519" t="s">
        <v>23</v>
      </c>
      <c r="H519">
        <v>18</v>
      </c>
      <c r="I519">
        <v>61645</v>
      </c>
      <c r="J519" t="s">
        <v>31</v>
      </c>
      <c r="K519" t="s">
        <v>44</v>
      </c>
      <c r="L519" t="s">
        <v>34</v>
      </c>
      <c r="M519">
        <v>1</v>
      </c>
      <c r="N519">
        <v>274.97000000000003</v>
      </c>
      <c r="O519">
        <v>351.86</v>
      </c>
      <c r="P519">
        <v>35.19</v>
      </c>
      <c r="Q519">
        <v>35.19</v>
      </c>
      <c r="R519" t="s">
        <v>30</v>
      </c>
      <c r="S519">
        <v>29</v>
      </c>
      <c r="T519">
        <v>1</v>
      </c>
      <c r="U519">
        <v>5</v>
      </c>
      <c r="V519">
        <v>316.67</v>
      </c>
      <c r="W519">
        <v>13130000517</v>
      </c>
    </row>
    <row r="520" spans="1:23" x14ac:dyDescent="0.2">
      <c r="A520" s="1">
        <v>44790</v>
      </c>
      <c r="B520" s="2">
        <v>0.53229166666666672</v>
      </c>
      <c r="C520">
        <v>1518</v>
      </c>
      <c r="D520">
        <v>13002561</v>
      </c>
      <c r="E520">
        <v>13</v>
      </c>
      <c r="F520">
        <v>22589</v>
      </c>
      <c r="G520" t="s">
        <v>23</v>
      </c>
      <c r="H520">
        <v>18</v>
      </c>
      <c r="I520">
        <v>41885</v>
      </c>
      <c r="J520" t="s">
        <v>24</v>
      </c>
      <c r="K520" t="s">
        <v>45</v>
      </c>
      <c r="L520" t="s">
        <v>51</v>
      </c>
      <c r="M520">
        <v>2</v>
      </c>
      <c r="N520">
        <v>42.02</v>
      </c>
      <c r="O520">
        <v>69.349999999999994</v>
      </c>
      <c r="P520">
        <v>3.47</v>
      </c>
      <c r="Q520">
        <v>3.47</v>
      </c>
      <c r="R520" t="s">
        <v>30</v>
      </c>
      <c r="S520">
        <v>29</v>
      </c>
      <c r="T520">
        <v>1</v>
      </c>
      <c r="U520">
        <v>6</v>
      </c>
      <c r="V520">
        <v>65.88</v>
      </c>
      <c r="W520">
        <v>13130000518</v>
      </c>
    </row>
    <row r="521" spans="1:23" x14ac:dyDescent="0.2">
      <c r="A521" s="1">
        <v>44791</v>
      </c>
      <c r="B521" s="2">
        <v>0.42951388888888892</v>
      </c>
      <c r="C521">
        <v>1519</v>
      </c>
      <c r="D521">
        <v>13002561</v>
      </c>
      <c r="E521">
        <v>13</v>
      </c>
      <c r="F521">
        <v>22589</v>
      </c>
      <c r="G521" t="s">
        <v>23</v>
      </c>
      <c r="H521">
        <v>18</v>
      </c>
      <c r="I521">
        <v>96745</v>
      </c>
      <c r="J521" t="s">
        <v>48</v>
      </c>
      <c r="K521" t="s">
        <v>38</v>
      </c>
      <c r="L521" t="s">
        <v>34</v>
      </c>
      <c r="M521">
        <v>3</v>
      </c>
      <c r="N521">
        <v>79.739999999999995</v>
      </c>
      <c r="O521">
        <v>123.9</v>
      </c>
      <c r="P521">
        <v>0</v>
      </c>
      <c r="Q521">
        <v>0</v>
      </c>
      <c r="S521">
        <v>29</v>
      </c>
      <c r="T521">
        <v>1</v>
      </c>
      <c r="U521">
        <v>1</v>
      </c>
      <c r="V521">
        <v>123.9</v>
      </c>
      <c r="W521">
        <v>13130000519</v>
      </c>
    </row>
    <row r="522" spans="1:23" x14ac:dyDescent="0.2">
      <c r="A522" s="1">
        <v>44781</v>
      </c>
      <c r="B522" s="2">
        <v>0.74414351851851857</v>
      </c>
      <c r="C522">
        <v>1520</v>
      </c>
      <c r="D522">
        <v>13002561</v>
      </c>
      <c r="E522">
        <v>13</v>
      </c>
      <c r="F522">
        <v>22589</v>
      </c>
      <c r="G522" t="s">
        <v>23</v>
      </c>
      <c r="H522">
        <v>18</v>
      </c>
      <c r="I522">
        <v>96963</v>
      </c>
      <c r="J522" t="s">
        <v>104</v>
      </c>
      <c r="K522" t="s">
        <v>44</v>
      </c>
      <c r="L522" t="s">
        <v>51</v>
      </c>
      <c r="M522">
        <v>2</v>
      </c>
      <c r="N522">
        <v>433.05</v>
      </c>
      <c r="O522">
        <v>605.5</v>
      </c>
      <c r="P522">
        <v>0</v>
      </c>
      <c r="Q522">
        <v>0</v>
      </c>
      <c r="S522">
        <v>29</v>
      </c>
      <c r="T522">
        <v>1</v>
      </c>
      <c r="U522">
        <v>4</v>
      </c>
      <c r="V522">
        <v>605.5</v>
      </c>
      <c r="W522">
        <v>13130000520</v>
      </c>
    </row>
    <row r="523" spans="1:23" x14ac:dyDescent="0.2">
      <c r="A523" s="1">
        <v>44798</v>
      </c>
      <c r="B523" s="2">
        <v>0.45420138888888889</v>
      </c>
      <c r="C523">
        <v>1521</v>
      </c>
      <c r="D523">
        <v>13002561</v>
      </c>
      <c r="E523">
        <v>13</v>
      </c>
      <c r="F523">
        <v>22589</v>
      </c>
      <c r="G523" t="s">
        <v>23</v>
      </c>
      <c r="H523">
        <v>18</v>
      </c>
      <c r="I523">
        <v>92703</v>
      </c>
      <c r="J523" t="s">
        <v>52</v>
      </c>
      <c r="K523" t="s">
        <v>25</v>
      </c>
      <c r="L523" t="s">
        <v>47</v>
      </c>
      <c r="M523">
        <v>3</v>
      </c>
      <c r="N523">
        <v>435.83</v>
      </c>
      <c r="O523">
        <v>613.65</v>
      </c>
      <c r="P523">
        <v>61.37</v>
      </c>
      <c r="Q523">
        <v>61.37</v>
      </c>
      <c r="R523" t="s">
        <v>30</v>
      </c>
      <c r="S523">
        <v>29</v>
      </c>
      <c r="T523">
        <v>1</v>
      </c>
      <c r="U523">
        <v>6</v>
      </c>
      <c r="V523">
        <v>552.28</v>
      </c>
      <c r="W523">
        <v>13130000521</v>
      </c>
    </row>
    <row r="524" spans="1:23" x14ac:dyDescent="0.2">
      <c r="A524" s="1">
        <v>44801</v>
      </c>
      <c r="B524" s="2">
        <v>0.35388888888888892</v>
      </c>
      <c r="C524">
        <v>1522</v>
      </c>
      <c r="D524">
        <v>13002561</v>
      </c>
      <c r="E524">
        <v>13</v>
      </c>
      <c r="F524">
        <v>22589</v>
      </c>
      <c r="G524" t="s">
        <v>23</v>
      </c>
      <c r="H524">
        <v>18</v>
      </c>
      <c r="I524">
        <v>10560</v>
      </c>
      <c r="J524" t="s">
        <v>86</v>
      </c>
      <c r="K524" t="s">
        <v>25</v>
      </c>
      <c r="L524" t="s">
        <v>29</v>
      </c>
      <c r="M524">
        <v>2</v>
      </c>
      <c r="N524">
        <v>452.64</v>
      </c>
      <c r="O524">
        <v>634</v>
      </c>
      <c r="P524">
        <v>0</v>
      </c>
      <c r="Q524">
        <v>0</v>
      </c>
      <c r="S524">
        <v>29</v>
      </c>
      <c r="T524">
        <v>1</v>
      </c>
      <c r="U524">
        <v>2</v>
      </c>
      <c r="V524">
        <v>634</v>
      </c>
      <c r="W524">
        <v>13130000522</v>
      </c>
    </row>
    <row r="525" spans="1:23" x14ac:dyDescent="0.2">
      <c r="A525" s="1">
        <v>44803</v>
      </c>
      <c r="B525" s="2">
        <v>0.80697916666666669</v>
      </c>
      <c r="C525">
        <v>1523</v>
      </c>
      <c r="D525">
        <v>13002561</v>
      </c>
      <c r="E525">
        <v>13</v>
      </c>
      <c r="F525">
        <v>22589</v>
      </c>
      <c r="G525" t="s">
        <v>23</v>
      </c>
      <c r="H525">
        <v>15</v>
      </c>
      <c r="I525">
        <v>40052</v>
      </c>
      <c r="J525" t="s">
        <v>41</v>
      </c>
      <c r="K525" t="s">
        <v>28</v>
      </c>
      <c r="L525" t="s">
        <v>36</v>
      </c>
      <c r="M525">
        <v>2</v>
      </c>
      <c r="N525">
        <v>285.23</v>
      </c>
      <c r="O525">
        <v>388.2</v>
      </c>
      <c r="P525">
        <v>0</v>
      </c>
      <c r="Q525">
        <v>0</v>
      </c>
      <c r="S525">
        <v>29</v>
      </c>
      <c r="T525">
        <v>1</v>
      </c>
      <c r="U525">
        <v>6</v>
      </c>
      <c r="V525">
        <v>388.2</v>
      </c>
      <c r="W525">
        <v>13130000523</v>
      </c>
    </row>
    <row r="526" spans="1:23" x14ac:dyDescent="0.2">
      <c r="A526" s="1">
        <v>44796</v>
      </c>
      <c r="B526" s="2">
        <v>0.40313657407407399</v>
      </c>
      <c r="C526">
        <v>1524</v>
      </c>
      <c r="D526">
        <v>13002561</v>
      </c>
      <c r="E526">
        <v>13</v>
      </c>
      <c r="F526">
        <v>22589</v>
      </c>
      <c r="G526" t="s">
        <v>23</v>
      </c>
      <c r="H526">
        <v>15</v>
      </c>
      <c r="I526">
        <v>77354</v>
      </c>
      <c r="J526" t="s">
        <v>121</v>
      </c>
      <c r="K526" t="s">
        <v>45</v>
      </c>
      <c r="L526" t="s">
        <v>29</v>
      </c>
      <c r="M526">
        <v>2</v>
      </c>
      <c r="N526">
        <v>599.79</v>
      </c>
      <c r="O526">
        <v>916.64</v>
      </c>
      <c r="P526">
        <v>91.66</v>
      </c>
      <c r="Q526">
        <v>91.66</v>
      </c>
      <c r="R526" t="s">
        <v>30</v>
      </c>
      <c r="S526">
        <v>29</v>
      </c>
      <c r="T526">
        <v>1</v>
      </c>
      <c r="U526">
        <v>4</v>
      </c>
      <c r="V526">
        <v>824.98</v>
      </c>
      <c r="W526">
        <v>13130000524</v>
      </c>
    </row>
    <row r="527" spans="1:23" x14ac:dyDescent="0.2">
      <c r="A527" s="1">
        <v>44794</v>
      </c>
      <c r="B527" s="2">
        <v>0.65129629629629626</v>
      </c>
      <c r="C527">
        <v>1525</v>
      </c>
      <c r="D527">
        <v>13002561</v>
      </c>
      <c r="E527">
        <v>13</v>
      </c>
      <c r="F527">
        <v>22589</v>
      </c>
      <c r="G527" t="s">
        <v>23</v>
      </c>
      <c r="H527">
        <v>18</v>
      </c>
      <c r="I527">
        <v>98550</v>
      </c>
      <c r="J527" t="s">
        <v>84</v>
      </c>
      <c r="K527" t="s">
        <v>28</v>
      </c>
      <c r="L527" t="s">
        <v>47</v>
      </c>
      <c r="M527">
        <v>2</v>
      </c>
      <c r="N527">
        <v>221.85</v>
      </c>
      <c r="O527">
        <v>294.83</v>
      </c>
      <c r="P527">
        <v>0</v>
      </c>
      <c r="Q527">
        <v>0</v>
      </c>
      <c r="S527">
        <v>29</v>
      </c>
      <c r="T527">
        <v>1</v>
      </c>
      <c r="U527">
        <v>6</v>
      </c>
      <c r="V527">
        <v>294.83</v>
      </c>
      <c r="W527">
        <v>13130000525</v>
      </c>
    </row>
    <row r="528" spans="1:23" x14ac:dyDescent="0.2">
      <c r="A528" s="1">
        <v>44804</v>
      </c>
      <c r="B528" s="2">
        <v>0.88597222222222227</v>
      </c>
      <c r="C528">
        <v>1526</v>
      </c>
      <c r="D528">
        <v>13002561</v>
      </c>
      <c r="E528">
        <v>13</v>
      </c>
      <c r="F528">
        <v>22589</v>
      </c>
      <c r="G528" t="s">
        <v>23</v>
      </c>
      <c r="H528">
        <v>18</v>
      </c>
      <c r="I528">
        <v>28658</v>
      </c>
      <c r="J528" t="s">
        <v>61</v>
      </c>
      <c r="K528" t="s">
        <v>44</v>
      </c>
      <c r="L528" t="s">
        <v>26</v>
      </c>
      <c r="M528">
        <v>2</v>
      </c>
      <c r="N528">
        <v>82.73</v>
      </c>
      <c r="O528">
        <v>135.59</v>
      </c>
      <c r="P528">
        <v>6.78</v>
      </c>
      <c r="Q528">
        <v>6.78</v>
      </c>
      <c r="R528" t="s">
        <v>30</v>
      </c>
      <c r="S528">
        <v>29</v>
      </c>
      <c r="T528">
        <v>1</v>
      </c>
      <c r="U528">
        <v>5</v>
      </c>
      <c r="V528">
        <v>128.81</v>
      </c>
      <c r="W528">
        <v>13130000526</v>
      </c>
    </row>
    <row r="529" spans="1:23" x14ac:dyDescent="0.2">
      <c r="A529" s="1">
        <v>44780</v>
      </c>
      <c r="B529" s="2">
        <v>0.86120370370370369</v>
      </c>
      <c r="C529">
        <v>1527</v>
      </c>
      <c r="D529">
        <v>13002561</v>
      </c>
      <c r="E529">
        <v>13</v>
      </c>
      <c r="F529">
        <v>22589</v>
      </c>
      <c r="G529" t="s">
        <v>23</v>
      </c>
      <c r="H529">
        <v>18</v>
      </c>
      <c r="I529">
        <v>25545</v>
      </c>
      <c r="J529" t="s">
        <v>69</v>
      </c>
      <c r="K529" t="s">
        <v>28</v>
      </c>
      <c r="L529" t="s">
        <v>29</v>
      </c>
      <c r="M529">
        <v>1</v>
      </c>
      <c r="N529">
        <v>309.27</v>
      </c>
      <c r="O529">
        <v>415.54</v>
      </c>
      <c r="P529">
        <v>0</v>
      </c>
      <c r="Q529">
        <v>0</v>
      </c>
      <c r="S529">
        <v>29</v>
      </c>
      <c r="T529">
        <v>1</v>
      </c>
      <c r="U529">
        <v>1</v>
      </c>
      <c r="V529">
        <v>415.54</v>
      </c>
      <c r="W529">
        <v>13130000527</v>
      </c>
    </row>
    <row r="530" spans="1:23" x14ac:dyDescent="0.2">
      <c r="A530" s="1">
        <v>44782</v>
      </c>
      <c r="B530" s="2">
        <v>0.71346064814814814</v>
      </c>
      <c r="C530">
        <v>1528</v>
      </c>
      <c r="D530">
        <v>13002561</v>
      </c>
      <c r="E530">
        <v>13</v>
      </c>
      <c r="F530">
        <v>22589</v>
      </c>
      <c r="G530" t="s">
        <v>23</v>
      </c>
      <c r="H530">
        <v>15</v>
      </c>
      <c r="I530">
        <v>12288</v>
      </c>
      <c r="J530" t="s">
        <v>73</v>
      </c>
      <c r="K530" t="s">
        <v>28</v>
      </c>
      <c r="L530" t="s">
        <v>39</v>
      </c>
      <c r="M530">
        <v>1</v>
      </c>
      <c r="N530">
        <v>63.19</v>
      </c>
      <c r="O530">
        <v>101.65</v>
      </c>
      <c r="P530">
        <v>0</v>
      </c>
      <c r="Q530">
        <v>0</v>
      </c>
      <c r="S530">
        <v>29</v>
      </c>
      <c r="T530">
        <v>1</v>
      </c>
      <c r="U530">
        <v>4</v>
      </c>
      <c r="V530">
        <v>101.65</v>
      </c>
      <c r="W530">
        <v>13130000528</v>
      </c>
    </row>
    <row r="531" spans="1:23" x14ac:dyDescent="0.2">
      <c r="A531" s="1">
        <v>44796</v>
      </c>
      <c r="B531" s="2">
        <v>0.49035879629629631</v>
      </c>
      <c r="C531">
        <v>1529</v>
      </c>
      <c r="D531">
        <v>13002561</v>
      </c>
      <c r="E531">
        <v>13</v>
      </c>
      <c r="F531">
        <v>22589</v>
      </c>
      <c r="G531" t="s">
        <v>23</v>
      </c>
      <c r="H531">
        <v>15</v>
      </c>
      <c r="I531">
        <v>31368</v>
      </c>
      <c r="J531" t="s">
        <v>118</v>
      </c>
      <c r="K531" t="s">
        <v>45</v>
      </c>
      <c r="L531" t="s">
        <v>47</v>
      </c>
      <c r="M531">
        <v>1</v>
      </c>
      <c r="N531">
        <v>57.79</v>
      </c>
      <c r="O531">
        <v>85.81</v>
      </c>
      <c r="P531">
        <v>8.58</v>
      </c>
      <c r="Q531">
        <v>8.58</v>
      </c>
      <c r="R531" t="s">
        <v>30</v>
      </c>
      <c r="S531">
        <v>29</v>
      </c>
      <c r="T531">
        <v>1</v>
      </c>
      <c r="U531">
        <v>1</v>
      </c>
      <c r="V531">
        <v>77.23</v>
      </c>
      <c r="W531">
        <v>13130000529</v>
      </c>
    </row>
    <row r="532" spans="1:23" x14ac:dyDescent="0.2">
      <c r="A532" s="1">
        <v>44800</v>
      </c>
      <c r="B532" s="2">
        <v>0.38434027777777779</v>
      </c>
      <c r="C532">
        <v>1530</v>
      </c>
      <c r="D532">
        <v>13002561</v>
      </c>
      <c r="E532">
        <v>13</v>
      </c>
      <c r="F532">
        <v>22589</v>
      </c>
      <c r="G532" t="s">
        <v>23</v>
      </c>
      <c r="H532">
        <v>18</v>
      </c>
      <c r="I532">
        <v>19602</v>
      </c>
      <c r="J532" t="s">
        <v>35</v>
      </c>
      <c r="K532" t="s">
        <v>38</v>
      </c>
      <c r="L532" t="s">
        <v>47</v>
      </c>
      <c r="M532">
        <v>1</v>
      </c>
      <c r="N532">
        <v>418.79</v>
      </c>
      <c r="O532">
        <v>653.54999999999995</v>
      </c>
      <c r="P532">
        <v>32.68</v>
      </c>
      <c r="Q532">
        <v>32.68</v>
      </c>
      <c r="R532" t="s">
        <v>30</v>
      </c>
      <c r="S532">
        <v>29</v>
      </c>
      <c r="T532">
        <v>1</v>
      </c>
      <c r="U532">
        <v>3</v>
      </c>
      <c r="V532">
        <v>620.87</v>
      </c>
      <c r="W532">
        <v>13130000530</v>
      </c>
    </row>
    <row r="533" spans="1:23" x14ac:dyDescent="0.2">
      <c r="A533" s="1">
        <v>44785</v>
      </c>
      <c r="B533" s="2">
        <v>0.42634259259259261</v>
      </c>
      <c r="C533">
        <v>1531</v>
      </c>
      <c r="D533">
        <v>13002561</v>
      </c>
      <c r="E533">
        <v>13</v>
      </c>
      <c r="F533">
        <v>22589</v>
      </c>
      <c r="G533" t="s">
        <v>23</v>
      </c>
      <c r="H533">
        <v>15</v>
      </c>
      <c r="I533">
        <v>51562</v>
      </c>
      <c r="J533" t="s">
        <v>68</v>
      </c>
      <c r="K533" t="s">
        <v>25</v>
      </c>
      <c r="L533" t="s">
        <v>32</v>
      </c>
      <c r="M533">
        <v>2</v>
      </c>
      <c r="N533">
        <v>448.11</v>
      </c>
      <c r="O533">
        <v>641.72</v>
      </c>
      <c r="P533">
        <v>32.090000000000003</v>
      </c>
      <c r="Q533">
        <v>32.090000000000003</v>
      </c>
      <c r="R533" t="s">
        <v>30</v>
      </c>
      <c r="S533">
        <v>29</v>
      </c>
      <c r="T533">
        <v>1</v>
      </c>
      <c r="U533">
        <v>3</v>
      </c>
      <c r="V533">
        <v>609.63</v>
      </c>
      <c r="W533">
        <v>13130000531</v>
      </c>
    </row>
    <row r="534" spans="1:23" x14ac:dyDescent="0.2">
      <c r="A534" s="1">
        <v>44800</v>
      </c>
      <c r="B534" s="2">
        <v>0.94043981481481487</v>
      </c>
      <c r="C534">
        <v>1532</v>
      </c>
      <c r="D534">
        <v>13002561</v>
      </c>
      <c r="E534">
        <v>13</v>
      </c>
      <c r="F534">
        <v>22589</v>
      </c>
      <c r="G534" t="s">
        <v>23</v>
      </c>
      <c r="H534">
        <v>15</v>
      </c>
      <c r="I534">
        <v>97897</v>
      </c>
      <c r="J534" t="s">
        <v>86</v>
      </c>
      <c r="K534" t="s">
        <v>38</v>
      </c>
      <c r="L534" t="s">
        <v>47</v>
      </c>
      <c r="M534">
        <v>3</v>
      </c>
      <c r="N534">
        <v>311.52</v>
      </c>
      <c r="O534">
        <v>409.2</v>
      </c>
      <c r="P534">
        <v>20.46</v>
      </c>
      <c r="Q534">
        <v>20.46</v>
      </c>
      <c r="R534" t="s">
        <v>30</v>
      </c>
      <c r="S534">
        <v>29</v>
      </c>
      <c r="T534">
        <v>1</v>
      </c>
      <c r="U534">
        <v>5</v>
      </c>
      <c r="V534">
        <v>388.74</v>
      </c>
      <c r="W534">
        <v>13130000532</v>
      </c>
    </row>
    <row r="535" spans="1:23" x14ac:dyDescent="0.2">
      <c r="A535" s="1">
        <v>44787</v>
      </c>
      <c r="B535" s="2">
        <v>0.9028356481481481</v>
      </c>
      <c r="C535">
        <v>1533</v>
      </c>
      <c r="D535">
        <v>13002561</v>
      </c>
      <c r="E535">
        <v>13</v>
      </c>
      <c r="F535">
        <v>22589</v>
      </c>
      <c r="G535" t="s">
        <v>23</v>
      </c>
      <c r="H535">
        <v>15</v>
      </c>
      <c r="I535">
        <v>60550</v>
      </c>
      <c r="J535" t="s">
        <v>76</v>
      </c>
      <c r="K535" t="s">
        <v>45</v>
      </c>
      <c r="L535" t="s">
        <v>32</v>
      </c>
      <c r="M535">
        <v>1</v>
      </c>
      <c r="N535">
        <v>76.44</v>
      </c>
      <c r="O535">
        <v>101.05</v>
      </c>
      <c r="P535">
        <v>5.05</v>
      </c>
      <c r="Q535">
        <v>5.05</v>
      </c>
      <c r="R535" t="s">
        <v>30</v>
      </c>
      <c r="S535">
        <v>29</v>
      </c>
      <c r="T535">
        <v>1</v>
      </c>
      <c r="U535">
        <v>3</v>
      </c>
      <c r="V535">
        <v>96</v>
      </c>
      <c r="W535">
        <v>13130000533</v>
      </c>
    </row>
    <row r="536" spans="1:23" x14ac:dyDescent="0.2">
      <c r="A536" s="1">
        <v>44795</v>
      </c>
      <c r="B536" s="2">
        <v>0.76652777777777781</v>
      </c>
      <c r="C536">
        <v>1534</v>
      </c>
      <c r="D536">
        <v>13002561</v>
      </c>
      <c r="E536">
        <v>13</v>
      </c>
      <c r="F536">
        <v>22589</v>
      </c>
      <c r="G536" t="s">
        <v>23</v>
      </c>
      <c r="H536">
        <v>15</v>
      </c>
      <c r="I536">
        <v>84096</v>
      </c>
      <c r="J536" t="s">
        <v>117</v>
      </c>
      <c r="K536" t="s">
        <v>28</v>
      </c>
      <c r="L536" t="s">
        <v>29</v>
      </c>
      <c r="M536">
        <v>2</v>
      </c>
      <c r="N536">
        <v>552.77</v>
      </c>
      <c r="O536">
        <v>760.42</v>
      </c>
      <c r="P536">
        <v>76.040000000000006</v>
      </c>
      <c r="Q536">
        <v>76.040000000000006</v>
      </c>
      <c r="R536" t="s">
        <v>30</v>
      </c>
      <c r="S536">
        <v>29</v>
      </c>
      <c r="T536">
        <v>1</v>
      </c>
      <c r="U536">
        <v>5</v>
      </c>
      <c r="V536">
        <v>684.38</v>
      </c>
      <c r="W536">
        <v>13130000534</v>
      </c>
    </row>
    <row r="537" spans="1:23" x14ac:dyDescent="0.2">
      <c r="A537" s="1">
        <v>44784</v>
      </c>
      <c r="B537" s="2">
        <v>0.59994212962962967</v>
      </c>
      <c r="C537">
        <v>1535</v>
      </c>
      <c r="D537">
        <v>13002561</v>
      </c>
      <c r="E537">
        <v>13</v>
      </c>
      <c r="F537">
        <v>22589</v>
      </c>
      <c r="G537" t="s">
        <v>23</v>
      </c>
      <c r="H537">
        <v>15</v>
      </c>
      <c r="I537">
        <v>44283</v>
      </c>
      <c r="J537" t="s">
        <v>80</v>
      </c>
      <c r="K537" t="s">
        <v>60</v>
      </c>
      <c r="L537" t="s">
        <v>29</v>
      </c>
      <c r="M537">
        <v>2</v>
      </c>
      <c r="N537">
        <v>475.03</v>
      </c>
      <c r="O537">
        <v>646.87</v>
      </c>
      <c r="P537">
        <v>32.340000000000003</v>
      </c>
      <c r="Q537">
        <v>32.340000000000003</v>
      </c>
      <c r="R537" t="s">
        <v>30</v>
      </c>
      <c r="S537">
        <v>29</v>
      </c>
      <c r="T537">
        <v>1</v>
      </c>
      <c r="U537">
        <v>5</v>
      </c>
      <c r="V537">
        <v>614.53</v>
      </c>
      <c r="W537">
        <v>13130000535</v>
      </c>
    </row>
    <row r="538" spans="1:23" x14ac:dyDescent="0.2">
      <c r="A538" s="1">
        <v>44779</v>
      </c>
      <c r="B538" s="2">
        <v>0.92927083333333338</v>
      </c>
      <c r="C538">
        <v>1536</v>
      </c>
      <c r="D538">
        <v>13002561</v>
      </c>
      <c r="E538">
        <v>13</v>
      </c>
      <c r="F538">
        <v>22589</v>
      </c>
      <c r="G538" t="s">
        <v>23</v>
      </c>
      <c r="H538">
        <v>15</v>
      </c>
      <c r="I538">
        <v>59388</v>
      </c>
      <c r="J538" t="s">
        <v>89</v>
      </c>
      <c r="K538" t="s">
        <v>25</v>
      </c>
      <c r="L538" t="s">
        <v>47</v>
      </c>
      <c r="M538">
        <v>3</v>
      </c>
      <c r="N538">
        <v>174.53</v>
      </c>
      <c r="O538">
        <v>282.02</v>
      </c>
      <c r="P538">
        <v>14.1</v>
      </c>
      <c r="Q538">
        <v>14.1</v>
      </c>
      <c r="R538" t="s">
        <v>30</v>
      </c>
      <c r="S538">
        <v>29</v>
      </c>
      <c r="T538">
        <v>1</v>
      </c>
      <c r="U538">
        <v>5</v>
      </c>
      <c r="V538">
        <v>267.92</v>
      </c>
      <c r="W538">
        <v>13130000536</v>
      </c>
    </row>
    <row r="539" spans="1:23" x14ac:dyDescent="0.2">
      <c r="A539" s="1">
        <v>44803</v>
      </c>
      <c r="B539" s="2">
        <v>0.34111111111111109</v>
      </c>
      <c r="C539">
        <v>1537</v>
      </c>
      <c r="D539">
        <v>13002561</v>
      </c>
      <c r="E539">
        <v>13</v>
      </c>
      <c r="F539">
        <v>22589</v>
      </c>
      <c r="G539" t="s">
        <v>23</v>
      </c>
      <c r="H539">
        <v>15</v>
      </c>
      <c r="I539">
        <v>31220</v>
      </c>
      <c r="J539" t="s">
        <v>79</v>
      </c>
      <c r="K539" t="s">
        <v>45</v>
      </c>
      <c r="L539" t="s">
        <v>51</v>
      </c>
      <c r="M539">
        <v>2</v>
      </c>
      <c r="N539">
        <v>246.16</v>
      </c>
      <c r="O539">
        <v>343.14</v>
      </c>
      <c r="P539">
        <v>34.31</v>
      </c>
      <c r="Q539">
        <v>34.31</v>
      </c>
      <c r="R539" t="s">
        <v>30</v>
      </c>
      <c r="S539">
        <v>29</v>
      </c>
      <c r="T539">
        <v>1</v>
      </c>
      <c r="U539">
        <v>1</v>
      </c>
      <c r="V539">
        <v>308.83</v>
      </c>
      <c r="W539">
        <v>13130000537</v>
      </c>
    </row>
    <row r="540" spans="1:23" x14ac:dyDescent="0.2">
      <c r="A540" s="1">
        <v>44775</v>
      </c>
      <c r="B540" s="2">
        <v>0.46365740740740741</v>
      </c>
      <c r="C540">
        <v>1538</v>
      </c>
      <c r="D540">
        <v>13002561</v>
      </c>
      <c r="E540">
        <v>13</v>
      </c>
      <c r="F540">
        <v>22589</v>
      </c>
      <c r="G540" t="s">
        <v>23</v>
      </c>
      <c r="H540">
        <v>15</v>
      </c>
      <c r="I540">
        <v>30384</v>
      </c>
      <c r="J540" t="s">
        <v>61</v>
      </c>
      <c r="K540" t="s">
        <v>44</v>
      </c>
      <c r="L540" t="s">
        <v>36</v>
      </c>
      <c r="M540">
        <v>1</v>
      </c>
      <c r="N540">
        <v>494.7</v>
      </c>
      <c r="O540">
        <v>621.63</v>
      </c>
      <c r="P540">
        <v>0</v>
      </c>
      <c r="Q540">
        <v>0</v>
      </c>
      <c r="S540">
        <v>29</v>
      </c>
      <c r="T540">
        <v>1</v>
      </c>
      <c r="U540">
        <v>4</v>
      </c>
      <c r="V540">
        <v>621.63</v>
      </c>
      <c r="W540">
        <v>13130000538</v>
      </c>
    </row>
    <row r="541" spans="1:23" x14ac:dyDescent="0.2">
      <c r="A541" s="1">
        <v>44792</v>
      </c>
      <c r="B541" s="2">
        <v>0.64548611111111109</v>
      </c>
      <c r="C541">
        <v>1539</v>
      </c>
      <c r="D541">
        <v>13002561</v>
      </c>
      <c r="E541">
        <v>13</v>
      </c>
      <c r="F541">
        <v>22589</v>
      </c>
      <c r="G541" t="s">
        <v>23</v>
      </c>
      <c r="H541">
        <v>15</v>
      </c>
      <c r="I541">
        <v>26071</v>
      </c>
      <c r="J541" t="s">
        <v>66</v>
      </c>
      <c r="K541" t="s">
        <v>44</v>
      </c>
      <c r="L541" t="s">
        <v>36</v>
      </c>
      <c r="M541">
        <v>3</v>
      </c>
      <c r="N541">
        <v>443.68</v>
      </c>
      <c r="O541">
        <v>690</v>
      </c>
      <c r="P541">
        <v>0</v>
      </c>
      <c r="Q541">
        <v>0</v>
      </c>
      <c r="S541">
        <v>29</v>
      </c>
      <c r="T541">
        <v>1</v>
      </c>
      <c r="U541">
        <v>2</v>
      </c>
      <c r="V541">
        <v>690</v>
      </c>
      <c r="W541">
        <v>13130000539</v>
      </c>
    </row>
    <row r="542" spans="1:23" x14ac:dyDescent="0.2">
      <c r="A542" s="1">
        <v>44801</v>
      </c>
      <c r="B542" s="2">
        <v>0.33672453703703698</v>
      </c>
      <c r="C542">
        <v>1540</v>
      </c>
      <c r="D542">
        <v>13002561</v>
      </c>
      <c r="E542">
        <v>13</v>
      </c>
      <c r="F542">
        <v>22589</v>
      </c>
      <c r="G542" t="s">
        <v>23</v>
      </c>
      <c r="H542">
        <v>18</v>
      </c>
      <c r="I542">
        <v>72114</v>
      </c>
      <c r="J542" t="s">
        <v>73</v>
      </c>
      <c r="K542" t="s">
        <v>25</v>
      </c>
      <c r="L542" t="s">
        <v>39</v>
      </c>
      <c r="M542">
        <v>1</v>
      </c>
      <c r="N542">
        <v>386.09</v>
      </c>
      <c r="O542">
        <v>592.59</v>
      </c>
      <c r="P542">
        <v>0</v>
      </c>
      <c r="Q542">
        <v>0</v>
      </c>
      <c r="S542">
        <v>29</v>
      </c>
      <c r="T542">
        <v>1</v>
      </c>
      <c r="U542">
        <v>3</v>
      </c>
      <c r="V542">
        <v>592.59</v>
      </c>
      <c r="W542">
        <v>13130000540</v>
      </c>
    </row>
    <row r="543" spans="1:23" x14ac:dyDescent="0.2">
      <c r="A543" s="1">
        <v>44797</v>
      </c>
      <c r="B543" s="2">
        <v>0.43396990740740737</v>
      </c>
      <c r="C543">
        <v>1541</v>
      </c>
      <c r="D543">
        <v>13002561</v>
      </c>
      <c r="E543">
        <v>13</v>
      </c>
      <c r="F543">
        <v>22589</v>
      </c>
      <c r="G543" t="s">
        <v>23</v>
      </c>
      <c r="H543">
        <v>15</v>
      </c>
      <c r="I543">
        <v>37209</v>
      </c>
      <c r="J543" t="s">
        <v>72</v>
      </c>
      <c r="K543" t="s">
        <v>25</v>
      </c>
      <c r="L543" t="s">
        <v>32</v>
      </c>
      <c r="M543">
        <v>1</v>
      </c>
      <c r="N543">
        <v>212.74</v>
      </c>
      <c r="O543">
        <v>339.15</v>
      </c>
      <c r="P543">
        <v>0</v>
      </c>
      <c r="Q543">
        <v>0</v>
      </c>
      <c r="S543">
        <v>29</v>
      </c>
      <c r="T543">
        <v>1</v>
      </c>
      <c r="U543">
        <v>3</v>
      </c>
      <c r="V543">
        <v>339.15</v>
      </c>
      <c r="W543">
        <v>13130000541</v>
      </c>
    </row>
    <row r="544" spans="1:23" x14ac:dyDescent="0.2">
      <c r="A544" s="1">
        <v>44778</v>
      </c>
      <c r="B544" s="2">
        <v>0.71089120370370373</v>
      </c>
      <c r="C544">
        <v>1542</v>
      </c>
      <c r="D544">
        <v>13002561</v>
      </c>
      <c r="E544">
        <v>13</v>
      </c>
      <c r="F544">
        <v>22589</v>
      </c>
      <c r="G544" t="s">
        <v>23</v>
      </c>
      <c r="H544">
        <v>15</v>
      </c>
      <c r="I544">
        <v>71915</v>
      </c>
      <c r="J544" t="s">
        <v>119</v>
      </c>
      <c r="K544" t="s">
        <v>25</v>
      </c>
      <c r="L544" t="s">
        <v>34</v>
      </c>
      <c r="M544">
        <v>3</v>
      </c>
      <c r="N544">
        <v>453.28</v>
      </c>
      <c r="O544">
        <v>613.84</v>
      </c>
      <c r="P544">
        <v>61.38</v>
      </c>
      <c r="Q544">
        <v>61.38</v>
      </c>
      <c r="R544" t="s">
        <v>30</v>
      </c>
      <c r="S544">
        <v>29</v>
      </c>
      <c r="T544">
        <v>1</v>
      </c>
      <c r="U544">
        <v>4</v>
      </c>
      <c r="V544">
        <v>552.46</v>
      </c>
      <c r="W544">
        <v>13130000542</v>
      </c>
    </row>
    <row r="545" spans="1:23" x14ac:dyDescent="0.2">
      <c r="A545" s="1">
        <v>44794</v>
      </c>
      <c r="B545" s="2">
        <v>0.37600694444444438</v>
      </c>
      <c r="C545">
        <v>1543</v>
      </c>
      <c r="D545">
        <v>13002561</v>
      </c>
      <c r="E545">
        <v>13</v>
      </c>
      <c r="F545">
        <v>22589</v>
      </c>
      <c r="G545" t="s">
        <v>23</v>
      </c>
      <c r="H545">
        <v>18</v>
      </c>
      <c r="I545">
        <v>71235</v>
      </c>
      <c r="J545" t="s">
        <v>27</v>
      </c>
      <c r="K545" t="s">
        <v>25</v>
      </c>
      <c r="L545" t="s">
        <v>29</v>
      </c>
      <c r="M545">
        <v>2</v>
      </c>
      <c r="N545">
        <v>461.65</v>
      </c>
      <c r="O545">
        <v>772.57</v>
      </c>
      <c r="P545">
        <v>38.630000000000003</v>
      </c>
      <c r="Q545">
        <v>38.630000000000003</v>
      </c>
      <c r="R545" t="s">
        <v>30</v>
      </c>
      <c r="S545">
        <v>29</v>
      </c>
      <c r="T545">
        <v>1</v>
      </c>
      <c r="U545">
        <v>5</v>
      </c>
      <c r="V545">
        <v>733.94</v>
      </c>
      <c r="W545">
        <v>13130000543</v>
      </c>
    </row>
    <row r="546" spans="1:23" x14ac:dyDescent="0.2">
      <c r="A546" s="1">
        <v>44801</v>
      </c>
      <c r="B546" s="2">
        <v>0.42086805555555562</v>
      </c>
      <c r="C546">
        <v>1544</v>
      </c>
      <c r="D546">
        <v>13002561</v>
      </c>
      <c r="E546">
        <v>13</v>
      </c>
      <c r="F546">
        <v>22589</v>
      </c>
      <c r="G546" t="s">
        <v>23</v>
      </c>
      <c r="H546">
        <v>18</v>
      </c>
      <c r="I546">
        <v>56625</v>
      </c>
      <c r="J546" t="s">
        <v>61</v>
      </c>
      <c r="K546" t="s">
        <v>38</v>
      </c>
      <c r="L546" t="s">
        <v>47</v>
      </c>
      <c r="M546">
        <v>3</v>
      </c>
      <c r="N546">
        <v>202.94</v>
      </c>
      <c r="O546">
        <v>315.17</v>
      </c>
      <c r="P546">
        <v>0</v>
      </c>
      <c r="Q546">
        <v>0</v>
      </c>
      <c r="S546">
        <v>29</v>
      </c>
      <c r="T546">
        <v>1</v>
      </c>
      <c r="U546">
        <v>6</v>
      </c>
      <c r="V546">
        <v>315.17</v>
      </c>
      <c r="W546">
        <v>13130000544</v>
      </c>
    </row>
    <row r="547" spans="1:23" x14ac:dyDescent="0.2">
      <c r="A547" s="1">
        <v>44786</v>
      </c>
      <c r="B547" s="2">
        <v>0.54866898148148147</v>
      </c>
      <c r="C547">
        <v>1545</v>
      </c>
      <c r="D547">
        <v>13002561</v>
      </c>
      <c r="E547">
        <v>13</v>
      </c>
      <c r="F547">
        <v>22589</v>
      </c>
      <c r="G547" t="s">
        <v>23</v>
      </c>
      <c r="H547">
        <v>15</v>
      </c>
      <c r="I547">
        <v>20489</v>
      </c>
      <c r="J547" t="s">
        <v>53</v>
      </c>
      <c r="K547" t="s">
        <v>44</v>
      </c>
      <c r="L547" t="s">
        <v>26</v>
      </c>
      <c r="M547">
        <v>2</v>
      </c>
      <c r="N547">
        <v>158.15</v>
      </c>
      <c r="O547">
        <v>237.59</v>
      </c>
      <c r="P547">
        <v>11.88</v>
      </c>
      <c r="Q547">
        <v>11.88</v>
      </c>
      <c r="R547" t="s">
        <v>30</v>
      </c>
      <c r="S547">
        <v>29</v>
      </c>
      <c r="T547">
        <v>1</v>
      </c>
      <c r="U547">
        <v>1</v>
      </c>
      <c r="V547">
        <v>225.71</v>
      </c>
      <c r="W547">
        <v>13130000545</v>
      </c>
    </row>
    <row r="548" spans="1:23" x14ac:dyDescent="0.2">
      <c r="A548" s="1">
        <v>44786</v>
      </c>
      <c r="B548" s="2">
        <v>0.44217592592592592</v>
      </c>
      <c r="C548">
        <v>1546</v>
      </c>
      <c r="D548">
        <v>13002561</v>
      </c>
      <c r="E548">
        <v>13</v>
      </c>
      <c r="F548">
        <v>22589</v>
      </c>
      <c r="G548" t="s">
        <v>23</v>
      </c>
      <c r="H548">
        <v>15</v>
      </c>
      <c r="I548">
        <v>25613</v>
      </c>
      <c r="J548" t="s">
        <v>100</v>
      </c>
      <c r="K548" t="s">
        <v>25</v>
      </c>
      <c r="L548" t="s">
        <v>51</v>
      </c>
      <c r="M548">
        <v>3</v>
      </c>
      <c r="N548">
        <v>510.11</v>
      </c>
      <c r="O548">
        <v>758.69</v>
      </c>
      <c r="P548">
        <v>75.87</v>
      </c>
      <c r="Q548">
        <v>75.87</v>
      </c>
      <c r="R548" t="s">
        <v>30</v>
      </c>
      <c r="S548">
        <v>29</v>
      </c>
      <c r="T548">
        <v>1</v>
      </c>
      <c r="U548">
        <v>2</v>
      </c>
      <c r="V548">
        <v>682.82</v>
      </c>
      <c r="W548">
        <v>13130000546</v>
      </c>
    </row>
    <row r="549" spans="1:23" x14ac:dyDescent="0.2">
      <c r="A549" s="1">
        <v>44798</v>
      </c>
      <c r="B549" s="2">
        <v>0.37767361111111108</v>
      </c>
      <c r="C549">
        <v>1547</v>
      </c>
      <c r="D549">
        <v>13002561</v>
      </c>
      <c r="E549">
        <v>13</v>
      </c>
      <c r="F549">
        <v>22589</v>
      </c>
      <c r="G549" t="s">
        <v>23</v>
      </c>
      <c r="H549">
        <v>15</v>
      </c>
      <c r="I549">
        <v>72103</v>
      </c>
      <c r="J549" t="s">
        <v>123</v>
      </c>
      <c r="K549" t="s">
        <v>28</v>
      </c>
      <c r="L549" t="s">
        <v>51</v>
      </c>
      <c r="M549">
        <v>3</v>
      </c>
      <c r="N549">
        <v>432.51</v>
      </c>
      <c r="O549">
        <v>557.45000000000005</v>
      </c>
      <c r="P549">
        <v>0</v>
      </c>
      <c r="Q549">
        <v>0</v>
      </c>
      <c r="S549">
        <v>29</v>
      </c>
      <c r="T549">
        <v>1</v>
      </c>
      <c r="U549">
        <v>2</v>
      </c>
      <c r="V549">
        <v>557.45000000000005</v>
      </c>
      <c r="W549">
        <v>13130000547</v>
      </c>
    </row>
    <row r="550" spans="1:23" x14ac:dyDescent="0.2">
      <c r="A550" s="1">
        <v>44792</v>
      </c>
      <c r="B550" s="2">
        <v>0.33800925925925918</v>
      </c>
      <c r="C550">
        <v>1548</v>
      </c>
      <c r="D550">
        <v>13002561</v>
      </c>
      <c r="E550">
        <v>13</v>
      </c>
      <c r="F550">
        <v>22589</v>
      </c>
      <c r="G550" t="s">
        <v>23</v>
      </c>
      <c r="H550">
        <v>18</v>
      </c>
      <c r="I550">
        <v>74725</v>
      </c>
      <c r="J550" t="s">
        <v>65</v>
      </c>
      <c r="K550" t="s">
        <v>44</v>
      </c>
      <c r="L550" t="s">
        <v>47</v>
      </c>
      <c r="M550">
        <v>1</v>
      </c>
      <c r="N550">
        <v>522.27</v>
      </c>
      <c r="O550">
        <v>809.99</v>
      </c>
      <c r="P550">
        <v>40.5</v>
      </c>
      <c r="Q550">
        <v>40.5</v>
      </c>
      <c r="R550" t="s">
        <v>30</v>
      </c>
      <c r="S550">
        <v>29</v>
      </c>
      <c r="T550">
        <v>1</v>
      </c>
      <c r="U550">
        <v>5</v>
      </c>
      <c r="V550">
        <v>769.49</v>
      </c>
      <c r="W550">
        <v>13130000548</v>
      </c>
    </row>
    <row r="551" spans="1:23" x14ac:dyDescent="0.2">
      <c r="A551" s="1">
        <v>44791</v>
      </c>
      <c r="B551" s="2">
        <v>0.7489351851851852</v>
      </c>
      <c r="C551">
        <v>1549</v>
      </c>
      <c r="D551">
        <v>13002561</v>
      </c>
      <c r="E551">
        <v>13</v>
      </c>
      <c r="F551">
        <v>22589</v>
      </c>
      <c r="G551" t="s">
        <v>23</v>
      </c>
      <c r="H551">
        <v>15</v>
      </c>
      <c r="I551">
        <v>28666</v>
      </c>
      <c r="J551" t="s">
        <v>113</v>
      </c>
      <c r="K551" t="s">
        <v>28</v>
      </c>
      <c r="L551" t="s">
        <v>39</v>
      </c>
      <c r="M551">
        <v>2</v>
      </c>
      <c r="N551">
        <v>278.45</v>
      </c>
      <c r="O551">
        <v>451.95</v>
      </c>
      <c r="P551">
        <v>0</v>
      </c>
      <c r="Q551">
        <v>0</v>
      </c>
      <c r="S551">
        <v>29</v>
      </c>
      <c r="T551">
        <v>1</v>
      </c>
      <c r="U551">
        <v>4</v>
      </c>
      <c r="V551">
        <v>451.95</v>
      </c>
      <c r="W551">
        <v>13130000549</v>
      </c>
    </row>
    <row r="552" spans="1:23" x14ac:dyDescent="0.2">
      <c r="A552" s="1">
        <v>44780</v>
      </c>
      <c r="B552" s="2">
        <v>0.71430555555555553</v>
      </c>
      <c r="C552">
        <v>1550</v>
      </c>
      <c r="D552">
        <v>13002561</v>
      </c>
      <c r="E552">
        <v>13</v>
      </c>
      <c r="F552">
        <v>22589</v>
      </c>
      <c r="G552" t="s">
        <v>23</v>
      </c>
      <c r="H552">
        <v>18</v>
      </c>
      <c r="I552">
        <v>41995</v>
      </c>
      <c r="J552" t="s">
        <v>66</v>
      </c>
      <c r="K552" t="s">
        <v>44</v>
      </c>
      <c r="L552" t="s">
        <v>26</v>
      </c>
      <c r="M552">
        <v>3</v>
      </c>
      <c r="N552">
        <v>211.55</v>
      </c>
      <c r="O552">
        <v>323.10000000000002</v>
      </c>
      <c r="P552">
        <v>0</v>
      </c>
      <c r="Q552">
        <v>0</v>
      </c>
      <c r="S552">
        <v>29</v>
      </c>
      <c r="T552">
        <v>1</v>
      </c>
      <c r="U552">
        <v>5</v>
      </c>
      <c r="V552">
        <v>323.10000000000002</v>
      </c>
      <c r="W552">
        <v>13130000550</v>
      </c>
    </row>
    <row r="553" spans="1:23" x14ac:dyDescent="0.2">
      <c r="A553" s="1">
        <v>44776</v>
      </c>
      <c r="B553" s="2">
        <v>0.55620370370370376</v>
      </c>
      <c r="C553">
        <v>1551</v>
      </c>
      <c r="D553">
        <v>13002561</v>
      </c>
      <c r="E553">
        <v>13</v>
      </c>
      <c r="F553">
        <v>22589</v>
      </c>
      <c r="G553" t="s">
        <v>23</v>
      </c>
      <c r="H553">
        <v>18</v>
      </c>
      <c r="I553">
        <v>53568</v>
      </c>
      <c r="J553" t="s">
        <v>73</v>
      </c>
      <c r="K553" t="s">
        <v>60</v>
      </c>
      <c r="L553" t="s">
        <v>32</v>
      </c>
      <c r="M553">
        <v>3</v>
      </c>
      <c r="N553">
        <v>359.21</v>
      </c>
      <c r="O553">
        <v>552.74</v>
      </c>
      <c r="P553">
        <v>27.64</v>
      </c>
      <c r="Q553">
        <v>27.64</v>
      </c>
      <c r="R553" t="s">
        <v>30</v>
      </c>
      <c r="S553">
        <v>29</v>
      </c>
      <c r="T553">
        <v>1</v>
      </c>
      <c r="U553">
        <v>5</v>
      </c>
      <c r="V553">
        <v>525.1</v>
      </c>
      <c r="W553">
        <v>13130000551</v>
      </c>
    </row>
    <row r="554" spans="1:23" x14ac:dyDescent="0.2">
      <c r="A554" s="1">
        <v>44802</v>
      </c>
      <c r="B554" s="2">
        <v>0.5683449074074074</v>
      </c>
      <c r="C554">
        <v>1552</v>
      </c>
      <c r="D554">
        <v>13002561</v>
      </c>
      <c r="E554">
        <v>13</v>
      </c>
      <c r="F554">
        <v>22589</v>
      </c>
      <c r="G554" t="s">
        <v>23</v>
      </c>
      <c r="H554">
        <v>15</v>
      </c>
      <c r="I554">
        <v>49006</v>
      </c>
      <c r="J554" t="s">
        <v>102</v>
      </c>
      <c r="K554" t="s">
        <v>25</v>
      </c>
      <c r="L554" t="s">
        <v>34</v>
      </c>
      <c r="M554">
        <v>1</v>
      </c>
      <c r="N554">
        <v>418.23</v>
      </c>
      <c r="O554">
        <v>686.1</v>
      </c>
      <c r="P554">
        <v>34.299999999999997</v>
      </c>
      <c r="Q554">
        <v>34.299999999999997</v>
      </c>
      <c r="R554" t="s">
        <v>30</v>
      </c>
      <c r="S554">
        <v>29</v>
      </c>
      <c r="T554">
        <v>1</v>
      </c>
      <c r="U554">
        <v>2</v>
      </c>
      <c r="V554">
        <v>651.79999999999995</v>
      </c>
      <c r="W554">
        <v>13130000552</v>
      </c>
    </row>
    <row r="555" spans="1:23" x14ac:dyDescent="0.2">
      <c r="A555" s="1">
        <v>44792</v>
      </c>
      <c r="B555" s="2">
        <v>0.65288194444444447</v>
      </c>
      <c r="C555">
        <v>1553</v>
      </c>
      <c r="D555">
        <v>13002561</v>
      </c>
      <c r="E555">
        <v>13</v>
      </c>
      <c r="F555">
        <v>22589</v>
      </c>
      <c r="G555" t="s">
        <v>23</v>
      </c>
      <c r="H555">
        <v>15</v>
      </c>
      <c r="I555">
        <v>76756</v>
      </c>
      <c r="J555" t="s">
        <v>35</v>
      </c>
      <c r="K555" t="s">
        <v>28</v>
      </c>
      <c r="L555" t="s">
        <v>36</v>
      </c>
      <c r="M555">
        <v>1</v>
      </c>
      <c r="N555">
        <v>534.85</v>
      </c>
      <c r="O555">
        <v>682.33</v>
      </c>
      <c r="P555">
        <v>68.23</v>
      </c>
      <c r="Q555">
        <v>68.23</v>
      </c>
      <c r="R555" t="s">
        <v>30</v>
      </c>
      <c r="S555">
        <v>29</v>
      </c>
      <c r="T555">
        <v>1</v>
      </c>
      <c r="U555">
        <v>2</v>
      </c>
      <c r="V555">
        <v>614.1</v>
      </c>
      <c r="W555">
        <v>13130000553</v>
      </c>
    </row>
    <row r="556" spans="1:23" x14ac:dyDescent="0.2">
      <c r="A556" s="1">
        <v>44775</v>
      </c>
      <c r="B556" s="2">
        <v>0.72081018518518514</v>
      </c>
      <c r="C556">
        <v>1554</v>
      </c>
      <c r="D556">
        <v>13002561</v>
      </c>
      <c r="E556">
        <v>13</v>
      </c>
      <c r="F556">
        <v>22589</v>
      </c>
      <c r="G556" t="s">
        <v>23</v>
      </c>
      <c r="H556">
        <v>15</v>
      </c>
      <c r="I556">
        <v>94625</v>
      </c>
      <c r="J556" t="s">
        <v>48</v>
      </c>
      <c r="K556" t="s">
        <v>38</v>
      </c>
      <c r="L556" t="s">
        <v>51</v>
      </c>
      <c r="M556">
        <v>2</v>
      </c>
      <c r="N556">
        <v>221.08</v>
      </c>
      <c r="O556">
        <v>300.74</v>
      </c>
      <c r="P556">
        <v>0</v>
      </c>
      <c r="Q556">
        <v>0</v>
      </c>
      <c r="S556">
        <v>29</v>
      </c>
      <c r="T556">
        <v>1</v>
      </c>
      <c r="U556">
        <v>3</v>
      </c>
      <c r="V556">
        <v>300.74</v>
      </c>
      <c r="W556">
        <v>13130000554</v>
      </c>
    </row>
    <row r="557" spans="1:23" x14ac:dyDescent="0.2">
      <c r="A557" s="1">
        <v>44783</v>
      </c>
      <c r="B557" s="2">
        <v>0.36194444444444451</v>
      </c>
      <c r="C557">
        <v>1555</v>
      </c>
      <c r="D557">
        <v>13002561</v>
      </c>
      <c r="E557">
        <v>13</v>
      </c>
      <c r="F557">
        <v>22589</v>
      </c>
      <c r="G557" t="s">
        <v>23</v>
      </c>
      <c r="H557">
        <v>15</v>
      </c>
      <c r="I557">
        <v>91008</v>
      </c>
      <c r="J557" t="s">
        <v>126</v>
      </c>
      <c r="K557" t="s">
        <v>25</v>
      </c>
      <c r="L557" t="s">
        <v>34</v>
      </c>
      <c r="M557">
        <v>3</v>
      </c>
      <c r="N557">
        <v>30.7</v>
      </c>
      <c r="O557">
        <v>42.5</v>
      </c>
      <c r="P557">
        <v>4.25</v>
      </c>
      <c r="Q557">
        <v>4.25</v>
      </c>
      <c r="R557" t="s">
        <v>30</v>
      </c>
      <c r="S557">
        <v>29</v>
      </c>
      <c r="T557">
        <v>1</v>
      </c>
      <c r="U557">
        <v>4</v>
      </c>
      <c r="V557">
        <v>38.25</v>
      </c>
      <c r="W557">
        <v>13130000555</v>
      </c>
    </row>
    <row r="558" spans="1:23" x14ac:dyDescent="0.2">
      <c r="A558" s="1">
        <v>44788</v>
      </c>
      <c r="B558" s="2">
        <v>0.33401620370370372</v>
      </c>
      <c r="C558">
        <v>1556</v>
      </c>
      <c r="D558">
        <v>13002561</v>
      </c>
      <c r="E558">
        <v>13</v>
      </c>
      <c r="F558">
        <v>22589</v>
      </c>
      <c r="G558" t="s">
        <v>23</v>
      </c>
      <c r="H558">
        <v>15</v>
      </c>
      <c r="I558">
        <v>88140</v>
      </c>
      <c r="J558" t="s">
        <v>80</v>
      </c>
      <c r="K558" t="s">
        <v>38</v>
      </c>
      <c r="L558" t="s">
        <v>47</v>
      </c>
      <c r="M558">
        <v>3</v>
      </c>
      <c r="N558">
        <v>126.31</v>
      </c>
      <c r="O558">
        <v>204.27</v>
      </c>
      <c r="P558">
        <v>10.210000000000001</v>
      </c>
      <c r="Q558">
        <v>10.210000000000001</v>
      </c>
      <c r="R558" t="s">
        <v>30</v>
      </c>
      <c r="S558">
        <v>29</v>
      </c>
      <c r="T558">
        <v>1</v>
      </c>
      <c r="U558">
        <v>1</v>
      </c>
      <c r="V558">
        <v>194.06</v>
      </c>
      <c r="W558">
        <v>13130000556</v>
      </c>
    </row>
    <row r="559" spans="1:23" x14ac:dyDescent="0.2">
      <c r="A559" s="1">
        <v>44803</v>
      </c>
      <c r="B559" s="2">
        <v>0.49298611111111112</v>
      </c>
      <c r="C559">
        <v>1557</v>
      </c>
      <c r="D559">
        <v>13002561</v>
      </c>
      <c r="E559">
        <v>13</v>
      </c>
      <c r="F559">
        <v>22589</v>
      </c>
      <c r="G559" t="s">
        <v>23</v>
      </c>
      <c r="H559">
        <v>15</v>
      </c>
      <c r="I559">
        <v>32458</v>
      </c>
      <c r="J559" t="s">
        <v>74</v>
      </c>
      <c r="K559" t="s">
        <v>45</v>
      </c>
      <c r="L559" t="s">
        <v>39</v>
      </c>
      <c r="M559">
        <v>2</v>
      </c>
      <c r="N559">
        <v>20.58</v>
      </c>
      <c r="O559">
        <v>27.06</v>
      </c>
      <c r="P559">
        <v>0</v>
      </c>
      <c r="Q559">
        <v>0</v>
      </c>
      <c r="S559">
        <v>29</v>
      </c>
      <c r="T559">
        <v>1</v>
      </c>
      <c r="U559">
        <v>5</v>
      </c>
      <c r="V559">
        <v>27.06</v>
      </c>
      <c r="W559">
        <v>13130000557</v>
      </c>
    </row>
    <row r="560" spans="1:23" x14ac:dyDescent="0.2">
      <c r="A560" s="1">
        <v>44782</v>
      </c>
      <c r="B560" s="2">
        <v>0.89175925925925925</v>
      </c>
      <c r="C560">
        <v>1558</v>
      </c>
      <c r="D560">
        <v>13002561</v>
      </c>
      <c r="E560">
        <v>13</v>
      </c>
      <c r="F560">
        <v>22589</v>
      </c>
      <c r="G560" t="s">
        <v>23</v>
      </c>
      <c r="H560">
        <v>18</v>
      </c>
      <c r="I560">
        <v>26081</v>
      </c>
      <c r="J560" t="s">
        <v>117</v>
      </c>
      <c r="K560" t="s">
        <v>60</v>
      </c>
      <c r="L560" t="s">
        <v>36</v>
      </c>
      <c r="M560">
        <v>1</v>
      </c>
      <c r="N560">
        <v>203.32</v>
      </c>
      <c r="O560">
        <v>287.76</v>
      </c>
      <c r="P560">
        <v>14.39</v>
      </c>
      <c r="Q560">
        <v>14.39</v>
      </c>
      <c r="R560" t="s">
        <v>30</v>
      </c>
      <c r="S560">
        <v>29</v>
      </c>
      <c r="T560">
        <v>1</v>
      </c>
      <c r="U560">
        <v>2</v>
      </c>
      <c r="V560">
        <v>273.37</v>
      </c>
      <c r="W560">
        <v>13130000558</v>
      </c>
    </row>
    <row r="561" spans="1:23" x14ac:dyDescent="0.2">
      <c r="A561" s="1">
        <v>44788</v>
      </c>
      <c r="B561" s="2">
        <v>0.53449074074074077</v>
      </c>
      <c r="C561">
        <v>1559</v>
      </c>
      <c r="D561">
        <v>13002561</v>
      </c>
      <c r="E561">
        <v>13</v>
      </c>
      <c r="F561">
        <v>22589</v>
      </c>
      <c r="G561" t="s">
        <v>23</v>
      </c>
      <c r="H561">
        <v>15</v>
      </c>
      <c r="I561">
        <v>94635</v>
      </c>
      <c r="J561" t="s">
        <v>66</v>
      </c>
      <c r="K561" t="s">
        <v>60</v>
      </c>
      <c r="L561" t="s">
        <v>36</v>
      </c>
      <c r="M561">
        <v>3</v>
      </c>
      <c r="N561">
        <v>496.71</v>
      </c>
      <c r="O561">
        <v>750.51</v>
      </c>
      <c r="P561">
        <v>75.05</v>
      </c>
      <c r="Q561">
        <v>75.05</v>
      </c>
      <c r="R561" t="s">
        <v>30</v>
      </c>
      <c r="S561">
        <v>29</v>
      </c>
      <c r="T561">
        <v>1</v>
      </c>
      <c r="U561">
        <v>5</v>
      </c>
      <c r="V561">
        <v>675.46</v>
      </c>
      <c r="W561">
        <v>13130000559</v>
      </c>
    </row>
    <row r="562" spans="1:23" x14ac:dyDescent="0.2">
      <c r="A562" s="1">
        <v>44788</v>
      </c>
      <c r="B562" s="2">
        <v>0.78465277777777775</v>
      </c>
      <c r="C562">
        <v>1560</v>
      </c>
      <c r="D562">
        <v>13002561</v>
      </c>
      <c r="E562">
        <v>13</v>
      </c>
      <c r="F562">
        <v>22589</v>
      </c>
      <c r="G562" t="s">
        <v>23</v>
      </c>
      <c r="H562">
        <v>15</v>
      </c>
      <c r="I562">
        <v>16029</v>
      </c>
      <c r="J562" t="s">
        <v>48</v>
      </c>
      <c r="K562" t="s">
        <v>45</v>
      </c>
      <c r="L562" t="s">
        <v>36</v>
      </c>
      <c r="M562">
        <v>2</v>
      </c>
      <c r="N562">
        <v>392.61</v>
      </c>
      <c r="O562">
        <v>572.88</v>
      </c>
      <c r="P562">
        <v>28.64</v>
      </c>
      <c r="Q562">
        <v>28.64</v>
      </c>
      <c r="R562" t="s">
        <v>30</v>
      </c>
      <c r="S562">
        <v>29</v>
      </c>
      <c r="T562">
        <v>1</v>
      </c>
      <c r="U562">
        <v>1</v>
      </c>
      <c r="V562">
        <v>544.24</v>
      </c>
      <c r="W562">
        <v>13130000560</v>
      </c>
    </row>
    <row r="563" spans="1:23" x14ac:dyDescent="0.2">
      <c r="A563" s="1">
        <v>44775</v>
      </c>
      <c r="B563" s="2">
        <v>0.4319560185185185</v>
      </c>
      <c r="C563">
        <v>1561</v>
      </c>
      <c r="D563">
        <v>13002561</v>
      </c>
      <c r="E563">
        <v>13</v>
      </c>
      <c r="F563">
        <v>22589</v>
      </c>
      <c r="G563" t="s">
        <v>23</v>
      </c>
      <c r="H563">
        <v>18</v>
      </c>
      <c r="I563">
        <v>98460</v>
      </c>
      <c r="J563" t="s">
        <v>49</v>
      </c>
      <c r="K563" t="s">
        <v>44</v>
      </c>
      <c r="L563" t="s">
        <v>51</v>
      </c>
      <c r="M563">
        <v>3</v>
      </c>
      <c r="N563">
        <v>218.32</v>
      </c>
      <c r="O563">
        <v>359.28</v>
      </c>
      <c r="P563">
        <v>17.96</v>
      </c>
      <c r="Q563">
        <v>17.96</v>
      </c>
      <c r="R563" t="s">
        <v>30</v>
      </c>
      <c r="S563">
        <v>29</v>
      </c>
      <c r="T563">
        <v>1</v>
      </c>
      <c r="U563">
        <v>2</v>
      </c>
      <c r="V563">
        <v>341.32</v>
      </c>
      <c r="W563">
        <v>13130000561</v>
      </c>
    </row>
    <row r="564" spans="1:23" x14ac:dyDescent="0.2">
      <c r="A564" s="1">
        <v>44784</v>
      </c>
      <c r="B564" s="2">
        <v>0.80109953703703707</v>
      </c>
      <c r="C564">
        <v>1562</v>
      </c>
      <c r="D564">
        <v>13002561</v>
      </c>
      <c r="E564">
        <v>13</v>
      </c>
      <c r="F564">
        <v>22589</v>
      </c>
      <c r="G564" t="s">
        <v>23</v>
      </c>
      <c r="H564">
        <v>18</v>
      </c>
      <c r="I564">
        <v>58302</v>
      </c>
      <c r="J564" t="s">
        <v>41</v>
      </c>
      <c r="K564" t="s">
        <v>60</v>
      </c>
      <c r="L564" t="s">
        <v>29</v>
      </c>
      <c r="M564">
        <v>1</v>
      </c>
      <c r="N564">
        <v>484.03</v>
      </c>
      <c r="O564">
        <v>806.3</v>
      </c>
      <c r="P564">
        <v>0</v>
      </c>
      <c r="Q564">
        <v>0</v>
      </c>
      <c r="S564">
        <v>29</v>
      </c>
      <c r="T564">
        <v>1</v>
      </c>
      <c r="U564">
        <v>6</v>
      </c>
      <c r="V564">
        <v>806.3</v>
      </c>
      <c r="W564">
        <v>13130000562</v>
      </c>
    </row>
    <row r="565" spans="1:23" x14ac:dyDescent="0.2">
      <c r="A565" s="1">
        <v>44777</v>
      </c>
      <c r="B565" s="2">
        <v>0.61359953703703707</v>
      </c>
      <c r="C565">
        <v>1563</v>
      </c>
      <c r="D565">
        <v>13002561</v>
      </c>
      <c r="E565">
        <v>13</v>
      </c>
      <c r="F565">
        <v>22589</v>
      </c>
      <c r="G565" t="s">
        <v>23</v>
      </c>
      <c r="H565">
        <v>15</v>
      </c>
      <c r="I565">
        <v>57844</v>
      </c>
      <c r="J565" t="s">
        <v>121</v>
      </c>
      <c r="K565" t="s">
        <v>25</v>
      </c>
      <c r="L565" t="s">
        <v>51</v>
      </c>
      <c r="M565">
        <v>1</v>
      </c>
      <c r="N565">
        <v>26.89</v>
      </c>
      <c r="O565">
        <v>45.59</v>
      </c>
      <c r="P565">
        <v>4.5599999999999996</v>
      </c>
      <c r="Q565">
        <v>4.5599999999999996</v>
      </c>
      <c r="R565" t="s">
        <v>30</v>
      </c>
      <c r="S565">
        <v>29</v>
      </c>
      <c r="T565">
        <v>1</v>
      </c>
      <c r="U565">
        <v>6</v>
      </c>
      <c r="V565">
        <v>41.03</v>
      </c>
      <c r="W565">
        <v>13130000563</v>
      </c>
    </row>
    <row r="566" spans="1:23" x14ac:dyDescent="0.2">
      <c r="A566" s="1">
        <v>44778</v>
      </c>
      <c r="B566" s="2">
        <v>0.47269675925925919</v>
      </c>
      <c r="C566">
        <v>1564</v>
      </c>
      <c r="D566">
        <v>13002561</v>
      </c>
      <c r="E566">
        <v>13</v>
      </c>
      <c r="F566">
        <v>22589</v>
      </c>
      <c r="G566" t="s">
        <v>23</v>
      </c>
      <c r="H566">
        <v>18</v>
      </c>
      <c r="I566">
        <v>50691</v>
      </c>
      <c r="J566" t="s">
        <v>92</v>
      </c>
      <c r="K566" t="s">
        <v>25</v>
      </c>
      <c r="L566" t="s">
        <v>47</v>
      </c>
      <c r="M566">
        <v>2</v>
      </c>
      <c r="N566">
        <v>167.75</v>
      </c>
      <c r="O566">
        <v>280.13</v>
      </c>
      <c r="P566">
        <v>14.01</v>
      </c>
      <c r="Q566">
        <v>14.01</v>
      </c>
      <c r="R566" t="s">
        <v>30</v>
      </c>
      <c r="S566">
        <v>29</v>
      </c>
      <c r="T566">
        <v>1</v>
      </c>
      <c r="U566">
        <v>6</v>
      </c>
      <c r="V566">
        <v>266.12</v>
      </c>
      <c r="W566">
        <v>13130000564</v>
      </c>
    </row>
    <row r="567" spans="1:23" x14ac:dyDescent="0.2">
      <c r="A567" s="1">
        <v>44783</v>
      </c>
      <c r="B567" s="2">
        <v>0.49792824074074082</v>
      </c>
      <c r="C567">
        <v>1565</v>
      </c>
      <c r="D567">
        <v>13002561</v>
      </c>
      <c r="E567">
        <v>13</v>
      </c>
      <c r="F567">
        <v>22589</v>
      </c>
      <c r="G567" t="s">
        <v>23</v>
      </c>
      <c r="H567">
        <v>15</v>
      </c>
      <c r="I567">
        <v>63915</v>
      </c>
      <c r="J567" t="s">
        <v>92</v>
      </c>
      <c r="K567" t="s">
        <v>28</v>
      </c>
      <c r="L567" t="s">
        <v>47</v>
      </c>
      <c r="M567">
        <v>2</v>
      </c>
      <c r="N567">
        <v>31.83</v>
      </c>
      <c r="O567">
        <v>50.09</v>
      </c>
      <c r="P567">
        <v>2.5</v>
      </c>
      <c r="Q567">
        <v>2.5</v>
      </c>
      <c r="R567" t="s">
        <v>30</v>
      </c>
      <c r="S567">
        <v>29</v>
      </c>
      <c r="T567">
        <v>1</v>
      </c>
      <c r="U567">
        <v>6</v>
      </c>
      <c r="V567">
        <v>47.59</v>
      </c>
      <c r="W567">
        <v>13130000565</v>
      </c>
    </row>
    <row r="568" spans="1:23" x14ac:dyDescent="0.2">
      <c r="A568" s="1">
        <v>44789</v>
      </c>
      <c r="B568" s="2">
        <v>0.77099537037037036</v>
      </c>
      <c r="C568">
        <v>1566</v>
      </c>
      <c r="D568">
        <v>13002561</v>
      </c>
      <c r="E568">
        <v>13</v>
      </c>
      <c r="F568">
        <v>22589</v>
      </c>
      <c r="G568" t="s">
        <v>23</v>
      </c>
      <c r="H568">
        <v>15</v>
      </c>
      <c r="I568">
        <v>36753</v>
      </c>
      <c r="J568" t="s">
        <v>101</v>
      </c>
      <c r="K568" t="s">
        <v>25</v>
      </c>
      <c r="L568" t="s">
        <v>26</v>
      </c>
      <c r="M568">
        <v>3</v>
      </c>
      <c r="N568">
        <v>198.68</v>
      </c>
      <c r="O568">
        <v>302.77</v>
      </c>
      <c r="P568">
        <v>0</v>
      </c>
      <c r="Q568">
        <v>0</v>
      </c>
      <c r="S568">
        <v>29</v>
      </c>
      <c r="T568">
        <v>1</v>
      </c>
      <c r="U568">
        <v>6</v>
      </c>
      <c r="V568">
        <v>302.77</v>
      </c>
      <c r="W568">
        <v>13130000566</v>
      </c>
    </row>
    <row r="569" spans="1:23" x14ac:dyDescent="0.2">
      <c r="A569" s="1">
        <v>44785</v>
      </c>
      <c r="B569" s="2">
        <v>0.53692129629629626</v>
      </c>
      <c r="C569">
        <v>1567</v>
      </c>
      <c r="D569">
        <v>13002561</v>
      </c>
      <c r="E569">
        <v>13</v>
      </c>
      <c r="F569">
        <v>22589</v>
      </c>
      <c r="G569" t="s">
        <v>23</v>
      </c>
      <c r="H569">
        <v>15</v>
      </c>
      <c r="I569">
        <v>50235</v>
      </c>
      <c r="J569" t="s">
        <v>121</v>
      </c>
      <c r="K569" t="s">
        <v>60</v>
      </c>
      <c r="L569" t="s">
        <v>34</v>
      </c>
      <c r="M569">
        <v>2</v>
      </c>
      <c r="N569">
        <v>547.51</v>
      </c>
      <c r="O569">
        <v>929.24</v>
      </c>
      <c r="P569">
        <v>92.92</v>
      </c>
      <c r="Q569">
        <v>92.92</v>
      </c>
      <c r="R569" t="s">
        <v>30</v>
      </c>
      <c r="S569">
        <v>29</v>
      </c>
      <c r="T569">
        <v>1</v>
      </c>
      <c r="U569">
        <v>3</v>
      </c>
      <c r="V569">
        <v>836.32</v>
      </c>
      <c r="W569">
        <v>13130000567</v>
      </c>
    </row>
    <row r="570" spans="1:23" x14ac:dyDescent="0.2">
      <c r="A570" s="1">
        <v>44788</v>
      </c>
      <c r="B570" s="2">
        <v>0.5768402777777778</v>
      </c>
      <c r="C570">
        <v>1568</v>
      </c>
      <c r="D570">
        <v>13002561</v>
      </c>
      <c r="E570">
        <v>13</v>
      </c>
      <c r="F570">
        <v>22589</v>
      </c>
      <c r="G570" t="s">
        <v>23</v>
      </c>
      <c r="H570">
        <v>15</v>
      </c>
      <c r="I570">
        <v>63019</v>
      </c>
      <c r="J570" t="s">
        <v>87</v>
      </c>
      <c r="K570" t="s">
        <v>60</v>
      </c>
      <c r="L570" t="s">
        <v>47</v>
      </c>
      <c r="M570">
        <v>2</v>
      </c>
      <c r="N570">
        <v>209.31</v>
      </c>
      <c r="O570">
        <v>310.35000000000002</v>
      </c>
      <c r="P570">
        <v>15.52</v>
      </c>
      <c r="Q570">
        <v>15.52</v>
      </c>
      <c r="R570" t="s">
        <v>30</v>
      </c>
      <c r="S570">
        <v>29</v>
      </c>
      <c r="T570">
        <v>1</v>
      </c>
      <c r="U570">
        <v>2</v>
      </c>
      <c r="V570">
        <v>294.83</v>
      </c>
      <c r="W570">
        <v>13130000568</v>
      </c>
    </row>
    <row r="571" spans="1:23" x14ac:dyDescent="0.2">
      <c r="A571" s="1">
        <v>44784</v>
      </c>
      <c r="B571" s="2">
        <v>0.35501157407407408</v>
      </c>
      <c r="C571">
        <v>1569</v>
      </c>
      <c r="D571">
        <v>13002561</v>
      </c>
      <c r="E571">
        <v>13</v>
      </c>
      <c r="F571">
        <v>22589</v>
      </c>
      <c r="G571" t="s">
        <v>23</v>
      </c>
      <c r="H571">
        <v>15</v>
      </c>
      <c r="I571">
        <v>78470</v>
      </c>
      <c r="J571" t="s">
        <v>56</v>
      </c>
      <c r="K571" t="s">
        <v>60</v>
      </c>
      <c r="L571" t="s">
        <v>26</v>
      </c>
      <c r="M571">
        <v>3</v>
      </c>
      <c r="N571">
        <v>232.29</v>
      </c>
      <c r="O571">
        <v>394.22</v>
      </c>
      <c r="P571">
        <v>19.71</v>
      </c>
      <c r="Q571">
        <v>19.71</v>
      </c>
      <c r="R571" t="s">
        <v>30</v>
      </c>
      <c r="S571">
        <v>29</v>
      </c>
      <c r="T571">
        <v>1</v>
      </c>
      <c r="U571">
        <v>1</v>
      </c>
      <c r="V571">
        <v>374.51</v>
      </c>
      <c r="W571">
        <v>13130000569</v>
      </c>
    </row>
    <row r="572" spans="1:23" x14ac:dyDescent="0.2">
      <c r="A572" s="1">
        <v>44800</v>
      </c>
      <c r="B572" s="2">
        <v>0.37736111111111109</v>
      </c>
      <c r="C572">
        <v>1570</v>
      </c>
      <c r="D572">
        <v>13002561</v>
      </c>
      <c r="E572">
        <v>13</v>
      </c>
      <c r="F572">
        <v>22589</v>
      </c>
      <c r="G572" t="s">
        <v>23</v>
      </c>
      <c r="H572">
        <v>15</v>
      </c>
      <c r="I572">
        <v>53929</v>
      </c>
      <c r="J572" t="s">
        <v>103</v>
      </c>
      <c r="K572" t="s">
        <v>28</v>
      </c>
      <c r="L572" t="s">
        <v>34</v>
      </c>
      <c r="M572">
        <v>2</v>
      </c>
      <c r="N572">
        <v>120.47</v>
      </c>
      <c r="O572">
        <v>192.97</v>
      </c>
      <c r="P572">
        <v>9.65</v>
      </c>
      <c r="Q572">
        <v>9.65</v>
      </c>
      <c r="R572" t="s">
        <v>30</v>
      </c>
      <c r="S572">
        <v>29</v>
      </c>
      <c r="T572">
        <v>1</v>
      </c>
      <c r="U572">
        <v>1</v>
      </c>
      <c r="V572">
        <v>183.32</v>
      </c>
      <c r="W572">
        <v>13130000570</v>
      </c>
    </row>
    <row r="573" spans="1:23" x14ac:dyDescent="0.2">
      <c r="A573" s="1">
        <v>44776</v>
      </c>
      <c r="B573" s="2">
        <v>0.50025462962962963</v>
      </c>
      <c r="C573">
        <v>1571</v>
      </c>
      <c r="D573">
        <v>13002561</v>
      </c>
      <c r="E573">
        <v>13</v>
      </c>
      <c r="F573">
        <v>22589</v>
      </c>
      <c r="G573" t="s">
        <v>23</v>
      </c>
      <c r="H573">
        <v>15</v>
      </c>
      <c r="I573">
        <v>90680</v>
      </c>
      <c r="J573" t="s">
        <v>87</v>
      </c>
      <c r="K573" t="s">
        <v>60</v>
      </c>
      <c r="L573" t="s">
        <v>29</v>
      </c>
      <c r="M573">
        <v>1</v>
      </c>
      <c r="N573">
        <v>161.59</v>
      </c>
      <c r="O573">
        <v>250.12</v>
      </c>
      <c r="P573">
        <v>12.51</v>
      </c>
      <c r="Q573">
        <v>12.51</v>
      </c>
      <c r="R573" t="s">
        <v>30</v>
      </c>
      <c r="S573">
        <v>29</v>
      </c>
      <c r="T573">
        <v>1</v>
      </c>
      <c r="U573">
        <v>3</v>
      </c>
      <c r="V573">
        <v>237.61</v>
      </c>
      <c r="W573">
        <v>13130000571</v>
      </c>
    </row>
    <row r="574" spans="1:23" x14ac:dyDescent="0.2">
      <c r="A574" s="1">
        <v>44795</v>
      </c>
      <c r="B574" s="2">
        <v>0.57121527777777781</v>
      </c>
      <c r="C574">
        <v>1572</v>
      </c>
      <c r="D574">
        <v>13002561</v>
      </c>
      <c r="E574">
        <v>13</v>
      </c>
      <c r="F574">
        <v>22589</v>
      </c>
      <c r="G574" t="s">
        <v>23</v>
      </c>
      <c r="H574">
        <v>15</v>
      </c>
      <c r="I574">
        <v>78612</v>
      </c>
      <c r="J574" t="s">
        <v>91</v>
      </c>
      <c r="K574" t="s">
        <v>28</v>
      </c>
      <c r="L574" t="s">
        <v>29</v>
      </c>
      <c r="M574">
        <v>2</v>
      </c>
      <c r="N574">
        <v>450.81</v>
      </c>
      <c r="O574">
        <v>726.74</v>
      </c>
      <c r="P574">
        <v>36.340000000000003</v>
      </c>
      <c r="Q574">
        <v>36.340000000000003</v>
      </c>
      <c r="R574" t="s">
        <v>30</v>
      </c>
      <c r="S574">
        <v>29</v>
      </c>
      <c r="T574">
        <v>1</v>
      </c>
      <c r="U574">
        <v>2</v>
      </c>
      <c r="V574">
        <v>690.4</v>
      </c>
      <c r="W574">
        <v>13130000572</v>
      </c>
    </row>
    <row r="575" spans="1:23" x14ac:dyDescent="0.2">
      <c r="A575" s="1">
        <v>44776</v>
      </c>
      <c r="B575" s="2">
        <v>0.75121527777777775</v>
      </c>
      <c r="C575">
        <v>1573</v>
      </c>
      <c r="D575">
        <v>13002561</v>
      </c>
      <c r="E575">
        <v>13</v>
      </c>
      <c r="F575">
        <v>22589</v>
      </c>
      <c r="G575" t="s">
        <v>23</v>
      </c>
      <c r="H575">
        <v>18</v>
      </c>
      <c r="I575">
        <v>53703</v>
      </c>
      <c r="J575" t="s">
        <v>128</v>
      </c>
      <c r="K575" t="s">
        <v>25</v>
      </c>
      <c r="L575" t="s">
        <v>32</v>
      </c>
      <c r="M575">
        <v>3</v>
      </c>
      <c r="N575">
        <v>48.83</v>
      </c>
      <c r="O575">
        <v>69.81</v>
      </c>
      <c r="P575">
        <v>0</v>
      </c>
      <c r="Q575">
        <v>0</v>
      </c>
      <c r="S575">
        <v>29</v>
      </c>
      <c r="T575">
        <v>1</v>
      </c>
      <c r="U575">
        <v>6</v>
      </c>
      <c r="V575">
        <v>69.81</v>
      </c>
      <c r="W575">
        <v>13130000573</v>
      </c>
    </row>
    <row r="576" spans="1:23" x14ac:dyDescent="0.2">
      <c r="A576" s="1">
        <v>44777</v>
      </c>
      <c r="B576" s="2">
        <v>0.51148148148148154</v>
      </c>
      <c r="C576">
        <v>1574</v>
      </c>
      <c r="D576">
        <v>13002561</v>
      </c>
      <c r="E576">
        <v>13</v>
      </c>
      <c r="F576">
        <v>22589</v>
      </c>
      <c r="G576" t="s">
        <v>23</v>
      </c>
      <c r="H576">
        <v>18</v>
      </c>
      <c r="I576">
        <v>36680</v>
      </c>
      <c r="J576" t="s">
        <v>82</v>
      </c>
      <c r="K576" t="s">
        <v>44</v>
      </c>
      <c r="L576" t="s">
        <v>29</v>
      </c>
      <c r="M576">
        <v>1</v>
      </c>
      <c r="N576">
        <v>19.579999999999998</v>
      </c>
      <c r="O576">
        <v>28.5</v>
      </c>
      <c r="P576">
        <v>0</v>
      </c>
      <c r="Q576">
        <v>0</v>
      </c>
      <c r="S576">
        <v>29</v>
      </c>
      <c r="T576">
        <v>1</v>
      </c>
      <c r="U576">
        <v>4</v>
      </c>
      <c r="V576">
        <v>28.5</v>
      </c>
      <c r="W576">
        <v>13130000574</v>
      </c>
    </row>
    <row r="577" spans="1:23" x14ac:dyDescent="0.2">
      <c r="A577" s="1">
        <v>44787</v>
      </c>
      <c r="B577" s="2">
        <v>0.52577546296296296</v>
      </c>
      <c r="C577">
        <v>1575</v>
      </c>
      <c r="D577">
        <v>13002561</v>
      </c>
      <c r="E577">
        <v>13</v>
      </c>
      <c r="F577">
        <v>22589</v>
      </c>
      <c r="G577" t="s">
        <v>23</v>
      </c>
      <c r="H577">
        <v>18</v>
      </c>
      <c r="I577">
        <v>68701</v>
      </c>
      <c r="J577" t="s">
        <v>31</v>
      </c>
      <c r="K577" t="s">
        <v>60</v>
      </c>
      <c r="L577" t="s">
        <v>34</v>
      </c>
      <c r="M577">
        <v>2</v>
      </c>
      <c r="N577">
        <v>86.68</v>
      </c>
      <c r="O577">
        <v>136.59</v>
      </c>
      <c r="P577">
        <v>13.66</v>
      </c>
      <c r="Q577">
        <v>13.66</v>
      </c>
      <c r="R577" t="s">
        <v>30</v>
      </c>
      <c r="S577">
        <v>29</v>
      </c>
      <c r="T577">
        <v>1</v>
      </c>
      <c r="U577">
        <v>4</v>
      </c>
      <c r="V577">
        <v>122.93</v>
      </c>
      <c r="W577">
        <v>13130000575</v>
      </c>
    </row>
    <row r="578" spans="1:23" x14ac:dyDescent="0.2">
      <c r="A578" s="1">
        <v>44777</v>
      </c>
      <c r="B578" s="2">
        <v>0.36469907407407409</v>
      </c>
      <c r="C578">
        <v>1576</v>
      </c>
      <c r="D578">
        <v>13002561</v>
      </c>
      <c r="E578">
        <v>13</v>
      </c>
      <c r="F578">
        <v>22589</v>
      </c>
      <c r="G578" t="s">
        <v>23</v>
      </c>
      <c r="H578">
        <v>15</v>
      </c>
      <c r="I578">
        <v>23697</v>
      </c>
      <c r="J578" t="s">
        <v>84</v>
      </c>
      <c r="K578" t="s">
        <v>45</v>
      </c>
      <c r="L578" t="s">
        <v>51</v>
      </c>
      <c r="M578">
        <v>3</v>
      </c>
      <c r="N578">
        <v>572.84</v>
      </c>
      <c r="O578">
        <v>740.45</v>
      </c>
      <c r="P578">
        <v>37.020000000000003</v>
      </c>
      <c r="Q578">
        <v>37.020000000000003</v>
      </c>
      <c r="R578" t="s">
        <v>30</v>
      </c>
      <c r="S578">
        <v>29</v>
      </c>
      <c r="T578">
        <v>1</v>
      </c>
      <c r="U578">
        <v>4</v>
      </c>
      <c r="V578">
        <v>703.43</v>
      </c>
      <c r="W578">
        <v>13130000576</v>
      </c>
    </row>
    <row r="579" spans="1:23" x14ac:dyDescent="0.2">
      <c r="A579" s="1">
        <v>44801</v>
      </c>
      <c r="B579" s="2">
        <v>0.8237268518518519</v>
      </c>
      <c r="C579">
        <v>1577</v>
      </c>
      <c r="D579">
        <v>13002561</v>
      </c>
      <c r="E579">
        <v>13</v>
      </c>
      <c r="F579">
        <v>22589</v>
      </c>
      <c r="G579" t="s">
        <v>23</v>
      </c>
      <c r="H579">
        <v>18</v>
      </c>
      <c r="I579">
        <v>94980</v>
      </c>
      <c r="J579" t="s">
        <v>116</v>
      </c>
      <c r="K579" t="s">
        <v>38</v>
      </c>
      <c r="L579" t="s">
        <v>36</v>
      </c>
      <c r="M579">
        <v>2</v>
      </c>
      <c r="N579">
        <v>347.88</v>
      </c>
      <c r="O579">
        <v>436.36</v>
      </c>
      <c r="P579">
        <v>0</v>
      </c>
      <c r="Q579">
        <v>0</v>
      </c>
      <c r="S579">
        <v>29</v>
      </c>
      <c r="T579">
        <v>1</v>
      </c>
      <c r="U579">
        <v>4</v>
      </c>
      <c r="V579">
        <v>436.36</v>
      </c>
      <c r="W579">
        <v>13130000577</v>
      </c>
    </row>
    <row r="580" spans="1:23" x14ac:dyDescent="0.2">
      <c r="A580" s="1">
        <v>44793</v>
      </c>
      <c r="B580" s="2">
        <v>0.43743055555555549</v>
      </c>
      <c r="C580">
        <v>1578</v>
      </c>
      <c r="D580">
        <v>13002561</v>
      </c>
      <c r="E580">
        <v>13</v>
      </c>
      <c r="F580">
        <v>22589</v>
      </c>
      <c r="G580" t="s">
        <v>23</v>
      </c>
      <c r="H580">
        <v>18</v>
      </c>
      <c r="I580">
        <v>47123</v>
      </c>
      <c r="J580" t="s">
        <v>70</v>
      </c>
      <c r="K580" t="s">
        <v>25</v>
      </c>
      <c r="L580" t="s">
        <v>29</v>
      </c>
      <c r="M580">
        <v>3</v>
      </c>
      <c r="N580">
        <v>334.3</v>
      </c>
      <c r="O580">
        <v>429.35</v>
      </c>
      <c r="P580">
        <v>21.47</v>
      </c>
      <c r="Q580">
        <v>21.47</v>
      </c>
      <c r="R580" t="s">
        <v>30</v>
      </c>
      <c r="S580">
        <v>29</v>
      </c>
      <c r="T580">
        <v>1</v>
      </c>
      <c r="U580">
        <v>4</v>
      </c>
      <c r="V580">
        <v>407.88</v>
      </c>
      <c r="W580">
        <v>13130000578</v>
      </c>
    </row>
    <row r="581" spans="1:23" x14ac:dyDescent="0.2">
      <c r="A581" s="1">
        <v>44782</v>
      </c>
      <c r="B581" s="2">
        <v>0.87548611111111108</v>
      </c>
      <c r="C581">
        <v>1579</v>
      </c>
      <c r="D581">
        <v>13002561</v>
      </c>
      <c r="E581">
        <v>13</v>
      </c>
      <c r="F581">
        <v>22589</v>
      </c>
      <c r="G581" t="s">
        <v>23</v>
      </c>
      <c r="H581">
        <v>15</v>
      </c>
      <c r="I581">
        <v>20509</v>
      </c>
      <c r="J581" t="s">
        <v>88</v>
      </c>
      <c r="K581" t="s">
        <v>44</v>
      </c>
      <c r="L581" t="s">
        <v>51</v>
      </c>
      <c r="M581">
        <v>3</v>
      </c>
      <c r="N581">
        <v>7.17</v>
      </c>
      <c r="O581">
        <v>10.99</v>
      </c>
      <c r="P581">
        <v>1.1000000000000001</v>
      </c>
      <c r="Q581">
        <v>1.1000000000000001</v>
      </c>
      <c r="R581" t="s">
        <v>30</v>
      </c>
      <c r="S581">
        <v>29</v>
      </c>
      <c r="T581">
        <v>1</v>
      </c>
      <c r="U581">
        <v>4</v>
      </c>
      <c r="V581">
        <v>9.89</v>
      </c>
      <c r="W581">
        <v>13130000579</v>
      </c>
    </row>
    <row r="582" spans="1:23" x14ac:dyDescent="0.2">
      <c r="A582" s="1">
        <v>44804</v>
      </c>
      <c r="B582" s="2">
        <v>0.88109953703703703</v>
      </c>
      <c r="C582">
        <v>1580</v>
      </c>
      <c r="D582">
        <v>13002561</v>
      </c>
      <c r="E582">
        <v>13</v>
      </c>
      <c r="F582">
        <v>22589</v>
      </c>
      <c r="G582" t="s">
        <v>23</v>
      </c>
      <c r="H582">
        <v>15</v>
      </c>
      <c r="I582">
        <v>11912</v>
      </c>
      <c r="J582" t="s">
        <v>41</v>
      </c>
      <c r="K582" t="s">
        <v>45</v>
      </c>
      <c r="L582" t="s">
        <v>29</v>
      </c>
      <c r="M582">
        <v>2</v>
      </c>
      <c r="N582">
        <v>70.599999999999994</v>
      </c>
      <c r="O582">
        <v>112.81</v>
      </c>
      <c r="P582">
        <v>5.64</v>
      </c>
      <c r="Q582">
        <v>5.64</v>
      </c>
      <c r="R582" t="s">
        <v>30</v>
      </c>
      <c r="S582">
        <v>29</v>
      </c>
      <c r="T582">
        <v>1</v>
      </c>
      <c r="U582">
        <v>2</v>
      </c>
      <c r="V582">
        <v>107.17</v>
      </c>
      <c r="W582">
        <v>13130000580</v>
      </c>
    </row>
    <row r="583" spans="1:23" x14ac:dyDescent="0.2">
      <c r="A583" s="1">
        <v>44775</v>
      </c>
      <c r="B583" s="2">
        <v>0.50104166666666672</v>
      </c>
      <c r="C583">
        <v>1581</v>
      </c>
      <c r="D583">
        <v>13002561</v>
      </c>
      <c r="E583">
        <v>13</v>
      </c>
      <c r="F583">
        <v>22589</v>
      </c>
      <c r="G583" t="s">
        <v>23</v>
      </c>
      <c r="H583">
        <v>15</v>
      </c>
      <c r="I583">
        <v>10201</v>
      </c>
      <c r="J583" t="s">
        <v>37</v>
      </c>
      <c r="K583" t="s">
        <v>25</v>
      </c>
      <c r="L583" t="s">
        <v>29</v>
      </c>
      <c r="M583">
        <v>1</v>
      </c>
      <c r="N583">
        <v>371.82</v>
      </c>
      <c r="O583">
        <v>524.4</v>
      </c>
      <c r="P583">
        <v>0</v>
      </c>
      <c r="Q583">
        <v>0</v>
      </c>
      <c r="S583">
        <v>29</v>
      </c>
      <c r="T583">
        <v>1</v>
      </c>
      <c r="U583">
        <v>3</v>
      </c>
      <c r="V583">
        <v>524.4</v>
      </c>
      <c r="W583">
        <v>13130000581</v>
      </c>
    </row>
    <row r="584" spans="1:23" x14ac:dyDescent="0.2">
      <c r="A584" s="1">
        <v>44785</v>
      </c>
      <c r="B584" s="2">
        <v>0.62952546296296297</v>
      </c>
      <c r="C584">
        <v>1582</v>
      </c>
      <c r="D584">
        <v>13002561</v>
      </c>
      <c r="E584">
        <v>13</v>
      </c>
      <c r="F584">
        <v>22589</v>
      </c>
      <c r="G584" t="s">
        <v>23</v>
      </c>
      <c r="H584">
        <v>18</v>
      </c>
      <c r="I584">
        <v>81456</v>
      </c>
      <c r="J584" t="s">
        <v>62</v>
      </c>
      <c r="K584" t="s">
        <v>60</v>
      </c>
      <c r="L584" t="s">
        <v>36</v>
      </c>
      <c r="M584">
        <v>2</v>
      </c>
      <c r="N584">
        <v>341.42</v>
      </c>
      <c r="O584">
        <v>554.62</v>
      </c>
      <c r="P584">
        <v>0</v>
      </c>
      <c r="Q584">
        <v>0</v>
      </c>
      <c r="S584">
        <v>29</v>
      </c>
      <c r="T584">
        <v>1</v>
      </c>
      <c r="U584">
        <v>4</v>
      </c>
      <c r="V584">
        <v>554.62</v>
      </c>
      <c r="W584">
        <v>13130000582</v>
      </c>
    </row>
    <row r="585" spans="1:23" x14ac:dyDescent="0.2">
      <c r="A585" s="1">
        <v>44790</v>
      </c>
      <c r="B585" s="2">
        <v>0.68174768518518514</v>
      </c>
      <c r="C585">
        <v>1583</v>
      </c>
      <c r="D585">
        <v>13002561</v>
      </c>
      <c r="E585">
        <v>13</v>
      </c>
      <c r="F585">
        <v>22589</v>
      </c>
      <c r="G585" t="s">
        <v>23</v>
      </c>
      <c r="H585">
        <v>15</v>
      </c>
      <c r="I585">
        <v>87238</v>
      </c>
      <c r="J585" t="s">
        <v>58</v>
      </c>
      <c r="K585" t="s">
        <v>60</v>
      </c>
      <c r="L585" t="s">
        <v>36</v>
      </c>
      <c r="M585">
        <v>2</v>
      </c>
      <c r="N585">
        <v>257.47000000000003</v>
      </c>
      <c r="O585">
        <v>373.38</v>
      </c>
      <c r="P585">
        <v>37.340000000000003</v>
      </c>
      <c r="Q585">
        <v>37.340000000000003</v>
      </c>
      <c r="R585" t="s">
        <v>30</v>
      </c>
      <c r="S585">
        <v>29</v>
      </c>
      <c r="T585">
        <v>1</v>
      </c>
      <c r="U585">
        <v>5</v>
      </c>
      <c r="V585">
        <v>336.04</v>
      </c>
      <c r="W585">
        <v>13130000583</v>
      </c>
    </row>
    <row r="586" spans="1:23" x14ac:dyDescent="0.2">
      <c r="A586" s="1">
        <v>44791</v>
      </c>
      <c r="B586" s="2">
        <v>0.61032407407407407</v>
      </c>
      <c r="C586">
        <v>1584</v>
      </c>
      <c r="D586">
        <v>13002561</v>
      </c>
      <c r="E586">
        <v>13</v>
      </c>
      <c r="F586">
        <v>22589</v>
      </c>
      <c r="G586" t="s">
        <v>23</v>
      </c>
      <c r="H586">
        <v>15</v>
      </c>
      <c r="I586">
        <v>64989</v>
      </c>
      <c r="J586" t="s">
        <v>61</v>
      </c>
      <c r="K586" t="s">
        <v>25</v>
      </c>
      <c r="L586" t="s">
        <v>47</v>
      </c>
      <c r="M586">
        <v>3</v>
      </c>
      <c r="N586">
        <v>514.67999999999995</v>
      </c>
      <c r="O586">
        <v>717.53</v>
      </c>
      <c r="P586">
        <v>71.75</v>
      </c>
      <c r="Q586">
        <v>71.75</v>
      </c>
      <c r="R586" t="s">
        <v>30</v>
      </c>
      <c r="S586">
        <v>29</v>
      </c>
      <c r="T586">
        <v>1</v>
      </c>
      <c r="U586">
        <v>2</v>
      </c>
      <c r="V586">
        <v>645.78</v>
      </c>
      <c r="W586">
        <v>13130000584</v>
      </c>
    </row>
    <row r="587" spans="1:23" x14ac:dyDescent="0.2">
      <c r="A587" s="1">
        <v>44795</v>
      </c>
      <c r="B587" s="2">
        <v>0.82115740740740739</v>
      </c>
      <c r="C587">
        <v>1585</v>
      </c>
      <c r="D587">
        <v>13002561</v>
      </c>
      <c r="E587">
        <v>13</v>
      </c>
      <c r="F587">
        <v>22589</v>
      </c>
      <c r="G587" t="s">
        <v>23</v>
      </c>
      <c r="H587">
        <v>15</v>
      </c>
      <c r="I587">
        <v>95695</v>
      </c>
      <c r="J587" t="s">
        <v>66</v>
      </c>
      <c r="K587" t="s">
        <v>60</v>
      </c>
      <c r="L587" t="s">
        <v>51</v>
      </c>
      <c r="M587">
        <v>1</v>
      </c>
      <c r="N587">
        <v>559.64</v>
      </c>
      <c r="O587">
        <v>823.01</v>
      </c>
      <c r="P587">
        <v>0</v>
      </c>
      <c r="Q587">
        <v>0</v>
      </c>
      <c r="S587">
        <v>29</v>
      </c>
      <c r="T587">
        <v>1</v>
      </c>
      <c r="U587">
        <v>3</v>
      </c>
      <c r="V587">
        <v>823.01</v>
      </c>
      <c r="W587">
        <v>13130000585</v>
      </c>
    </row>
    <row r="588" spans="1:23" x14ac:dyDescent="0.2">
      <c r="A588" s="1">
        <v>44798</v>
      </c>
      <c r="B588" s="2">
        <v>0.68662037037037038</v>
      </c>
      <c r="C588">
        <v>1586</v>
      </c>
      <c r="D588">
        <v>13002561</v>
      </c>
      <c r="E588">
        <v>13</v>
      </c>
      <c r="F588">
        <v>22589</v>
      </c>
      <c r="G588" t="s">
        <v>23</v>
      </c>
      <c r="H588">
        <v>18</v>
      </c>
      <c r="I588">
        <v>18388</v>
      </c>
      <c r="J588" t="s">
        <v>41</v>
      </c>
      <c r="K588" t="s">
        <v>44</v>
      </c>
      <c r="L588" t="s">
        <v>29</v>
      </c>
      <c r="M588">
        <v>2</v>
      </c>
      <c r="N588">
        <v>544.42999999999995</v>
      </c>
      <c r="O588">
        <v>856.37</v>
      </c>
      <c r="P588">
        <v>0</v>
      </c>
      <c r="Q588">
        <v>0</v>
      </c>
      <c r="S588">
        <v>29</v>
      </c>
      <c r="T588">
        <v>1</v>
      </c>
      <c r="U588">
        <v>1</v>
      </c>
      <c r="V588">
        <v>856.37</v>
      </c>
      <c r="W588">
        <v>13130000586</v>
      </c>
    </row>
    <row r="589" spans="1:23" x14ac:dyDescent="0.2">
      <c r="A589" s="1">
        <v>44774</v>
      </c>
      <c r="B589" s="2">
        <v>0.36638888888888888</v>
      </c>
      <c r="C589">
        <v>1587</v>
      </c>
      <c r="D589">
        <v>13002561</v>
      </c>
      <c r="E589">
        <v>13</v>
      </c>
      <c r="F589">
        <v>22589</v>
      </c>
      <c r="G589" t="s">
        <v>23</v>
      </c>
      <c r="H589">
        <v>15</v>
      </c>
      <c r="I589">
        <v>28073</v>
      </c>
      <c r="J589" t="s">
        <v>104</v>
      </c>
      <c r="K589" t="s">
        <v>44</v>
      </c>
      <c r="L589" t="s">
        <v>47</v>
      </c>
      <c r="M589">
        <v>1</v>
      </c>
      <c r="N589">
        <v>527.77</v>
      </c>
      <c r="O589">
        <v>667.59</v>
      </c>
      <c r="P589">
        <v>66.760000000000005</v>
      </c>
      <c r="Q589">
        <v>66.760000000000005</v>
      </c>
      <c r="R589" t="s">
        <v>30</v>
      </c>
      <c r="S589">
        <v>29</v>
      </c>
      <c r="T589">
        <v>1</v>
      </c>
      <c r="U589">
        <v>2</v>
      </c>
      <c r="V589">
        <v>600.83000000000004</v>
      </c>
      <c r="W589">
        <v>13130000587</v>
      </c>
    </row>
    <row r="590" spans="1:23" x14ac:dyDescent="0.2">
      <c r="A590" s="1">
        <v>44781</v>
      </c>
      <c r="B590" s="2">
        <v>0.43434027777777778</v>
      </c>
      <c r="C590">
        <v>1588</v>
      </c>
      <c r="D590">
        <v>13002561</v>
      </c>
      <c r="E590">
        <v>13</v>
      </c>
      <c r="F590">
        <v>22589</v>
      </c>
      <c r="G590" t="s">
        <v>23</v>
      </c>
      <c r="H590">
        <v>15</v>
      </c>
      <c r="I590">
        <v>64831</v>
      </c>
      <c r="J590" t="s">
        <v>110</v>
      </c>
      <c r="K590" t="s">
        <v>28</v>
      </c>
      <c r="L590" t="s">
        <v>47</v>
      </c>
      <c r="M590">
        <v>2</v>
      </c>
      <c r="N590">
        <v>57.54</v>
      </c>
      <c r="O590">
        <v>74.959999999999994</v>
      </c>
      <c r="P590">
        <v>3.75</v>
      </c>
      <c r="Q590">
        <v>3.75</v>
      </c>
      <c r="R590" t="s">
        <v>30</v>
      </c>
      <c r="S590">
        <v>29</v>
      </c>
      <c r="T590">
        <v>1</v>
      </c>
      <c r="U590">
        <v>2</v>
      </c>
      <c r="V590">
        <v>71.209999999999994</v>
      </c>
      <c r="W590">
        <v>13130000588</v>
      </c>
    </row>
    <row r="591" spans="1:23" x14ac:dyDescent="0.2">
      <c r="A591" s="1">
        <v>44785</v>
      </c>
      <c r="B591" s="2">
        <v>0.92320601851851847</v>
      </c>
      <c r="C591">
        <v>1589</v>
      </c>
      <c r="D591">
        <v>13002561</v>
      </c>
      <c r="E591">
        <v>13</v>
      </c>
      <c r="F591">
        <v>22589</v>
      </c>
      <c r="G591" t="s">
        <v>23</v>
      </c>
      <c r="H591">
        <v>18</v>
      </c>
      <c r="I591">
        <v>89380</v>
      </c>
      <c r="J591" t="s">
        <v>126</v>
      </c>
      <c r="K591" t="s">
        <v>44</v>
      </c>
      <c r="L591" t="s">
        <v>26</v>
      </c>
      <c r="M591">
        <v>1</v>
      </c>
      <c r="N591">
        <v>361.59</v>
      </c>
      <c r="O591">
        <v>529.03</v>
      </c>
      <c r="P591">
        <v>26.45</v>
      </c>
      <c r="Q591">
        <v>26.45</v>
      </c>
      <c r="R591" t="s">
        <v>30</v>
      </c>
      <c r="S591">
        <v>29</v>
      </c>
      <c r="T591">
        <v>1</v>
      </c>
      <c r="U591">
        <v>1</v>
      </c>
      <c r="V591">
        <v>502.58</v>
      </c>
      <c r="W591">
        <v>13130000589</v>
      </c>
    </row>
    <row r="592" spans="1:23" x14ac:dyDescent="0.2">
      <c r="A592" s="1">
        <v>44804</v>
      </c>
      <c r="B592" s="2">
        <v>0.92503472222222227</v>
      </c>
      <c r="C592">
        <v>1590</v>
      </c>
      <c r="D592">
        <v>13002561</v>
      </c>
      <c r="E592">
        <v>13</v>
      </c>
      <c r="F592">
        <v>22589</v>
      </c>
      <c r="G592" t="s">
        <v>23</v>
      </c>
      <c r="H592">
        <v>18</v>
      </c>
      <c r="I592">
        <v>52357</v>
      </c>
      <c r="J592" t="s">
        <v>95</v>
      </c>
      <c r="K592" t="s">
        <v>38</v>
      </c>
      <c r="L592" t="s">
        <v>51</v>
      </c>
      <c r="M592">
        <v>1</v>
      </c>
      <c r="N592">
        <v>504.87</v>
      </c>
      <c r="O592">
        <v>682.26</v>
      </c>
      <c r="P592">
        <v>0</v>
      </c>
      <c r="Q592">
        <v>0</v>
      </c>
      <c r="S592">
        <v>29</v>
      </c>
      <c r="T592">
        <v>1</v>
      </c>
      <c r="U592">
        <v>3</v>
      </c>
      <c r="V592">
        <v>682.26</v>
      </c>
      <c r="W592">
        <v>13130000590</v>
      </c>
    </row>
    <row r="593" spans="1:23" x14ac:dyDescent="0.2">
      <c r="A593" s="1">
        <v>44782</v>
      </c>
      <c r="B593" s="2">
        <v>0.33468750000000003</v>
      </c>
      <c r="C593">
        <v>1591</v>
      </c>
      <c r="D593">
        <v>13002561</v>
      </c>
      <c r="E593">
        <v>13</v>
      </c>
      <c r="F593">
        <v>22589</v>
      </c>
      <c r="G593" t="s">
        <v>23</v>
      </c>
      <c r="H593">
        <v>18</v>
      </c>
      <c r="I593">
        <v>47672</v>
      </c>
      <c r="J593" t="s">
        <v>64</v>
      </c>
      <c r="K593" t="s">
        <v>38</v>
      </c>
      <c r="L593" t="s">
        <v>34</v>
      </c>
      <c r="M593">
        <v>1</v>
      </c>
      <c r="N593">
        <v>381.37</v>
      </c>
      <c r="O593">
        <v>592.05999999999995</v>
      </c>
      <c r="P593">
        <v>29.6</v>
      </c>
      <c r="Q593">
        <v>29.6</v>
      </c>
      <c r="R593" t="s">
        <v>30</v>
      </c>
      <c r="S593">
        <v>29</v>
      </c>
      <c r="T593">
        <v>1</v>
      </c>
      <c r="U593">
        <v>6</v>
      </c>
      <c r="V593">
        <v>562.46</v>
      </c>
      <c r="W593">
        <v>13130000591</v>
      </c>
    </row>
    <row r="594" spans="1:23" x14ac:dyDescent="0.2">
      <c r="A594" s="1">
        <v>44799</v>
      </c>
      <c r="B594" s="2">
        <v>0.75649305555555557</v>
      </c>
      <c r="C594">
        <v>1592</v>
      </c>
      <c r="D594">
        <v>13002561</v>
      </c>
      <c r="E594">
        <v>13</v>
      </c>
      <c r="F594">
        <v>22589</v>
      </c>
      <c r="G594" t="s">
        <v>23</v>
      </c>
      <c r="H594">
        <v>15</v>
      </c>
      <c r="I594">
        <v>94478</v>
      </c>
      <c r="J594" t="s">
        <v>46</v>
      </c>
      <c r="K594" t="s">
        <v>60</v>
      </c>
      <c r="L594" t="s">
        <v>29</v>
      </c>
      <c r="M594">
        <v>1</v>
      </c>
      <c r="N594">
        <v>261.27999999999997</v>
      </c>
      <c r="O594">
        <v>378.09</v>
      </c>
      <c r="P594">
        <v>37.81</v>
      </c>
      <c r="Q594">
        <v>37.81</v>
      </c>
      <c r="R594" t="s">
        <v>30</v>
      </c>
      <c r="S594">
        <v>29</v>
      </c>
      <c r="T594">
        <v>1</v>
      </c>
      <c r="U594">
        <v>1</v>
      </c>
      <c r="V594">
        <v>340.28</v>
      </c>
      <c r="W594">
        <v>13130000592</v>
      </c>
    </row>
    <row r="595" spans="1:23" x14ac:dyDescent="0.2">
      <c r="A595" s="1">
        <v>44791</v>
      </c>
      <c r="B595" s="2">
        <v>0.93951388888888887</v>
      </c>
      <c r="C595">
        <v>1593</v>
      </c>
      <c r="D595">
        <v>13002561</v>
      </c>
      <c r="E595">
        <v>13</v>
      </c>
      <c r="F595">
        <v>22589</v>
      </c>
      <c r="G595" t="s">
        <v>23</v>
      </c>
      <c r="H595">
        <v>18</v>
      </c>
      <c r="I595">
        <v>60746</v>
      </c>
      <c r="J595" t="s">
        <v>109</v>
      </c>
      <c r="K595" t="s">
        <v>45</v>
      </c>
      <c r="L595" t="s">
        <v>39</v>
      </c>
      <c r="M595">
        <v>2</v>
      </c>
      <c r="N595">
        <v>214</v>
      </c>
      <c r="O595">
        <v>335.13</v>
      </c>
      <c r="P595">
        <v>16.760000000000002</v>
      </c>
      <c r="Q595">
        <v>16.760000000000002</v>
      </c>
      <c r="R595" t="s">
        <v>30</v>
      </c>
      <c r="S595">
        <v>29</v>
      </c>
      <c r="T595">
        <v>1</v>
      </c>
      <c r="U595">
        <v>1</v>
      </c>
      <c r="V595">
        <v>318.37</v>
      </c>
      <c r="W595">
        <v>13130000593</v>
      </c>
    </row>
    <row r="596" spans="1:23" x14ac:dyDescent="0.2">
      <c r="A596" s="1">
        <v>44776</v>
      </c>
      <c r="B596" s="2">
        <v>0.40462962962962962</v>
      </c>
      <c r="C596">
        <v>1594</v>
      </c>
      <c r="D596">
        <v>13002561</v>
      </c>
      <c r="E596">
        <v>13</v>
      </c>
      <c r="F596">
        <v>22589</v>
      </c>
      <c r="G596" t="s">
        <v>23</v>
      </c>
      <c r="H596">
        <v>15</v>
      </c>
      <c r="I596">
        <v>34614</v>
      </c>
      <c r="J596" t="s">
        <v>59</v>
      </c>
      <c r="K596" t="s">
        <v>44</v>
      </c>
      <c r="L596" t="s">
        <v>32</v>
      </c>
      <c r="M596">
        <v>2</v>
      </c>
      <c r="N596">
        <v>568.36</v>
      </c>
      <c r="O596">
        <v>747.32</v>
      </c>
      <c r="P596">
        <v>0</v>
      </c>
      <c r="Q596">
        <v>0</v>
      </c>
      <c r="S596">
        <v>29</v>
      </c>
      <c r="T596">
        <v>1</v>
      </c>
      <c r="U596">
        <v>4</v>
      </c>
      <c r="V596">
        <v>747.32</v>
      </c>
      <c r="W596">
        <v>13130000594</v>
      </c>
    </row>
    <row r="597" spans="1:23" x14ac:dyDescent="0.2">
      <c r="A597" s="1">
        <v>44788</v>
      </c>
      <c r="B597" s="2">
        <v>0.44490740740740742</v>
      </c>
      <c r="C597">
        <v>1595</v>
      </c>
      <c r="D597">
        <v>13002561</v>
      </c>
      <c r="E597">
        <v>13</v>
      </c>
      <c r="F597">
        <v>22589</v>
      </c>
      <c r="G597" t="s">
        <v>23</v>
      </c>
      <c r="H597">
        <v>15</v>
      </c>
      <c r="I597">
        <v>87291</v>
      </c>
      <c r="J597" t="s">
        <v>62</v>
      </c>
      <c r="K597" t="s">
        <v>60</v>
      </c>
      <c r="L597" t="s">
        <v>26</v>
      </c>
      <c r="M597">
        <v>3</v>
      </c>
      <c r="N597">
        <v>67.06</v>
      </c>
      <c r="O597">
        <v>103.84</v>
      </c>
      <c r="P597">
        <v>0</v>
      </c>
      <c r="Q597">
        <v>0</v>
      </c>
      <c r="S597">
        <v>29</v>
      </c>
      <c r="T597">
        <v>1</v>
      </c>
      <c r="U597">
        <v>4</v>
      </c>
      <c r="V597">
        <v>103.84</v>
      </c>
      <c r="W597">
        <v>13130000595</v>
      </c>
    </row>
    <row r="598" spans="1:23" x14ac:dyDescent="0.2">
      <c r="A598" s="1">
        <v>44797</v>
      </c>
      <c r="B598" s="2">
        <v>0.80599537037037039</v>
      </c>
      <c r="C598">
        <v>1596</v>
      </c>
      <c r="D598">
        <v>13002561</v>
      </c>
      <c r="E598">
        <v>13</v>
      </c>
      <c r="F598">
        <v>22589</v>
      </c>
      <c r="G598" t="s">
        <v>23</v>
      </c>
      <c r="H598">
        <v>18</v>
      </c>
      <c r="I598">
        <v>64071</v>
      </c>
      <c r="J598" t="s">
        <v>101</v>
      </c>
      <c r="K598" t="s">
        <v>60</v>
      </c>
      <c r="L598" t="s">
        <v>36</v>
      </c>
      <c r="M598">
        <v>3</v>
      </c>
      <c r="N598">
        <v>392.97</v>
      </c>
      <c r="O598">
        <v>570.75</v>
      </c>
      <c r="P598">
        <v>0</v>
      </c>
      <c r="Q598">
        <v>0</v>
      </c>
      <c r="S598">
        <v>29</v>
      </c>
      <c r="T598">
        <v>1</v>
      </c>
      <c r="U598">
        <v>2</v>
      </c>
      <c r="V598">
        <v>570.75</v>
      </c>
      <c r="W598">
        <v>13130000596</v>
      </c>
    </row>
    <row r="599" spans="1:23" x14ac:dyDescent="0.2">
      <c r="A599" s="1">
        <v>44800</v>
      </c>
      <c r="B599" s="2">
        <v>0.52505787037037033</v>
      </c>
      <c r="C599">
        <v>1597</v>
      </c>
      <c r="D599">
        <v>13002561</v>
      </c>
      <c r="E599">
        <v>13</v>
      </c>
      <c r="F599">
        <v>22589</v>
      </c>
      <c r="G599" t="s">
        <v>23</v>
      </c>
      <c r="H599">
        <v>15</v>
      </c>
      <c r="I599">
        <v>85247</v>
      </c>
      <c r="J599" t="s">
        <v>82</v>
      </c>
      <c r="K599" t="s">
        <v>25</v>
      </c>
      <c r="L599" t="s">
        <v>39</v>
      </c>
      <c r="M599">
        <v>3</v>
      </c>
      <c r="N599">
        <v>467.56</v>
      </c>
      <c r="O599">
        <v>691.61</v>
      </c>
      <c r="P599">
        <v>69.16</v>
      </c>
      <c r="Q599">
        <v>69.16</v>
      </c>
      <c r="R599" t="s">
        <v>30</v>
      </c>
      <c r="S599">
        <v>29</v>
      </c>
      <c r="T599">
        <v>1</v>
      </c>
      <c r="U599">
        <v>1</v>
      </c>
      <c r="V599">
        <v>622.45000000000005</v>
      </c>
      <c r="W599">
        <v>13130000597</v>
      </c>
    </row>
    <row r="600" spans="1:23" x14ac:dyDescent="0.2">
      <c r="A600" s="1">
        <v>44785</v>
      </c>
      <c r="B600" s="2">
        <v>0.72776620370370371</v>
      </c>
      <c r="C600">
        <v>1598</v>
      </c>
      <c r="D600">
        <v>13002561</v>
      </c>
      <c r="E600">
        <v>13</v>
      </c>
      <c r="F600">
        <v>22589</v>
      </c>
      <c r="G600" t="s">
        <v>23</v>
      </c>
      <c r="H600">
        <v>18</v>
      </c>
      <c r="I600">
        <v>87410</v>
      </c>
      <c r="J600" t="s">
        <v>104</v>
      </c>
      <c r="K600" t="s">
        <v>25</v>
      </c>
      <c r="L600" t="s">
        <v>47</v>
      </c>
      <c r="M600">
        <v>2</v>
      </c>
      <c r="N600">
        <v>244.21</v>
      </c>
      <c r="O600">
        <v>326.26</v>
      </c>
      <c r="P600">
        <v>16.309999999999999</v>
      </c>
      <c r="Q600">
        <v>16.309999999999999</v>
      </c>
      <c r="R600" t="s">
        <v>30</v>
      </c>
      <c r="S600">
        <v>29</v>
      </c>
      <c r="T600">
        <v>1</v>
      </c>
      <c r="U600">
        <v>2</v>
      </c>
      <c r="V600">
        <v>309.95</v>
      </c>
      <c r="W600">
        <v>13130000598</v>
      </c>
    </row>
    <row r="601" spans="1:23" x14ac:dyDescent="0.2">
      <c r="A601" s="1">
        <v>44790</v>
      </c>
      <c r="B601" s="2">
        <v>0.36537037037037029</v>
      </c>
      <c r="C601">
        <v>1599</v>
      </c>
      <c r="D601">
        <v>13002561</v>
      </c>
      <c r="E601">
        <v>13</v>
      </c>
      <c r="F601">
        <v>22589</v>
      </c>
      <c r="G601" t="s">
        <v>23</v>
      </c>
      <c r="H601">
        <v>15</v>
      </c>
      <c r="I601">
        <v>45855</v>
      </c>
      <c r="J601" t="s">
        <v>126</v>
      </c>
      <c r="K601" t="s">
        <v>25</v>
      </c>
      <c r="L601" t="s">
        <v>26</v>
      </c>
      <c r="M601">
        <v>3</v>
      </c>
      <c r="N601">
        <v>72.19</v>
      </c>
      <c r="O601">
        <v>109.63</v>
      </c>
      <c r="P601">
        <v>5.48</v>
      </c>
      <c r="Q601">
        <v>5.48</v>
      </c>
      <c r="R601" t="s">
        <v>30</v>
      </c>
      <c r="S601">
        <v>29</v>
      </c>
      <c r="T601">
        <v>1</v>
      </c>
      <c r="U601">
        <v>3</v>
      </c>
      <c r="V601">
        <v>104.15</v>
      </c>
      <c r="W601">
        <v>13130000599</v>
      </c>
    </row>
    <row r="602" spans="1:23" x14ac:dyDescent="0.2">
      <c r="A602" s="1">
        <v>44777</v>
      </c>
      <c r="B602" s="2">
        <v>0.38818287037037041</v>
      </c>
      <c r="C602">
        <v>1600</v>
      </c>
      <c r="D602">
        <v>13002561</v>
      </c>
      <c r="E602">
        <v>13</v>
      </c>
      <c r="F602">
        <v>22589</v>
      </c>
      <c r="G602" t="s">
        <v>23</v>
      </c>
      <c r="H602">
        <v>18</v>
      </c>
      <c r="I602">
        <v>34104</v>
      </c>
      <c r="J602" t="s">
        <v>27</v>
      </c>
      <c r="K602" t="s">
        <v>45</v>
      </c>
      <c r="L602" t="s">
        <v>51</v>
      </c>
      <c r="M602">
        <v>3</v>
      </c>
      <c r="N602">
        <v>72.959999999999994</v>
      </c>
      <c r="O602">
        <v>96.63</v>
      </c>
      <c r="P602">
        <v>0</v>
      </c>
      <c r="Q602">
        <v>0</v>
      </c>
      <c r="S602">
        <v>29</v>
      </c>
      <c r="T602">
        <v>1</v>
      </c>
      <c r="U602">
        <v>4</v>
      </c>
      <c r="V602">
        <v>96.63</v>
      </c>
      <c r="W602">
        <v>13130000600</v>
      </c>
    </row>
    <row r="603" spans="1:23" x14ac:dyDescent="0.2">
      <c r="A603" s="1">
        <v>44784</v>
      </c>
      <c r="B603" s="2">
        <v>0.42108796296296302</v>
      </c>
      <c r="C603">
        <v>1601</v>
      </c>
      <c r="D603">
        <v>13002561</v>
      </c>
      <c r="E603">
        <v>13</v>
      </c>
      <c r="F603">
        <v>22589</v>
      </c>
      <c r="G603" t="s">
        <v>23</v>
      </c>
      <c r="H603">
        <v>15</v>
      </c>
      <c r="I603">
        <v>63392</v>
      </c>
      <c r="J603" t="s">
        <v>120</v>
      </c>
      <c r="K603" t="s">
        <v>38</v>
      </c>
      <c r="L603" t="s">
        <v>26</v>
      </c>
      <c r="M603">
        <v>3</v>
      </c>
      <c r="N603">
        <v>240.3</v>
      </c>
      <c r="O603">
        <v>308.32</v>
      </c>
      <c r="P603">
        <v>15.42</v>
      </c>
      <c r="Q603">
        <v>15.42</v>
      </c>
      <c r="R603" t="s">
        <v>30</v>
      </c>
      <c r="S603">
        <v>29</v>
      </c>
      <c r="T603">
        <v>1</v>
      </c>
      <c r="U603">
        <v>5</v>
      </c>
      <c r="V603">
        <v>292.89999999999998</v>
      </c>
      <c r="W603">
        <v>13130000601</v>
      </c>
    </row>
    <row r="604" spans="1:23" x14ac:dyDescent="0.2">
      <c r="A604" s="1">
        <v>44791</v>
      </c>
      <c r="B604" s="2">
        <v>0.86101851851851852</v>
      </c>
      <c r="C604">
        <v>1602</v>
      </c>
      <c r="D604">
        <v>13002561</v>
      </c>
      <c r="E604">
        <v>13</v>
      </c>
      <c r="F604">
        <v>22589</v>
      </c>
      <c r="G604" t="s">
        <v>23</v>
      </c>
      <c r="H604">
        <v>15</v>
      </c>
      <c r="I604">
        <v>16024</v>
      </c>
      <c r="J604" t="s">
        <v>120</v>
      </c>
      <c r="K604" t="s">
        <v>28</v>
      </c>
      <c r="L604" t="s">
        <v>29</v>
      </c>
      <c r="M604">
        <v>2</v>
      </c>
      <c r="N604">
        <v>270.58999999999997</v>
      </c>
      <c r="O604">
        <v>346.04</v>
      </c>
      <c r="P604">
        <v>34.6</v>
      </c>
      <c r="Q604">
        <v>34.6</v>
      </c>
      <c r="R604" t="s">
        <v>30</v>
      </c>
      <c r="S604">
        <v>29</v>
      </c>
      <c r="T604">
        <v>1</v>
      </c>
      <c r="U604">
        <v>1</v>
      </c>
      <c r="V604">
        <v>311.44</v>
      </c>
      <c r="W604">
        <v>13130000602</v>
      </c>
    </row>
    <row r="605" spans="1:23" x14ac:dyDescent="0.2">
      <c r="A605" s="1">
        <v>44801</v>
      </c>
      <c r="B605" s="2">
        <v>0.84562499999999996</v>
      </c>
      <c r="C605">
        <v>1603</v>
      </c>
      <c r="D605">
        <v>13002561</v>
      </c>
      <c r="E605">
        <v>13</v>
      </c>
      <c r="F605">
        <v>22589</v>
      </c>
      <c r="G605" t="s">
        <v>23</v>
      </c>
      <c r="H605">
        <v>15</v>
      </c>
      <c r="I605">
        <v>36820</v>
      </c>
      <c r="J605" t="s">
        <v>112</v>
      </c>
      <c r="K605" t="s">
        <v>38</v>
      </c>
      <c r="L605" t="s">
        <v>36</v>
      </c>
      <c r="M605">
        <v>3</v>
      </c>
      <c r="N605">
        <v>304.87</v>
      </c>
      <c r="O605">
        <v>498.4</v>
      </c>
      <c r="P605">
        <v>0</v>
      </c>
      <c r="Q605">
        <v>0</v>
      </c>
      <c r="S605">
        <v>29</v>
      </c>
      <c r="T605">
        <v>1</v>
      </c>
      <c r="U605">
        <v>6</v>
      </c>
      <c r="V605">
        <v>498.4</v>
      </c>
      <c r="W605">
        <v>13130000603</v>
      </c>
    </row>
    <row r="606" spans="1:23" x14ac:dyDescent="0.2">
      <c r="A606" s="1">
        <v>44789</v>
      </c>
      <c r="B606" s="2">
        <v>0.81317129629629625</v>
      </c>
      <c r="C606">
        <v>1604</v>
      </c>
      <c r="D606">
        <v>13002561</v>
      </c>
      <c r="E606">
        <v>13</v>
      </c>
      <c r="F606">
        <v>22589</v>
      </c>
      <c r="G606" t="s">
        <v>23</v>
      </c>
      <c r="H606">
        <v>18</v>
      </c>
      <c r="I606">
        <v>76122</v>
      </c>
      <c r="J606" t="s">
        <v>68</v>
      </c>
      <c r="K606" t="s">
        <v>25</v>
      </c>
      <c r="L606" t="s">
        <v>26</v>
      </c>
      <c r="M606">
        <v>3</v>
      </c>
      <c r="N606">
        <v>462.38</v>
      </c>
      <c r="O606">
        <v>762.93</v>
      </c>
      <c r="P606">
        <v>76.290000000000006</v>
      </c>
      <c r="Q606">
        <v>76.290000000000006</v>
      </c>
      <c r="R606" t="s">
        <v>30</v>
      </c>
      <c r="S606">
        <v>29</v>
      </c>
      <c r="T606">
        <v>1</v>
      </c>
      <c r="U606">
        <v>6</v>
      </c>
      <c r="V606">
        <v>686.64</v>
      </c>
      <c r="W606">
        <v>13130000604</v>
      </c>
    </row>
    <row r="607" spans="1:23" x14ac:dyDescent="0.2">
      <c r="A607" s="1">
        <v>44781</v>
      </c>
      <c r="B607" s="2">
        <v>0.57094907407407403</v>
      </c>
      <c r="C607">
        <v>1605</v>
      </c>
      <c r="D607">
        <v>13002561</v>
      </c>
      <c r="E607">
        <v>13</v>
      </c>
      <c r="F607">
        <v>22589</v>
      </c>
      <c r="G607" t="s">
        <v>23</v>
      </c>
      <c r="H607">
        <v>15</v>
      </c>
      <c r="I607">
        <v>71544</v>
      </c>
      <c r="J607" t="s">
        <v>111</v>
      </c>
      <c r="K607" t="s">
        <v>60</v>
      </c>
      <c r="L607" t="s">
        <v>26</v>
      </c>
      <c r="M607">
        <v>2</v>
      </c>
      <c r="N607">
        <v>73.12</v>
      </c>
      <c r="O607">
        <v>96.75</v>
      </c>
      <c r="P607">
        <v>9.68</v>
      </c>
      <c r="Q607">
        <v>9.68</v>
      </c>
      <c r="R607" t="s">
        <v>30</v>
      </c>
      <c r="S607">
        <v>29</v>
      </c>
      <c r="T607">
        <v>1</v>
      </c>
      <c r="U607">
        <v>4</v>
      </c>
      <c r="V607">
        <v>87.07</v>
      </c>
      <c r="W607">
        <v>13130000605</v>
      </c>
    </row>
    <row r="608" spans="1:23" x14ac:dyDescent="0.2">
      <c r="A608" s="1">
        <v>44801</v>
      </c>
      <c r="B608" s="2">
        <v>0.3865277777777778</v>
      </c>
      <c r="C608">
        <v>1606</v>
      </c>
      <c r="D608">
        <v>13002561</v>
      </c>
      <c r="E608">
        <v>13</v>
      </c>
      <c r="F608">
        <v>22589</v>
      </c>
      <c r="G608" t="s">
        <v>23</v>
      </c>
      <c r="H608">
        <v>15</v>
      </c>
      <c r="I608">
        <v>21187</v>
      </c>
      <c r="J608" t="s">
        <v>41</v>
      </c>
      <c r="K608" t="s">
        <v>38</v>
      </c>
      <c r="L608" t="s">
        <v>26</v>
      </c>
      <c r="M608">
        <v>1</v>
      </c>
      <c r="N608">
        <v>108.45</v>
      </c>
      <c r="O608">
        <v>182.36</v>
      </c>
      <c r="P608">
        <v>9.1199999999999992</v>
      </c>
      <c r="Q608">
        <v>9.1199999999999992</v>
      </c>
      <c r="R608" t="s">
        <v>30</v>
      </c>
      <c r="S608">
        <v>29</v>
      </c>
      <c r="T608">
        <v>1</v>
      </c>
      <c r="U608">
        <v>5</v>
      </c>
      <c r="V608">
        <v>173.24</v>
      </c>
      <c r="W608">
        <v>13130000606</v>
      </c>
    </row>
    <row r="609" spans="1:23" x14ac:dyDescent="0.2">
      <c r="A609" s="1">
        <v>44775</v>
      </c>
      <c r="B609" s="2">
        <v>0.40854166666666669</v>
      </c>
      <c r="C609">
        <v>1607</v>
      </c>
      <c r="D609">
        <v>13002561</v>
      </c>
      <c r="E609">
        <v>13</v>
      </c>
      <c r="F609">
        <v>22589</v>
      </c>
      <c r="G609" t="s">
        <v>23</v>
      </c>
      <c r="H609">
        <v>15</v>
      </c>
      <c r="I609">
        <v>38590</v>
      </c>
      <c r="J609" t="s">
        <v>63</v>
      </c>
      <c r="K609" t="s">
        <v>38</v>
      </c>
      <c r="L609" t="s">
        <v>26</v>
      </c>
      <c r="M609">
        <v>3</v>
      </c>
      <c r="N609">
        <v>177.52</v>
      </c>
      <c r="O609">
        <v>262.42</v>
      </c>
      <c r="P609">
        <v>26.24</v>
      </c>
      <c r="Q609">
        <v>26.24</v>
      </c>
      <c r="R609" t="s">
        <v>30</v>
      </c>
      <c r="S609">
        <v>29</v>
      </c>
      <c r="T609">
        <v>1</v>
      </c>
      <c r="U609">
        <v>4</v>
      </c>
      <c r="V609">
        <v>236.18</v>
      </c>
      <c r="W609">
        <v>13130000607</v>
      </c>
    </row>
    <row r="610" spans="1:23" x14ac:dyDescent="0.2">
      <c r="A610" s="1">
        <v>44792</v>
      </c>
      <c r="B610" s="2">
        <v>0.37563657407407408</v>
      </c>
      <c r="C610">
        <v>1608</v>
      </c>
      <c r="D610">
        <v>13002561</v>
      </c>
      <c r="E610">
        <v>13</v>
      </c>
      <c r="F610">
        <v>22589</v>
      </c>
      <c r="G610" t="s">
        <v>23</v>
      </c>
      <c r="H610">
        <v>18</v>
      </c>
      <c r="I610">
        <v>88158</v>
      </c>
      <c r="J610" t="s">
        <v>105</v>
      </c>
      <c r="K610" t="s">
        <v>44</v>
      </c>
      <c r="L610" t="s">
        <v>32</v>
      </c>
      <c r="M610">
        <v>1</v>
      </c>
      <c r="N610">
        <v>478.54</v>
      </c>
      <c r="O610">
        <v>711.41</v>
      </c>
      <c r="P610">
        <v>0</v>
      </c>
      <c r="Q610">
        <v>0</v>
      </c>
      <c r="S610">
        <v>29</v>
      </c>
      <c r="T610">
        <v>1</v>
      </c>
      <c r="U610">
        <v>4</v>
      </c>
      <c r="V610">
        <v>711.41</v>
      </c>
      <c r="W610">
        <v>13130000608</v>
      </c>
    </row>
    <row r="611" spans="1:23" x14ac:dyDescent="0.2">
      <c r="A611" s="1">
        <v>44789</v>
      </c>
      <c r="B611" s="2">
        <v>0.6127083333333333</v>
      </c>
      <c r="C611">
        <v>1609</v>
      </c>
      <c r="D611">
        <v>13002561</v>
      </c>
      <c r="E611">
        <v>13</v>
      </c>
      <c r="F611">
        <v>22589</v>
      </c>
      <c r="G611" t="s">
        <v>23</v>
      </c>
      <c r="H611">
        <v>15</v>
      </c>
      <c r="I611">
        <v>71515</v>
      </c>
      <c r="J611" t="s">
        <v>31</v>
      </c>
      <c r="K611" t="s">
        <v>38</v>
      </c>
      <c r="L611" t="s">
        <v>51</v>
      </c>
      <c r="M611">
        <v>1</v>
      </c>
      <c r="N611">
        <v>141.28</v>
      </c>
      <c r="O611">
        <v>211.35</v>
      </c>
      <c r="P611">
        <v>10.57</v>
      </c>
      <c r="Q611">
        <v>10.57</v>
      </c>
      <c r="R611" t="s">
        <v>30</v>
      </c>
      <c r="S611">
        <v>29</v>
      </c>
      <c r="T611">
        <v>1</v>
      </c>
      <c r="U611">
        <v>4</v>
      </c>
      <c r="V611">
        <v>200.78</v>
      </c>
      <c r="W611">
        <v>13130000609</v>
      </c>
    </row>
    <row r="612" spans="1:23" x14ac:dyDescent="0.2">
      <c r="A612" s="1">
        <v>44779</v>
      </c>
      <c r="B612" s="2">
        <v>0.78126157407407404</v>
      </c>
      <c r="C612">
        <v>1610</v>
      </c>
      <c r="D612">
        <v>13002561</v>
      </c>
      <c r="E612">
        <v>13</v>
      </c>
      <c r="F612">
        <v>22589</v>
      </c>
      <c r="G612" t="s">
        <v>23</v>
      </c>
      <c r="H612">
        <v>18</v>
      </c>
      <c r="I612">
        <v>67224</v>
      </c>
      <c r="J612" t="s">
        <v>55</v>
      </c>
      <c r="K612" t="s">
        <v>25</v>
      </c>
      <c r="L612" t="s">
        <v>51</v>
      </c>
      <c r="M612">
        <v>2</v>
      </c>
      <c r="N612">
        <v>350.02</v>
      </c>
      <c r="O612">
        <v>570.53</v>
      </c>
      <c r="P612">
        <v>0</v>
      </c>
      <c r="Q612">
        <v>0</v>
      </c>
      <c r="S612">
        <v>29</v>
      </c>
      <c r="T612">
        <v>1</v>
      </c>
      <c r="U612">
        <v>4</v>
      </c>
      <c r="V612">
        <v>570.53</v>
      </c>
      <c r="W612">
        <v>13130000610</v>
      </c>
    </row>
    <row r="613" spans="1:23" x14ac:dyDescent="0.2">
      <c r="A613" s="1">
        <v>44788</v>
      </c>
      <c r="B613" s="2">
        <v>0.85277777777777775</v>
      </c>
      <c r="C613">
        <v>1611</v>
      </c>
      <c r="D613">
        <v>13002561</v>
      </c>
      <c r="E613">
        <v>13</v>
      </c>
      <c r="F613">
        <v>22589</v>
      </c>
      <c r="G613" t="s">
        <v>23</v>
      </c>
      <c r="H613">
        <v>15</v>
      </c>
      <c r="I613">
        <v>28785</v>
      </c>
      <c r="J613" t="s">
        <v>33</v>
      </c>
      <c r="K613" t="s">
        <v>45</v>
      </c>
      <c r="L613" t="s">
        <v>29</v>
      </c>
      <c r="M613">
        <v>2</v>
      </c>
      <c r="N613">
        <v>309.58999999999997</v>
      </c>
      <c r="O613">
        <v>432.84</v>
      </c>
      <c r="P613">
        <v>43.28</v>
      </c>
      <c r="Q613">
        <v>43.28</v>
      </c>
      <c r="R613" t="s">
        <v>30</v>
      </c>
      <c r="S613">
        <v>29</v>
      </c>
      <c r="T613">
        <v>1</v>
      </c>
      <c r="U613">
        <v>5</v>
      </c>
      <c r="V613">
        <v>389.56</v>
      </c>
      <c r="W613">
        <v>13130000611</v>
      </c>
    </row>
    <row r="614" spans="1:23" x14ac:dyDescent="0.2">
      <c r="A614" s="1">
        <v>44797</v>
      </c>
      <c r="B614" s="2">
        <v>0.95224537037037038</v>
      </c>
      <c r="C614">
        <v>1612</v>
      </c>
      <c r="D614">
        <v>13002561</v>
      </c>
      <c r="E614">
        <v>13</v>
      </c>
      <c r="F614">
        <v>22589</v>
      </c>
      <c r="G614" t="s">
        <v>23</v>
      </c>
      <c r="H614">
        <v>18</v>
      </c>
      <c r="I614">
        <v>48883</v>
      </c>
      <c r="J614" t="s">
        <v>50</v>
      </c>
      <c r="K614" t="s">
        <v>38</v>
      </c>
      <c r="L614" t="s">
        <v>26</v>
      </c>
      <c r="M614">
        <v>1</v>
      </c>
      <c r="N614">
        <v>214.95</v>
      </c>
      <c r="O614">
        <v>290.88</v>
      </c>
      <c r="P614">
        <v>29.09</v>
      </c>
      <c r="Q614">
        <v>29.09</v>
      </c>
      <c r="R614" t="s">
        <v>30</v>
      </c>
      <c r="S614">
        <v>29</v>
      </c>
      <c r="T614">
        <v>1</v>
      </c>
      <c r="U614">
        <v>6</v>
      </c>
      <c r="V614">
        <v>261.79000000000002</v>
      </c>
      <c r="W614">
        <v>13130000612</v>
      </c>
    </row>
    <row r="615" spans="1:23" x14ac:dyDescent="0.2">
      <c r="A615" s="1">
        <v>44786</v>
      </c>
      <c r="B615" s="2">
        <v>0.62800925925925921</v>
      </c>
      <c r="C615">
        <v>1613</v>
      </c>
      <c r="D615">
        <v>13002561</v>
      </c>
      <c r="E615">
        <v>13</v>
      </c>
      <c r="F615">
        <v>22589</v>
      </c>
      <c r="G615" t="s">
        <v>23</v>
      </c>
      <c r="H615">
        <v>18</v>
      </c>
      <c r="I615">
        <v>91984</v>
      </c>
      <c r="J615" t="s">
        <v>123</v>
      </c>
      <c r="K615" t="s">
        <v>45</v>
      </c>
      <c r="L615" t="s">
        <v>39</v>
      </c>
      <c r="M615">
        <v>2</v>
      </c>
      <c r="N615">
        <v>210.54</v>
      </c>
      <c r="O615">
        <v>301.04000000000002</v>
      </c>
      <c r="P615">
        <v>30.1</v>
      </c>
      <c r="Q615">
        <v>30.1</v>
      </c>
      <c r="R615" t="s">
        <v>30</v>
      </c>
      <c r="S615">
        <v>29</v>
      </c>
      <c r="T615">
        <v>1</v>
      </c>
      <c r="U615">
        <v>4</v>
      </c>
      <c r="V615">
        <v>270.94</v>
      </c>
      <c r="W615">
        <v>13130000613</v>
      </c>
    </row>
    <row r="616" spans="1:23" x14ac:dyDescent="0.2">
      <c r="A616" s="1">
        <v>44799</v>
      </c>
      <c r="B616" s="2">
        <v>0.85380787037037043</v>
      </c>
      <c r="C616">
        <v>1614</v>
      </c>
      <c r="D616">
        <v>13002561</v>
      </c>
      <c r="E616">
        <v>13</v>
      </c>
      <c r="F616">
        <v>22589</v>
      </c>
      <c r="G616" t="s">
        <v>23</v>
      </c>
      <c r="H616">
        <v>15</v>
      </c>
      <c r="I616">
        <v>92702</v>
      </c>
      <c r="J616" t="s">
        <v>90</v>
      </c>
      <c r="K616" t="s">
        <v>38</v>
      </c>
      <c r="L616" t="s">
        <v>51</v>
      </c>
      <c r="M616">
        <v>3</v>
      </c>
      <c r="N616">
        <v>559.21</v>
      </c>
      <c r="O616">
        <v>946.14</v>
      </c>
      <c r="P616">
        <v>0</v>
      </c>
      <c r="Q616">
        <v>0</v>
      </c>
      <c r="S616">
        <v>29</v>
      </c>
      <c r="T616">
        <v>1</v>
      </c>
      <c r="U616">
        <v>3</v>
      </c>
      <c r="V616">
        <v>946.14</v>
      </c>
      <c r="W616">
        <v>13130000614</v>
      </c>
    </row>
    <row r="617" spans="1:23" x14ac:dyDescent="0.2">
      <c r="A617" s="1">
        <v>44796</v>
      </c>
      <c r="B617" s="2">
        <v>0.83027777777777778</v>
      </c>
      <c r="C617">
        <v>1615</v>
      </c>
      <c r="D617">
        <v>13002561</v>
      </c>
      <c r="E617">
        <v>13</v>
      </c>
      <c r="F617">
        <v>22589</v>
      </c>
      <c r="G617" t="s">
        <v>23</v>
      </c>
      <c r="H617">
        <v>15</v>
      </c>
      <c r="I617">
        <v>37951</v>
      </c>
      <c r="J617" t="s">
        <v>114</v>
      </c>
      <c r="K617" t="s">
        <v>38</v>
      </c>
      <c r="L617" t="s">
        <v>39</v>
      </c>
      <c r="M617">
        <v>1</v>
      </c>
      <c r="N617">
        <v>296.5</v>
      </c>
      <c r="O617">
        <v>372.85</v>
      </c>
      <c r="P617">
        <v>0</v>
      </c>
      <c r="Q617">
        <v>0</v>
      </c>
      <c r="S617">
        <v>29</v>
      </c>
      <c r="T617">
        <v>1</v>
      </c>
      <c r="U617">
        <v>4</v>
      </c>
      <c r="V617">
        <v>372.85</v>
      </c>
      <c r="W617">
        <v>13130000615</v>
      </c>
    </row>
    <row r="618" spans="1:23" x14ac:dyDescent="0.2">
      <c r="A618" s="1">
        <v>44787</v>
      </c>
      <c r="B618" s="2">
        <v>0.91798611111111106</v>
      </c>
      <c r="C618">
        <v>1616</v>
      </c>
      <c r="D618">
        <v>13002561</v>
      </c>
      <c r="E618">
        <v>13</v>
      </c>
      <c r="F618">
        <v>22589</v>
      </c>
      <c r="G618" t="s">
        <v>23</v>
      </c>
      <c r="H618">
        <v>18</v>
      </c>
      <c r="I618">
        <v>24046</v>
      </c>
      <c r="J618" t="s">
        <v>118</v>
      </c>
      <c r="K618" t="s">
        <v>44</v>
      </c>
      <c r="L618" t="s">
        <v>32</v>
      </c>
      <c r="M618">
        <v>3</v>
      </c>
      <c r="N618">
        <v>420.06</v>
      </c>
      <c r="O618">
        <v>658.12</v>
      </c>
      <c r="P618">
        <v>0</v>
      </c>
      <c r="Q618">
        <v>0</v>
      </c>
      <c r="S618">
        <v>29</v>
      </c>
      <c r="T618">
        <v>1</v>
      </c>
      <c r="U618">
        <v>6</v>
      </c>
      <c r="V618">
        <v>658.12</v>
      </c>
      <c r="W618">
        <v>13130000616</v>
      </c>
    </row>
    <row r="619" spans="1:23" x14ac:dyDescent="0.2">
      <c r="A619" s="1">
        <v>44774</v>
      </c>
      <c r="B619" s="2">
        <v>0.44160879629629629</v>
      </c>
      <c r="C619">
        <v>1617</v>
      </c>
      <c r="D619">
        <v>13002561</v>
      </c>
      <c r="E619">
        <v>13</v>
      </c>
      <c r="F619">
        <v>22589</v>
      </c>
      <c r="G619" t="s">
        <v>23</v>
      </c>
      <c r="H619">
        <v>15</v>
      </c>
      <c r="I619">
        <v>72347</v>
      </c>
      <c r="J619" t="s">
        <v>75</v>
      </c>
      <c r="K619" t="s">
        <v>45</v>
      </c>
      <c r="L619" t="s">
        <v>51</v>
      </c>
      <c r="M619">
        <v>1</v>
      </c>
      <c r="N619">
        <v>286.92</v>
      </c>
      <c r="O619">
        <v>454.18</v>
      </c>
      <c r="P619">
        <v>0</v>
      </c>
      <c r="Q619">
        <v>0</v>
      </c>
      <c r="S619">
        <v>29</v>
      </c>
      <c r="T619">
        <v>1</v>
      </c>
      <c r="U619">
        <v>5</v>
      </c>
      <c r="V619">
        <v>454.18</v>
      </c>
      <c r="W619">
        <v>13130000617</v>
      </c>
    </row>
    <row r="620" spans="1:23" x14ac:dyDescent="0.2">
      <c r="A620" s="1">
        <v>44777</v>
      </c>
      <c r="B620" s="2">
        <v>0.90531249999999996</v>
      </c>
      <c r="C620">
        <v>1618</v>
      </c>
      <c r="D620">
        <v>13002561</v>
      </c>
      <c r="E620">
        <v>13</v>
      </c>
      <c r="F620">
        <v>22589</v>
      </c>
      <c r="G620" t="s">
        <v>23</v>
      </c>
      <c r="H620">
        <v>15</v>
      </c>
      <c r="I620">
        <v>71024</v>
      </c>
      <c r="J620" t="s">
        <v>113</v>
      </c>
      <c r="K620" t="s">
        <v>45</v>
      </c>
      <c r="L620" t="s">
        <v>29</v>
      </c>
      <c r="M620">
        <v>3</v>
      </c>
      <c r="N620">
        <v>262.48</v>
      </c>
      <c r="O620">
        <v>365.92</v>
      </c>
      <c r="P620">
        <v>18.3</v>
      </c>
      <c r="Q620">
        <v>18.3</v>
      </c>
      <c r="R620" t="s">
        <v>30</v>
      </c>
      <c r="S620">
        <v>29</v>
      </c>
      <c r="T620">
        <v>1</v>
      </c>
      <c r="U620">
        <v>1</v>
      </c>
      <c r="V620">
        <v>347.62</v>
      </c>
      <c r="W620">
        <v>13130000618</v>
      </c>
    </row>
    <row r="621" spans="1:23" x14ac:dyDescent="0.2">
      <c r="A621" s="1">
        <v>44791</v>
      </c>
      <c r="B621" s="2">
        <v>0.40930555555555548</v>
      </c>
      <c r="C621">
        <v>1619</v>
      </c>
      <c r="D621">
        <v>13002561</v>
      </c>
      <c r="E621">
        <v>13</v>
      </c>
      <c r="F621">
        <v>22589</v>
      </c>
      <c r="G621" t="s">
        <v>23</v>
      </c>
      <c r="H621">
        <v>18</v>
      </c>
      <c r="I621">
        <v>81690</v>
      </c>
      <c r="J621" t="s">
        <v>37</v>
      </c>
      <c r="K621" t="s">
        <v>45</v>
      </c>
      <c r="L621" t="s">
        <v>51</v>
      </c>
      <c r="M621">
        <v>3</v>
      </c>
      <c r="N621">
        <v>251.91</v>
      </c>
      <c r="O621">
        <v>339.01</v>
      </c>
      <c r="P621">
        <v>33.9</v>
      </c>
      <c r="Q621">
        <v>33.9</v>
      </c>
      <c r="R621" t="s">
        <v>30</v>
      </c>
      <c r="S621">
        <v>29</v>
      </c>
      <c r="T621">
        <v>1</v>
      </c>
      <c r="U621">
        <v>3</v>
      </c>
      <c r="V621">
        <v>305.11</v>
      </c>
      <c r="W621">
        <v>13130000619</v>
      </c>
    </row>
    <row r="622" spans="1:23" x14ac:dyDescent="0.2">
      <c r="A622" s="1">
        <v>44802</v>
      </c>
      <c r="B622" s="2">
        <v>0.6073263888888889</v>
      </c>
      <c r="C622">
        <v>1620</v>
      </c>
      <c r="D622">
        <v>13002561</v>
      </c>
      <c r="E622">
        <v>13</v>
      </c>
      <c r="F622">
        <v>22589</v>
      </c>
      <c r="G622" t="s">
        <v>23</v>
      </c>
      <c r="H622">
        <v>15</v>
      </c>
      <c r="I622">
        <v>85493</v>
      </c>
      <c r="J622" t="s">
        <v>66</v>
      </c>
      <c r="K622" t="s">
        <v>44</v>
      </c>
      <c r="L622" t="s">
        <v>36</v>
      </c>
      <c r="M622">
        <v>3</v>
      </c>
      <c r="N622">
        <v>167.48</v>
      </c>
      <c r="O622">
        <v>244.56</v>
      </c>
      <c r="P622">
        <v>24.46</v>
      </c>
      <c r="Q622">
        <v>24.46</v>
      </c>
      <c r="R622" t="s">
        <v>30</v>
      </c>
      <c r="S622">
        <v>29</v>
      </c>
      <c r="T622">
        <v>1</v>
      </c>
      <c r="U622">
        <v>3</v>
      </c>
      <c r="V622">
        <v>220.1</v>
      </c>
      <c r="W622">
        <v>13130000620</v>
      </c>
    </row>
    <row r="623" spans="1:23" x14ac:dyDescent="0.2">
      <c r="A623" s="1">
        <v>44791</v>
      </c>
      <c r="B623" s="2">
        <v>0.49593749999999998</v>
      </c>
      <c r="C623">
        <v>1621</v>
      </c>
      <c r="D623">
        <v>13002561</v>
      </c>
      <c r="E623">
        <v>13</v>
      </c>
      <c r="F623">
        <v>22589</v>
      </c>
      <c r="G623" t="s">
        <v>23</v>
      </c>
      <c r="H623">
        <v>15</v>
      </c>
      <c r="I623">
        <v>73488</v>
      </c>
      <c r="J623" t="s">
        <v>27</v>
      </c>
      <c r="K623" t="s">
        <v>60</v>
      </c>
      <c r="L623" t="s">
        <v>34</v>
      </c>
      <c r="M623">
        <v>2</v>
      </c>
      <c r="N623">
        <v>164.64</v>
      </c>
      <c r="O623">
        <v>220.68</v>
      </c>
      <c r="P623">
        <v>11.03</v>
      </c>
      <c r="Q623">
        <v>11.03</v>
      </c>
      <c r="R623" t="s">
        <v>30</v>
      </c>
      <c r="S623">
        <v>29</v>
      </c>
      <c r="T623">
        <v>1</v>
      </c>
      <c r="U623">
        <v>2</v>
      </c>
      <c r="V623">
        <v>209.65</v>
      </c>
      <c r="W623">
        <v>13130000621</v>
      </c>
    </row>
    <row r="624" spans="1:23" x14ac:dyDescent="0.2">
      <c r="A624" s="1">
        <v>44776</v>
      </c>
      <c r="B624" s="2">
        <v>0.8352546296296296</v>
      </c>
      <c r="C624">
        <v>1622</v>
      </c>
      <c r="D624">
        <v>13002561</v>
      </c>
      <c r="E624">
        <v>13</v>
      </c>
      <c r="F624">
        <v>22589</v>
      </c>
      <c r="G624" t="s">
        <v>23</v>
      </c>
      <c r="H624">
        <v>18</v>
      </c>
      <c r="I624">
        <v>76498</v>
      </c>
      <c r="J624" t="s">
        <v>42</v>
      </c>
      <c r="K624" t="s">
        <v>28</v>
      </c>
      <c r="L624" t="s">
        <v>26</v>
      </c>
      <c r="M624">
        <v>2</v>
      </c>
      <c r="N624">
        <v>562.98</v>
      </c>
      <c r="O624">
        <v>785.78</v>
      </c>
      <c r="P624">
        <v>78.58</v>
      </c>
      <c r="Q624">
        <v>78.58</v>
      </c>
      <c r="R624" t="s">
        <v>30</v>
      </c>
      <c r="S624">
        <v>29</v>
      </c>
      <c r="T624">
        <v>1</v>
      </c>
      <c r="U624">
        <v>5</v>
      </c>
      <c r="V624">
        <v>707.2</v>
      </c>
      <c r="W624">
        <v>13130000622</v>
      </c>
    </row>
    <row r="625" spans="1:23" x14ac:dyDescent="0.2">
      <c r="A625" s="1">
        <v>44789</v>
      </c>
      <c r="B625" s="2">
        <v>0.35467592592592601</v>
      </c>
      <c r="C625">
        <v>1623</v>
      </c>
      <c r="D625">
        <v>13002561</v>
      </c>
      <c r="E625">
        <v>13</v>
      </c>
      <c r="F625">
        <v>22589</v>
      </c>
      <c r="G625" t="s">
        <v>23</v>
      </c>
      <c r="H625">
        <v>18</v>
      </c>
      <c r="I625">
        <v>75318</v>
      </c>
      <c r="J625" t="s">
        <v>94</v>
      </c>
      <c r="K625" t="s">
        <v>44</v>
      </c>
      <c r="L625" t="s">
        <v>36</v>
      </c>
      <c r="M625">
        <v>3</v>
      </c>
      <c r="N625">
        <v>390.58</v>
      </c>
      <c r="O625">
        <v>540.29999999999995</v>
      </c>
      <c r="P625">
        <v>0</v>
      </c>
      <c r="Q625">
        <v>0</v>
      </c>
      <c r="S625">
        <v>29</v>
      </c>
      <c r="T625">
        <v>1</v>
      </c>
      <c r="U625">
        <v>3</v>
      </c>
      <c r="V625">
        <v>540.29999999999995</v>
      </c>
      <c r="W625">
        <v>13130000623</v>
      </c>
    </row>
    <row r="626" spans="1:23" x14ac:dyDescent="0.2">
      <c r="A626" s="1">
        <v>44801</v>
      </c>
      <c r="B626" s="2">
        <v>0.93245370370370373</v>
      </c>
      <c r="C626">
        <v>1624</v>
      </c>
      <c r="D626">
        <v>13002561</v>
      </c>
      <c r="E626">
        <v>13</v>
      </c>
      <c r="F626">
        <v>22589</v>
      </c>
      <c r="G626" t="s">
        <v>23</v>
      </c>
      <c r="H626">
        <v>15</v>
      </c>
      <c r="I626">
        <v>99615</v>
      </c>
      <c r="J626" t="s">
        <v>69</v>
      </c>
      <c r="K626" t="s">
        <v>25</v>
      </c>
      <c r="L626" t="s">
        <v>32</v>
      </c>
      <c r="M626">
        <v>3</v>
      </c>
      <c r="N626">
        <v>20.96</v>
      </c>
      <c r="O626">
        <v>28.59</v>
      </c>
      <c r="P626">
        <v>1.43</v>
      </c>
      <c r="Q626">
        <v>1.43</v>
      </c>
      <c r="R626" t="s">
        <v>30</v>
      </c>
      <c r="S626">
        <v>29</v>
      </c>
      <c r="T626">
        <v>1</v>
      </c>
      <c r="U626">
        <v>1</v>
      </c>
      <c r="V626">
        <v>27.16</v>
      </c>
      <c r="W626">
        <v>13130000624</v>
      </c>
    </row>
    <row r="627" spans="1:23" x14ac:dyDescent="0.2">
      <c r="A627" s="1">
        <v>44776</v>
      </c>
      <c r="B627" s="2">
        <v>0.63431712962962961</v>
      </c>
      <c r="C627">
        <v>1625</v>
      </c>
      <c r="D627">
        <v>13002561</v>
      </c>
      <c r="E627">
        <v>13</v>
      </c>
      <c r="F627">
        <v>22589</v>
      </c>
      <c r="G627" t="s">
        <v>23</v>
      </c>
      <c r="H627">
        <v>15</v>
      </c>
      <c r="I627">
        <v>63611</v>
      </c>
      <c r="J627" t="s">
        <v>125</v>
      </c>
      <c r="K627" t="s">
        <v>44</v>
      </c>
      <c r="L627" t="s">
        <v>34</v>
      </c>
      <c r="M627">
        <v>2</v>
      </c>
      <c r="N627">
        <v>66.95</v>
      </c>
      <c r="O627">
        <v>100.94</v>
      </c>
      <c r="P627">
        <v>10.09</v>
      </c>
      <c r="Q627">
        <v>10.09</v>
      </c>
      <c r="R627" t="s">
        <v>30</v>
      </c>
      <c r="S627">
        <v>29</v>
      </c>
      <c r="T627">
        <v>1</v>
      </c>
      <c r="U627">
        <v>1</v>
      </c>
      <c r="V627">
        <v>90.85</v>
      </c>
      <c r="W627">
        <v>13130000625</v>
      </c>
    </row>
    <row r="628" spans="1:23" x14ac:dyDescent="0.2">
      <c r="A628" s="1">
        <v>44791</v>
      </c>
      <c r="B628" s="2">
        <v>0.74408564814814815</v>
      </c>
      <c r="C628">
        <v>1626</v>
      </c>
      <c r="D628">
        <v>13002561</v>
      </c>
      <c r="E628">
        <v>13</v>
      </c>
      <c r="F628">
        <v>22589</v>
      </c>
      <c r="G628" t="s">
        <v>23</v>
      </c>
      <c r="H628">
        <v>18</v>
      </c>
      <c r="I628">
        <v>74204</v>
      </c>
      <c r="J628" t="s">
        <v>31</v>
      </c>
      <c r="K628" t="s">
        <v>25</v>
      </c>
      <c r="L628" t="s">
        <v>34</v>
      </c>
      <c r="M628">
        <v>3</v>
      </c>
      <c r="N628">
        <v>92.95</v>
      </c>
      <c r="O628">
        <v>131.88</v>
      </c>
      <c r="P628">
        <v>13.19</v>
      </c>
      <c r="Q628">
        <v>13.19</v>
      </c>
      <c r="R628" t="s">
        <v>30</v>
      </c>
      <c r="S628">
        <v>29</v>
      </c>
      <c r="T628">
        <v>1</v>
      </c>
      <c r="U628">
        <v>5</v>
      </c>
      <c r="V628">
        <v>118.69</v>
      </c>
      <c r="W628">
        <v>13130000626</v>
      </c>
    </row>
    <row r="629" spans="1:23" x14ac:dyDescent="0.2">
      <c r="A629" s="1">
        <v>44793</v>
      </c>
      <c r="B629" s="2">
        <v>0.60215277777777776</v>
      </c>
      <c r="C629">
        <v>1627</v>
      </c>
      <c r="D629">
        <v>13002561</v>
      </c>
      <c r="E629">
        <v>13</v>
      </c>
      <c r="F629">
        <v>22589</v>
      </c>
      <c r="G629" t="s">
        <v>23</v>
      </c>
      <c r="H629">
        <v>15</v>
      </c>
      <c r="I629">
        <v>77005</v>
      </c>
      <c r="J629" t="s">
        <v>53</v>
      </c>
      <c r="K629" t="s">
        <v>44</v>
      </c>
      <c r="L629" t="s">
        <v>34</v>
      </c>
      <c r="M629">
        <v>3</v>
      </c>
      <c r="N629">
        <v>121.42</v>
      </c>
      <c r="O629">
        <v>180.16</v>
      </c>
      <c r="P629">
        <v>9.01</v>
      </c>
      <c r="Q629">
        <v>9.01</v>
      </c>
      <c r="R629" t="s">
        <v>30</v>
      </c>
      <c r="S629">
        <v>29</v>
      </c>
      <c r="T629">
        <v>1</v>
      </c>
      <c r="U629">
        <v>4</v>
      </c>
      <c r="V629">
        <v>171.15</v>
      </c>
      <c r="W629">
        <v>13130000627</v>
      </c>
    </row>
    <row r="630" spans="1:23" x14ac:dyDescent="0.2">
      <c r="A630" s="1">
        <v>44790</v>
      </c>
      <c r="B630" s="2">
        <v>0.62210648148148151</v>
      </c>
      <c r="C630">
        <v>1628</v>
      </c>
      <c r="D630">
        <v>13002561</v>
      </c>
      <c r="E630">
        <v>13</v>
      </c>
      <c r="F630">
        <v>22589</v>
      </c>
      <c r="G630" t="s">
        <v>23</v>
      </c>
      <c r="H630">
        <v>15</v>
      </c>
      <c r="I630">
        <v>12180</v>
      </c>
      <c r="J630" t="s">
        <v>49</v>
      </c>
      <c r="K630" t="s">
        <v>25</v>
      </c>
      <c r="L630" t="s">
        <v>32</v>
      </c>
      <c r="M630">
        <v>3</v>
      </c>
      <c r="N630">
        <v>176.37</v>
      </c>
      <c r="O630">
        <v>296.69</v>
      </c>
      <c r="P630">
        <v>29.67</v>
      </c>
      <c r="Q630">
        <v>29.67</v>
      </c>
      <c r="R630" t="s">
        <v>30</v>
      </c>
      <c r="S630">
        <v>29</v>
      </c>
      <c r="T630">
        <v>1</v>
      </c>
      <c r="U630">
        <v>1</v>
      </c>
      <c r="V630">
        <v>267.02</v>
      </c>
      <c r="W630">
        <v>13130000628</v>
      </c>
    </row>
    <row r="631" spans="1:23" x14ac:dyDescent="0.2">
      <c r="A631" s="1">
        <v>44801</v>
      </c>
      <c r="B631" s="2">
        <v>0.87792824074074072</v>
      </c>
      <c r="C631">
        <v>1629</v>
      </c>
      <c r="D631">
        <v>13002561</v>
      </c>
      <c r="E631">
        <v>13</v>
      </c>
      <c r="F631">
        <v>22589</v>
      </c>
      <c r="G631" t="s">
        <v>23</v>
      </c>
      <c r="H631">
        <v>15</v>
      </c>
      <c r="I631">
        <v>56446</v>
      </c>
      <c r="J631" t="s">
        <v>102</v>
      </c>
      <c r="K631" t="s">
        <v>44</v>
      </c>
      <c r="L631" t="s">
        <v>39</v>
      </c>
      <c r="M631">
        <v>1</v>
      </c>
      <c r="N631">
        <v>385.25</v>
      </c>
      <c r="O631">
        <v>597.73</v>
      </c>
      <c r="P631">
        <v>0</v>
      </c>
      <c r="Q631">
        <v>0</v>
      </c>
      <c r="S631">
        <v>29</v>
      </c>
      <c r="T631">
        <v>1</v>
      </c>
      <c r="U631">
        <v>5</v>
      </c>
      <c r="V631">
        <v>597.73</v>
      </c>
      <c r="W631">
        <v>13130000629</v>
      </c>
    </row>
    <row r="632" spans="1:23" x14ac:dyDescent="0.2">
      <c r="A632" s="1">
        <v>44787</v>
      </c>
      <c r="B632" s="2">
        <v>0.7326273148148148</v>
      </c>
      <c r="C632">
        <v>1630</v>
      </c>
      <c r="D632">
        <v>13002561</v>
      </c>
      <c r="E632">
        <v>13</v>
      </c>
      <c r="F632">
        <v>22589</v>
      </c>
      <c r="G632" t="s">
        <v>23</v>
      </c>
      <c r="H632">
        <v>18</v>
      </c>
      <c r="I632">
        <v>99910</v>
      </c>
      <c r="J632" t="s">
        <v>50</v>
      </c>
      <c r="K632" t="s">
        <v>44</v>
      </c>
      <c r="L632" t="s">
        <v>32</v>
      </c>
      <c r="M632">
        <v>3</v>
      </c>
      <c r="N632">
        <v>221.77</v>
      </c>
      <c r="O632">
        <v>331.39</v>
      </c>
      <c r="P632">
        <v>16.57</v>
      </c>
      <c r="Q632">
        <v>16.57</v>
      </c>
      <c r="R632" t="s">
        <v>30</v>
      </c>
      <c r="S632">
        <v>29</v>
      </c>
      <c r="T632">
        <v>1</v>
      </c>
      <c r="U632">
        <v>5</v>
      </c>
      <c r="V632">
        <v>314.82</v>
      </c>
      <c r="W632">
        <v>13130000630</v>
      </c>
    </row>
    <row r="633" spans="1:23" x14ac:dyDescent="0.2">
      <c r="A633" s="1">
        <v>44800</v>
      </c>
      <c r="B633" s="2">
        <v>0.82730324074074069</v>
      </c>
      <c r="C633">
        <v>1631</v>
      </c>
      <c r="D633">
        <v>13002561</v>
      </c>
      <c r="E633">
        <v>13</v>
      </c>
      <c r="F633">
        <v>22589</v>
      </c>
      <c r="G633" t="s">
        <v>23</v>
      </c>
      <c r="H633">
        <v>15</v>
      </c>
      <c r="I633">
        <v>29277</v>
      </c>
      <c r="J633" t="s">
        <v>126</v>
      </c>
      <c r="K633" t="s">
        <v>25</v>
      </c>
      <c r="L633" t="s">
        <v>26</v>
      </c>
      <c r="M633">
        <v>2</v>
      </c>
      <c r="N633">
        <v>375.73</v>
      </c>
      <c r="O633">
        <v>567.16</v>
      </c>
      <c r="P633">
        <v>0</v>
      </c>
      <c r="Q633">
        <v>0</v>
      </c>
      <c r="S633">
        <v>29</v>
      </c>
      <c r="T633">
        <v>1</v>
      </c>
      <c r="U633">
        <v>2</v>
      </c>
      <c r="V633">
        <v>567.16</v>
      </c>
      <c r="W633">
        <v>13130000631</v>
      </c>
    </row>
    <row r="634" spans="1:23" x14ac:dyDescent="0.2">
      <c r="A634" s="1">
        <v>44795</v>
      </c>
      <c r="B634" s="2">
        <v>0.71599537037037042</v>
      </c>
      <c r="C634">
        <v>1632</v>
      </c>
      <c r="D634">
        <v>13002561</v>
      </c>
      <c r="E634">
        <v>13</v>
      </c>
      <c r="F634">
        <v>22589</v>
      </c>
      <c r="G634" t="s">
        <v>23</v>
      </c>
      <c r="H634">
        <v>18</v>
      </c>
      <c r="I634">
        <v>38869</v>
      </c>
      <c r="J634" t="s">
        <v>90</v>
      </c>
      <c r="K634" t="s">
        <v>44</v>
      </c>
      <c r="L634" t="s">
        <v>36</v>
      </c>
      <c r="M634">
        <v>1</v>
      </c>
      <c r="N634">
        <v>190.41</v>
      </c>
      <c r="O634">
        <v>314.92</v>
      </c>
      <c r="P634">
        <v>15.75</v>
      </c>
      <c r="Q634">
        <v>15.75</v>
      </c>
      <c r="R634" t="s">
        <v>30</v>
      </c>
      <c r="S634">
        <v>29</v>
      </c>
      <c r="T634">
        <v>1</v>
      </c>
      <c r="U634">
        <v>4</v>
      </c>
      <c r="V634">
        <v>299.17</v>
      </c>
      <c r="W634">
        <v>13130000632</v>
      </c>
    </row>
    <row r="635" spans="1:23" x14ac:dyDescent="0.2">
      <c r="A635" s="1">
        <v>44774</v>
      </c>
      <c r="B635" s="2">
        <v>0.38828703703703699</v>
      </c>
      <c r="C635">
        <v>1633</v>
      </c>
      <c r="D635">
        <v>13002561</v>
      </c>
      <c r="E635">
        <v>13</v>
      </c>
      <c r="F635">
        <v>22589</v>
      </c>
      <c r="G635" t="s">
        <v>23</v>
      </c>
      <c r="H635">
        <v>15</v>
      </c>
      <c r="I635">
        <v>70537</v>
      </c>
      <c r="J635" t="s">
        <v>61</v>
      </c>
      <c r="K635" t="s">
        <v>45</v>
      </c>
      <c r="L635" t="s">
        <v>36</v>
      </c>
      <c r="M635">
        <v>3</v>
      </c>
      <c r="N635">
        <v>209.94</v>
      </c>
      <c r="O635">
        <v>337.54</v>
      </c>
      <c r="P635">
        <v>16.88</v>
      </c>
      <c r="Q635">
        <v>16.88</v>
      </c>
      <c r="R635" t="s">
        <v>30</v>
      </c>
      <c r="S635">
        <v>29</v>
      </c>
      <c r="T635">
        <v>1</v>
      </c>
      <c r="U635">
        <v>1</v>
      </c>
      <c r="V635">
        <v>320.66000000000003</v>
      </c>
      <c r="W635">
        <v>13130000633</v>
      </c>
    </row>
    <row r="636" spans="1:23" x14ac:dyDescent="0.2">
      <c r="A636" s="1">
        <v>44791</v>
      </c>
      <c r="B636" s="2">
        <v>0.81716435185185188</v>
      </c>
      <c r="C636">
        <v>1634</v>
      </c>
      <c r="D636">
        <v>13002561</v>
      </c>
      <c r="E636">
        <v>13</v>
      </c>
      <c r="F636">
        <v>22589</v>
      </c>
      <c r="G636" t="s">
        <v>23</v>
      </c>
      <c r="H636">
        <v>15</v>
      </c>
      <c r="I636">
        <v>20448</v>
      </c>
      <c r="J636" t="s">
        <v>75</v>
      </c>
      <c r="K636" t="s">
        <v>44</v>
      </c>
      <c r="L636" t="s">
        <v>29</v>
      </c>
      <c r="M636">
        <v>3</v>
      </c>
      <c r="N636">
        <v>247.33</v>
      </c>
      <c r="O636">
        <v>395.39</v>
      </c>
      <c r="P636">
        <v>0</v>
      </c>
      <c r="Q636">
        <v>0</v>
      </c>
      <c r="S636">
        <v>29</v>
      </c>
      <c r="T636">
        <v>1</v>
      </c>
      <c r="U636">
        <v>2</v>
      </c>
      <c r="V636">
        <v>395.39</v>
      </c>
      <c r="W636">
        <v>13130000634</v>
      </c>
    </row>
    <row r="637" spans="1:23" x14ac:dyDescent="0.2">
      <c r="A637" s="1">
        <v>44781</v>
      </c>
      <c r="B637" s="2">
        <v>0.75276620370370373</v>
      </c>
      <c r="C637">
        <v>1635</v>
      </c>
      <c r="D637">
        <v>13002561</v>
      </c>
      <c r="E637">
        <v>13</v>
      </c>
      <c r="F637">
        <v>22589</v>
      </c>
      <c r="G637" t="s">
        <v>23</v>
      </c>
      <c r="H637">
        <v>15</v>
      </c>
      <c r="I637">
        <v>25337</v>
      </c>
      <c r="J637" t="s">
        <v>54</v>
      </c>
      <c r="K637" t="s">
        <v>38</v>
      </c>
      <c r="L637" t="s">
        <v>32</v>
      </c>
      <c r="M637">
        <v>3</v>
      </c>
      <c r="N637">
        <v>583.16</v>
      </c>
      <c r="O637">
        <v>899.92</v>
      </c>
      <c r="P637">
        <v>45</v>
      </c>
      <c r="Q637">
        <v>45</v>
      </c>
      <c r="R637" t="s">
        <v>30</v>
      </c>
      <c r="S637">
        <v>29</v>
      </c>
      <c r="T637">
        <v>1</v>
      </c>
      <c r="U637">
        <v>5</v>
      </c>
      <c r="V637">
        <v>854.92</v>
      </c>
      <c r="W637">
        <v>13130000635</v>
      </c>
    </row>
    <row r="638" spans="1:23" x14ac:dyDescent="0.2">
      <c r="A638" s="1">
        <v>44803</v>
      </c>
      <c r="B638" s="2">
        <v>0.53486111111111112</v>
      </c>
      <c r="C638">
        <v>1636</v>
      </c>
      <c r="D638">
        <v>13002561</v>
      </c>
      <c r="E638">
        <v>13</v>
      </c>
      <c r="F638">
        <v>22589</v>
      </c>
      <c r="G638" t="s">
        <v>23</v>
      </c>
      <c r="H638">
        <v>18</v>
      </c>
      <c r="I638">
        <v>39338</v>
      </c>
      <c r="J638" t="s">
        <v>119</v>
      </c>
      <c r="K638" t="s">
        <v>44</v>
      </c>
      <c r="L638" t="s">
        <v>39</v>
      </c>
      <c r="M638">
        <v>2</v>
      </c>
      <c r="N638">
        <v>179.71</v>
      </c>
      <c r="O638">
        <v>255.29</v>
      </c>
      <c r="P638">
        <v>25.53</v>
      </c>
      <c r="Q638">
        <v>25.53</v>
      </c>
      <c r="R638" t="s">
        <v>30</v>
      </c>
      <c r="S638">
        <v>29</v>
      </c>
      <c r="T638">
        <v>1</v>
      </c>
      <c r="U638">
        <v>2</v>
      </c>
      <c r="V638">
        <v>229.76</v>
      </c>
      <c r="W638">
        <v>13130000636</v>
      </c>
    </row>
    <row r="639" spans="1:23" x14ac:dyDescent="0.2">
      <c r="A639" s="1">
        <v>44780</v>
      </c>
      <c r="B639" s="2">
        <v>0.61190972222222217</v>
      </c>
      <c r="C639">
        <v>1637</v>
      </c>
      <c r="D639">
        <v>13002561</v>
      </c>
      <c r="E639">
        <v>13</v>
      </c>
      <c r="F639">
        <v>22589</v>
      </c>
      <c r="G639" t="s">
        <v>23</v>
      </c>
      <c r="H639">
        <v>18</v>
      </c>
      <c r="I639">
        <v>34033</v>
      </c>
      <c r="J639" t="s">
        <v>74</v>
      </c>
      <c r="K639" t="s">
        <v>44</v>
      </c>
      <c r="L639" t="s">
        <v>32</v>
      </c>
      <c r="M639">
        <v>2</v>
      </c>
      <c r="N639">
        <v>224.99</v>
      </c>
      <c r="O639">
        <v>325.83999999999997</v>
      </c>
      <c r="P639">
        <v>16.29</v>
      </c>
      <c r="Q639">
        <v>16.29</v>
      </c>
      <c r="R639" t="s">
        <v>30</v>
      </c>
      <c r="S639">
        <v>29</v>
      </c>
      <c r="T639">
        <v>1</v>
      </c>
      <c r="U639">
        <v>1</v>
      </c>
      <c r="V639">
        <v>309.55</v>
      </c>
      <c r="W639">
        <v>13130000637</v>
      </c>
    </row>
    <row r="640" spans="1:23" x14ac:dyDescent="0.2">
      <c r="A640" s="1">
        <v>44797</v>
      </c>
      <c r="B640" s="2">
        <v>0.47271990740740738</v>
      </c>
      <c r="C640">
        <v>1638</v>
      </c>
      <c r="D640">
        <v>13002561</v>
      </c>
      <c r="E640">
        <v>13</v>
      </c>
      <c r="F640">
        <v>22589</v>
      </c>
      <c r="G640" t="s">
        <v>23</v>
      </c>
      <c r="H640">
        <v>15</v>
      </c>
      <c r="I640">
        <v>91429</v>
      </c>
      <c r="J640" t="s">
        <v>40</v>
      </c>
      <c r="K640" t="s">
        <v>45</v>
      </c>
      <c r="L640" t="s">
        <v>39</v>
      </c>
      <c r="M640">
        <v>1</v>
      </c>
      <c r="N640">
        <v>41.44</v>
      </c>
      <c r="O640">
        <v>58.65</v>
      </c>
      <c r="P640">
        <v>2.93</v>
      </c>
      <c r="Q640">
        <v>2.93</v>
      </c>
      <c r="R640" t="s">
        <v>30</v>
      </c>
      <c r="S640">
        <v>29</v>
      </c>
      <c r="T640">
        <v>1</v>
      </c>
      <c r="U640">
        <v>5</v>
      </c>
      <c r="V640">
        <v>55.72</v>
      </c>
      <c r="W640">
        <v>13130000638</v>
      </c>
    </row>
    <row r="641" spans="1:23" x14ac:dyDescent="0.2">
      <c r="A641" s="1">
        <v>44802</v>
      </c>
      <c r="B641" s="2">
        <v>0.77785879629629628</v>
      </c>
      <c r="C641">
        <v>1639</v>
      </c>
      <c r="D641">
        <v>13002561</v>
      </c>
      <c r="E641">
        <v>13</v>
      </c>
      <c r="F641">
        <v>22589</v>
      </c>
      <c r="G641" t="s">
        <v>23</v>
      </c>
      <c r="H641">
        <v>15</v>
      </c>
      <c r="I641">
        <v>55374</v>
      </c>
      <c r="J641" t="s">
        <v>68</v>
      </c>
      <c r="K641" t="s">
        <v>45</v>
      </c>
      <c r="L641" t="s">
        <v>29</v>
      </c>
      <c r="M641">
        <v>3</v>
      </c>
      <c r="N641">
        <v>79.42</v>
      </c>
      <c r="O641">
        <v>106.51</v>
      </c>
      <c r="P641">
        <v>0</v>
      </c>
      <c r="Q641">
        <v>0</v>
      </c>
      <c r="S641">
        <v>29</v>
      </c>
      <c r="T641">
        <v>1</v>
      </c>
      <c r="U641">
        <v>1</v>
      </c>
      <c r="V641">
        <v>106.51</v>
      </c>
      <c r="W641">
        <v>13130000639</v>
      </c>
    </row>
    <row r="642" spans="1:23" x14ac:dyDescent="0.2">
      <c r="A642" s="1">
        <v>44786</v>
      </c>
      <c r="B642" s="2">
        <v>0.43483796296296301</v>
      </c>
      <c r="C642">
        <v>1640</v>
      </c>
      <c r="D642">
        <v>13002561</v>
      </c>
      <c r="E642">
        <v>13</v>
      </c>
      <c r="F642">
        <v>22589</v>
      </c>
      <c r="G642" t="s">
        <v>23</v>
      </c>
      <c r="H642">
        <v>18</v>
      </c>
      <c r="I642">
        <v>51979</v>
      </c>
      <c r="J642" t="s">
        <v>64</v>
      </c>
      <c r="K642" t="s">
        <v>25</v>
      </c>
      <c r="L642" t="s">
        <v>51</v>
      </c>
      <c r="M642">
        <v>3</v>
      </c>
      <c r="N642">
        <v>153.53</v>
      </c>
      <c r="O642">
        <v>195.21</v>
      </c>
      <c r="P642">
        <v>9.76</v>
      </c>
      <c r="Q642">
        <v>9.76</v>
      </c>
      <c r="R642" t="s">
        <v>30</v>
      </c>
      <c r="S642">
        <v>29</v>
      </c>
      <c r="T642">
        <v>1</v>
      </c>
      <c r="U642">
        <v>2</v>
      </c>
      <c r="V642">
        <v>185.45</v>
      </c>
      <c r="W642">
        <v>13130000640</v>
      </c>
    </row>
    <row r="643" spans="1:23" x14ac:dyDescent="0.2">
      <c r="A643" s="1">
        <v>44776</v>
      </c>
      <c r="B643" s="2">
        <v>0.82002314814814814</v>
      </c>
      <c r="C643">
        <v>1641</v>
      </c>
      <c r="D643">
        <v>13002561</v>
      </c>
      <c r="E643">
        <v>13</v>
      </c>
      <c r="F643">
        <v>22589</v>
      </c>
      <c r="G643" t="s">
        <v>23</v>
      </c>
      <c r="H643">
        <v>18</v>
      </c>
      <c r="I643">
        <v>77695</v>
      </c>
      <c r="J643" t="s">
        <v>124</v>
      </c>
      <c r="K643" t="s">
        <v>38</v>
      </c>
      <c r="L643" t="s">
        <v>51</v>
      </c>
      <c r="M643">
        <v>3</v>
      </c>
      <c r="N643">
        <v>78.09</v>
      </c>
      <c r="O643">
        <v>104.56</v>
      </c>
      <c r="P643">
        <v>5.23</v>
      </c>
      <c r="Q643">
        <v>5.23</v>
      </c>
      <c r="R643" t="s">
        <v>30</v>
      </c>
      <c r="S643">
        <v>29</v>
      </c>
      <c r="T643">
        <v>1</v>
      </c>
      <c r="U643">
        <v>6</v>
      </c>
      <c r="V643">
        <v>99.33</v>
      </c>
      <c r="W643">
        <v>13130000641</v>
      </c>
    </row>
    <row r="644" spans="1:23" x14ac:dyDescent="0.2">
      <c r="A644" s="1">
        <v>44782</v>
      </c>
      <c r="B644" s="2">
        <v>0.67858796296296298</v>
      </c>
      <c r="C644">
        <v>1642</v>
      </c>
      <c r="D644">
        <v>13002561</v>
      </c>
      <c r="E644">
        <v>13</v>
      </c>
      <c r="F644">
        <v>22589</v>
      </c>
      <c r="G644" t="s">
        <v>23</v>
      </c>
      <c r="H644">
        <v>18</v>
      </c>
      <c r="I644">
        <v>29936</v>
      </c>
      <c r="J644" t="s">
        <v>66</v>
      </c>
      <c r="K644" t="s">
        <v>25</v>
      </c>
      <c r="L644" t="s">
        <v>26</v>
      </c>
      <c r="M644">
        <v>3</v>
      </c>
      <c r="N644">
        <v>462.15</v>
      </c>
      <c r="O644">
        <v>675.53</v>
      </c>
      <c r="P644">
        <v>0</v>
      </c>
      <c r="Q644">
        <v>0</v>
      </c>
      <c r="S644">
        <v>29</v>
      </c>
      <c r="T644">
        <v>1</v>
      </c>
      <c r="U644">
        <v>5</v>
      </c>
      <c r="V644">
        <v>675.53</v>
      </c>
      <c r="W644">
        <v>13130000642</v>
      </c>
    </row>
    <row r="645" spans="1:23" x14ac:dyDescent="0.2">
      <c r="A645" s="1">
        <v>44789</v>
      </c>
      <c r="B645" s="2">
        <v>0.48539351851851847</v>
      </c>
      <c r="C645">
        <v>1643</v>
      </c>
      <c r="D645">
        <v>13002561</v>
      </c>
      <c r="E645">
        <v>13</v>
      </c>
      <c r="F645">
        <v>22589</v>
      </c>
      <c r="G645" t="s">
        <v>23</v>
      </c>
      <c r="H645">
        <v>15</v>
      </c>
      <c r="I645">
        <v>57929</v>
      </c>
      <c r="J645" t="s">
        <v>64</v>
      </c>
      <c r="K645" t="s">
        <v>45</v>
      </c>
      <c r="L645" t="s">
        <v>51</v>
      </c>
      <c r="M645">
        <v>2</v>
      </c>
      <c r="N645">
        <v>507.34</v>
      </c>
      <c r="O645">
        <v>759.13</v>
      </c>
      <c r="P645">
        <v>0</v>
      </c>
      <c r="Q645">
        <v>0</v>
      </c>
      <c r="S645">
        <v>29</v>
      </c>
      <c r="T645">
        <v>1</v>
      </c>
      <c r="U645">
        <v>6</v>
      </c>
      <c r="V645">
        <v>759.13</v>
      </c>
      <c r="W645">
        <v>13130000643</v>
      </c>
    </row>
    <row r="646" spans="1:23" x14ac:dyDescent="0.2">
      <c r="A646" s="1">
        <v>44789</v>
      </c>
      <c r="B646" s="2">
        <v>0.49179398148148151</v>
      </c>
      <c r="C646">
        <v>1644</v>
      </c>
      <c r="D646">
        <v>13002561</v>
      </c>
      <c r="E646">
        <v>13</v>
      </c>
      <c r="F646">
        <v>22589</v>
      </c>
      <c r="G646" t="s">
        <v>23</v>
      </c>
      <c r="H646">
        <v>18</v>
      </c>
      <c r="I646">
        <v>57210</v>
      </c>
      <c r="J646" t="s">
        <v>121</v>
      </c>
      <c r="K646" t="s">
        <v>44</v>
      </c>
      <c r="L646" t="s">
        <v>36</v>
      </c>
      <c r="M646">
        <v>3</v>
      </c>
      <c r="N646">
        <v>409.48</v>
      </c>
      <c r="O646">
        <v>519.62</v>
      </c>
      <c r="P646">
        <v>51.96</v>
      </c>
      <c r="Q646">
        <v>51.96</v>
      </c>
      <c r="R646" t="s">
        <v>30</v>
      </c>
      <c r="S646">
        <v>29</v>
      </c>
      <c r="T646">
        <v>1</v>
      </c>
      <c r="U646">
        <v>2</v>
      </c>
      <c r="V646">
        <v>467.66</v>
      </c>
      <c r="W646">
        <v>13130000644</v>
      </c>
    </row>
    <row r="647" spans="1:23" x14ac:dyDescent="0.2">
      <c r="A647" s="1">
        <v>44781</v>
      </c>
      <c r="B647" s="2">
        <v>0.50259259259259259</v>
      </c>
      <c r="C647">
        <v>1645</v>
      </c>
      <c r="D647">
        <v>13002561</v>
      </c>
      <c r="E647">
        <v>13</v>
      </c>
      <c r="F647">
        <v>22589</v>
      </c>
      <c r="G647" t="s">
        <v>23</v>
      </c>
      <c r="H647">
        <v>18</v>
      </c>
      <c r="I647">
        <v>28084</v>
      </c>
      <c r="J647" t="s">
        <v>48</v>
      </c>
      <c r="K647" t="s">
        <v>44</v>
      </c>
      <c r="L647" t="s">
        <v>26</v>
      </c>
      <c r="M647">
        <v>1</v>
      </c>
      <c r="N647">
        <v>165.05</v>
      </c>
      <c r="O647">
        <v>224.68</v>
      </c>
      <c r="P647">
        <v>11.23</v>
      </c>
      <c r="Q647">
        <v>11.23</v>
      </c>
      <c r="R647" t="s">
        <v>30</v>
      </c>
      <c r="S647">
        <v>29</v>
      </c>
      <c r="T647">
        <v>1</v>
      </c>
      <c r="U647">
        <v>5</v>
      </c>
      <c r="V647">
        <v>213.45</v>
      </c>
      <c r="W647">
        <v>13130000645</v>
      </c>
    </row>
    <row r="648" spans="1:23" x14ac:dyDescent="0.2">
      <c r="A648" s="1">
        <v>44792</v>
      </c>
      <c r="B648" s="2">
        <v>0.41945601851851849</v>
      </c>
      <c r="C648">
        <v>1646</v>
      </c>
      <c r="D648">
        <v>13002561</v>
      </c>
      <c r="E648">
        <v>13</v>
      </c>
      <c r="F648">
        <v>22589</v>
      </c>
      <c r="G648" t="s">
        <v>23</v>
      </c>
      <c r="H648">
        <v>15</v>
      </c>
      <c r="I648">
        <v>56744</v>
      </c>
      <c r="J648" t="s">
        <v>31</v>
      </c>
      <c r="K648" t="s">
        <v>38</v>
      </c>
      <c r="L648" t="s">
        <v>36</v>
      </c>
      <c r="M648">
        <v>1</v>
      </c>
      <c r="N648">
        <v>327.32</v>
      </c>
      <c r="O648">
        <v>414.51</v>
      </c>
      <c r="P648">
        <v>41.45</v>
      </c>
      <c r="Q648">
        <v>41.45</v>
      </c>
      <c r="R648" t="s">
        <v>30</v>
      </c>
      <c r="S648">
        <v>29</v>
      </c>
      <c r="T648">
        <v>1</v>
      </c>
      <c r="U648">
        <v>2</v>
      </c>
      <c r="V648">
        <v>373.06</v>
      </c>
      <c r="W648">
        <v>13130000646</v>
      </c>
    </row>
    <row r="649" spans="1:23" x14ac:dyDescent="0.2">
      <c r="A649" s="1">
        <v>44795</v>
      </c>
      <c r="B649" s="2">
        <v>0.39456018518518521</v>
      </c>
      <c r="C649">
        <v>1647</v>
      </c>
      <c r="D649">
        <v>13002561</v>
      </c>
      <c r="E649">
        <v>13</v>
      </c>
      <c r="F649">
        <v>22589</v>
      </c>
      <c r="G649" t="s">
        <v>23</v>
      </c>
      <c r="H649">
        <v>15</v>
      </c>
      <c r="I649">
        <v>83838</v>
      </c>
      <c r="J649" t="s">
        <v>111</v>
      </c>
      <c r="K649" t="s">
        <v>45</v>
      </c>
      <c r="L649" t="s">
        <v>26</v>
      </c>
      <c r="M649">
        <v>2</v>
      </c>
      <c r="N649">
        <v>370.06</v>
      </c>
      <c r="O649">
        <v>471.88</v>
      </c>
      <c r="P649">
        <v>47.19</v>
      </c>
      <c r="Q649">
        <v>47.19</v>
      </c>
      <c r="R649" t="s">
        <v>30</v>
      </c>
      <c r="S649">
        <v>29</v>
      </c>
      <c r="T649">
        <v>1</v>
      </c>
      <c r="U649">
        <v>6</v>
      </c>
      <c r="V649">
        <v>424.69</v>
      </c>
      <c r="W649">
        <v>13130000647</v>
      </c>
    </row>
    <row r="650" spans="1:23" x14ac:dyDescent="0.2">
      <c r="A650" s="1">
        <v>44777</v>
      </c>
      <c r="B650" s="2">
        <v>0.86962962962962964</v>
      </c>
      <c r="C650">
        <v>1648</v>
      </c>
      <c r="D650">
        <v>13002561</v>
      </c>
      <c r="E650">
        <v>13</v>
      </c>
      <c r="F650">
        <v>22589</v>
      </c>
      <c r="G650" t="s">
        <v>23</v>
      </c>
      <c r="H650">
        <v>18</v>
      </c>
      <c r="I650">
        <v>46339</v>
      </c>
      <c r="J650" t="s">
        <v>67</v>
      </c>
      <c r="K650" t="s">
        <v>60</v>
      </c>
      <c r="L650" t="s">
        <v>39</v>
      </c>
      <c r="M650">
        <v>3</v>
      </c>
      <c r="N650">
        <v>59.18</v>
      </c>
      <c r="O650">
        <v>85.72</v>
      </c>
      <c r="P650">
        <v>8.57</v>
      </c>
      <c r="Q650">
        <v>8.57</v>
      </c>
      <c r="R650" t="s">
        <v>30</v>
      </c>
      <c r="S650">
        <v>29</v>
      </c>
      <c r="T650">
        <v>1</v>
      </c>
      <c r="U650">
        <v>4</v>
      </c>
      <c r="V650">
        <v>77.150000000000006</v>
      </c>
      <c r="W650">
        <v>13130000648</v>
      </c>
    </row>
    <row r="651" spans="1:23" x14ac:dyDescent="0.2">
      <c r="A651" s="1">
        <v>44776</v>
      </c>
      <c r="B651" s="2">
        <v>0.8256944444444444</v>
      </c>
      <c r="C651">
        <v>1649</v>
      </c>
      <c r="D651">
        <v>13002561</v>
      </c>
      <c r="E651">
        <v>13</v>
      </c>
      <c r="F651">
        <v>22589</v>
      </c>
      <c r="G651" t="s">
        <v>23</v>
      </c>
      <c r="H651">
        <v>15</v>
      </c>
      <c r="I651">
        <v>44301</v>
      </c>
      <c r="J651" t="s">
        <v>41</v>
      </c>
      <c r="K651" t="s">
        <v>25</v>
      </c>
      <c r="L651" t="s">
        <v>34</v>
      </c>
      <c r="M651">
        <v>1</v>
      </c>
      <c r="N651">
        <v>270.45999999999998</v>
      </c>
      <c r="O651">
        <v>346.68</v>
      </c>
      <c r="P651">
        <v>17.329999999999998</v>
      </c>
      <c r="Q651">
        <v>17.329999999999998</v>
      </c>
      <c r="R651" t="s">
        <v>30</v>
      </c>
      <c r="S651">
        <v>29</v>
      </c>
      <c r="T651">
        <v>1</v>
      </c>
      <c r="U651">
        <v>1</v>
      </c>
      <c r="V651">
        <v>329.35</v>
      </c>
      <c r="W651">
        <v>13130000649</v>
      </c>
    </row>
    <row r="652" spans="1:23" x14ac:dyDescent="0.2">
      <c r="A652" s="1">
        <v>44775</v>
      </c>
      <c r="B652" s="2">
        <v>0.78336805555555555</v>
      </c>
      <c r="C652">
        <v>1650</v>
      </c>
      <c r="D652">
        <v>13002561</v>
      </c>
      <c r="E652">
        <v>13</v>
      </c>
      <c r="F652">
        <v>22589</v>
      </c>
      <c r="G652" t="s">
        <v>23</v>
      </c>
      <c r="H652">
        <v>18</v>
      </c>
      <c r="I652">
        <v>94060</v>
      </c>
      <c r="J652" t="s">
        <v>78</v>
      </c>
      <c r="K652" t="s">
        <v>44</v>
      </c>
      <c r="L652" t="s">
        <v>51</v>
      </c>
      <c r="M652">
        <v>2</v>
      </c>
      <c r="N652">
        <v>30.19</v>
      </c>
      <c r="O652">
        <v>45.82</v>
      </c>
      <c r="P652">
        <v>0</v>
      </c>
      <c r="Q652">
        <v>0</v>
      </c>
      <c r="S652">
        <v>29</v>
      </c>
      <c r="T652">
        <v>1</v>
      </c>
      <c r="U652">
        <v>2</v>
      </c>
      <c r="V652">
        <v>45.82</v>
      </c>
      <c r="W652">
        <v>13130000650</v>
      </c>
    </row>
    <row r="653" spans="1:23" x14ac:dyDescent="0.2">
      <c r="A653" s="1">
        <v>44783</v>
      </c>
      <c r="B653" s="2">
        <v>0.41711805555555548</v>
      </c>
      <c r="C653">
        <v>1651</v>
      </c>
      <c r="D653">
        <v>13002561</v>
      </c>
      <c r="E653">
        <v>13</v>
      </c>
      <c r="F653">
        <v>22589</v>
      </c>
      <c r="G653" t="s">
        <v>23</v>
      </c>
      <c r="H653">
        <v>15</v>
      </c>
      <c r="I653">
        <v>53526</v>
      </c>
      <c r="J653" t="s">
        <v>77</v>
      </c>
      <c r="K653" t="s">
        <v>44</v>
      </c>
      <c r="L653" t="s">
        <v>32</v>
      </c>
      <c r="M653">
        <v>1</v>
      </c>
      <c r="N653">
        <v>21.34</v>
      </c>
      <c r="O653">
        <v>29.5</v>
      </c>
      <c r="P653">
        <v>1.48</v>
      </c>
      <c r="Q653">
        <v>1.48</v>
      </c>
      <c r="R653" t="s">
        <v>30</v>
      </c>
      <c r="S653">
        <v>29</v>
      </c>
      <c r="T653">
        <v>1</v>
      </c>
      <c r="U653">
        <v>4</v>
      </c>
      <c r="V653">
        <v>28.02</v>
      </c>
      <c r="W653">
        <v>13130000651</v>
      </c>
    </row>
    <row r="654" spans="1:23" x14ac:dyDescent="0.2">
      <c r="A654" s="1">
        <v>44791</v>
      </c>
      <c r="B654" s="2">
        <v>0.51975694444444442</v>
      </c>
      <c r="C654">
        <v>1652</v>
      </c>
      <c r="D654">
        <v>13002561</v>
      </c>
      <c r="E654">
        <v>13</v>
      </c>
      <c r="F654">
        <v>22589</v>
      </c>
      <c r="G654" t="s">
        <v>23</v>
      </c>
      <c r="H654">
        <v>18</v>
      </c>
      <c r="I654">
        <v>71414</v>
      </c>
      <c r="J654" t="s">
        <v>122</v>
      </c>
      <c r="K654" t="s">
        <v>38</v>
      </c>
      <c r="L654" t="s">
        <v>32</v>
      </c>
      <c r="M654">
        <v>1</v>
      </c>
      <c r="N654">
        <v>88.26</v>
      </c>
      <c r="O654">
        <v>133.54</v>
      </c>
      <c r="P654">
        <v>13.35</v>
      </c>
      <c r="Q654">
        <v>13.35</v>
      </c>
      <c r="R654" t="s">
        <v>30</v>
      </c>
      <c r="S654">
        <v>29</v>
      </c>
      <c r="T654">
        <v>1</v>
      </c>
      <c r="U654">
        <v>5</v>
      </c>
      <c r="V654">
        <v>120.19</v>
      </c>
      <c r="W654">
        <v>13130000652</v>
      </c>
    </row>
    <row r="655" spans="1:23" x14ac:dyDescent="0.2">
      <c r="A655" s="1">
        <v>44786</v>
      </c>
      <c r="B655" s="2">
        <v>0.73282407407407413</v>
      </c>
      <c r="C655">
        <v>1653</v>
      </c>
      <c r="D655">
        <v>13002561</v>
      </c>
      <c r="E655">
        <v>13</v>
      </c>
      <c r="F655">
        <v>22589</v>
      </c>
      <c r="G655" t="s">
        <v>23</v>
      </c>
      <c r="H655">
        <v>15</v>
      </c>
      <c r="I655">
        <v>35191</v>
      </c>
      <c r="J655" t="s">
        <v>64</v>
      </c>
      <c r="K655" t="s">
        <v>38</v>
      </c>
      <c r="L655" t="s">
        <v>51</v>
      </c>
      <c r="M655">
        <v>3</v>
      </c>
      <c r="N655">
        <v>347.03</v>
      </c>
      <c r="O655">
        <v>437.79</v>
      </c>
      <c r="P655">
        <v>43.78</v>
      </c>
      <c r="Q655">
        <v>43.78</v>
      </c>
      <c r="R655" t="s">
        <v>30</v>
      </c>
      <c r="S655">
        <v>29</v>
      </c>
      <c r="T655">
        <v>1</v>
      </c>
      <c r="U655">
        <v>6</v>
      </c>
      <c r="V655">
        <v>394.01</v>
      </c>
      <c r="W655">
        <v>13130000653</v>
      </c>
    </row>
    <row r="656" spans="1:23" x14ac:dyDescent="0.2">
      <c r="A656" s="1">
        <v>44774</v>
      </c>
      <c r="B656" s="2">
        <v>0.88641203703703708</v>
      </c>
      <c r="C656">
        <v>1654</v>
      </c>
      <c r="D656">
        <v>13002561</v>
      </c>
      <c r="E656">
        <v>13</v>
      </c>
      <c r="F656">
        <v>22589</v>
      </c>
      <c r="G656" t="s">
        <v>23</v>
      </c>
      <c r="H656">
        <v>15</v>
      </c>
      <c r="I656">
        <v>85514</v>
      </c>
      <c r="J656" t="s">
        <v>94</v>
      </c>
      <c r="K656" t="s">
        <v>38</v>
      </c>
      <c r="L656" t="s">
        <v>34</v>
      </c>
      <c r="M656">
        <v>3</v>
      </c>
      <c r="N656">
        <v>598.55999999999995</v>
      </c>
      <c r="O656">
        <v>806.23</v>
      </c>
      <c r="P656">
        <v>40.31</v>
      </c>
      <c r="Q656">
        <v>40.31</v>
      </c>
      <c r="R656" t="s">
        <v>30</v>
      </c>
      <c r="S656">
        <v>29</v>
      </c>
      <c r="T656">
        <v>1</v>
      </c>
      <c r="U656">
        <v>4</v>
      </c>
      <c r="V656">
        <v>765.92</v>
      </c>
      <c r="W656">
        <v>13130000654</v>
      </c>
    </row>
    <row r="657" spans="1:23" x14ac:dyDescent="0.2">
      <c r="A657" s="1">
        <v>44779</v>
      </c>
      <c r="B657" s="2">
        <v>0.43122685185185178</v>
      </c>
      <c r="C657">
        <v>1655</v>
      </c>
      <c r="D657">
        <v>13002561</v>
      </c>
      <c r="E657">
        <v>13</v>
      </c>
      <c r="F657">
        <v>22589</v>
      </c>
      <c r="G657" t="s">
        <v>23</v>
      </c>
      <c r="H657">
        <v>15</v>
      </c>
      <c r="I657">
        <v>39364</v>
      </c>
      <c r="J657" t="s">
        <v>41</v>
      </c>
      <c r="K657" t="s">
        <v>38</v>
      </c>
      <c r="L657" t="s">
        <v>36</v>
      </c>
      <c r="M657">
        <v>2</v>
      </c>
      <c r="N657">
        <v>439.97</v>
      </c>
      <c r="O657">
        <v>726.16</v>
      </c>
      <c r="P657">
        <v>0</v>
      </c>
      <c r="Q657">
        <v>0</v>
      </c>
      <c r="S657">
        <v>29</v>
      </c>
      <c r="T657">
        <v>1</v>
      </c>
      <c r="U657">
        <v>5</v>
      </c>
      <c r="V657">
        <v>726.16</v>
      </c>
      <c r="W657">
        <v>13130000655</v>
      </c>
    </row>
    <row r="658" spans="1:23" x14ac:dyDescent="0.2">
      <c r="A658" s="1">
        <v>44797</v>
      </c>
      <c r="B658" s="2">
        <v>0.72086805555555555</v>
      </c>
      <c r="C658">
        <v>1656</v>
      </c>
      <c r="D658">
        <v>13002561</v>
      </c>
      <c r="E658">
        <v>13</v>
      </c>
      <c r="F658">
        <v>22589</v>
      </c>
      <c r="G658" t="s">
        <v>23</v>
      </c>
      <c r="H658">
        <v>15</v>
      </c>
      <c r="I658">
        <v>41850</v>
      </c>
      <c r="J658" t="s">
        <v>92</v>
      </c>
      <c r="K658" t="s">
        <v>44</v>
      </c>
      <c r="L658" t="s">
        <v>34</v>
      </c>
      <c r="M658">
        <v>3</v>
      </c>
      <c r="N658">
        <v>161.65</v>
      </c>
      <c r="O658">
        <v>217.68</v>
      </c>
      <c r="P658">
        <v>0</v>
      </c>
      <c r="Q658">
        <v>0</v>
      </c>
      <c r="S658">
        <v>29</v>
      </c>
      <c r="T658">
        <v>1</v>
      </c>
      <c r="U658">
        <v>4</v>
      </c>
      <c r="V658">
        <v>217.68</v>
      </c>
      <c r="W658">
        <v>13130000656</v>
      </c>
    </row>
    <row r="659" spans="1:23" x14ac:dyDescent="0.2">
      <c r="A659" s="1">
        <v>44798</v>
      </c>
      <c r="B659" s="2">
        <v>0.8503356481481481</v>
      </c>
      <c r="C659">
        <v>1657</v>
      </c>
      <c r="D659">
        <v>13002561</v>
      </c>
      <c r="E659">
        <v>13</v>
      </c>
      <c r="F659">
        <v>22589</v>
      </c>
      <c r="G659" t="s">
        <v>23</v>
      </c>
      <c r="H659">
        <v>18</v>
      </c>
      <c r="I659">
        <v>11954</v>
      </c>
      <c r="J659" t="s">
        <v>57</v>
      </c>
      <c r="K659" t="s">
        <v>60</v>
      </c>
      <c r="L659" t="s">
        <v>29</v>
      </c>
      <c r="M659">
        <v>1</v>
      </c>
      <c r="N659">
        <v>543.15</v>
      </c>
      <c r="O659">
        <v>891.5</v>
      </c>
      <c r="P659">
        <v>89.15</v>
      </c>
      <c r="Q659">
        <v>89.15</v>
      </c>
      <c r="R659" t="s">
        <v>30</v>
      </c>
      <c r="S659">
        <v>29</v>
      </c>
      <c r="T659">
        <v>1</v>
      </c>
      <c r="U659">
        <v>6</v>
      </c>
      <c r="V659">
        <v>802.35</v>
      </c>
      <c r="W659">
        <v>13130000657</v>
      </c>
    </row>
    <row r="660" spans="1:23" x14ac:dyDescent="0.2">
      <c r="A660" s="1">
        <v>44785</v>
      </c>
      <c r="B660" s="2">
        <v>0.79800925925925925</v>
      </c>
      <c r="C660">
        <v>1658</v>
      </c>
      <c r="D660">
        <v>13002561</v>
      </c>
      <c r="E660">
        <v>13</v>
      </c>
      <c r="F660">
        <v>22589</v>
      </c>
      <c r="G660" t="s">
        <v>23</v>
      </c>
      <c r="H660">
        <v>15</v>
      </c>
      <c r="I660">
        <v>66093</v>
      </c>
      <c r="J660" t="s">
        <v>105</v>
      </c>
      <c r="K660" t="s">
        <v>60</v>
      </c>
      <c r="L660" t="s">
        <v>36</v>
      </c>
      <c r="M660">
        <v>2</v>
      </c>
      <c r="N660">
        <v>245.57</v>
      </c>
      <c r="O660">
        <v>389.36</v>
      </c>
      <c r="P660">
        <v>38.94</v>
      </c>
      <c r="Q660">
        <v>38.94</v>
      </c>
      <c r="R660" t="s">
        <v>30</v>
      </c>
      <c r="S660">
        <v>29</v>
      </c>
      <c r="T660">
        <v>1</v>
      </c>
      <c r="U660">
        <v>4</v>
      </c>
      <c r="V660">
        <v>350.42</v>
      </c>
      <c r="W660">
        <v>13130000658</v>
      </c>
    </row>
    <row r="661" spans="1:23" x14ac:dyDescent="0.2">
      <c r="A661" s="1">
        <v>44788</v>
      </c>
      <c r="B661" s="2">
        <v>0.8606597222222222</v>
      </c>
      <c r="C661">
        <v>1659</v>
      </c>
      <c r="D661">
        <v>13002561</v>
      </c>
      <c r="E661">
        <v>13</v>
      </c>
      <c r="F661">
        <v>22589</v>
      </c>
      <c r="G661" t="s">
        <v>23</v>
      </c>
      <c r="H661">
        <v>18</v>
      </c>
      <c r="I661">
        <v>42917</v>
      </c>
      <c r="J661" t="s">
        <v>111</v>
      </c>
      <c r="K661" t="s">
        <v>28</v>
      </c>
      <c r="L661" t="s">
        <v>51</v>
      </c>
      <c r="M661">
        <v>3</v>
      </c>
      <c r="N661">
        <v>90.83</v>
      </c>
      <c r="O661">
        <v>144.35</v>
      </c>
      <c r="P661">
        <v>0</v>
      </c>
      <c r="Q661">
        <v>0</v>
      </c>
      <c r="S661">
        <v>29</v>
      </c>
      <c r="T661">
        <v>1</v>
      </c>
      <c r="U661">
        <v>1</v>
      </c>
      <c r="V661">
        <v>144.35</v>
      </c>
      <c r="W661">
        <v>13130000659</v>
      </c>
    </row>
    <row r="662" spans="1:23" x14ac:dyDescent="0.2">
      <c r="A662" s="1">
        <v>44794</v>
      </c>
      <c r="B662" s="2">
        <v>0.82967592592592587</v>
      </c>
      <c r="C662">
        <v>1660</v>
      </c>
      <c r="D662">
        <v>13002561</v>
      </c>
      <c r="E662">
        <v>13</v>
      </c>
      <c r="F662">
        <v>22589</v>
      </c>
      <c r="G662" t="s">
        <v>23</v>
      </c>
      <c r="H662">
        <v>15</v>
      </c>
      <c r="I662">
        <v>50425</v>
      </c>
      <c r="J662" t="s">
        <v>79</v>
      </c>
      <c r="K662" t="s">
        <v>38</v>
      </c>
      <c r="L662" t="s">
        <v>47</v>
      </c>
      <c r="M662">
        <v>1</v>
      </c>
      <c r="N662">
        <v>147.13999999999999</v>
      </c>
      <c r="O662">
        <v>212.13</v>
      </c>
      <c r="P662">
        <v>0</v>
      </c>
      <c r="Q662">
        <v>0</v>
      </c>
      <c r="S662">
        <v>29</v>
      </c>
      <c r="T662">
        <v>1</v>
      </c>
      <c r="U662">
        <v>1</v>
      </c>
      <c r="V662">
        <v>212.13</v>
      </c>
      <c r="W662">
        <v>13130000660</v>
      </c>
    </row>
    <row r="663" spans="1:23" x14ac:dyDescent="0.2">
      <c r="A663" s="1">
        <v>44788</v>
      </c>
      <c r="B663" s="2">
        <v>0.5715393518518519</v>
      </c>
      <c r="C663">
        <v>1661</v>
      </c>
      <c r="D663">
        <v>13002561</v>
      </c>
      <c r="E663">
        <v>13</v>
      </c>
      <c r="F663">
        <v>22589</v>
      </c>
      <c r="G663" t="s">
        <v>23</v>
      </c>
      <c r="H663">
        <v>15</v>
      </c>
      <c r="I663">
        <v>18663</v>
      </c>
      <c r="J663" t="s">
        <v>104</v>
      </c>
      <c r="K663" t="s">
        <v>44</v>
      </c>
      <c r="L663" t="s">
        <v>47</v>
      </c>
      <c r="M663">
        <v>3</v>
      </c>
      <c r="N663">
        <v>73.34</v>
      </c>
      <c r="O663">
        <v>116.65</v>
      </c>
      <c r="P663">
        <v>5.83</v>
      </c>
      <c r="Q663">
        <v>5.83</v>
      </c>
      <c r="R663" t="s">
        <v>30</v>
      </c>
      <c r="S663">
        <v>29</v>
      </c>
      <c r="T663">
        <v>1</v>
      </c>
      <c r="U663">
        <v>1</v>
      </c>
      <c r="V663">
        <v>110.82</v>
      </c>
      <c r="W663">
        <v>13130000661</v>
      </c>
    </row>
    <row r="664" spans="1:23" x14ac:dyDescent="0.2">
      <c r="A664" s="1">
        <v>44789</v>
      </c>
      <c r="B664" s="2">
        <v>0.76431712962962961</v>
      </c>
      <c r="C664">
        <v>1662</v>
      </c>
      <c r="D664">
        <v>13002561</v>
      </c>
      <c r="E664">
        <v>13</v>
      </c>
      <c r="F664">
        <v>22589</v>
      </c>
      <c r="G664" t="s">
        <v>23</v>
      </c>
      <c r="H664">
        <v>18</v>
      </c>
      <c r="I664">
        <v>90272</v>
      </c>
      <c r="J664" t="s">
        <v>31</v>
      </c>
      <c r="K664" t="s">
        <v>45</v>
      </c>
      <c r="L664" t="s">
        <v>36</v>
      </c>
      <c r="M664">
        <v>2</v>
      </c>
      <c r="N664">
        <v>290.19</v>
      </c>
      <c r="O664">
        <v>416.02</v>
      </c>
      <c r="P664">
        <v>20.8</v>
      </c>
      <c r="Q664">
        <v>20.8</v>
      </c>
      <c r="R664" t="s">
        <v>30</v>
      </c>
      <c r="S664">
        <v>29</v>
      </c>
      <c r="T664">
        <v>1</v>
      </c>
      <c r="U664">
        <v>6</v>
      </c>
      <c r="V664">
        <v>395.22</v>
      </c>
      <c r="W664">
        <v>13130000662</v>
      </c>
    </row>
    <row r="665" spans="1:23" x14ac:dyDescent="0.2">
      <c r="A665" s="1">
        <v>44788</v>
      </c>
      <c r="B665" s="2">
        <v>0.51652777777777781</v>
      </c>
      <c r="C665">
        <v>1663</v>
      </c>
      <c r="D665">
        <v>13002561</v>
      </c>
      <c r="E665">
        <v>13</v>
      </c>
      <c r="F665">
        <v>22589</v>
      </c>
      <c r="G665" t="s">
        <v>23</v>
      </c>
      <c r="H665">
        <v>15</v>
      </c>
      <c r="I665">
        <v>78914</v>
      </c>
      <c r="J665" t="s">
        <v>112</v>
      </c>
      <c r="K665" t="s">
        <v>25</v>
      </c>
      <c r="L665" t="s">
        <v>34</v>
      </c>
      <c r="M665">
        <v>2</v>
      </c>
      <c r="N665">
        <v>175.22</v>
      </c>
      <c r="O665">
        <v>273.63</v>
      </c>
      <c r="P665">
        <v>27.36</v>
      </c>
      <c r="Q665">
        <v>27.36</v>
      </c>
      <c r="R665" t="s">
        <v>30</v>
      </c>
      <c r="S665">
        <v>29</v>
      </c>
      <c r="T665">
        <v>1</v>
      </c>
      <c r="U665">
        <v>5</v>
      </c>
      <c r="V665">
        <v>246.27</v>
      </c>
      <c r="W665">
        <v>13130000663</v>
      </c>
    </row>
    <row r="666" spans="1:23" x14ac:dyDescent="0.2">
      <c r="A666" s="1">
        <v>44792</v>
      </c>
      <c r="B666" s="2">
        <v>0.89628472222222222</v>
      </c>
      <c r="C666">
        <v>1664</v>
      </c>
      <c r="D666">
        <v>13002561</v>
      </c>
      <c r="E666">
        <v>13</v>
      </c>
      <c r="F666">
        <v>22589</v>
      </c>
      <c r="G666" t="s">
        <v>23</v>
      </c>
      <c r="H666">
        <v>18</v>
      </c>
      <c r="I666">
        <v>48902</v>
      </c>
      <c r="J666" t="s">
        <v>122</v>
      </c>
      <c r="K666" t="s">
        <v>38</v>
      </c>
      <c r="L666" t="s">
        <v>51</v>
      </c>
      <c r="M666">
        <v>3</v>
      </c>
      <c r="N666">
        <v>549.71</v>
      </c>
      <c r="O666">
        <v>699.3</v>
      </c>
      <c r="P666">
        <v>34.96</v>
      </c>
      <c r="Q666">
        <v>34.96</v>
      </c>
      <c r="R666" t="s">
        <v>30</v>
      </c>
      <c r="S666">
        <v>29</v>
      </c>
      <c r="T666">
        <v>1</v>
      </c>
      <c r="U666">
        <v>2</v>
      </c>
      <c r="V666">
        <v>664.34</v>
      </c>
      <c r="W666">
        <v>13130000664</v>
      </c>
    </row>
    <row r="667" spans="1:23" x14ac:dyDescent="0.2">
      <c r="A667" s="1">
        <v>44785</v>
      </c>
      <c r="B667" s="2">
        <v>0.5864583333333333</v>
      </c>
      <c r="C667">
        <v>1665</v>
      </c>
      <c r="D667">
        <v>13002561</v>
      </c>
      <c r="E667">
        <v>13</v>
      </c>
      <c r="F667">
        <v>22589</v>
      </c>
      <c r="G667" t="s">
        <v>23</v>
      </c>
      <c r="H667">
        <v>15</v>
      </c>
      <c r="I667">
        <v>28031</v>
      </c>
      <c r="J667" t="s">
        <v>46</v>
      </c>
      <c r="K667" t="s">
        <v>25</v>
      </c>
      <c r="L667" t="s">
        <v>26</v>
      </c>
      <c r="M667">
        <v>1</v>
      </c>
      <c r="N667">
        <v>457.12</v>
      </c>
      <c r="O667">
        <v>746.07</v>
      </c>
      <c r="P667">
        <v>37.299999999999997</v>
      </c>
      <c r="Q667">
        <v>37.299999999999997</v>
      </c>
      <c r="R667" t="s">
        <v>30</v>
      </c>
      <c r="S667">
        <v>29</v>
      </c>
      <c r="T667">
        <v>1</v>
      </c>
      <c r="U667">
        <v>5</v>
      </c>
      <c r="V667">
        <v>708.77</v>
      </c>
      <c r="W667">
        <v>13130000665</v>
      </c>
    </row>
    <row r="668" spans="1:23" x14ac:dyDescent="0.2">
      <c r="A668" s="1">
        <v>44786</v>
      </c>
      <c r="B668" s="2">
        <v>0.47521990740740738</v>
      </c>
      <c r="C668">
        <v>1666</v>
      </c>
      <c r="D668">
        <v>13002561</v>
      </c>
      <c r="E668">
        <v>13</v>
      </c>
      <c r="F668">
        <v>22589</v>
      </c>
      <c r="G668" t="s">
        <v>23</v>
      </c>
      <c r="H668">
        <v>15</v>
      </c>
      <c r="I668">
        <v>59299</v>
      </c>
      <c r="J668" t="s">
        <v>128</v>
      </c>
      <c r="K668" t="s">
        <v>44</v>
      </c>
      <c r="L668" t="s">
        <v>26</v>
      </c>
      <c r="M668">
        <v>3</v>
      </c>
      <c r="N668">
        <v>388.44</v>
      </c>
      <c r="O668">
        <v>526.46</v>
      </c>
      <c r="P668">
        <v>52.65</v>
      </c>
      <c r="Q668">
        <v>52.65</v>
      </c>
      <c r="R668" t="s">
        <v>30</v>
      </c>
      <c r="S668">
        <v>29</v>
      </c>
      <c r="T668">
        <v>1</v>
      </c>
      <c r="U668">
        <v>4</v>
      </c>
      <c r="V668">
        <v>473.81</v>
      </c>
      <c r="W668">
        <v>13130000666</v>
      </c>
    </row>
    <row r="669" spans="1:23" x14ac:dyDescent="0.2">
      <c r="A669" s="1">
        <v>44792</v>
      </c>
      <c r="B669" s="2">
        <v>0.46789351851851851</v>
      </c>
      <c r="C669">
        <v>1667</v>
      </c>
      <c r="D669">
        <v>13002561</v>
      </c>
      <c r="E669">
        <v>13</v>
      </c>
      <c r="F669">
        <v>22589</v>
      </c>
      <c r="G669" t="s">
        <v>23</v>
      </c>
      <c r="H669">
        <v>15</v>
      </c>
      <c r="I669">
        <v>35943</v>
      </c>
      <c r="J669" t="s">
        <v>52</v>
      </c>
      <c r="K669" t="s">
        <v>38</v>
      </c>
      <c r="L669" t="s">
        <v>39</v>
      </c>
      <c r="M669">
        <v>1</v>
      </c>
      <c r="N669">
        <v>262.10000000000002</v>
      </c>
      <c r="O669">
        <v>328.51</v>
      </c>
      <c r="P669">
        <v>32.85</v>
      </c>
      <c r="Q669">
        <v>32.85</v>
      </c>
      <c r="R669" t="s">
        <v>30</v>
      </c>
      <c r="S669">
        <v>29</v>
      </c>
      <c r="T669">
        <v>1</v>
      </c>
      <c r="U669">
        <v>5</v>
      </c>
      <c r="V669">
        <v>295.66000000000003</v>
      </c>
      <c r="W669">
        <v>13130000667</v>
      </c>
    </row>
    <row r="670" spans="1:23" x14ac:dyDescent="0.2">
      <c r="A670" s="1">
        <v>44794</v>
      </c>
      <c r="B670" s="2">
        <v>0.94171296296296292</v>
      </c>
      <c r="C670">
        <v>1668</v>
      </c>
      <c r="D670">
        <v>13002561</v>
      </c>
      <c r="E670">
        <v>13</v>
      </c>
      <c r="F670">
        <v>22589</v>
      </c>
      <c r="G670" t="s">
        <v>23</v>
      </c>
      <c r="H670">
        <v>18</v>
      </c>
      <c r="I670">
        <v>61168</v>
      </c>
      <c r="J670" t="s">
        <v>125</v>
      </c>
      <c r="K670" t="s">
        <v>38</v>
      </c>
      <c r="L670" t="s">
        <v>36</v>
      </c>
      <c r="M670">
        <v>2</v>
      </c>
      <c r="N670">
        <v>334.69</v>
      </c>
      <c r="O670">
        <v>442.8</v>
      </c>
      <c r="P670">
        <v>22.14</v>
      </c>
      <c r="Q670">
        <v>22.14</v>
      </c>
      <c r="R670" t="s">
        <v>30</v>
      </c>
      <c r="S670">
        <v>29</v>
      </c>
      <c r="T670">
        <v>1</v>
      </c>
      <c r="U670">
        <v>6</v>
      </c>
      <c r="V670">
        <v>420.66</v>
      </c>
      <c r="W670">
        <v>13130000668</v>
      </c>
    </row>
    <row r="671" spans="1:23" x14ac:dyDescent="0.2">
      <c r="A671" s="1">
        <v>44783</v>
      </c>
      <c r="B671" s="2">
        <v>0.4065509259259259</v>
      </c>
      <c r="C671">
        <v>1669</v>
      </c>
      <c r="D671">
        <v>13002561</v>
      </c>
      <c r="E671">
        <v>13</v>
      </c>
      <c r="F671">
        <v>22589</v>
      </c>
      <c r="G671" t="s">
        <v>23</v>
      </c>
      <c r="H671">
        <v>15</v>
      </c>
      <c r="I671">
        <v>26162</v>
      </c>
      <c r="J671" t="s">
        <v>107</v>
      </c>
      <c r="K671" t="s">
        <v>45</v>
      </c>
      <c r="L671" t="s">
        <v>36</v>
      </c>
      <c r="M671">
        <v>2</v>
      </c>
      <c r="N671">
        <v>183.73</v>
      </c>
      <c r="O671">
        <v>236.61</v>
      </c>
      <c r="P671">
        <v>11.83</v>
      </c>
      <c r="Q671">
        <v>11.83</v>
      </c>
      <c r="R671" t="s">
        <v>30</v>
      </c>
      <c r="S671">
        <v>29</v>
      </c>
      <c r="T671">
        <v>1</v>
      </c>
      <c r="U671">
        <v>3</v>
      </c>
      <c r="V671">
        <v>224.78</v>
      </c>
      <c r="W671">
        <v>13130000669</v>
      </c>
    </row>
    <row r="672" spans="1:23" x14ac:dyDescent="0.2">
      <c r="A672" s="1">
        <v>44802</v>
      </c>
      <c r="B672" s="2">
        <v>0.46834490740740742</v>
      </c>
      <c r="C672">
        <v>1670</v>
      </c>
      <c r="D672">
        <v>13002561</v>
      </c>
      <c r="E672">
        <v>13</v>
      </c>
      <c r="F672">
        <v>22589</v>
      </c>
      <c r="G672" t="s">
        <v>23</v>
      </c>
      <c r="H672">
        <v>18</v>
      </c>
      <c r="I672">
        <v>59199</v>
      </c>
      <c r="J672" t="s">
        <v>109</v>
      </c>
      <c r="K672" t="s">
        <v>38</v>
      </c>
      <c r="L672" t="s">
        <v>32</v>
      </c>
      <c r="M672">
        <v>1</v>
      </c>
      <c r="N672">
        <v>282.52999999999997</v>
      </c>
      <c r="O672">
        <v>369.87</v>
      </c>
      <c r="P672">
        <v>0</v>
      </c>
      <c r="Q672">
        <v>0</v>
      </c>
      <c r="S672">
        <v>29</v>
      </c>
      <c r="T672">
        <v>1</v>
      </c>
      <c r="U672">
        <v>6</v>
      </c>
      <c r="V672">
        <v>369.87</v>
      </c>
      <c r="W672">
        <v>13130000670</v>
      </c>
    </row>
    <row r="673" spans="1:23" x14ac:dyDescent="0.2">
      <c r="A673" s="1">
        <v>44784</v>
      </c>
      <c r="B673" s="2">
        <v>0.86643518518518514</v>
      </c>
      <c r="C673">
        <v>1671</v>
      </c>
      <c r="D673">
        <v>13002561</v>
      </c>
      <c r="E673">
        <v>13</v>
      </c>
      <c r="F673">
        <v>22589</v>
      </c>
      <c r="G673" t="s">
        <v>23</v>
      </c>
      <c r="H673">
        <v>15</v>
      </c>
      <c r="I673">
        <v>46460</v>
      </c>
      <c r="J673" t="s">
        <v>55</v>
      </c>
      <c r="K673" t="s">
        <v>44</v>
      </c>
      <c r="L673" t="s">
        <v>39</v>
      </c>
      <c r="M673">
        <v>2</v>
      </c>
      <c r="N673">
        <v>62.05</v>
      </c>
      <c r="O673">
        <v>102.83</v>
      </c>
      <c r="P673">
        <v>0</v>
      </c>
      <c r="Q673">
        <v>0</v>
      </c>
      <c r="S673">
        <v>29</v>
      </c>
      <c r="T673">
        <v>1</v>
      </c>
      <c r="U673">
        <v>5</v>
      </c>
      <c r="V673">
        <v>102.83</v>
      </c>
      <c r="W673">
        <v>13130000671</v>
      </c>
    </row>
    <row r="674" spans="1:23" x14ac:dyDescent="0.2">
      <c r="A674" s="1">
        <v>44785</v>
      </c>
      <c r="B674" s="2">
        <v>0.60934027777777777</v>
      </c>
      <c r="C674">
        <v>1672</v>
      </c>
      <c r="D674">
        <v>13002561</v>
      </c>
      <c r="E674">
        <v>13</v>
      </c>
      <c r="F674">
        <v>22589</v>
      </c>
      <c r="G674" t="s">
        <v>23</v>
      </c>
      <c r="H674">
        <v>18</v>
      </c>
      <c r="I674">
        <v>94530</v>
      </c>
      <c r="J674" t="s">
        <v>35</v>
      </c>
      <c r="K674" t="s">
        <v>25</v>
      </c>
      <c r="L674" t="s">
        <v>34</v>
      </c>
      <c r="M674">
        <v>1</v>
      </c>
      <c r="N674">
        <v>231.72</v>
      </c>
      <c r="O674">
        <v>357.88</v>
      </c>
      <c r="P674">
        <v>17.89</v>
      </c>
      <c r="Q674">
        <v>17.89</v>
      </c>
      <c r="R674" t="s">
        <v>30</v>
      </c>
      <c r="S674">
        <v>29</v>
      </c>
      <c r="T674">
        <v>1</v>
      </c>
      <c r="U674">
        <v>2</v>
      </c>
      <c r="V674">
        <v>339.99</v>
      </c>
      <c r="W674">
        <v>13130000672</v>
      </c>
    </row>
    <row r="675" spans="1:23" x14ac:dyDescent="0.2">
      <c r="A675" s="1">
        <v>44789</v>
      </c>
      <c r="B675" s="2">
        <v>0.72829861111111116</v>
      </c>
      <c r="C675">
        <v>1673</v>
      </c>
      <c r="D675">
        <v>13002561</v>
      </c>
      <c r="E675">
        <v>13</v>
      </c>
      <c r="F675">
        <v>22589</v>
      </c>
      <c r="G675" t="s">
        <v>23</v>
      </c>
      <c r="H675">
        <v>18</v>
      </c>
      <c r="I675">
        <v>29043</v>
      </c>
      <c r="J675" t="s">
        <v>96</v>
      </c>
      <c r="K675" t="s">
        <v>28</v>
      </c>
      <c r="L675" t="s">
        <v>32</v>
      </c>
      <c r="M675">
        <v>3</v>
      </c>
      <c r="N675">
        <v>24.97</v>
      </c>
      <c r="O675">
        <v>37.229999999999997</v>
      </c>
      <c r="P675">
        <v>0</v>
      </c>
      <c r="Q675">
        <v>0</v>
      </c>
      <c r="S675">
        <v>29</v>
      </c>
      <c r="T675">
        <v>1</v>
      </c>
      <c r="U675">
        <v>4</v>
      </c>
      <c r="V675">
        <v>37.229999999999997</v>
      </c>
      <c r="W675">
        <v>13130000673</v>
      </c>
    </row>
    <row r="676" spans="1:23" x14ac:dyDescent="0.2">
      <c r="A676" s="1">
        <v>44798</v>
      </c>
      <c r="B676" s="2">
        <v>0.59744212962962961</v>
      </c>
      <c r="C676">
        <v>1674</v>
      </c>
      <c r="D676">
        <v>13002561</v>
      </c>
      <c r="E676">
        <v>13</v>
      </c>
      <c r="F676">
        <v>22589</v>
      </c>
      <c r="G676" t="s">
        <v>23</v>
      </c>
      <c r="H676">
        <v>18</v>
      </c>
      <c r="I676">
        <v>13191</v>
      </c>
      <c r="J676" t="s">
        <v>62</v>
      </c>
      <c r="K676" t="s">
        <v>28</v>
      </c>
      <c r="L676" t="s">
        <v>26</v>
      </c>
      <c r="M676">
        <v>2</v>
      </c>
      <c r="N676">
        <v>47.87</v>
      </c>
      <c r="O676">
        <v>77.319999999999993</v>
      </c>
      <c r="P676">
        <v>0</v>
      </c>
      <c r="Q676">
        <v>0</v>
      </c>
      <c r="S676">
        <v>29</v>
      </c>
      <c r="T676">
        <v>1</v>
      </c>
      <c r="U676">
        <v>2</v>
      </c>
      <c r="V676">
        <v>77.319999999999993</v>
      </c>
      <c r="W676">
        <v>13130000674</v>
      </c>
    </row>
    <row r="677" spans="1:23" x14ac:dyDescent="0.2">
      <c r="A677" s="1">
        <v>44793</v>
      </c>
      <c r="B677" s="2">
        <v>0.38883101851851848</v>
      </c>
      <c r="C677">
        <v>1675</v>
      </c>
      <c r="D677">
        <v>13002561</v>
      </c>
      <c r="E677">
        <v>13</v>
      </c>
      <c r="F677">
        <v>22589</v>
      </c>
      <c r="G677" t="s">
        <v>23</v>
      </c>
      <c r="H677">
        <v>15</v>
      </c>
      <c r="I677">
        <v>83677</v>
      </c>
      <c r="J677" t="s">
        <v>37</v>
      </c>
      <c r="K677" t="s">
        <v>45</v>
      </c>
      <c r="L677" t="s">
        <v>32</v>
      </c>
      <c r="M677">
        <v>3</v>
      </c>
      <c r="N677">
        <v>231.6</v>
      </c>
      <c r="O677">
        <v>354.17</v>
      </c>
      <c r="P677">
        <v>17.71</v>
      </c>
      <c r="Q677">
        <v>17.71</v>
      </c>
      <c r="R677" t="s">
        <v>30</v>
      </c>
      <c r="S677">
        <v>29</v>
      </c>
      <c r="T677">
        <v>1</v>
      </c>
      <c r="U677">
        <v>3</v>
      </c>
      <c r="V677">
        <v>336.46</v>
      </c>
      <c r="W677">
        <v>13130000675</v>
      </c>
    </row>
    <row r="678" spans="1:23" x14ac:dyDescent="0.2">
      <c r="A678" s="1">
        <v>44783</v>
      </c>
      <c r="B678" s="2">
        <v>0.59649305555555554</v>
      </c>
      <c r="C678">
        <v>1676</v>
      </c>
      <c r="D678">
        <v>13002561</v>
      </c>
      <c r="E678">
        <v>13</v>
      </c>
      <c r="F678">
        <v>22589</v>
      </c>
      <c r="G678" t="s">
        <v>23</v>
      </c>
      <c r="H678">
        <v>15</v>
      </c>
      <c r="I678">
        <v>85345</v>
      </c>
      <c r="J678" t="s">
        <v>102</v>
      </c>
      <c r="K678" t="s">
        <v>60</v>
      </c>
      <c r="L678" t="s">
        <v>29</v>
      </c>
      <c r="M678">
        <v>2</v>
      </c>
      <c r="N678">
        <v>398.24</v>
      </c>
      <c r="O678">
        <v>657.74</v>
      </c>
      <c r="P678">
        <v>0</v>
      </c>
      <c r="Q678">
        <v>0</v>
      </c>
      <c r="S678">
        <v>29</v>
      </c>
      <c r="T678">
        <v>1</v>
      </c>
      <c r="U678">
        <v>1</v>
      </c>
      <c r="V678">
        <v>657.74</v>
      </c>
      <c r="W678">
        <v>13130000676</v>
      </c>
    </row>
    <row r="679" spans="1:23" x14ac:dyDescent="0.2">
      <c r="A679" s="1">
        <v>44788</v>
      </c>
      <c r="B679" s="2">
        <v>0.65384259259259259</v>
      </c>
      <c r="C679">
        <v>1677</v>
      </c>
      <c r="D679">
        <v>13002561</v>
      </c>
      <c r="E679">
        <v>13</v>
      </c>
      <c r="F679">
        <v>22589</v>
      </c>
      <c r="G679" t="s">
        <v>23</v>
      </c>
      <c r="H679">
        <v>18</v>
      </c>
      <c r="I679">
        <v>59148</v>
      </c>
      <c r="J679" t="s">
        <v>107</v>
      </c>
      <c r="K679" t="s">
        <v>60</v>
      </c>
      <c r="L679" t="s">
        <v>29</v>
      </c>
      <c r="M679">
        <v>2</v>
      </c>
      <c r="N679">
        <v>330.18</v>
      </c>
      <c r="O679">
        <v>440.22</v>
      </c>
      <c r="P679">
        <v>44.02</v>
      </c>
      <c r="Q679">
        <v>44.02</v>
      </c>
      <c r="R679" t="s">
        <v>30</v>
      </c>
      <c r="S679">
        <v>29</v>
      </c>
      <c r="T679">
        <v>1</v>
      </c>
      <c r="U679">
        <v>3</v>
      </c>
      <c r="V679">
        <v>396.2</v>
      </c>
      <c r="W679">
        <v>13130000677</v>
      </c>
    </row>
    <row r="680" spans="1:23" x14ac:dyDescent="0.2">
      <c r="A680" s="1">
        <v>44802</v>
      </c>
      <c r="B680" s="2">
        <v>0.44850694444444439</v>
      </c>
      <c r="C680">
        <v>1678</v>
      </c>
      <c r="D680">
        <v>13002561</v>
      </c>
      <c r="E680">
        <v>13</v>
      </c>
      <c r="F680">
        <v>22589</v>
      </c>
      <c r="G680" t="s">
        <v>23</v>
      </c>
      <c r="H680">
        <v>18</v>
      </c>
      <c r="I680">
        <v>99362</v>
      </c>
      <c r="J680" t="s">
        <v>123</v>
      </c>
      <c r="K680" t="s">
        <v>28</v>
      </c>
      <c r="L680" t="s">
        <v>29</v>
      </c>
      <c r="M680">
        <v>3</v>
      </c>
      <c r="N680">
        <v>423.27</v>
      </c>
      <c r="O680">
        <v>663.71</v>
      </c>
      <c r="P680">
        <v>33.19</v>
      </c>
      <c r="Q680">
        <v>33.19</v>
      </c>
      <c r="R680" t="s">
        <v>30</v>
      </c>
      <c r="S680">
        <v>29</v>
      </c>
      <c r="T680">
        <v>1</v>
      </c>
      <c r="U680">
        <v>1</v>
      </c>
      <c r="V680">
        <v>630.52</v>
      </c>
      <c r="W680">
        <v>13130000678</v>
      </c>
    </row>
    <row r="681" spans="1:23" x14ac:dyDescent="0.2">
      <c r="A681" s="1">
        <v>44784</v>
      </c>
      <c r="B681" s="2">
        <v>0.44062499999999999</v>
      </c>
      <c r="C681">
        <v>1679</v>
      </c>
      <c r="D681">
        <v>13002561</v>
      </c>
      <c r="E681">
        <v>13</v>
      </c>
      <c r="F681">
        <v>22589</v>
      </c>
      <c r="G681" t="s">
        <v>23</v>
      </c>
      <c r="H681">
        <v>18</v>
      </c>
      <c r="I681">
        <v>56700</v>
      </c>
      <c r="J681" t="s">
        <v>46</v>
      </c>
      <c r="K681" t="s">
        <v>25</v>
      </c>
      <c r="L681" t="s">
        <v>29</v>
      </c>
      <c r="M681">
        <v>2</v>
      </c>
      <c r="N681">
        <v>191.85</v>
      </c>
      <c r="O681">
        <v>316.01</v>
      </c>
      <c r="P681">
        <v>31.6</v>
      </c>
      <c r="Q681">
        <v>31.6</v>
      </c>
      <c r="R681" t="s">
        <v>30</v>
      </c>
      <c r="S681">
        <v>29</v>
      </c>
      <c r="T681">
        <v>1</v>
      </c>
      <c r="U681">
        <v>1</v>
      </c>
      <c r="V681">
        <v>284.41000000000003</v>
      </c>
      <c r="W681">
        <v>13130000679</v>
      </c>
    </row>
    <row r="682" spans="1:23" x14ac:dyDescent="0.2">
      <c r="A682" s="1">
        <v>44804</v>
      </c>
      <c r="B682" s="2">
        <v>0.41662037037037042</v>
      </c>
      <c r="C682">
        <v>1680</v>
      </c>
      <c r="D682">
        <v>13002561</v>
      </c>
      <c r="E682">
        <v>13</v>
      </c>
      <c r="F682">
        <v>22589</v>
      </c>
      <c r="G682" t="s">
        <v>23</v>
      </c>
      <c r="H682">
        <v>18</v>
      </c>
      <c r="I682">
        <v>77368</v>
      </c>
      <c r="J682" t="s">
        <v>24</v>
      </c>
      <c r="K682" t="s">
        <v>28</v>
      </c>
      <c r="L682" t="s">
        <v>51</v>
      </c>
      <c r="M682">
        <v>2</v>
      </c>
      <c r="N682">
        <v>329.01</v>
      </c>
      <c r="O682">
        <v>503.08</v>
      </c>
      <c r="P682">
        <v>0</v>
      </c>
      <c r="Q682">
        <v>0</v>
      </c>
      <c r="S682">
        <v>29</v>
      </c>
      <c r="T682">
        <v>1</v>
      </c>
      <c r="U682">
        <v>5</v>
      </c>
      <c r="V682">
        <v>503.08</v>
      </c>
      <c r="W682">
        <v>13130000680</v>
      </c>
    </row>
    <row r="683" spans="1:23" x14ac:dyDescent="0.2">
      <c r="A683" s="1">
        <v>44791</v>
      </c>
      <c r="B683" s="2">
        <v>0.53453703703703703</v>
      </c>
      <c r="C683">
        <v>1681</v>
      </c>
      <c r="D683">
        <v>13002561</v>
      </c>
      <c r="E683">
        <v>13</v>
      </c>
      <c r="F683">
        <v>22589</v>
      </c>
      <c r="G683" t="s">
        <v>23</v>
      </c>
      <c r="H683">
        <v>18</v>
      </c>
      <c r="I683">
        <v>78487</v>
      </c>
      <c r="J683" t="s">
        <v>102</v>
      </c>
      <c r="K683" t="s">
        <v>60</v>
      </c>
      <c r="L683" t="s">
        <v>32</v>
      </c>
      <c r="M683">
        <v>2</v>
      </c>
      <c r="N683">
        <v>588.23</v>
      </c>
      <c r="O683">
        <v>747.02</v>
      </c>
      <c r="P683">
        <v>37.35</v>
      </c>
      <c r="Q683">
        <v>37.35</v>
      </c>
      <c r="R683" t="s">
        <v>30</v>
      </c>
      <c r="S683">
        <v>29</v>
      </c>
      <c r="T683">
        <v>1</v>
      </c>
      <c r="U683">
        <v>5</v>
      </c>
      <c r="V683">
        <v>709.67</v>
      </c>
      <c r="W683">
        <v>13130000681</v>
      </c>
    </row>
    <row r="684" spans="1:23" x14ac:dyDescent="0.2">
      <c r="A684" s="1">
        <v>44796</v>
      </c>
      <c r="B684" s="2">
        <v>0.40216435185185179</v>
      </c>
      <c r="C684">
        <v>1682</v>
      </c>
      <c r="D684">
        <v>13002561</v>
      </c>
      <c r="E684">
        <v>13</v>
      </c>
      <c r="F684">
        <v>22589</v>
      </c>
      <c r="G684" t="s">
        <v>23</v>
      </c>
      <c r="H684">
        <v>18</v>
      </c>
      <c r="I684">
        <v>72120</v>
      </c>
      <c r="J684" t="s">
        <v>55</v>
      </c>
      <c r="K684" t="s">
        <v>44</v>
      </c>
      <c r="L684" t="s">
        <v>32</v>
      </c>
      <c r="M684">
        <v>1</v>
      </c>
      <c r="N684">
        <v>307.26</v>
      </c>
      <c r="O684">
        <v>418.73</v>
      </c>
      <c r="P684">
        <v>0</v>
      </c>
      <c r="Q684">
        <v>0</v>
      </c>
      <c r="S684">
        <v>29</v>
      </c>
      <c r="T684">
        <v>1</v>
      </c>
      <c r="U684">
        <v>3</v>
      </c>
      <c r="V684">
        <v>418.73</v>
      </c>
      <c r="W684">
        <v>13130000682</v>
      </c>
    </row>
    <row r="685" spans="1:23" x14ac:dyDescent="0.2">
      <c r="A685" s="1">
        <v>44783</v>
      </c>
      <c r="B685" s="2">
        <v>0.91587962962962965</v>
      </c>
      <c r="C685">
        <v>1683</v>
      </c>
      <c r="D685">
        <v>13002561</v>
      </c>
      <c r="E685">
        <v>13</v>
      </c>
      <c r="F685">
        <v>22589</v>
      </c>
      <c r="G685" t="s">
        <v>23</v>
      </c>
      <c r="H685">
        <v>18</v>
      </c>
      <c r="I685">
        <v>96933</v>
      </c>
      <c r="J685" t="s">
        <v>77</v>
      </c>
      <c r="K685" t="s">
        <v>38</v>
      </c>
      <c r="L685" t="s">
        <v>47</v>
      </c>
      <c r="M685">
        <v>2</v>
      </c>
      <c r="N685">
        <v>571.47</v>
      </c>
      <c r="O685">
        <v>760.64</v>
      </c>
      <c r="P685">
        <v>38.03</v>
      </c>
      <c r="Q685">
        <v>38.03</v>
      </c>
      <c r="R685" t="s">
        <v>30</v>
      </c>
      <c r="S685">
        <v>29</v>
      </c>
      <c r="T685">
        <v>1</v>
      </c>
      <c r="U685">
        <v>4</v>
      </c>
      <c r="V685">
        <v>722.61</v>
      </c>
      <c r="W685">
        <v>13130000683</v>
      </c>
    </row>
    <row r="686" spans="1:23" x14ac:dyDescent="0.2">
      <c r="A686" s="1">
        <v>44780</v>
      </c>
      <c r="B686" s="2">
        <v>0.73848379629629635</v>
      </c>
      <c r="C686">
        <v>1684</v>
      </c>
      <c r="D686">
        <v>13002561</v>
      </c>
      <c r="E686">
        <v>13</v>
      </c>
      <c r="F686">
        <v>22589</v>
      </c>
      <c r="G686" t="s">
        <v>23</v>
      </c>
      <c r="H686">
        <v>15</v>
      </c>
      <c r="I686">
        <v>10976</v>
      </c>
      <c r="J686" t="s">
        <v>56</v>
      </c>
      <c r="K686" t="s">
        <v>60</v>
      </c>
      <c r="L686" t="s">
        <v>34</v>
      </c>
      <c r="M686">
        <v>1</v>
      </c>
      <c r="N686">
        <v>30.43</v>
      </c>
      <c r="O686">
        <v>45.99</v>
      </c>
      <c r="P686">
        <v>0</v>
      </c>
      <c r="Q686">
        <v>0</v>
      </c>
      <c r="S686">
        <v>29</v>
      </c>
      <c r="T686">
        <v>1</v>
      </c>
      <c r="U686">
        <v>3</v>
      </c>
      <c r="V686">
        <v>45.99</v>
      </c>
      <c r="W686">
        <v>13130000684</v>
      </c>
    </row>
    <row r="687" spans="1:23" x14ac:dyDescent="0.2">
      <c r="A687" s="1">
        <v>44798</v>
      </c>
      <c r="B687" s="2">
        <v>0.49929398148148152</v>
      </c>
      <c r="C687">
        <v>1685</v>
      </c>
      <c r="D687">
        <v>13002561</v>
      </c>
      <c r="E687">
        <v>13</v>
      </c>
      <c r="F687">
        <v>22589</v>
      </c>
      <c r="G687" t="s">
        <v>23</v>
      </c>
      <c r="H687">
        <v>18</v>
      </c>
      <c r="I687">
        <v>18698</v>
      </c>
      <c r="J687" t="s">
        <v>114</v>
      </c>
      <c r="K687" t="s">
        <v>45</v>
      </c>
      <c r="L687" t="s">
        <v>47</v>
      </c>
      <c r="M687">
        <v>2</v>
      </c>
      <c r="N687">
        <v>453.48</v>
      </c>
      <c r="O687">
        <v>580.52</v>
      </c>
      <c r="P687">
        <v>58.05</v>
      </c>
      <c r="Q687">
        <v>58.05</v>
      </c>
      <c r="R687" t="s">
        <v>30</v>
      </c>
      <c r="S687">
        <v>29</v>
      </c>
      <c r="T687">
        <v>1</v>
      </c>
      <c r="U687">
        <v>3</v>
      </c>
      <c r="V687">
        <v>522.47</v>
      </c>
      <c r="W687">
        <v>13130000685</v>
      </c>
    </row>
    <row r="688" spans="1:23" x14ac:dyDescent="0.2">
      <c r="A688" s="1">
        <v>44804</v>
      </c>
      <c r="B688" s="2">
        <v>0.9344675925925926</v>
      </c>
      <c r="C688">
        <v>1686</v>
      </c>
      <c r="D688">
        <v>13002561</v>
      </c>
      <c r="E688">
        <v>13</v>
      </c>
      <c r="F688">
        <v>22589</v>
      </c>
      <c r="G688" t="s">
        <v>23</v>
      </c>
      <c r="H688">
        <v>18</v>
      </c>
      <c r="I688">
        <v>36510</v>
      </c>
      <c r="J688" t="s">
        <v>76</v>
      </c>
      <c r="K688" t="s">
        <v>28</v>
      </c>
      <c r="L688" t="s">
        <v>36</v>
      </c>
      <c r="M688">
        <v>2</v>
      </c>
      <c r="N688">
        <v>123.72</v>
      </c>
      <c r="O688">
        <v>156.15</v>
      </c>
      <c r="P688">
        <v>15.62</v>
      </c>
      <c r="Q688">
        <v>15.62</v>
      </c>
      <c r="R688" t="s">
        <v>30</v>
      </c>
      <c r="S688">
        <v>29</v>
      </c>
      <c r="T688">
        <v>1</v>
      </c>
      <c r="U688">
        <v>6</v>
      </c>
      <c r="V688">
        <v>140.53</v>
      </c>
      <c r="W688">
        <v>13130000686</v>
      </c>
    </row>
    <row r="689" spans="1:23" x14ac:dyDescent="0.2">
      <c r="A689" s="1">
        <v>44800</v>
      </c>
      <c r="B689" s="2">
        <v>0.77884259259259259</v>
      </c>
      <c r="C689">
        <v>1687</v>
      </c>
      <c r="D689">
        <v>13002561</v>
      </c>
      <c r="E689">
        <v>13</v>
      </c>
      <c r="F689">
        <v>22589</v>
      </c>
      <c r="G689" t="s">
        <v>23</v>
      </c>
      <c r="H689">
        <v>18</v>
      </c>
      <c r="I689">
        <v>44270</v>
      </c>
      <c r="J689" t="s">
        <v>42</v>
      </c>
      <c r="K689" t="s">
        <v>28</v>
      </c>
      <c r="L689" t="s">
        <v>36</v>
      </c>
      <c r="M689">
        <v>1</v>
      </c>
      <c r="N689">
        <v>209.97</v>
      </c>
      <c r="O689">
        <v>277.2</v>
      </c>
      <c r="P689">
        <v>27.72</v>
      </c>
      <c r="Q689">
        <v>27.72</v>
      </c>
      <c r="R689" t="s">
        <v>30</v>
      </c>
      <c r="S689">
        <v>29</v>
      </c>
      <c r="T689">
        <v>1</v>
      </c>
      <c r="U689">
        <v>6</v>
      </c>
      <c r="V689">
        <v>249.48</v>
      </c>
      <c r="W689">
        <v>13130000687</v>
      </c>
    </row>
    <row r="690" spans="1:23" x14ac:dyDescent="0.2">
      <c r="A690" s="1">
        <v>44795</v>
      </c>
      <c r="B690" s="2">
        <v>0.45300925925925928</v>
      </c>
      <c r="C690">
        <v>1688</v>
      </c>
      <c r="D690">
        <v>13002561</v>
      </c>
      <c r="E690">
        <v>13</v>
      </c>
      <c r="F690">
        <v>22589</v>
      </c>
      <c r="G690" t="s">
        <v>23</v>
      </c>
      <c r="H690">
        <v>15</v>
      </c>
      <c r="I690">
        <v>33038</v>
      </c>
      <c r="J690" t="s">
        <v>52</v>
      </c>
      <c r="K690" t="s">
        <v>38</v>
      </c>
      <c r="L690" t="s">
        <v>36</v>
      </c>
      <c r="M690">
        <v>2</v>
      </c>
      <c r="N690">
        <v>552.72</v>
      </c>
      <c r="O690">
        <v>731.54</v>
      </c>
      <c r="P690">
        <v>36.58</v>
      </c>
      <c r="Q690">
        <v>36.58</v>
      </c>
      <c r="R690" t="s">
        <v>30</v>
      </c>
      <c r="S690">
        <v>29</v>
      </c>
      <c r="T690">
        <v>1</v>
      </c>
      <c r="U690">
        <v>2</v>
      </c>
      <c r="V690">
        <v>694.96</v>
      </c>
      <c r="W690">
        <v>13130000688</v>
      </c>
    </row>
    <row r="691" spans="1:23" x14ac:dyDescent="0.2">
      <c r="A691" s="1">
        <v>44797</v>
      </c>
      <c r="B691" s="2">
        <v>0.49754629629629632</v>
      </c>
      <c r="C691">
        <v>1689</v>
      </c>
      <c r="D691">
        <v>13002561</v>
      </c>
      <c r="E691">
        <v>13</v>
      </c>
      <c r="F691">
        <v>22589</v>
      </c>
      <c r="G691" t="s">
        <v>23</v>
      </c>
      <c r="H691">
        <v>15</v>
      </c>
      <c r="I691">
        <v>76962</v>
      </c>
      <c r="J691" t="s">
        <v>52</v>
      </c>
      <c r="K691" t="s">
        <v>45</v>
      </c>
      <c r="L691" t="s">
        <v>47</v>
      </c>
      <c r="M691">
        <v>3</v>
      </c>
      <c r="N691">
        <v>483.7</v>
      </c>
      <c r="O691">
        <v>686.82</v>
      </c>
      <c r="P691">
        <v>68.680000000000007</v>
      </c>
      <c r="Q691">
        <v>68.680000000000007</v>
      </c>
      <c r="R691" t="s">
        <v>30</v>
      </c>
      <c r="S691">
        <v>29</v>
      </c>
      <c r="T691">
        <v>1</v>
      </c>
      <c r="U691">
        <v>1</v>
      </c>
      <c r="V691">
        <v>618.14</v>
      </c>
      <c r="W691">
        <v>13130000689</v>
      </c>
    </row>
    <row r="692" spans="1:23" x14ac:dyDescent="0.2">
      <c r="A692" s="1">
        <v>44776</v>
      </c>
      <c r="B692" s="2">
        <v>0.63643518518518516</v>
      </c>
      <c r="C692">
        <v>1690</v>
      </c>
      <c r="D692">
        <v>13002561</v>
      </c>
      <c r="E692">
        <v>13</v>
      </c>
      <c r="F692">
        <v>22589</v>
      </c>
      <c r="G692" t="s">
        <v>23</v>
      </c>
      <c r="H692">
        <v>18</v>
      </c>
      <c r="I692">
        <v>87409</v>
      </c>
      <c r="J692" t="s">
        <v>84</v>
      </c>
      <c r="K692" t="s">
        <v>25</v>
      </c>
      <c r="L692" t="s">
        <v>32</v>
      </c>
      <c r="M692">
        <v>1</v>
      </c>
      <c r="N692">
        <v>201.31</v>
      </c>
      <c r="O692">
        <v>253.67</v>
      </c>
      <c r="P692">
        <v>12.68</v>
      </c>
      <c r="Q692">
        <v>12.68</v>
      </c>
      <c r="R692" t="s">
        <v>30</v>
      </c>
      <c r="S692">
        <v>29</v>
      </c>
      <c r="T692">
        <v>1</v>
      </c>
      <c r="U692">
        <v>1</v>
      </c>
      <c r="V692">
        <v>240.99</v>
      </c>
      <c r="W692">
        <v>13130000690</v>
      </c>
    </row>
    <row r="693" spans="1:23" x14ac:dyDescent="0.2">
      <c r="A693" s="1">
        <v>44802</v>
      </c>
      <c r="B693" s="2">
        <v>0.57719907407407411</v>
      </c>
      <c r="C693">
        <v>1691</v>
      </c>
      <c r="D693">
        <v>13002561</v>
      </c>
      <c r="E693">
        <v>13</v>
      </c>
      <c r="F693">
        <v>22589</v>
      </c>
      <c r="G693" t="s">
        <v>23</v>
      </c>
      <c r="H693">
        <v>15</v>
      </c>
      <c r="I693">
        <v>86630</v>
      </c>
      <c r="J693" t="s">
        <v>33</v>
      </c>
      <c r="K693" t="s">
        <v>38</v>
      </c>
      <c r="L693" t="s">
        <v>26</v>
      </c>
      <c r="M693">
        <v>2</v>
      </c>
      <c r="N693">
        <v>98.72</v>
      </c>
      <c r="O693">
        <v>156.32</v>
      </c>
      <c r="P693">
        <v>7.82</v>
      </c>
      <c r="Q693">
        <v>7.82</v>
      </c>
      <c r="R693" t="s">
        <v>30</v>
      </c>
      <c r="S693">
        <v>29</v>
      </c>
      <c r="T693">
        <v>1</v>
      </c>
      <c r="U693">
        <v>3</v>
      </c>
      <c r="V693">
        <v>148.5</v>
      </c>
      <c r="W693">
        <v>13130000691</v>
      </c>
    </row>
    <row r="694" spans="1:23" x14ac:dyDescent="0.2">
      <c r="A694" s="1">
        <v>44774</v>
      </c>
      <c r="B694" s="2">
        <v>0.95232638888888888</v>
      </c>
      <c r="C694">
        <v>1692</v>
      </c>
      <c r="D694">
        <v>13002561</v>
      </c>
      <c r="E694">
        <v>13</v>
      </c>
      <c r="F694">
        <v>22589</v>
      </c>
      <c r="G694" t="s">
        <v>23</v>
      </c>
      <c r="H694">
        <v>15</v>
      </c>
      <c r="I694">
        <v>59551</v>
      </c>
      <c r="J694" t="s">
        <v>33</v>
      </c>
      <c r="K694" t="s">
        <v>25</v>
      </c>
      <c r="L694" t="s">
        <v>36</v>
      </c>
      <c r="M694">
        <v>3</v>
      </c>
      <c r="N694">
        <v>9.7899999999999991</v>
      </c>
      <c r="O694">
        <v>13.97</v>
      </c>
      <c r="P694">
        <v>0.7</v>
      </c>
      <c r="Q694">
        <v>0.7</v>
      </c>
      <c r="R694" t="s">
        <v>30</v>
      </c>
      <c r="S694">
        <v>29</v>
      </c>
      <c r="T694">
        <v>1</v>
      </c>
      <c r="U694">
        <v>2</v>
      </c>
      <c r="V694">
        <v>13.27</v>
      </c>
      <c r="W694">
        <v>13130000692</v>
      </c>
    </row>
    <row r="695" spans="1:23" x14ac:dyDescent="0.2">
      <c r="A695" s="1">
        <v>44782</v>
      </c>
      <c r="B695" s="2">
        <v>0.37812499999999999</v>
      </c>
      <c r="C695">
        <v>1693</v>
      </c>
      <c r="D695">
        <v>13002561</v>
      </c>
      <c r="E695">
        <v>13</v>
      </c>
      <c r="F695">
        <v>22589</v>
      </c>
      <c r="G695" t="s">
        <v>23</v>
      </c>
      <c r="H695">
        <v>18</v>
      </c>
      <c r="I695">
        <v>53617</v>
      </c>
      <c r="J695" t="s">
        <v>107</v>
      </c>
      <c r="K695" t="s">
        <v>28</v>
      </c>
      <c r="L695" t="s">
        <v>26</v>
      </c>
      <c r="M695">
        <v>1</v>
      </c>
      <c r="N695">
        <v>411.72</v>
      </c>
      <c r="O695">
        <v>669.54</v>
      </c>
      <c r="P695">
        <v>0</v>
      </c>
      <c r="Q695">
        <v>0</v>
      </c>
      <c r="S695">
        <v>29</v>
      </c>
      <c r="T695">
        <v>1</v>
      </c>
      <c r="U695">
        <v>4</v>
      </c>
      <c r="V695">
        <v>669.54</v>
      </c>
      <c r="W695">
        <v>13130000693</v>
      </c>
    </row>
    <row r="696" spans="1:23" x14ac:dyDescent="0.2">
      <c r="A696" s="1">
        <v>44786</v>
      </c>
      <c r="B696" s="2">
        <v>0.76731481481481478</v>
      </c>
      <c r="C696">
        <v>1694</v>
      </c>
      <c r="D696">
        <v>13002561</v>
      </c>
      <c r="E696">
        <v>13</v>
      </c>
      <c r="F696">
        <v>22589</v>
      </c>
      <c r="G696" t="s">
        <v>23</v>
      </c>
      <c r="H696">
        <v>15</v>
      </c>
      <c r="I696">
        <v>34169</v>
      </c>
      <c r="J696" t="s">
        <v>88</v>
      </c>
      <c r="K696" t="s">
        <v>44</v>
      </c>
      <c r="L696" t="s">
        <v>47</v>
      </c>
      <c r="M696">
        <v>3</v>
      </c>
      <c r="N696">
        <v>283.08</v>
      </c>
      <c r="O696">
        <v>424.73</v>
      </c>
      <c r="P696">
        <v>21.24</v>
      </c>
      <c r="Q696">
        <v>21.24</v>
      </c>
      <c r="R696" t="s">
        <v>30</v>
      </c>
      <c r="S696">
        <v>29</v>
      </c>
      <c r="T696">
        <v>1</v>
      </c>
      <c r="U696">
        <v>6</v>
      </c>
      <c r="V696">
        <v>403.49</v>
      </c>
      <c r="W696">
        <v>13130000694</v>
      </c>
    </row>
    <row r="697" spans="1:23" x14ac:dyDescent="0.2">
      <c r="A697" s="1">
        <v>44803</v>
      </c>
      <c r="B697" s="2">
        <v>0.37844907407407408</v>
      </c>
      <c r="C697">
        <v>1695</v>
      </c>
      <c r="D697">
        <v>13002561</v>
      </c>
      <c r="E697">
        <v>13</v>
      </c>
      <c r="F697">
        <v>22589</v>
      </c>
      <c r="G697" t="s">
        <v>23</v>
      </c>
      <c r="H697">
        <v>15</v>
      </c>
      <c r="I697">
        <v>50886</v>
      </c>
      <c r="J697" t="s">
        <v>59</v>
      </c>
      <c r="K697" t="s">
        <v>28</v>
      </c>
      <c r="L697" t="s">
        <v>29</v>
      </c>
      <c r="M697">
        <v>3</v>
      </c>
      <c r="N697">
        <v>251</v>
      </c>
      <c r="O697">
        <v>404.25</v>
      </c>
      <c r="P697">
        <v>40.43</v>
      </c>
      <c r="Q697">
        <v>40.43</v>
      </c>
      <c r="R697" t="s">
        <v>30</v>
      </c>
      <c r="S697">
        <v>29</v>
      </c>
      <c r="T697">
        <v>1</v>
      </c>
      <c r="U697">
        <v>5</v>
      </c>
      <c r="V697">
        <v>363.82</v>
      </c>
      <c r="W697">
        <v>13130000695</v>
      </c>
    </row>
    <row r="698" spans="1:23" x14ac:dyDescent="0.2">
      <c r="A698" s="1">
        <v>44785</v>
      </c>
      <c r="B698" s="2">
        <v>0.52697916666666667</v>
      </c>
      <c r="C698">
        <v>1696</v>
      </c>
      <c r="D698">
        <v>13002561</v>
      </c>
      <c r="E698">
        <v>13</v>
      </c>
      <c r="F698">
        <v>22589</v>
      </c>
      <c r="G698" t="s">
        <v>23</v>
      </c>
      <c r="H698">
        <v>18</v>
      </c>
      <c r="I698">
        <v>48746</v>
      </c>
      <c r="J698" t="s">
        <v>27</v>
      </c>
      <c r="K698" t="s">
        <v>38</v>
      </c>
      <c r="L698" t="s">
        <v>39</v>
      </c>
      <c r="M698">
        <v>3</v>
      </c>
      <c r="N698">
        <v>511.86</v>
      </c>
      <c r="O698">
        <v>855.97</v>
      </c>
      <c r="P698">
        <v>42.8</v>
      </c>
      <c r="Q698">
        <v>42.8</v>
      </c>
      <c r="R698" t="s">
        <v>30</v>
      </c>
      <c r="S698">
        <v>29</v>
      </c>
      <c r="T698">
        <v>1</v>
      </c>
      <c r="U698">
        <v>5</v>
      </c>
      <c r="V698">
        <v>813.17</v>
      </c>
      <c r="W698">
        <v>13130000696</v>
      </c>
    </row>
    <row r="699" spans="1:23" x14ac:dyDescent="0.2">
      <c r="A699" s="1">
        <v>44787</v>
      </c>
      <c r="B699" s="2">
        <v>0.40607638888888892</v>
      </c>
      <c r="C699">
        <v>1697</v>
      </c>
      <c r="D699">
        <v>13002561</v>
      </c>
      <c r="E699">
        <v>13</v>
      </c>
      <c r="F699">
        <v>22589</v>
      </c>
      <c r="G699" t="s">
        <v>23</v>
      </c>
      <c r="H699">
        <v>15</v>
      </c>
      <c r="I699">
        <v>54783</v>
      </c>
      <c r="J699" t="s">
        <v>52</v>
      </c>
      <c r="K699" t="s">
        <v>44</v>
      </c>
      <c r="L699" t="s">
        <v>29</v>
      </c>
      <c r="M699">
        <v>2</v>
      </c>
      <c r="N699">
        <v>428.72</v>
      </c>
      <c r="O699">
        <v>605.55999999999995</v>
      </c>
      <c r="P699">
        <v>0</v>
      </c>
      <c r="Q699">
        <v>0</v>
      </c>
      <c r="S699">
        <v>29</v>
      </c>
      <c r="T699">
        <v>1</v>
      </c>
      <c r="U699">
        <v>3</v>
      </c>
      <c r="V699">
        <v>605.55999999999995</v>
      </c>
      <c r="W699">
        <v>13130000697</v>
      </c>
    </row>
    <row r="700" spans="1:23" x14ac:dyDescent="0.2">
      <c r="A700" s="1">
        <v>44789</v>
      </c>
      <c r="B700" s="2">
        <v>0.47439814814814812</v>
      </c>
      <c r="C700">
        <v>1698</v>
      </c>
      <c r="D700">
        <v>13002561</v>
      </c>
      <c r="E700">
        <v>13</v>
      </c>
      <c r="F700">
        <v>22589</v>
      </c>
      <c r="G700" t="s">
        <v>23</v>
      </c>
      <c r="H700">
        <v>15</v>
      </c>
      <c r="I700">
        <v>52215</v>
      </c>
      <c r="J700" t="s">
        <v>52</v>
      </c>
      <c r="K700" t="s">
        <v>60</v>
      </c>
      <c r="L700" t="s">
        <v>51</v>
      </c>
      <c r="M700">
        <v>1</v>
      </c>
      <c r="N700">
        <v>465.74</v>
      </c>
      <c r="O700">
        <v>586.77</v>
      </c>
      <c r="P700">
        <v>58.68</v>
      </c>
      <c r="Q700">
        <v>58.68</v>
      </c>
      <c r="R700" t="s">
        <v>30</v>
      </c>
      <c r="S700">
        <v>29</v>
      </c>
      <c r="T700">
        <v>1</v>
      </c>
      <c r="U700">
        <v>3</v>
      </c>
      <c r="V700">
        <v>528.09</v>
      </c>
      <c r="W700">
        <v>13130000698</v>
      </c>
    </row>
    <row r="701" spans="1:23" x14ac:dyDescent="0.2">
      <c r="A701" s="1">
        <v>44804</v>
      </c>
      <c r="B701" s="2">
        <v>0.79759259259259263</v>
      </c>
      <c r="C701">
        <v>1699</v>
      </c>
      <c r="D701">
        <v>13002561</v>
      </c>
      <c r="E701">
        <v>13</v>
      </c>
      <c r="F701">
        <v>22589</v>
      </c>
      <c r="G701" t="s">
        <v>23</v>
      </c>
      <c r="H701">
        <v>15</v>
      </c>
      <c r="I701">
        <v>11743</v>
      </c>
      <c r="J701" t="s">
        <v>127</v>
      </c>
      <c r="K701" t="s">
        <v>25</v>
      </c>
      <c r="L701" t="s">
        <v>29</v>
      </c>
      <c r="M701">
        <v>2</v>
      </c>
      <c r="N701">
        <v>37.340000000000003</v>
      </c>
      <c r="O701">
        <v>52.51</v>
      </c>
      <c r="P701">
        <v>0</v>
      </c>
      <c r="Q701">
        <v>0</v>
      </c>
      <c r="S701">
        <v>29</v>
      </c>
      <c r="T701">
        <v>1</v>
      </c>
      <c r="U701">
        <v>6</v>
      </c>
      <c r="V701">
        <v>52.51</v>
      </c>
      <c r="W701">
        <v>13130000699</v>
      </c>
    </row>
    <row r="702" spans="1:23" x14ac:dyDescent="0.2">
      <c r="A702" s="1">
        <v>44803</v>
      </c>
      <c r="B702" s="2">
        <v>0.77728009259259256</v>
      </c>
      <c r="C702">
        <v>1700</v>
      </c>
      <c r="D702">
        <v>13002561</v>
      </c>
      <c r="E702">
        <v>13</v>
      </c>
      <c r="F702">
        <v>22589</v>
      </c>
      <c r="G702" t="s">
        <v>23</v>
      </c>
      <c r="H702">
        <v>15</v>
      </c>
      <c r="I702">
        <v>37207</v>
      </c>
      <c r="J702" t="s">
        <v>35</v>
      </c>
      <c r="K702" t="s">
        <v>28</v>
      </c>
      <c r="L702" t="s">
        <v>32</v>
      </c>
      <c r="M702">
        <v>3</v>
      </c>
      <c r="N702">
        <v>565.28</v>
      </c>
      <c r="O702">
        <v>914.6</v>
      </c>
      <c r="P702">
        <v>91.46</v>
      </c>
      <c r="Q702">
        <v>91.46</v>
      </c>
      <c r="R702" t="s">
        <v>30</v>
      </c>
      <c r="S702">
        <v>29</v>
      </c>
      <c r="T702">
        <v>1</v>
      </c>
      <c r="U702">
        <v>4</v>
      </c>
      <c r="V702">
        <v>823.14</v>
      </c>
      <c r="W702">
        <v>13130000700</v>
      </c>
    </row>
    <row r="703" spans="1:23" x14ac:dyDescent="0.2">
      <c r="A703" s="1">
        <v>44776</v>
      </c>
      <c r="B703" s="2">
        <v>0.83379629629629626</v>
      </c>
      <c r="C703">
        <v>1701</v>
      </c>
      <c r="D703">
        <v>13002561</v>
      </c>
      <c r="E703">
        <v>13</v>
      </c>
      <c r="F703">
        <v>22589</v>
      </c>
      <c r="G703" t="s">
        <v>23</v>
      </c>
      <c r="H703">
        <v>18</v>
      </c>
      <c r="I703">
        <v>21419</v>
      </c>
      <c r="J703" t="s">
        <v>75</v>
      </c>
      <c r="K703" t="s">
        <v>25</v>
      </c>
      <c r="L703" t="s">
        <v>29</v>
      </c>
      <c r="M703">
        <v>3</v>
      </c>
      <c r="N703">
        <v>525.55999999999995</v>
      </c>
      <c r="O703">
        <v>761.23</v>
      </c>
      <c r="P703">
        <v>0</v>
      </c>
      <c r="Q703">
        <v>0</v>
      </c>
      <c r="S703">
        <v>29</v>
      </c>
      <c r="T703">
        <v>1</v>
      </c>
      <c r="U703">
        <v>1</v>
      </c>
      <c r="V703">
        <v>761.23</v>
      </c>
      <c r="W703">
        <v>13130000701</v>
      </c>
    </row>
    <row r="704" spans="1:23" x14ac:dyDescent="0.2">
      <c r="A704" s="1">
        <v>44803</v>
      </c>
      <c r="B704" s="2">
        <v>0.4241435185185185</v>
      </c>
      <c r="C704">
        <v>1702</v>
      </c>
      <c r="D704">
        <v>13002561</v>
      </c>
      <c r="E704">
        <v>13</v>
      </c>
      <c r="F704">
        <v>22589</v>
      </c>
      <c r="G704" t="s">
        <v>23</v>
      </c>
      <c r="H704">
        <v>18</v>
      </c>
      <c r="I704">
        <v>19341</v>
      </c>
      <c r="J704" t="s">
        <v>98</v>
      </c>
      <c r="K704" t="s">
        <v>45</v>
      </c>
      <c r="L704" t="s">
        <v>47</v>
      </c>
      <c r="M704">
        <v>1</v>
      </c>
      <c r="N704">
        <v>391.35</v>
      </c>
      <c r="O704">
        <v>561.24</v>
      </c>
      <c r="P704">
        <v>28.06</v>
      </c>
      <c r="Q704">
        <v>28.06</v>
      </c>
      <c r="R704" t="s">
        <v>30</v>
      </c>
      <c r="S704">
        <v>29</v>
      </c>
      <c r="T704">
        <v>1</v>
      </c>
      <c r="U704">
        <v>4</v>
      </c>
      <c r="V704">
        <v>533.17999999999995</v>
      </c>
      <c r="W704">
        <v>13130000702</v>
      </c>
    </row>
    <row r="705" spans="1:23" x14ac:dyDescent="0.2">
      <c r="A705" s="1">
        <v>44775</v>
      </c>
      <c r="B705" s="2">
        <v>0.53581018518518519</v>
      </c>
      <c r="C705">
        <v>1703</v>
      </c>
      <c r="D705">
        <v>13002561</v>
      </c>
      <c r="E705">
        <v>13</v>
      </c>
      <c r="F705">
        <v>22589</v>
      </c>
      <c r="G705" t="s">
        <v>23</v>
      </c>
      <c r="H705">
        <v>15</v>
      </c>
      <c r="I705">
        <v>72752</v>
      </c>
      <c r="J705" t="s">
        <v>75</v>
      </c>
      <c r="K705" t="s">
        <v>44</v>
      </c>
      <c r="L705" t="s">
        <v>26</v>
      </c>
      <c r="M705">
        <v>1</v>
      </c>
      <c r="N705">
        <v>501.69</v>
      </c>
      <c r="O705">
        <v>766.88</v>
      </c>
      <c r="P705">
        <v>0</v>
      </c>
      <c r="Q705">
        <v>0</v>
      </c>
      <c r="S705">
        <v>29</v>
      </c>
      <c r="T705">
        <v>1</v>
      </c>
      <c r="U705">
        <v>3</v>
      </c>
      <c r="V705">
        <v>766.88</v>
      </c>
      <c r="W705">
        <v>13130000703</v>
      </c>
    </row>
    <row r="706" spans="1:23" x14ac:dyDescent="0.2">
      <c r="A706" s="1">
        <v>44794</v>
      </c>
      <c r="B706" s="2">
        <v>0.86241898148148144</v>
      </c>
      <c r="C706">
        <v>1704</v>
      </c>
      <c r="D706">
        <v>13002561</v>
      </c>
      <c r="E706">
        <v>13</v>
      </c>
      <c r="F706">
        <v>22589</v>
      </c>
      <c r="G706" t="s">
        <v>23</v>
      </c>
      <c r="H706">
        <v>18</v>
      </c>
      <c r="I706">
        <v>36544</v>
      </c>
      <c r="J706" t="s">
        <v>116</v>
      </c>
      <c r="K706" t="s">
        <v>60</v>
      </c>
      <c r="L706" t="s">
        <v>34</v>
      </c>
      <c r="M706">
        <v>1</v>
      </c>
      <c r="N706">
        <v>91.93</v>
      </c>
      <c r="O706">
        <v>122</v>
      </c>
      <c r="P706">
        <v>12.2</v>
      </c>
      <c r="Q706">
        <v>12.2</v>
      </c>
      <c r="R706" t="s">
        <v>30</v>
      </c>
      <c r="S706">
        <v>29</v>
      </c>
      <c r="T706">
        <v>1</v>
      </c>
      <c r="U706">
        <v>3</v>
      </c>
      <c r="V706">
        <v>109.8</v>
      </c>
      <c r="W706">
        <v>13130000704</v>
      </c>
    </row>
    <row r="707" spans="1:23" x14ac:dyDescent="0.2">
      <c r="A707" s="1">
        <v>44783</v>
      </c>
      <c r="B707" s="2">
        <v>0.86577546296296293</v>
      </c>
      <c r="C707">
        <v>1705</v>
      </c>
      <c r="D707">
        <v>13002561</v>
      </c>
      <c r="E707">
        <v>13</v>
      </c>
      <c r="F707">
        <v>22589</v>
      </c>
      <c r="G707" t="s">
        <v>23</v>
      </c>
      <c r="H707">
        <v>15</v>
      </c>
      <c r="I707">
        <v>80074</v>
      </c>
      <c r="J707" t="s">
        <v>78</v>
      </c>
      <c r="K707" t="s">
        <v>38</v>
      </c>
      <c r="L707" t="s">
        <v>32</v>
      </c>
      <c r="M707">
        <v>3</v>
      </c>
      <c r="N707">
        <v>207.99</v>
      </c>
      <c r="O707">
        <v>276.81</v>
      </c>
      <c r="P707">
        <v>27.68</v>
      </c>
      <c r="Q707">
        <v>27.68</v>
      </c>
      <c r="R707" t="s">
        <v>30</v>
      </c>
      <c r="S707">
        <v>29</v>
      </c>
      <c r="T707">
        <v>1</v>
      </c>
      <c r="U707">
        <v>1</v>
      </c>
      <c r="V707">
        <v>249.13</v>
      </c>
      <c r="W707">
        <v>13130000705</v>
      </c>
    </row>
    <row r="708" spans="1:23" x14ac:dyDescent="0.2">
      <c r="A708" s="1">
        <v>44794</v>
      </c>
      <c r="B708" s="2">
        <v>0.62103009259259256</v>
      </c>
      <c r="C708">
        <v>1706</v>
      </c>
      <c r="D708">
        <v>13002561</v>
      </c>
      <c r="E708">
        <v>13</v>
      </c>
      <c r="F708">
        <v>22589</v>
      </c>
      <c r="G708" t="s">
        <v>23</v>
      </c>
      <c r="H708">
        <v>18</v>
      </c>
      <c r="I708">
        <v>65936</v>
      </c>
      <c r="J708" t="s">
        <v>37</v>
      </c>
      <c r="K708" t="s">
        <v>25</v>
      </c>
      <c r="L708" t="s">
        <v>32</v>
      </c>
      <c r="M708">
        <v>3</v>
      </c>
      <c r="N708">
        <v>460.89</v>
      </c>
      <c r="O708">
        <v>633.67999999999995</v>
      </c>
      <c r="P708">
        <v>0</v>
      </c>
      <c r="Q708">
        <v>0</v>
      </c>
      <c r="S708">
        <v>29</v>
      </c>
      <c r="T708">
        <v>1</v>
      </c>
      <c r="U708">
        <v>5</v>
      </c>
      <c r="V708">
        <v>633.67999999999995</v>
      </c>
      <c r="W708">
        <v>13130000706</v>
      </c>
    </row>
    <row r="709" spans="1:23" x14ac:dyDescent="0.2">
      <c r="A709" s="1">
        <v>44791</v>
      </c>
      <c r="B709" s="2">
        <v>0.70994212962962966</v>
      </c>
      <c r="C709">
        <v>1707</v>
      </c>
      <c r="D709">
        <v>13002561</v>
      </c>
      <c r="E709">
        <v>13</v>
      </c>
      <c r="F709">
        <v>22589</v>
      </c>
      <c r="G709" t="s">
        <v>23</v>
      </c>
      <c r="H709">
        <v>15</v>
      </c>
      <c r="I709">
        <v>92258</v>
      </c>
      <c r="J709" t="s">
        <v>74</v>
      </c>
      <c r="K709" t="s">
        <v>25</v>
      </c>
      <c r="L709" t="s">
        <v>32</v>
      </c>
      <c r="M709">
        <v>1</v>
      </c>
      <c r="N709">
        <v>168.6</v>
      </c>
      <c r="O709">
        <v>233.47</v>
      </c>
      <c r="P709">
        <v>11.67</v>
      </c>
      <c r="Q709">
        <v>11.67</v>
      </c>
      <c r="R709" t="s">
        <v>30</v>
      </c>
      <c r="S709">
        <v>29</v>
      </c>
      <c r="T709">
        <v>1</v>
      </c>
      <c r="U709">
        <v>2</v>
      </c>
      <c r="V709">
        <v>221.8</v>
      </c>
      <c r="W709">
        <v>13130000707</v>
      </c>
    </row>
    <row r="710" spans="1:23" x14ac:dyDescent="0.2">
      <c r="A710" s="1">
        <v>44803</v>
      </c>
      <c r="B710" s="2">
        <v>0.41701388888888891</v>
      </c>
      <c r="C710">
        <v>1708</v>
      </c>
      <c r="D710">
        <v>13002561</v>
      </c>
      <c r="E710">
        <v>13</v>
      </c>
      <c r="F710">
        <v>22589</v>
      </c>
      <c r="G710" t="s">
        <v>23</v>
      </c>
      <c r="H710">
        <v>18</v>
      </c>
      <c r="I710">
        <v>10349</v>
      </c>
      <c r="J710" t="s">
        <v>83</v>
      </c>
      <c r="K710" t="s">
        <v>38</v>
      </c>
      <c r="L710" t="s">
        <v>36</v>
      </c>
      <c r="M710">
        <v>2</v>
      </c>
      <c r="N710">
        <v>78.38</v>
      </c>
      <c r="O710">
        <v>122.68</v>
      </c>
      <c r="P710">
        <v>6.13</v>
      </c>
      <c r="Q710">
        <v>6.13</v>
      </c>
      <c r="R710" t="s">
        <v>30</v>
      </c>
      <c r="S710">
        <v>29</v>
      </c>
      <c r="T710">
        <v>1</v>
      </c>
      <c r="U710">
        <v>5</v>
      </c>
      <c r="V710">
        <v>116.55</v>
      </c>
      <c r="W710">
        <v>13130000708</v>
      </c>
    </row>
    <row r="711" spans="1:23" x14ac:dyDescent="0.2">
      <c r="A711" s="1">
        <v>44789</v>
      </c>
      <c r="B711" s="2">
        <v>0.34744212962962961</v>
      </c>
      <c r="C711">
        <v>1709</v>
      </c>
      <c r="D711">
        <v>13002561</v>
      </c>
      <c r="E711">
        <v>13</v>
      </c>
      <c r="F711">
        <v>22589</v>
      </c>
      <c r="G711" t="s">
        <v>23</v>
      </c>
      <c r="H711">
        <v>18</v>
      </c>
      <c r="I711">
        <v>93034</v>
      </c>
      <c r="J711" t="s">
        <v>71</v>
      </c>
      <c r="K711" t="s">
        <v>45</v>
      </c>
      <c r="L711" t="s">
        <v>36</v>
      </c>
      <c r="M711">
        <v>1</v>
      </c>
      <c r="N711">
        <v>52.61</v>
      </c>
      <c r="O711">
        <v>66.650000000000006</v>
      </c>
      <c r="P711">
        <v>3.33</v>
      </c>
      <c r="Q711">
        <v>3.33</v>
      </c>
      <c r="R711" t="s">
        <v>30</v>
      </c>
      <c r="S711">
        <v>29</v>
      </c>
      <c r="T711">
        <v>1</v>
      </c>
      <c r="U711">
        <v>3</v>
      </c>
      <c r="V711">
        <v>63.32</v>
      </c>
      <c r="W711">
        <v>13130000709</v>
      </c>
    </row>
    <row r="712" spans="1:23" x14ac:dyDescent="0.2">
      <c r="A712" s="1">
        <v>44797</v>
      </c>
      <c r="B712" s="2">
        <v>0.80418981481481477</v>
      </c>
      <c r="C712">
        <v>1710</v>
      </c>
      <c r="D712">
        <v>13002561</v>
      </c>
      <c r="E712">
        <v>13</v>
      </c>
      <c r="F712">
        <v>22589</v>
      </c>
      <c r="G712" t="s">
        <v>23</v>
      </c>
      <c r="H712">
        <v>18</v>
      </c>
      <c r="I712">
        <v>54942</v>
      </c>
      <c r="J712" t="s">
        <v>94</v>
      </c>
      <c r="K712" t="s">
        <v>28</v>
      </c>
      <c r="L712" t="s">
        <v>26</v>
      </c>
      <c r="M712">
        <v>3</v>
      </c>
      <c r="N712">
        <v>546.88</v>
      </c>
      <c r="O712">
        <v>837.23</v>
      </c>
      <c r="P712">
        <v>41.86</v>
      </c>
      <c r="Q712">
        <v>41.86</v>
      </c>
      <c r="R712" t="s">
        <v>30</v>
      </c>
      <c r="S712">
        <v>29</v>
      </c>
      <c r="T712">
        <v>1</v>
      </c>
      <c r="U712">
        <v>5</v>
      </c>
      <c r="V712">
        <v>795.37</v>
      </c>
      <c r="W712">
        <v>13130000710</v>
      </c>
    </row>
    <row r="713" spans="1:23" x14ac:dyDescent="0.2">
      <c r="A713" s="1">
        <v>44785</v>
      </c>
      <c r="B713" s="2">
        <v>0.78619212962962959</v>
      </c>
      <c r="C713">
        <v>1711</v>
      </c>
      <c r="D713">
        <v>13002561</v>
      </c>
      <c r="E713">
        <v>13</v>
      </c>
      <c r="F713">
        <v>22589</v>
      </c>
      <c r="G713" t="s">
        <v>23</v>
      </c>
      <c r="H713">
        <v>18</v>
      </c>
      <c r="I713">
        <v>77527</v>
      </c>
      <c r="J713" t="s">
        <v>75</v>
      </c>
      <c r="K713" t="s">
        <v>38</v>
      </c>
      <c r="L713" t="s">
        <v>47</v>
      </c>
      <c r="M713">
        <v>2</v>
      </c>
      <c r="N713">
        <v>576.49</v>
      </c>
      <c r="O713">
        <v>788.74</v>
      </c>
      <c r="P713">
        <v>78.87</v>
      </c>
      <c r="Q713">
        <v>78.87</v>
      </c>
      <c r="R713" t="s">
        <v>30</v>
      </c>
      <c r="S713">
        <v>29</v>
      </c>
      <c r="T713">
        <v>1</v>
      </c>
      <c r="U713">
        <v>6</v>
      </c>
      <c r="V713">
        <v>709.87</v>
      </c>
      <c r="W713">
        <v>13130000711</v>
      </c>
    </row>
    <row r="714" spans="1:23" x14ac:dyDescent="0.2">
      <c r="A714" s="1">
        <v>44803</v>
      </c>
      <c r="B714" s="2">
        <v>0.36635416666666659</v>
      </c>
      <c r="C714">
        <v>1712</v>
      </c>
      <c r="D714">
        <v>13002561</v>
      </c>
      <c r="E714">
        <v>13</v>
      </c>
      <c r="F714">
        <v>22589</v>
      </c>
      <c r="G714" t="s">
        <v>23</v>
      </c>
      <c r="H714">
        <v>18</v>
      </c>
      <c r="I714">
        <v>20165</v>
      </c>
      <c r="J714" t="s">
        <v>43</v>
      </c>
      <c r="K714" t="s">
        <v>45</v>
      </c>
      <c r="L714" t="s">
        <v>39</v>
      </c>
      <c r="M714">
        <v>3</v>
      </c>
      <c r="N714">
        <v>516.76</v>
      </c>
      <c r="O714">
        <v>825.82</v>
      </c>
      <c r="P714">
        <v>0</v>
      </c>
      <c r="Q714">
        <v>0</v>
      </c>
      <c r="S714">
        <v>29</v>
      </c>
      <c r="T714">
        <v>1</v>
      </c>
      <c r="U714">
        <v>1</v>
      </c>
      <c r="V714">
        <v>825.82</v>
      </c>
      <c r="W714">
        <v>13130000712</v>
      </c>
    </row>
    <row r="715" spans="1:23" x14ac:dyDescent="0.2">
      <c r="A715" s="1">
        <v>44782</v>
      </c>
      <c r="B715" s="2">
        <v>0.55237268518518523</v>
      </c>
      <c r="C715">
        <v>1713</v>
      </c>
      <c r="D715">
        <v>13002561</v>
      </c>
      <c r="E715">
        <v>13</v>
      </c>
      <c r="F715">
        <v>22589</v>
      </c>
      <c r="G715" t="s">
        <v>23</v>
      </c>
      <c r="H715">
        <v>18</v>
      </c>
      <c r="I715">
        <v>11093</v>
      </c>
      <c r="J715" t="s">
        <v>68</v>
      </c>
      <c r="K715" t="s">
        <v>38</v>
      </c>
      <c r="L715" t="s">
        <v>36</v>
      </c>
      <c r="M715">
        <v>1</v>
      </c>
      <c r="N715">
        <v>89.75</v>
      </c>
      <c r="O715">
        <v>144.87</v>
      </c>
      <c r="P715">
        <v>7.24</v>
      </c>
      <c r="Q715">
        <v>7.24</v>
      </c>
      <c r="R715" t="s">
        <v>30</v>
      </c>
      <c r="S715">
        <v>29</v>
      </c>
      <c r="T715">
        <v>1</v>
      </c>
      <c r="U715">
        <v>6</v>
      </c>
      <c r="V715">
        <v>137.63</v>
      </c>
      <c r="W715">
        <v>13130000713</v>
      </c>
    </row>
    <row r="716" spans="1:23" x14ac:dyDescent="0.2">
      <c r="A716" s="1">
        <v>44786</v>
      </c>
      <c r="B716" s="2">
        <v>0.39179398148148148</v>
      </c>
      <c r="C716">
        <v>1714</v>
      </c>
      <c r="D716">
        <v>13002561</v>
      </c>
      <c r="E716">
        <v>13</v>
      </c>
      <c r="F716">
        <v>22589</v>
      </c>
      <c r="G716" t="s">
        <v>23</v>
      </c>
      <c r="H716">
        <v>15</v>
      </c>
      <c r="I716">
        <v>17502</v>
      </c>
      <c r="J716" t="s">
        <v>90</v>
      </c>
      <c r="K716" t="s">
        <v>25</v>
      </c>
      <c r="L716" t="s">
        <v>39</v>
      </c>
      <c r="M716">
        <v>2</v>
      </c>
      <c r="N716">
        <v>261.02</v>
      </c>
      <c r="O716">
        <v>391.27</v>
      </c>
      <c r="P716">
        <v>39.130000000000003</v>
      </c>
      <c r="Q716">
        <v>39.130000000000003</v>
      </c>
      <c r="R716" t="s">
        <v>30</v>
      </c>
      <c r="S716">
        <v>29</v>
      </c>
      <c r="T716">
        <v>1</v>
      </c>
      <c r="U716">
        <v>4</v>
      </c>
      <c r="V716">
        <v>352.14</v>
      </c>
      <c r="W716">
        <v>13130000714</v>
      </c>
    </row>
    <row r="717" spans="1:23" x14ac:dyDescent="0.2">
      <c r="A717" s="1">
        <v>44796</v>
      </c>
      <c r="B717" s="2">
        <v>0.36778935185185191</v>
      </c>
      <c r="C717">
        <v>1715</v>
      </c>
      <c r="D717">
        <v>13002561</v>
      </c>
      <c r="E717">
        <v>13</v>
      </c>
      <c r="F717">
        <v>22589</v>
      </c>
      <c r="G717" t="s">
        <v>23</v>
      </c>
      <c r="H717">
        <v>18</v>
      </c>
      <c r="I717">
        <v>11191</v>
      </c>
      <c r="J717" t="s">
        <v>70</v>
      </c>
      <c r="K717" t="s">
        <v>25</v>
      </c>
      <c r="L717" t="s">
        <v>32</v>
      </c>
      <c r="M717">
        <v>1</v>
      </c>
      <c r="N717">
        <v>589.46</v>
      </c>
      <c r="O717">
        <v>859.51</v>
      </c>
      <c r="P717">
        <v>42.98</v>
      </c>
      <c r="Q717">
        <v>42.98</v>
      </c>
      <c r="R717" t="s">
        <v>30</v>
      </c>
      <c r="S717">
        <v>29</v>
      </c>
      <c r="T717">
        <v>1</v>
      </c>
      <c r="U717">
        <v>6</v>
      </c>
      <c r="V717">
        <v>816.53</v>
      </c>
      <c r="W717">
        <v>13130000715</v>
      </c>
    </row>
    <row r="718" spans="1:23" x14ac:dyDescent="0.2">
      <c r="A718" s="1">
        <v>44782</v>
      </c>
      <c r="B718" s="2">
        <v>0.81070601851851853</v>
      </c>
      <c r="C718">
        <v>1716</v>
      </c>
      <c r="D718">
        <v>13002561</v>
      </c>
      <c r="E718">
        <v>13</v>
      </c>
      <c r="F718">
        <v>22589</v>
      </c>
      <c r="G718" t="s">
        <v>23</v>
      </c>
      <c r="H718">
        <v>18</v>
      </c>
      <c r="I718">
        <v>69894</v>
      </c>
      <c r="J718" t="s">
        <v>88</v>
      </c>
      <c r="K718" t="s">
        <v>25</v>
      </c>
      <c r="L718" t="s">
        <v>34</v>
      </c>
      <c r="M718">
        <v>3</v>
      </c>
      <c r="N718">
        <v>86.6</v>
      </c>
      <c r="O718">
        <v>124.54</v>
      </c>
      <c r="P718">
        <v>0</v>
      </c>
      <c r="Q718">
        <v>0</v>
      </c>
      <c r="S718">
        <v>29</v>
      </c>
      <c r="T718">
        <v>1</v>
      </c>
      <c r="U718">
        <v>2</v>
      </c>
      <c r="V718">
        <v>124.54</v>
      </c>
      <c r="W718">
        <v>13130000716</v>
      </c>
    </row>
    <row r="719" spans="1:23" x14ac:dyDescent="0.2">
      <c r="A719" s="1">
        <v>44783</v>
      </c>
      <c r="B719" s="2">
        <v>0.88604166666666662</v>
      </c>
      <c r="C719">
        <v>1717</v>
      </c>
      <c r="D719">
        <v>13002561</v>
      </c>
      <c r="E719">
        <v>13</v>
      </c>
      <c r="F719">
        <v>22589</v>
      </c>
      <c r="G719" t="s">
        <v>23</v>
      </c>
      <c r="H719">
        <v>18</v>
      </c>
      <c r="I719">
        <v>90209</v>
      </c>
      <c r="J719" t="s">
        <v>40</v>
      </c>
      <c r="K719" t="s">
        <v>44</v>
      </c>
      <c r="L719" t="s">
        <v>26</v>
      </c>
      <c r="M719">
        <v>3</v>
      </c>
      <c r="N719">
        <v>433.38</v>
      </c>
      <c r="O719">
        <v>602.16999999999996</v>
      </c>
      <c r="P719">
        <v>60.22</v>
      </c>
      <c r="Q719">
        <v>60.22</v>
      </c>
      <c r="R719" t="s">
        <v>30</v>
      </c>
      <c r="S719">
        <v>29</v>
      </c>
      <c r="T719">
        <v>1</v>
      </c>
      <c r="U719">
        <v>4</v>
      </c>
      <c r="V719">
        <v>541.95000000000005</v>
      </c>
      <c r="W719">
        <v>13130000717</v>
      </c>
    </row>
    <row r="720" spans="1:23" x14ac:dyDescent="0.2">
      <c r="A720" s="1">
        <v>44782</v>
      </c>
      <c r="B720" s="2">
        <v>0.86054398148148148</v>
      </c>
      <c r="C720">
        <v>1718</v>
      </c>
      <c r="D720">
        <v>13002561</v>
      </c>
      <c r="E720">
        <v>13</v>
      </c>
      <c r="F720">
        <v>22589</v>
      </c>
      <c r="G720" t="s">
        <v>23</v>
      </c>
      <c r="H720">
        <v>18</v>
      </c>
      <c r="I720">
        <v>46176</v>
      </c>
      <c r="J720" t="s">
        <v>27</v>
      </c>
      <c r="K720" t="s">
        <v>45</v>
      </c>
      <c r="L720" t="s">
        <v>34</v>
      </c>
      <c r="M720">
        <v>3</v>
      </c>
      <c r="N720">
        <v>311.66000000000003</v>
      </c>
      <c r="O720">
        <v>431.24</v>
      </c>
      <c r="P720">
        <v>21.56</v>
      </c>
      <c r="Q720">
        <v>21.56</v>
      </c>
      <c r="R720" t="s">
        <v>30</v>
      </c>
      <c r="S720">
        <v>29</v>
      </c>
      <c r="T720">
        <v>1</v>
      </c>
      <c r="U720">
        <v>2</v>
      </c>
      <c r="V720">
        <v>409.68</v>
      </c>
      <c r="W720">
        <v>13130000718</v>
      </c>
    </row>
    <row r="721" spans="1:23" x14ac:dyDescent="0.2">
      <c r="A721" s="1">
        <v>44780</v>
      </c>
      <c r="B721" s="2">
        <v>0.84206018518518522</v>
      </c>
      <c r="C721">
        <v>1719</v>
      </c>
      <c r="D721">
        <v>13002561</v>
      </c>
      <c r="E721">
        <v>13</v>
      </c>
      <c r="F721">
        <v>22589</v>
      </c>
      <c r="G721" t="s">
        <v>23</v>
      </c>
      <c r="H721">
        <v>18</v>
      </c>
      <c r="I721">
        <v>59016</v>
      </c>
      <c r="J721" t="s">
        <v>48</v>
      </c>
      <c r="K721" t="s">
        <v>44</v>
      </c>
      <c r="L721" t="s">
        <v>29</v>
      </c>
      <c r="M721">
        <v>3</v>
      </c>
      <c r="N721">
        <v>581.02</v>
      </c>
      <c r="O721">
        <v>884.74</v>
      </c>
      <c r="P721">
        <v>44.24</v>
      </c>
      <c r="Q721">
        <v>44.24</v>
      </c>
      <c r="R721" t="s">
        <v>30</v>
      </c>
      <c r="S721">
        <v>29</v>
      </c>
      <c r="T721">
        <v>1</v>
      </c>
      <c r="U721">
        <v>4</v>
      </c>
      <c r="V721">
        <v>840.5</v>
      </c>
      <c r="W721">
        <v>13130000719</v>
      </c>
    </row>
    <row r="722" spans="1:23" x14ac:dyDescent="0.2">
      <c r="A722" s="1">
        <v>44788</v>
      </c>
      <c r="B722" s="2">
        <v>0.6118865740740741</v>
      </c>
      <c r="C722">
        <v>1720</v>
      </c>
      <c r="D722">
        <v>13002561</v>
      </c>
      <c r="E722">
        <v>13</v>
      </c>
      <c r="F722">
        <v>22589</v>
      </c>
      <c r="G722" t="s">
        <v>23</v>
      </c>
      <c r="H722">
        <v>18</v>
      </c>
      <c r="I722">
        <v>57525</v>
      </c>
      <c r="J722" t="s">
        <v>114</v>
      </c>
      <c r="K722" t="s">
        <v>28</v>
      </c>
      <c r="L722" t="s">
        <v>51</v>
      </c>
      <c r="M722">
        <v>3</v>
      </c>
      <c r="N722">
        <v>53.48</v>
      </c>
      <c r="O722">
        <v>78.48</v>
      </c>
      <c r="P722">
        <v>3.92</v>
      </c>
      <c r="Q722">
        <v>3.92</v>
      </c>
      <c r="R722" t="s">
        <v>30</v>
      </c>
      <c r="S722">
        <v>29</v>
      </c>
      <c r="T722">
        <v>1</v>
      </c>
      <c r="U722">
        <v>4</v>
      </c>
      <c r="V722">
        <v>74.56</v>
      </c>
      <c r="W722">
        <v>13130000720</v>
      </c>
    </row>
    <row r="723" spans="1:23" x14ac:dyDescent="0.2">
      <c r="A723" s="1">
        <v>44792</v>
      </c>
      <c r="B723" s="2">
        <v>0.67047453703703708</v>
      </c>
      <c r="C723">
        <v>1721</v>
      </c>
      <c r="D723">
        <v>13002561</v>
      </c>
      <c r="E723">
        <v>13</v>
      </c>
      <c r="F723">
        <v>22589</v>
      </c>
      <c r="G723" t="s">
        <v>23</v>
      </c>
      <c r="H723">
        <v>18</v>
      </c>
      <c r="I723">
        <v>74924</v>
      </c>
      <c r="J723" t="s">
        <v>96</v>
      </c>
      <c r="K723" t="s">
        <v>60</v>
      </c>
      <c r="L723" t="s">
        <v>39</v>
      </c>
      <c r="M723">
        <v>3</v>
      </c>
      <c r="N723">
        <v>589.05999999999995</v>
      </c>
      <c r="O723">
        <v>927.3</v>
      </c>
      <c r="P723">
        <v>46.37</v>
      </c>
      <c r="Q723">
        <v>46.37</v>
      </c>
      <c r="R723" t="s">
        <v>30</v>
      </c>
      <c r="S723">
        <v>29</v>
      </c>
      <c r="T723">
        <v>1</v>
      </c>
      <c r="U723">
        <v>1</v>
      </c>
      <c r="V723">
        <v>880.93</v>
      </c>
      <c r="W723">
        <v>13130000721</v>
      </c>
    </row>
    <row r="724" spans="1:23" x14ac:dyDescent="0.2">
      <c r="A724" s="1">
        <v>44804</v>
      </c>
      <c r="B724" s="2">
        <v>0.62122685185185189</v>
      </c>
      <c r="C724">
        <v>1722</v>
      </c>
      <c r="D724">
        <v>13002561</v>
      </c>
      <c r="E724">
        <v>13</v>
      </c>
      <c r="F724">
        <v>22589</v>
      </c>
      <c r="G724" t="s">
        <v>23</v>
      </c>
      <c r="H724">
        <v>18</v>
      </c>
      <c r="I724">
        <v>19722</v>
      </c>
      <c r="J724" t="s">
        <v>69</v>
      </c>
      <c r="K724" t="s">
        <v>25</v>
      </c>
      <c r="L724" t="s">
        <v>29</v>
      </c>
      <c r="M724">
        <v>1</v>
      </c>
      <c r="N724">
        <v>81.28</v>
      </c>
      <c r="O724">
        <v>128.26</v>
      </c>
      <c r="P724">
        <v>12.83</v>
      </c>
      <c r="Q724">
        <v>12.83</v>
      </c>
      <c r="R724" t="s">
        <v>30</v>
      </c>
      <c r="S724">
        <v>29</v>
      </c>
      <c r="T724">
        <v>1</v>
      </c>
      <c r="U724">
        <v>2</v>
      </c>
      <c r="V724">
        <v>115.43</v>
      </c>
      <c r="W724">
        <v>13130000722</v>
      </c>
    </row>
    <row r="725" spans="1:23" x14ac:dyDescent="0.2">
      <c r="A725" s="1">
        <v>44778</v>
      </c>
      <c r="B725" s="2">
        <v>0.75634259259259262</v>
      </c>
      <c r="C725">
        <v>1723</v>
      </c>
      <c r="D725">
        <v>13002561</v>
      </c>
      <c r="E725">
        <v>13</v>
      </c>
      <c r="F725">
        <v>22589</v>
      </c>
      <c r="G725" t="s">
        <v>23</v>
      </c>
      <c r="H725">
        <v>18</v>
      </c>
      <c r="I725">
        <v>22264</v>
      </c>
      <c r="J725" t="s">
        <v>59</v>
      </c>
      <c r="K725" t="s">
        <v>60</v>
      </c>
      <c r="L725" t="s">
        <v>47</v>
      </c>
      <c r="M725">
        <v>2</v>
      </c>
      <c r="N725">
        <v>293.7</v>
      </c>
      <c r="O725">
        <v>446.32</v>
      </c>
      <c r="P725">
        <v>44.63</v>
      </c>
      <c r="Q725">
        <v>44.63</v>
      </c>
      <c r="R725" t="s">
        <v>30</v>
      </c>
      <c r="S725">
        <v>29</v>
      </c>
      <c r="T725">
        <v>1</v>
      </c>
      <c r="U725">
        <v>2</v>
      </c>
      <c r="V725">
        <v>401.69</v>
      </c>
      <c r="W725">
        <v>13130000723</v>
      </c>
    </row>
    <row r="726" spans="1:23" x14ac:dyDescent="0.2">
      <c r="A726" s="1">
        <v>44796</v>
      </c>
      <c r="B726" s="2">
        <v>0.79894675925925929</v>
      </c>
      <c r="C726">
        <v>1724</v>
      </c>
      <c r="D726">
        <v>13002561</v>
      </c>
      <c r="E726">
        <v>13</v>
      </c>
      <c r="F726">
        <v>22589</v>
      </c>
      <c r="G726" t="s">
        <v>23</v>
      </c>
      <c r="H726">
        <v>15</v>
      </c>
      <c r="I726">
        <v>72569</v>
      </c>
      <c r="J726" t="s">
        <v>125</v>
      </c>
      <c r="K726" t="s">
        <v>28</v>
      </c>
      <c r="L726" t="s">
        <v>36</v>
      </c>
      <c r="M726">
        <v>2</v>
      </c>
      <c r="N726">
        <v>539.70000000000005</v>
      </c>
      <c r="O726">
        <v>768.29</v>
      </c>
      <c r="P726">
        <v>76.83</v>
      </c>
      <c r="Q726">
        <v>76.83</v>
      </c>
      <c r="R726" t="s">
        <v>30</v>
      </c>
      <c r="S726">
        <v>29</v>
      </c>
      <c r="T726">
        <v>1</v>
      </c>
      <c r="U726">
        <v>4</v>
      </c>
      <c r="V726">
        <v>691.46</v>
      </c>
      <c r="W726">
        <v>13130000724</v>
      </c>
    </row>
    <row r="727" spans="1:23" x14ac:dyDescent="0.2">
      <c r="A727" s="1">
        <v>44789</v>
      </c>
      <c r="B727" s="2">
        <v>0.39218750000000002</v>
      </c>
      <c r="C727">
        <v>1725</v>
      </c>
      <c r="D727">
        <v>13002561</v>
      </c>
      <c r="E727">
        <v>13</v>
      </c>
      <c r="F727">
        <v>22589</v>
      </c>
      <c r="G727" t="s">
        <v>23</v>
      </c>
      <c r="H727">
        <v>18</v>
      </c>
      <c r="I727">
        <v>57114</v>
      </c>
      <c r="J727" t="s">
        <v>68</v>
      </c>
      <c r="K727" t="s">
        <v>45</v>
      </c>
      <c r="L727" t="s">
        <v>29</v>
      </c>
      <c r="M727">
        <v>3</v>
      </c>
      <c r="N727">
        <v>148.15</v>
      </c>
      <c r="O727">
        <v>230.44</v>
      </c>
      <c r="P727">
        <v>23.04</v>
      </c>
      <c r="Q727">
        <v>23.04</v>
      </c>
      <c r="R727" t="s">
        <v>30</v>
      </c>
      <c r="S727">
        <v>29</v>
      </c>
      <c r="T727">
        <v>1</v>
      </c>
      <c r="U727">
        <v>5</v>
      </c>
      <c r="V727">
        <v>207.4</v>
      </c>
      <c r="W727">
        <v>13130000725</v>
      </c>
    </row>
    <row r="728" spans="1:23" x14ac:dyDescent="0.2">
      <c r="A728" s="1">
        <v>44794</v>
      </c>
      <c r="B728" s="2">
        <v>0.61894675925925924</v>
      </c>
      <c r="C728">
        <v>1726</v>
      </c>
      <c r="D728">
        <v>13002561</v>
      </c>
      <c r="E728">
        <v>13</v>
      </c>
      <c r="F728">
        <v>22589</v>
      </c>
      <c r="G728" t="s">
        <v>23</v>
      </c>
      <c r="H728">
        <v>18</v>
      </c>
      <c r="I728">
        <v>52291</v>
      </c>
      <c r="J728" t="s">
        <v>69</v>
      </c>
      <c r="K728" t="s">
        <v>60</v>
      </c>
      <c r="L728" t="s">
        <v>29</v>
      </c>
      <c r="M728">
        <v>3</v>
      </c>
      <c r="N728">
        <v>503.87</v>
      </c>
      <c r="O728">
        <v>853.69</v>
      </c>
      <c r="P728">
        <v>0</v>
      </c>
      <c r="Q728">
        <v>0</v>
      </c>
      <c r="S728">
        <v>29</v>
      </c>
      <c r="T728">
        <v>1</v>
      </c>
      <c r="U728">
        <v>4</v>
      </c>
      <c r="V728">
        <v>853.69</v>
      </c>
      <c r="W728">
        <v>13130000726</v>
      </c>
    </row>
    <row r="729" spans="1:23" x14ac:dyDescent="0.2">
      <c r="A729" s="1">
        <v>44802</v>
      </c>
      <c r="B729" s="2">
        <v>0.39677083333333341</v>
      </c>
      <c r="C729">
        <v>1727</v>
      </c>
      <c r="D729">
        <v>13002561</v>
      </c>
      <c r="E729">
        <v>13</v>
      </c>
      <c r="F729">
        <v>22589</v>
      </c>
      <c r="G729" t="s">
        <v>23</v>
      </c>
      <c r="H729">
        <v>18</v>
      </c>
      <c r="I729">
        <v>27530</v>
      </c>
      <c r="J729" t="s">
        <v>53</v>
      </c>
      <c r="K729" t="s">
        <v>25</v>
      </c>
      <c r="L729" t="s">
        <v>26</v>
      </c>
      <c r="M729">
        <v>1</v>
      </c>
      <c r="N729">
        <v>584.5</v>
      </c>
      <c r="O729">
        <v>984.55</v>
      </c>
      <c r="P729">
        <v>98.45</v>
      </c>
      <c r="Q729">
        <v>98.45</v>
      </c>
      <c r="R729" t="s">
        <v>30</v>
      </c>
      <c r="S729">
        <v>29</v>
      </c>
      <c r="T729">
        <v>1</v>
      </c>
      <c r="U729">
        <v>5</v>
      </c>
      <c r="V729">
        <v>886.1</v>
      </c>
      <c r="W729">
        <v>13130000727</v>
      </c>
    </row>
    <row r="730" spans="1:23" x14ac:dyDescent="0.2">
      <c r="A730" s="1">
        <v>44789</v>
      </c>
      <c r="B730" s="2">
        <v>0.60131944444444441</v>
      </c>
      <c r="C730">
        <v>1728</v>
      </c>
      <c r="D730">
        <v>13002561</v>
      </c>
      <c r="E730">
        <v>13</v>
      </c>
      <c r="F730">
        <v>22589</v>
      </c>
      <c r="G730" t="s">
        <v>23</v>
      </c>
      <c r="H730">
        <v>15</v>
      </c>
      <c r="I730">
        <v>87439</v>
      </c>
      <c r="J730" t="s">
        <v>108</v>
      </c>
      <c r="K730" t="s">
        <v>28</v>
      </c>
      <c r="L730" t="s">
        <v>39</v>
      </c>
      <c r="M730">
        <v>1</v>
      </c>
      <c r="N730">
        <v>345.25</v>
      </c>
      <c r="O730">
        <v>539.61</v>
      </c>
      <c r="P730">
        <v>26.98</v>
      </c>
      <c r="Q730">
        <v>26.98</v>
      </c>
      <c r="R730" t="s">
        <v>30</v>
      </c>
      <c r="S730">
        <v>29</v>
      </c>
      <c r="T730">
        <v>1</v>
      </c>
      <c r="U730">
        <v>2</v>
      </c>
      <c r="V730">
        <v>512.63</v>
      </c>
      <c r="W730">
        <v>13130000728</v>
      </c>
    </row>
    <row r="731" spans="1:23" x14ac:dyDescent="0.2">
      <c r="A731" s="1">
        <v>44786</v>
      </c>
      <c r="B731" s="2">
        <v>0.46800925925925918</v>
      </c>
      <c r="C731">
        <v>1729</v>
      </c>
      <c r="D731">
        <v>13002561</v>
      </c>
      <c r="E731">
        <v>13</v>
      </c>
      <c r="F731">
        <v>22589</v>
      </c>
      <c r="G731" t="s">
        <v>23</v>
      </c>
      <c r="H731">
        <v>18</v>
      </c>
      <c r="I731">
        <v>59371</v>
      </c>
      <c r="J731" t="s">
        <v>116</v>
      </c>
      <c r="K731" t="s">
        <v>38</v>
      </c>
      <c r="L731" t="s">
        <v>47</v>
      </c>
      <c r="M731">
        <v>2</v>
      </c>
      <c r="N731">
        <v>86.32</v>
      </c>
      <c r="O731">
        <v>111.26</v>
      </c>
      <c r="P731">
        <v>0</v>
      </c>
      <c r="Q731">
        <v>0</v>
      </c>
      <c r="S731">
        <v>29</v>
      </c>
      <c r="T731">
        <v>1</v>
      </c>
      <c r="U731">
        <v>1</v>
      </c>
      <c r="V731">
        <v>111.26</v>
      </c>
      <c r="W731">
        <v>13130000729</v>
      </c>
    </row>
    <row r="732" spans="1:23" x14ac:dyDescent="0.2">
      <c r="A732" s="1">
        <v>44804</v>
      </c>
      <c r="B732" s="2">
        <v>0.70833333333333337</v>
      </c>
      <c r="C732">
        <v>1730</v>
      </c>
      <c r="D732">
        <v>13002561</v>
      </c>
      <c r="E732">
        <v>13</v>
      </c>
      <c r="F732">
        <v>22589</v>
      </c>
      <c r="G732" t="s">
        <v>23</v>
      </c>
      <c r="H732">
        <v>15</v>
      </c>
      <c r="I732">
        <v>65794</v>
      </c>
      <c r="J732" t="s">
        <v>115</v>
      </c>
      <c r="K732" t="s">
        <v>44</v>
      </c>
      <c r="L732" t="s">
        <v>29</v>
      </c>
      <c r="M732">
        <v>2</v>
      </c>
      <c r="N732">
        <v>203.31</v>
      </c>
      <c r="O732">
        <v>264.11</v>
      </c>
      <c r="P732">
        <v>26.41</v>
      </c>
      <c r="Q732">
        <v>26.41</v>
      </c>
      <c r="R732" t="s">
        <v>30</v>
      </c>
      <c r="S732">
        <v>29</v>
      </c>
      <c r="T732">
        <v>1</v>
      </c>
      <c r="U732">
        <v>2</v>
      </c>
      <c r="V732">
        <v>237.7</v>
      </c>
      <c r="W732">
        <v>13130000730</v>
      </c>
    </row>
    <row r="733" spans="1:23" x14ac:dyDescent="0.2">
      <c r="A733" s="1">
        <v>44790</v>
      </c>
      <c r="B733" s="2">
        <v>0.74707175925925928</v>
      </c>
      <c r="C733">
        <v>1731</v>
      </c>
      <c r="D733">
        <v>13002561</v>
      </c>
      <c r="E733">
        <v>13</v>
      </c>
      <c r="F733">
        <v>22589</v>
      </c>
      <c r="G733" t="s">
        <v>23</v>
      </c>
      <c r="H733">
        <v>18</v>
      </c>
      <c r="I733">
        <v>33543</v>
      </c>
      <c r="J733" t="s">
        <v>58</v>
      </c>
      <c r="K733" t="s">
        <v>45</v>
      </c>
      <c r="L733" t="s">
        <v>47</v>
      </c>
      <c r="M733">
        <v>3</v>
      </c>
      <c r="N733">
        <v>368.67</v>
      </c>
      <c r="O733">
        <v>495.19</v>
      </c>
      <c r="P733">
        <v>49.52</v>
      </c>
      <c r="Q733">
        <v>49.52</v>
      </c>
      <c r="R733" t="s">
        <v>30</v>
      </c>
      <c r="S733">
        <v>29</v>
      </c>
      <c r="T733">
        <v>1</v>
      </c>
      <c r="U733">
        <v>6</v>
      </c>
      <c r="V733">
        <v>445.67</v>
      </c>
      <c r="W733">
        <v>13130000731</v>
      </c>
    </row>
    <row r="734" spans="1:23" x14ac:dyDescent="0.2">
      <c r="A734" s="1">
        <v>44792</v>
      </c>
      <c r="B734" s="2">
        <v>0.68304398148148149</v>
      </c>
      <c r="C734">
        <v>1732</v>
      </c>
      <c r="D734">
        <v>13002561</v>
      </c>
      <c r="E734">
        <v>13</v>
      </c>
      <c r="F734">
        <v>22589</v>
      </c>
      <c r="G734" t="s">
        <v>23</v>
      </c>
      <c r="H734">
        <v>15</v>
      </c>
      <c r="I734">
        <v>69031</v>
      </c>
      <c r="J734" t="s">
        <v>72</v>
      </c>
      <c r="K734" t="s">
        <v>44</v>
      </c>
      <c r="L734" t="s">
        <v>51</v>
      </c>
      <c r="M734">
        <v>1</v>
      </c>
      <c r="N734">
        <v>33.76</v>
      </c>
      <c r="O734">
        <v>42.94</v>
      </c>
      <c r="P734">
        <v>2.15</v>
      </c>
      <c r="Q734">
        <v>2.15</v>
      </c>
      <c r="R734" t="s">
        <v>30</v>
      </c>
      <c r="S734">
        <v>29</v>
      </c>
      <c r="T734">
        <v>1</v>
      </c>
      <c r="U734">
        <v>1</v>
      </c>
      <c r="V734">
        <v>40.79</v>
      </c>
      <c r="W734">
        <v>13130000732</v>
      </c>
    </row>
    <row r="735" spans="1:23" x14ac:dyDescent="0.2">
      <c r="A735" s="1">
        <v>44787</v>
      </c>
      <c r="B735" s="2">
        <v>0.66298611111111116</v>
      </c>
      <c r="C735">
        <v>1733</v>
      </c>
      <c r="D735">
        <v>13002561</v>
      </c>
      <c r="E735">
        <v>13</v>
      </c>
      <c r="F735">
        <v>22589</v>
      </c>
      <c r="G735" t="s">
        <v>23</v>
      </c>
      <c r="H735">
        <v>18</v>
      </c>
      <c r="I735">
        <v>85126</v>
      </c>
      <c r="J735" t="s">
        <v>43</v>
      </c>
      <c r="K735" t="s">
        <v>28</v>
      </c>
      <c r="L735" t="s">
        <v>39</v>
      </c>
      <c r="M735">
        <v>2</v>
      </c>
      <c r="N735">
        <v>498.94</v>
      </c>
      <c r="O735">
        <v>762.73</v>
      </c>
      <c r="P735">
        <v>38.14</v>
      </c>
      <c r="Q735">
        <v>38.14</v>
      </c>
      <c r="R735" t="s">
        <v>30</v>
      </c>
      <c r="S735">
        <v>29</v>
      </c>
      <c r="T735">
        <v>1</v>
      </c>
      <c r="U735">
        <v>2</v>
      </c>
      <c r="V735">
        <v>724.59</v>
      </c>
      <c r="W735">
        <v>13130000733</v>
      </c>
    </row>
    <row r="736" spans="1:23" x14ac:dyDescent="0.2">
      <c r="A736" s="1">
        <v>44798</v>
      </c>
      <c r="B736" s="2">
        <v>0.35068287037037038</v>
      </c>
      <c r="C736">
        <v>1734</v>
      </c>
      <c r="D736">
        <v>13002561</v>
      </c>
      <c r="E736">
        <v>13</v>
      </c>
      <c r="F736">
        <v>22589</v>
      </c>
      <c r="G736" t="s">
        <v>23</v>
      </c>
      <c r="H736">
        <v>15</v>
      </c>
      <c r="I736">
        <v>63364</v>
      </c>
      <c r="J736" t="s">
        <v>68</v>
      </c>
      <c r="K736" t="s">
        <v>44</v>
      </c>
      <c r="L736" t="s">
        <v>36</v>
      </c>
      <c r="M736">
        <v>1</v>
      </c>
      <c r="N736">
        <v>479.36</v>
      </c>
      <c r="O736">
        <v>719.68</v>
      </c>
      <c r="P736">
        <v>35.979999999999997</v>
      </c>
      <c r="Q736">
        <v>35.979999999999997</v>
      </c>
      <c r="R736" t="s">
        <v>30</v>
      </c>
      <c r="S736">
        <v>29</v>
      </c>
      <c r="T736">
        <v>1</v>
      </c>
      <c r="U736">
        <v>3</v>
      </c>
      <c r="V736">
        <v>683.7</v>
      </c>
      <c r="W736">
        <v>13130000734</v>
      </c>
    </row>
    <row r="737" spans="1:23" x14ac:dyDescent="0.2">
      <c r="A737" s="1">
        <v>44795</v>
      </c>
      <c r="B737" s="2">
        <v>0.71248842592592587</v>
      </c>
      <c r="C737">
        <v>1735</v>
      </c>
      <c r="D737">
        <v>13002561</v>
      </c>
      <c r="E737">
        <v>13</v>
      </c>
      <c r="F737">
        <v>22589</v>
      </c>
      <c r="G737" t="s">
        <v>23</v>
      </c>
      <c r="H737">
        <v>18</v>
      </c>
      <c r="I737">
        <v>73329</v>
      </c>
      <c r="J737" t="s">
        <v>127</v>
      </c>
      <c r="K737" t="s">
        <v>25</v>
      </c>
      <c r="L737" t="s">
        <v>32</v>
      </c>
      <c r="M737">
        <v>3</v>
      </c>
      <c r="N737">
        <v>297.08999999999997</v>
      </c>
      <c r="O737">
        <v>440.98</v>
      </c>
      <c r="P737">
        <v>22.05</v>
      </c>
      <c r="Q737">
        <v>22.05</v>
      </c>
      <c r="R737" t="s">
        <v>30</v>
      </c>
      <c r="S737">
        <v>29</v>
      </c>
      <c r="T737">
        <v>1</v>
      </c>
      <c r="U737">
        <v>5</v>
      </c>
      <c r="V737">
        <v>418.93</v>
      </c>
      <c r="W737">
        <v>13130000735</v>
      </c>
    </row>
    <row r="738" spans="1:23" x14ac:dyDescent="0.2">
      <c r="A738" s="1">
        <v>44780</v>
      </c>
      <c r="B738" s="2">
        <v>0.86493055555555554</v>
      </c>
      <c r="C738">
        <v>1736</v>
      </c>
      <c r="D738">
        <v>13002561</v>
      </c>
      <c r="E738">
        <v>13</v>
      </c>
      <c r="F738">
        <v>22589</v>
      </c>
      <c r="G738" t="s">
        <v>23</v>
      </c>
      <c r="H738">
        <v>15</v>
      </c>
      <c r="I738">
        <v>47865</v>
      </c>
      <c r="J738" t="s">
        <v>102</v>
      </c>
      <c r="K738" t="s">
        <v>25</v>
      </c>
      <c r="L738" t="s">
        <v>36</v>
      </c>
      <c r="M738">
        <v>3</v>
      </c>
      <c r="N738">
        <v>148.4</v>
      </c>
      <c r="O738">
        <v>223.14</v>
      </c>
      <c r="P738">
        <v>22.31</v>
      </c>
      <c r="Q738">
        <v>22.31</v>
      </c>
      <c r="R738" t="s">
        <v>30</v>
      </c>
      <c r="S738">
        <v>29</v>
      </c>
      <c r="T738">
        <v>1</v>
      </c>
      <c r="U738">
        <v>6</v>
      </c>
      <c r="V738">
        <v>200.83</v>
      </c>
      <c r="W738">
        <v>13130000736</v>
      </c>
    </row>
    <row r="739" spans="1:23" x14ac:dyDescent="0.2">
      <c r="A739" s="1">
        <v>44798</v>
      </c>
      <c r="B739" s="2">
        <v>0.49811342592592589</v>
      </c>
      <c r="C739">
        <v>1737</v>
      </c>
      <c r="D739">
        <v>13002561</v>
      </c>
      <c r="E739">
        <v>13</v>
      </c>
      <c r="F739">
        <v>22589</v>
      </c>
      <c r="G739" t="s">
        <v>23</v>
      </c>
      <c r="H739">
        <v>15</v>
      </c>
      <c r="I739">
        <v>99859</v>
      </c>
      <c r="J739" t="s">
        <v>99</v>
      </c>
      <c r="K739" t="s">
        <v>25</v>
      </c>
      <c r="L739" t="s">
        <v>51</v>
      </c>
      <c r="M739">
        <v>3</v>
      </c>
      <c r="N739">
        <v>585.65</v>
      </c>
      <c r="O739">
        <v>805.1</v>
      </c>
      <c r="P739">
        <v>40.26</v>
      </c>
      <c r="Q739">
        <v>40.26</v>
      </c>
      <c r="R739" t="s">
        <v>30</v>
      </c>
      <c r="S739">
        <v>29</v>
      </c>
      <c r="T739">
        <v>1</v>
      </c>
      <c r="U739">
        <v>4</v>
      </c>
      <c r="V739">
        <v>764.84</v>
      </c>
      <c r="W739">
        <v>13130000737</v>
      </c>
    </row>
    <row r="740" spans="1:23" x14ac:dyDescent="0.2">
      <c r="A740" s="1">
        <v>44779</v>
      </c>
      <c r="B740" s="2">
        <v>0.88990740740740737</v>
      </c>
      <c r="C740">
        <v>1738</v>
      </c>
      <c r="D740">
        <v>13002561</v>
      </c>
      <c r="E740">
        <v>13</v>
      </c>
      <c r="F740">
        <v>22589</v>
      </c>
      <c r="G740" t="s">
        <v>23</v>
      </c>
      <c r="H740">
        <v>18</v>
      </c>
      <c r="I740">
        <v>15016</v>
      </c>
      <c r="J740" t="s">
        <v>122</v>
      </c>
      <c r="K740" t="s">
        <v>60</v>
      </c>
      <c r="L740" t="s">
        <v>29</v>
      </c>
      <c r="M740">
        <v>3</v>
      </c>
      <c r="N740">
        <v>368.38</v>
      </c>
      <c r="O740">
        <v>531.08000000000004</v>
      </c>
      <c r="P740">
        <v>26.55</v>
      </c>
      <c r="Q740">
        <v>26.55</v>
      </c>
      <c r="R740" t="s">
        <v>30</v>
      </c>
      <c r="S740">
        <v>29</v>
      </c>
      <c r="T740">
        <v>1</v>
      </c>
      <c r="U740">
        <v>3</v>
      </c>
      <c r="V740">
        <v>504.53</v>
      </c>
      <c r="W740">
        <v>13130000738</v>
      </c>
    </row>
    <row r="741" spans="1:23" x14ac:dyDescent="0.2">
      <c r="A741" s="1">
        <v>44797</v>
      </c>
      <c r="B741" s="2">
        <v>0.53365740740740741</v>
      </c>
      <c r="C741">
        <v>1739</v>
      </c>
      <c r="D741">
        <v>13002561</v>
      </c>
      <c r="E741">
        <v>13</v>
      </c>
      <c r="F741">
        <v>22589</v>
      </c>
      <c r="G741" t="s">
        <v>23</v>
      </c>
      <c r="H741">
        <v>18</v>
      </c>
      <c r="I741">
        <v>29797</v>
      </c>
      <c r="J741" t="s">
        <v>106</v>
      </c>
      <c r="K741" t="s">
        <v>60</v>
      </c>
      <c r="L741" t="s">
        <v>36</v>
      </c>
      <c r="M741">
        <v>1</v>
      </c>
      <c r="N741">
        <v>572.98</v>
      </c>
      <c r="O741">
        <v>850.92</v>
      </c>
      <c r="P741">
        <v>85.09</v>
      </c>
      <c r="Q741">
        <v>85.09</v>
      </c>
      <c r="R741" t="s">
        <v>30</v>
      </c>
      <c r="S741">
        <v>29</v>
      </c>
      <c r="T741">
        <v>1</v>
      </c>
      <c r="U741">
        <v>4</v>
      </c>
      <c r="V741">
        <v>765.83</v>
      </c>
      <c r="W741">
        <v>13130000739</v>
      </c>
    </row>
    <row r="742" spans="1:23" x14ac:dyDescent="0.2">
      <c r="A742" s="1">
        <v>44782</v>
      </c>
      <c r="B742" s="2">
        <v>0.78819444444444442</v>
      </c>
      <c r="C742">
        <v>1740</v>
      </c>
      <c r="D742">
        <v>13002561</v>
      </c>
      <c r="E742">
        <v>13</v>
      </c>
      <c r="F742">
        <v>22589</v>
      </c>
      <c r="G742" t="s">
        <v>23</v>
      </c>
      <c r="H742">
        <v>15</v>
      </c>
      <c r="I742">
        <v>51391</v>
      </c>
      <c r="J742" t="s">
        <v>90</v>
      </c>
      <c r="K742" t="s">
        <v>45</v>
      </c>
      <c r="L742" t="s">
        <v>29</v>
      </c>
      <c r="M742">
        <v>1</v>
      </c>
      <c r="N742">
        <v>326.8</v>
      </c>
      <c r="O742">
        <v>438.47</v>
      </c>
      <c r="P742">
        <v>0</v>
      </c>
      <c r="Q742">
        <v>0</v>
      </c>
      <c r="S742">
        <v>29</v>
      </c>
      <c r="T742">
        <v>1</v>
      </c>
      <c r="U742">
        <v>2</v>
      </c>
      <c r="V742">
        <v>438.47</v>
      </c>
      <c r="W742">
        <v>13130000740</v>
      </c>
    </row>
    <row r="743" spans="1:23" x14ac:dyDescent="0.2">
      <c r="A743" s="1">
        <v>44780</v>
      </c>
      <c r="B743" s="2">
        <v>0.61137731481481483</v>
      </c>
      <c r="C743">
        <v>1741</v>
      </c>
      <c r="D743">
        <v>13002561</v>
      </c>
      <c r="E743">
        <v>13</v>
      </c>
      <c r="F743">
        <v>22589</v>
      </c>
      <c r="G743" t="s">
        <v>23</v>
      </c>
      <c r="H743">
        <v>18</v>
      </c>
      <c r="I743">
        <v>82283</v>
      </c>
      <c r="J743" t="s">
        <v>77</v>
      </c>
      <c r="K743" t="s">
        <v>28</v>
      </c>
      <c r="L743" t="s">
        <v>26</v>
      </c>
      <c r="M743">
        <v>2</v>
      </c>
      <c r="N743">
        <v>373.71</v>
      </c>
      <c r="O743">
        <v>514.73</v>
      </c>
      <c r="P743">
        <v>25.74</v>
      </c>
      <c r="Q743">
        <v>25.74</v>
      </c>
      <c r="R743" t="s">
        <v>30</v>
      </c>
      <c r="S743">
        <v>29</v>
      </c>
      <c r="T743">
        <v>1</v>
      </c>
      <c r="U743">
        <v>1</v>
      </c>
      <c r="V743">
        <v>488.99</v>
      </c>
      <c r="W743">
        <v>13130000741</v>
      </c>
    </row>
    <row r="744" spans="1:23" x14ac:dyDescent="0.2">
      <c r="A744" s="1">
        <v>44789</v>
      </c>
      <c r="B744" s="2">
        <v>0.4475925925925926</v>
      </c>
      <c r="C744">
        <v>1742</v>
      </c>
      <c r="D744">
        <v>13002561</v>
      </c>
      <c r="E744">
        <v>13</v>
      </c>
      <c r="F744">
        <v>22589</v>
      </c>
      <c r="G744" t="s">
        <v>23</v>
      </c>
      <c r="H744">
        <v>15</v>
      </c>
      <c r="I744">
        <v>94372</v>
      </c>
      <c r="J744" t="s">
        <v>90</v>
      </c>
      <c r="K744" t="s">
        <v>25</v>
      </c>
      <c r="L744" t="s">
        <v>26</v>
      </c>
      <c r="M744">
        <v>2</v>
      </c>
      <c r="N744">
        <v>53.7</v>
      </c>
      <c r="O744">
        <v>76.25</v>
      </c>
      <c r="P744">
        <v>7.62</v>
      </c>
      <c r="Q744">
        <v>7.62</v>
      </c>
      <c r="R744" t="s">
        <v>30</v>
      </c>
      <c r="S744">
        <v>29</v>
      </c>
      <c r="T744">
        <v>1</v>
      </c>
      <c r="U744">
        <v>1</v>
      </c>
      <c r="V744">
        <v>68.63</v>
      </c>
      <c r="W744">
        <v>13130000742</v>
      </c>
    </row>
    <row r="745" spans="1:23" x14ac:dyDescent="0.2">
      <c r="A745" s="1">
        <v>44791</v>
      </c>
      <c r="B745" s="2">
        <v>0.90152777777777782</v>
      </c>
      <c r="C745">
        <v>1743</v>
      </c>
      <c r="D745">
        <v>13002561</v>
      </c>
      <c r="E745">
        <v>13</v>
      </c>
      <c r="F745">
        <v>22589</v>
      </c>
      <c r="G745" t="s">
        <v>23</v>
      </c>
      <c r="H745">
        <v>15</v>
      </c>
      <c r="I745">
        <v>42930</v>
      </c>
      <c r="J745" t="s">
        <v>91</v>
      </c>
      <c r="K745" t="s">
        <v>44</v>
      </c>
      <c r="L745" t="s">
        <v>51</v>
      </c>
      <c r="M745">
        <v>3</v>
      </c>
      <c r="N745">
        <v>297.05</v>
      </c>
      <c r="O745">
        <v>462.39</v>
      </c>
      <c r="P745">
        <v>46.24</v>
      </c>
      <c r="Q745">
        <v>46.24</v>
      </c>
      <c r="R745" t="s">
        <v>30</v>
      </c>
      <c r="S745">
        <v>29</v>
      </c>
      <c r="T745">
        <v>1</v>
      </c>
      <c r="U745">
        <v>1</v>
      </c>
      <c r="V745">
        <v>416.15</v>
      </c>
      <c r="W745">
        <v>13130000743</v>
      </c>
    </row>
    <row r="746" spans="1:23" x14ac:dyDescent="0.2">
      <c r="A746" s="1">
        <v>44789</v>
      </c>
      <c r="B746" s="2">
        <v>0.47083333333333333</v>
      </c>
      <c r="C746">
        <v>1744</v>
      </c>
      <c r="D746">
        <v>13002561</v>
      </c>
      <c r="E746">
        <v>13</v>
      </c>
      <c r="F746">
        <v>22589</v>
      </c>
      <c r="G746" t="s">
        <v>23</v>
      </c>
      <c r="H746">
        <v>18</v>
      </c>
      <c r="I746">
        <v>80914</v>
      </c>
      <c r="J746" t="s">
        <v>125</v>
      </c>
      <c r="K746" t="s">
        <v>28</v>
      </c>
      <c r="L746" t="s">
        <v>32</v>
      </c>
      <c r="M746">
        <v>1</v>
      </c>
      <c r="N746">
        <v>499.36</v>
      </c>
      <c r="O746">
        <v>652.99</v>
      </c>
      <c r="P746">
        <v>0</v>
      </c>
      <c r="Q746">
        <v>0</v>
      </c>
      <c r="S746">
        <v>29</v>
      </c>
      <c r="T746">
        <v>1</v>
      </c>
      <c r="U746">
        <v>4</v>
      </c>
      <c r="V746">
        <v>652.99</v>
      </c>
      <c r="W746">
        <v>13130000744</v>
      </c>
    </row>
    <row r="747" spans="1:23" x14ac:dyDescent="0.2">
      <c r="A747" s="1">
        <v>44803</v>
      </c>
      <c r="B747" s="2">
        <v>0.79219907407407408</v>
      </c>
      <c r="C747">
        <v>1745</v>
      </c>
      <c r="D747">
        <v>13002561</v>
      </c>
      <c r="E747">
        <v>13</v>
      </c>
      <c r="F747">
        <v>22589</v>
      </c>
      <c r="G747" t="s">
        <v>23</v>
      </c>
      <c r="H747">
        <v>15</v>
      </c>
      <c r="I747">
        <v>34726</v>
      </c>
      <c r="J747" t="s">
        <v>97</v>
      </c>
      <c r="K747" t="s">
        <v>28</v>
      </c>
      <c r="L747" t="s">
        <v>26</v>
      </c>
      <c r="M747">
        <v>3</v>
      </c>
      <c r="N747">
        <v>337.05</v>
      </c>
      <c r="O747">
        <v>439.18</v>
      </c>
      <c r="P747">
        <v>0</v>
      </c>
      <c r="Q747">
        <v>0</v>
      </c>
      <c r="S747">
        <v>29</v>
      </c>
      <c r="T747">
        <v>1</v>
      </c>
      <c r="U747">
        <v>4</v>
      </c>
      <c r="V747">
        <v>439.18</v>
      </c>
      <c r="W747">
        <v>13130000745</v>
      </c>
    </row>
    <row r="748" spans="1:23" x14ac:dyDescent="0.2">
      <c r="A748" s="1">
        <v>44779</v>
      </c>
      <c r="B748" s="2">
        <v>0.46530092592592592</v>
      </c>
      <c r="C748">
        <v>1746</v>
      </c>
      <c r="D748">
        <v>13002561</v>
      </c>
      <c r="E748">
        <v>13</v>
      </c>
      <c r="F748">
        <v>22589</v>
      </c>
      <c r="G748" t="s">
        <v>23</v>
      </c>
      <c r="H748">
        <v>18</v>
      </c>
      <c r="I748">
        <v>46904</v>
      </c>
      <c r="J748" t="s">
        <v>91</v>
      </c>
      <c r="K748" t="s">
        <v>60</v>
      </c>
      <c r="L748" t="s">
        <v>29</v>
      </c>
      <c r="M748">
        <v>1</v>
      </c>
      <c r="N748">
        <v>138.41999999999999</v>
      </c>
      <c r="O748">
        <v>217.94</v>
      </c>
      <c r="P748">
        <v>10.9</v>
      </c>
      <c r="Q748">
        <v>10.9</v>
      </c>
      <c r="R748" t="s">
        <v>30</v>
      </c>
      <c r="S748">
        <v>29</v>
      </c>
      <c r="T748">
        <v>1</v>
      </c>
      <c r="U748">
        <v>1</v>
      </c>
      <c r="V748">
        <v>207.04</v>
      </c>
      <c r="W748">
        <v>13130000746</v>
      </c>
    </row>
    <row r="749" spans="1:23" x14ac:dyDescent="0.2">
      <c r="A749" s="1">
        <v>44778</v>
      </c>
      <c r="B749" s="2">
        <v>0.44611111111111112</v>
      </c>
      <c r="C749">
        <v>1747</v>
      </c>
      <c r="D749">
        <v>13002561</v>
      </c>
      <c r="E749">
        <v>13</v>
      </c>
      <c r="F749">
        <v>22589</v>
      </c>
      <c r="G749" t="s">
        <v>23</v>
      </c>
      <c r="H749">
        <v>15</v>
      </c>
      <c r="I749">
        <v>12645</v>
      </c>
      <c r="J749" t="s">
        <v>59</v>
      </c>
      <c r="K749" t="s">
        <v>45</v>
      </c>
      <c r="L749" t="s">
        <v>36</v>
      </c>
      <c r="M749">
        <v>2</v>
      </c>
      <c r="N749">
        <v>540.41999999999996</v>
      </c>
      <c r="O749">
        <v>780.07</v>
      </c>
      <c r="P749">
        <v>78.010000000000005</v>
      </c>
      <c r="Q749">
        <v>78.010000000000005</v>
      </c>
      <c r="R749" t="s">
        <v>30</v>
      </c>
      <c r="S749">
        <v>29</v>
      </c>
      <c r="T749">
        <v>1</v>
      </c>
      <c r="U749">
        <v>3</v>
      </c>
      <c r="V749">
        <v>702.06</v>
      </c>
      <c r="W749">
        <v>13130000747</v>
      </c>
    </row>
    <row r="750" spans="1:23" x14ac:dyDescent="0.2">
      <c r="A750" s="1">
        <v>44795</v>
      </c>
      <c r="B750" s="2">
        <v>0.79035879629629635</v>
      </c>
      <c r="C750">
        <v>1748</v>
      </c>
      <c r="D750">
        <v>13002561</v>
      </c>
      <c r="E750">
        <v>13</v>
      </c>
      <c r="F750">
        <v>22589</v>
      </c>
      <c r="G750" t="s">
        <v>23</v>
      </c>
      <c r="H750">
        <v>18</v>
      </c>
      <c r="I750">
        <v>76759</v>
      </c>
      <c r="J750" t="s">
        <v>91</v>
      </c>
      <c r="K750" t="s">
        <v>44</v>
      </c>
      <c r="L750" t="s">
        <v>51</v>
      </c>
      <c r="M750">
        <v>1</v>
      </c>
      <c r="N750">
        <v>177.74</v>
      </c>
      <c r="O750">
        <v>274.92</v>
      </c>
      <c r="P750">
        <v>13.75</v>
      </c>
      <c r="Q750">
        <v>13.75</v>
      </c>
      <c r="R750" t="s">
        <v>30</v>
      </c>
      <c r="S750">
        <v>29</v>
      </c>
      <c r="T750">
        <v>1</v>
      </c>
      <c r="U750">
        <v>5</v>
      </c>
      <c r="V750">
        <v>261.17</v>
      </c>
      <c r="W750">
        <v>13130000748</v>
      </c>
    </row>
    <row r="751" spans="1:23" x14ac:dyDescent="0.2">
      <c r="A751" s="1">
        <v>44782</v>
      </c>
      <c r="B751" s="2">
        <v>0.5300231481481481</v>
      </c>
      <c r="C751">
        <v>1749</v>
      </c>
      <c r="D751">
        <v>13002561</v>
      </c>
      <c r="E751">
        <v>13</v>
      </c>
      <c r="F751">
        <v>22589</v>
      </c>
      <c r="G751" t="s">
        <v>23</v>
      </c>
      <c r="H751">
        <v>15</v>
      </c>
      <c r="I751">
        <v>55451</v>
      </c>
      <c r="J751" t="s">
        <v>97</v>
      </c>
      <c r="K751" t="s">
        <v>60</v>
      </c>
      <c r="L751" t="s">
        <v>34</v>
      </c>
      <c r="M751">
        <v>1</v>
      </c>
      <c r="N751">
        <v>590.12</v>
      </c>
      <c r="O751">
        <v>822.37</v>
      </c>
      <c r="P751">
        <v>0</v>
      </c>
      <c r="Q751">
        <v>0</v>
      </c>
      <c r="S751">
        <v>29</v>
      </c>
      <c r="T751">
        <v>1</v>
      </c>
      <c r="U751">
        <v>2</v>
      </c>
      <c r="V751">
        <v>822.37</v>
      </c>
      <c r="W751">
        <v>13130000749</v>
      </c>
    </row>
    <row r="752" spans="1:23" x14ac:dyDescent="0.2">
      <c r="A752" s="1">
        <v>44787</v>
      </c>
      <c r="B752" s="2">
        <v>0.48190972222222223</v>
      </c>
      <c r="C752">
        <v>1750</v>
      </c>
      <c r="D752">
        <v>13002561</v>
      </c>
      <c r="E752">
        <v>13</v>
      </c>
      <c r="F752">
        <v>22589</v>
      </c>
      <c r="G752" t="s">
        <v>23</v>
      </c>
      <c r="H752">
        <v>15</v>
      </c>
      <c r="I752">
        <v>11094</v>
      </c>
      <c r="J752" t="s">
        <v>37</v>
      </c>
      <c r="K752" t="s">
        <v>25</v>
      </c>
      <c r="L752" t="s">
        <v>36</v>
      </c>
      <c r="M752">
        <v>2</v>
      </c>
      <c r="N752">
        <v>349.1</v>
      </c>
      <c r="O752">
        <v>546.49</v>
      </c>
      <c r="P752">
        <v>27.32</v>
      </c>
      <c r="Q752">
        <v>27.32</v>
      </c>
      <c r="R752" t="s">
        <v>30</v>
      </c>
      <c r="S752">
        <v>29</v>
      </c>
      <c r="T752">
        <v>1</v>
      </c>
      <c r="U752">
        <v>2</v>
      </c>
      <c r="V752">
        <v>519.16999999999996</v>
      </c>
      <c r="W752">
        <v>13130000750</v>
      </c>
    </row>
    <row r="753" spans="1:23" x14ac:dyDescent="0.2">
      <c r="A753" s="1">
        <v>44793</v>
      </c>
      <c r="B753" s="2">
        <v>0.41523148148148148</v>
      </c>
      <c r="C753">
        <v>1751</v>
      </c>
      <c r="D753">
        <v>13002561</v>
      </c>
      <c r="E753">
        <v>13</v>
      </c>
      <c r="F753">
        <v>22589</v>
      </c>
      <c r="G753" t="s">
        <v>23</v>
      </c>
      <c r="H753">
        <v>15</v>
      </c>
      <c r="I753">
        <v>81933</v>
      </c>
      <c r="J753" t="s">
        <v>119</v>
      </c>
      <c r="K753" t="s">
        <v>25</v>
      </c>
      <c r="L753" t="s">
        <v>47</v>
      </c>
      <c r="M753">
        <v>3</v>
      </c>
      <c r="N753">
        <v>89.82</v>
      </c>
      <c r="O753">
        <v>150.13</v>
      </c>
      <c r="P753">
        <v>7.51</v>
      </c>
      <c r="Q753">
        <v>7.51</v>
      </c>
      <c r="R753" t="s">
        <v>30</v>
      </c>
      <c r="S753">
        <v>29</v>
      </c>
      <c r="T753">
        <v>1</v>
      </c>
      <c r="U753">
        <v>1</v>
      </c>
      <c r="V753">
        <v>142.62</v>
      </c>
      <c r="W753">
        <v>13130000751</v>
      </c>
    </row>
    <row r="754" spans="1:23" x14ac:dyDescent="0.2">
      <c r="A754" s="1">
        <v>44784</v>
      </c>
      <c r="B754" s="2">
        <v>0.89482638888888888</v>
      </c>
      <c r="C754">
        <v>1752</v>
      </c>
      <c r="D754">
        <v>13002561</v>
      </c>
      <c r="E754">
        <v>13</v>
      </c>
      <c r="F754">
        <v>22589</v>
      </c>
      <c r="G754" t="s">
        <v>23</v>
      </c>
      <c r="H754">
        <v>18</v>
      </c>
      <c r="I754">
        <v>16041</v>
      </c>
      <c r="J754" t="s">
        <v>98</v>
      </c>
      <c r="K754" t="s">
        <v>60</v>
      </c>
      <c r="L754" t="s">
        <v>34</v>
      </c>
      <c r="M754">
        <v>1</v>
      </c>
      <c r="N754">
        <v>519.58000000000004</v>
      </c>
      <c r="O754">
        <v>731.9</v>
      </c>
      <c r="P754">
        <v>73.19</v>
      </c>
      <c r="Q754">
        <v>73.19</v>
      </c>
      <c r="R754" t="s">
        <v>30</v>
      </c>
      <c r="S754">
        <v>29</v>
      </c>
      <c r="T754">
        <v>1</v>
      </c>
      <c r="U754">
        <v>1</v>
      </c>
      <c r="V754">
        <v>658.71</v>
      </c>
      <c r="W754">
        <v>13130000752</v>
      </c>
    </row>
    <row r="755" spans="1:23" x14ac:dyDescent="0.2">
      <c r="A755" s="1">
        <v>44791</v>
      </c>
      <c r="B755" s="2">
        <v>0.92211805555555559</v>
      </c>
      <c r="C755">
        <v>1753</v>
      </c>
      <c r="D755">
        <v>13002561</v>
      </c>
      <c r="E755">
        <v>13</v>
      </c>
      <c r="F755">
        <v>22589</v>
      </c>
      <c r="G755" t="s">
        <v>23</v>
      </c>
      <c r="H755">
        <v>15</v>
      </c>
      <c r="I755">
        <v>78935</v>
      </c>
      <c r="J755" t="s">
        <v>126</v>
      </c>
      <c r="K755" t="s">
        <v>45</v>
      </c>
      <c r="L755" t="s">
        <v>47</v>
      </c>
      <c r="M755">
        <v>2</v>
      </c>
      <c r="N755">
        <v>463.35</v>
      </c>
      <c r="O755">
        <v>736.72</v>
      </c>
      <c r="P755">
        <v>0</v>
      </c>
      <c r="Q755">
        <v>0</v>
      </c>
      <c r="S755">
        <v>29</v>
      </c>
      <c r="T755">
        <v>1</v>
      </c>
      <c r="U755">
        <v>5</v>
      </c>
      <c r="V755">
        <v>736.72</v>
      </c>
      <c r="W755">
        <v>13130000753</v>
      </c>
    </row>
    <row r="756" spans="1:23" x14ac:dyDescent="0.2">
      <c r="A756" s="1">
        <v>44795</v>
      </c>
      <c r="B756" s="2">
        <v>0.95814814814814819</v>
      </c>
      <c r="C756">
        <v>1754</v>
      </c>
      <c r="D756">
        <v>13002561</v>
      </c>
      <c r="E756">
        <v>13</v>
      </c>
      <c r="F756">
        <v>22589</v>
      </c>
      <c r="G756" t="s">
        <v>23</v>
      </c>
      <c r="H756">
        <v>18</v>
      </c>
      <c r="I756">
        <v>74115</v>
      </c>
      <c r="J756" t="s">
        <v>108</v>
      </c>
      <c r="K756" t="s">
        <v>60</v>
      </c>
      <c r="L756" t="s">
        <v>29</v>
      </c>
      <c r="M756">
        <v>3</v>
      </c>
      <c r="N756">
        <v>359.06</v>
      </c>
      <c r="O756">
        <v>469.57</v>
      </c>
      <c r="P756">
        <v>23.48</v>
      </c>
      <c r="Q756">
        <v>23.48</v>
      </c>
      <c r="R756" t="s">
        <v>30</v>
      </c>
      <c r="S756">
        <v>29</v>
      </c>
      <c r="T756">
        <v>1</v>
      </c>
      <c r="U756">
        <v>1</v>
      </c>
      <c r="V756">
        <v>446.09</v>
      </c>
      <c r="W756">
        <v>13130000754</v>
      </c>
    </row>
    <row r="757" spans="1:23" x14ac:dyDescent="0.2">
      <c r="A757" s="1">
        <v>44789</v>
      </c>
      <c r="B757" s="2">
        <v>0.8457175925925926</v>
      </c>
      <c r="C757">
        <v>1755</v>
      </c>
      <c r="D757">
        <v>13002561</v>
      </c>
      <c r="E757">
        <v>13</v>
      </c>
      <c r="F757">
        <v>22589</v>
      </c>
      <c r="G757" t="s">
        <v>23</v>
      </c>
      <c r="H757">
        <v>18</v>
      </c>
      <c r="I757">
        <v>53756</v>
      </c>
      <c r="J757" t="s">
        <v>115</v>
      </c>
      <c r="K757" t="s">
        <v>28</v>
      </c>
      <c r="L757" t="s">
        <v>36</v>
      </c>
      <c r="M757">
        <v>2</v>
      </c>
      <c r="N757">
        <v>175.82</v>
      </c>
      <c r="O757">
        <v>278.02</v>
      </c>
      <c r="P757">
        <v>0</v>
      </c>
      <c r="Q757">
        <v>0</v>
      </c>
      <c r="S757">
        <v>29</v>
      </c>
      <c r="T757">
        <v>1</v>
      </c>
      <c r="U757">
        <v>3</v>
      </c>
      <c r="V757">
        <v>278.02</v>
      </c>
      <c r="W757">
        <v>13130000755</v>
      </c>
    </row>
    <row r="758" spans="1:23" x14ac:dyDescent="0.2">
      <c r="A758" s="1">
        <v>44781</v>
      </c>
      <c r="B758" s="2">
        <v>0.71848379629629633</v>
      </c>
      <c r="C758">
        <v>1756</v>
      </c>
      <c r="D758">
        <v>13002561</v>
      </c>
      <c r="E758">
        <v>13</v>
      </c>
      <c r="F758">
        <v>22589</v>
      </c>
      <c r="G758" t="s">
        <v>23</v>
      </c>
      <c r="H758">
        <v>18</v>
      </c>
      <c r="I758">
        <v>12202</v>
      </c>
      <c r="J758" t="s">
        <v>64</v>
      </c>
      <c r="K758" t="s">
        <v>38</v>
      </c>
      <c r="L758" t="s">
        <v>36</v>
      </c>
      <c r="M758">
        <v>3</v>
      </c>
      <c r="N758">
        <v>506.35</v>
      </c>
      <c r="O758">
        <v>777.53</v>
      </c>
      <c r="P758">
        <v>0</v>
      </c>
      <c r="Q758">
        <v>0</v>
      </c>
      <c r="S758">
        <v>29</v>
      </c>
      <c r="T758">
        <v>1</v>
      </c>
      <c r="U758">
        <v>5</v>
      </c>
      <c r="V758">
        <v>777.53</v>
      </c>
      <c r="W758">
        <v>13130000756</v>
      </c>
    </row>
    <row r="759" spans="1:23" x14ac:dyDescent="0.2">
      <c r="A759" s="1">
        <v>44786</v>
      </c>
      <c r="B759" s="2">
        <v>0.4866550925925926</v>
      </c>
      <c r="C759">
        <v>1757</v>
      </c>
      <c r="D759">
        <v>13002561</v>
      </c>
      <c r="E759">
        <v>13</v>
      </c>
      <c r="F759">
        <v>22589</v>
      </c>
      <c r="G759" t="s">
        <v>23</v>
      </c>
      <c r="H759">
        <v>18</v>
      </c>
      <c r="I759">
        <v>93076</v>
      </c>
      <c r="J759" t="s">
        <v>127</v>
      </c>
      <c r="K759" t="s">
        <v>25</v>
      </c>
      <c r="L759" t="s">
        <v>26</v>
      </c>
      <c r="M759">
        <v>1</v>
      </c>
      <c r="N759">
        <v>300.55</v>
      </c>
      <c r="O759">
        <v>398.1</v>
      </c>
      <c r="P759">
        <v>0</v>
      </c>
      <c r="Q759">
        <v>0</v>
      </c>
      <c r="S759">
        <v>29</v>
      </c>
      <c r="T759">
        <v>1</v>
      </c>
      <c r="U759">
        <v>3</v>
      </c>
      <c r="V759">
        <v>398.1</v>
      </c>
      <c r="W759">
        <v>13130000757</v>
      </c>
    </row>
    <row r="760" spans="1:23" x14ac:dyDescent="0.2">
      <c r="A760" s="1">
        <v>44778</v>
      </c>
      <c r="B760" s="2">
        <v>0.39493055555555562</v>
      </c>
      <c r="C760">
        <v>1758</v>
      </c>
      <c r="D760">
        <v>13002561</v>
      </c>
      <c r="E760">
        <v>13</v>
      </c>
      <c r="F760">
        <v>22589</v>
      </c>
      <c r="G760" t="s">
        <v>23</v>
      </c>
      <c r="H760">
        <v>15</v>
      </c>
      <c r="I760">
        <v>54623</v>
      </c>
      <c r="J760" t="s">
        <v>85</v>
      </c>
      <c r="K760" t="s">
        <v>25</v>
      </c>
      <c r="L760" t="s">
        <v>34</v>
      </c>
      <c r="M760">
        <v>3</v>
      </c>
      <c r="N760">
        <v>145.1</v>
      </c>
      <c r="O760">
        <v>235.51</v>
      </c>
      <c r="P760">
        <v>23.55</v>
      </c>
      <c r="Q760">
        <v>23.55</v>
      </c>
      <c r="R760" t="s">
        <v>30</v>
      </c>
      <c r="S760">
        <v>29</v>
      </c>
      <c r="T760">
        <v>1</v>
      </c>
      <c r="U760">
        <v>2</v>
      </c>
      <c r="V760">
        <v>211.96</v>
      </c>
      <c r="W760">
        <v>13130000758</v>
      </c>
    </row>
    <row r="761" spans="1:23" x14ac:dyDescent="0.2">
      <c r="A761" s="1">
        <v>44777</v>
      </c>
      <c r="B761" s="2">
        <v>0.67842592592592588</v>
      </c>
      <c r="C761">
        <v>1759</v>
      </c>
      <c r="D761">
        <v>13002561</v>
      </c>
      <c r="E761">
        <v>13</v>
      </c>
      <c r="F761">
        <v>22589</v>
      </c>
      <c r="G761" t="s">
        <v>23</v>
      </c>
      <c r="H761">
        <v>15</v>
      </c>
      <c r="I761">
        <v>95794</v>
      </c>
      <c r="J761" t="s">
        <v>85</v>
      </c>
      <c r="K761" t="s">
        <v>25</v>
      </c>
      <c r="L761" t="s">
        <v>39</v>
      </c>
      <c r="M761">
        <v>2</v>
      </c>
      <c r="N761">
        <v>91.21</v>
      </c>
      <c r="O761">
        <v>129.63999999999999</v>
      </c>
      <c r="P761">
        <v>12.96</v>
      </c>
      <c r="Q761">
        <v>12.96</v>
      </c>
      <c r="R761" t="s">
        <v>30</v>
      </c>
      <c r="S761">
        <v>29</v>
      </c>
      <c r="T761">
        <v>1</v>
      </c>
      <c r="U761">
        <v>1</v>
      </c>
      <c r="V761">
        <v>116.68</v>
      </c>
      <c r="W761">
        <v>13130000759</v>
      </c>
    </row>
    <row r="762" spans="1:23" x14ac:dyDescent="0.2">
      <c r="A762" s="1">
        <v>44800</v>
      </c>
      <c r="B762" s="2">
        <v>0.34726851851851848</v>
      </c>
      <c r="C762">
        <v>1760</v>
      </c>
      <c r="D762">
        <v>13002561</v>
      </c>
      <c r="E762">
        <v>13</v>
      </c>
      <c r="F762">
        <v>22589</v>
      </c>
      <c r="G762" t="s">
        <v>23</v>
      </c>
      <c r="H762">
        <v>15</v>
      </c>
      <c r="I762">
        <v>86432</v>
      </c>
      <c r="J762" t="s">
        <v>59</v>
      </c>
      <c r="K762" t="s">
        <v>25</v>
      </c>
      <c r="L762" t="s">
        <v>47</v>
      </c>
      <c r="M762">
        <v>2</v>
      </c>
      <c r="N762">
        <v>457.32</v>
      </c>
      <c r="O762">
        <v>696.99</v>
      </c>
      <c r="P762">
        <v>34.85</v>
      </c>
      <c r="Q762">
        <v>34.85</v>
      </c>
      <c r="R762" t="s">
        <v>30</v>
      </c>
      <c r="S762">
        <v>29</v>
      </c>
      <c r="T762">
        <v>1</v>
      </c>
      <c r="U762">
        <v>2</v>
      </c>
      <c r="V762">
        <v>662.14</v>
      </c>
      <c r="W762">
        <v>13130000760</v>
      </c>
    </row>
    <row r="763" spans="1:23" x14ac:dyDescent="0.2">
      <c r="A763" s="1">
        <v>44775</v>
      </c>
      <c r="B763" s="2">
        <v>0.73488425925925926</v>
      </c>
      <c r="C763">
        <v>1761</v>
      </c>
      <c r="D763">
        <v>13002561</v>
      </c>
      <c r="E763">
        <v>13</v>
      </c>
      <c r="F763">
        <v>22589</v>
      </c>
      <c r="G763" t="s">
        <v>23</v>
      </c>
      <c r="H763">
        <v>18</v>
      </c>
      <c r="I763">
        <v>20150</v>
      </c>
      <c r="J763" t="s">
        <v>86</v>
      </c>
      <c r="K763" t="s">
        <v>60</v>
      </c>
      <c r="L763" t="s">
        <v>26</v>
      </c>
      <c r="M763">
        <v>1</v>
      </c>
      <c r="N763">
        <v>498.56</v>
      </c>
      <c r="O763">
        <v>750.46</v>
      </c>
      <c r="P763">
        <v>0</v>
      </c>
      <c r="Q763">
        <v>0</v>
      </c>
      <c r="S763">
        <v>29</v>
      </c>
      <c r="T763">
        <v>1</v>
      </c>
      <c r="U763">
        <v>1</v>
      </c>
      <c r="V763">
        <v>750.46</v>
      </c>
      <c r="W763">
        <v>13130000761</v>
      </c>
    </row>
    <row r="764" spans="1:23" x14ac:dyDescent="0.2">
      <c r="A764" s="1">
        <v>44787</v>
      </c>
      <c r="B764" s="2">
        <v>0.58118055555555559</v>
      </c>
      <c r="C764">
        <v>1762</v>
      </c>
      <c r="D764">
        <v>13002561</v>
      </c>
      <c r="E764">
        <v>13</v>
      </c>
      <c r="F764">
        <v>22589</v>
      </c>
      <c r="G764" t="s">
        <v>23</v>
      </c>
      <c r="H764">
        <v>15</v>
      </c>
      <c r="I764">
        <v>81771</v>
      </c>
      <c r="J764" t="s">
        <v>33</v>
      </c>
      <c r="K764" t="s">
        <v>44</v>
      </c>
      <c r="L764" t="s">
        <v>39</v>
      </c>
      <c r="M764">
        <v>1</v>
      </c>
      <c r="N764">
        <v>505.2</v>
      </c>
      <c r="O764">
        <v>835.75</v>
      </c>
      <c r="P764">
        <v>0</v>
      </c>
      <c r="Q764">
        <v>0</v>
      </c>
      <c r="S764">
        <v>29</v>
      </c>
      <c r="T764">
        <v>1</v>
      </c>
      <c r="U764">
        <v>2</v>
      </c>
      <c r="V764">
        <v>835.75</v>
      </c>
      <c r="W764">
        <v>13130000762</v>
      </c>
    </row>
    <row r="765" spans="1:23" x14ac:dyDescent="0.2">
      <c r="A765" s="1">
        <v>44802</v>
      </c>
      <c r="B765" s="2">
        <v>0.89355324074074072</v>
      </c>
      <c r="C765">
        <v>1763</v>
      </c>
      <c r="D765">
        <v>13002561</v>
      </c>
      <c r="E765">
        <v>13</v>
      </c>
      <c r="F765">
        <v>22589</v>
      </c>
      <c r="G765" t="s">
        <v>23</v>
      </c>
      <c r="H765">
        <v>15</v>
      </c>
      <c r="I765">
        <v>27429</v>
      </c>
      <c r="J765" t="s">
        <v>108</v>
      </c>
      <c r="K765" t="s">
        <v>38</v>
      </c>
      <c r="L765" t="s">
        <v>51</v>
      </c>
      <c r="M765">
        <v>3</v>
      </c>
      <c r="N765">
        <v>273.58999999999997</v>
      </c>
      <c r="O765">
        <v>433.79</v>
      </c>
      <c r="P765">
        <v>21.69</v>
      </c>
      <c r="Q765">
        <v>21.69</v>
      </c>
      <c r="R765" t="s">
        <v>30</v>
      </c>
      <c r="S765">
        <v>29</v>
      </c>
      <c r="T765">
        <v>1</v>
      </c>
      <c r="U765">
        <v>1</v>
      </c>
      <c r="V765">
        <v>412.1</v>
      </c>
      <c r="W765">
        <v>13130000763</v>
      </c>
    </row>
    <row r="766" spans="1:23" x14ac:dyDescent="0.2">
      <c r="A766" s="1">
        <v>44776</v>
      </c>
      <c r="B766" s="2">
        <v>0.39269675925925918</v>
      </c>
      <c r="C766">
        <v>1764</v>
      </c>
      <c r="D766">
        <v>13002561</v>
      </c>
      <c r="E766">
        <v>13</v>
      </c>
      <c r="F766">
        <v>22589</v>
      </c>
      <c r="G766" t="s">
        <v>23</v>
      </c>
      <c r="H766">
        <v>15</v>
      </c>
      <c r="I766">
        <v>60296</v>
      </c>
      <c r="J766" t="s">
        <v>54</v>
      </c>
      <c r="K766" t="s">
        <v>60</v>
      </c>
      <c r="L766" t="s">
        <v>51</v>
      </c>
      <c r="M766">
        <v>1</v>
      </c>
      <c r="N766">
        <v>436.63</v>
      </c>
      <c r="O766">
        <v>555.54999999999995</v>
      </c>
      <c r="P766">
        <v>27.78</v>
      </c>
      <c r="Q766">
        <v>27.78</v>
      </c>
      <c r="R766" t="s">
        <v>30</v>
      </c>
      <c r="S766">
        <v>29</v>
      </c>
      <c r="T766">
        <v>1</v>
      </c>
      <c r="U766">
        <v>6</v>
      </c>
      <c r="V766">
        <v>527.77</v>
      </c>
      <c r="W766">
        <v>13130000764</v>
      </c>
    </row>
    <row r="767" spans="1:23" x14ac:dyDescent="0.2">
      <c r="A767" s="1">
        <v>44788</v>
      </c>
      <c r="B767" s="2">
        <v>0.5324768518518519</v>
      </c>
      <c r="C767">
        <v>1765</v>
      </c>
      <c r="D767">
        <v>13002561</v>
      </c>
      <c r="E767">
        <v>13</v>
      </c>
      <c r="F767">
        <v>22589</v>
      </c>
      <c r="G767" t="s">
        <v>23</v>
      </c>
      <c r="H767">
        <v>15</v>
      </c>
      <c r="I767">
        <v>34749</v>
      </c>
      <c r="J767" t="s">
        <v>101</v>
      </c>
      <c r="K767" t="s">
        <v>28</v>
      </c>
      <c r="L767" t="s">
        <v>39</v>
      </c>
      <c r="M767">
        <v>3</v>
      </c>
      <c r="N767">
        <v>81.489999999999995</v>
      </c>
      <c r="O767">
        <v>137.38</v>
      </c>
      <c r="P767">
        <v>6.87</v>
      </c>
      <c r="Q767">
        <v>6.87</v>
      </c>
      <c r="R767" t="s">
        <v>30</v>
      </c>
      <c r="S767">
        <v>29</v>
      </c>
      <c r="T767">
        <v>1</v>
      </c>
      <c r="U767">
        <v>2</v>
      </c>
      <c r="V767">
        <v>130.51</v>
      </c>
      <c r="W767">
        <v>13130000765</v>
      </c>
    </row>
    <row r="768" spans="1:23" x14ac:dyDescent="0.2">
      <c r="A768" s="1">
        <v>44800</v>
      </c>
      <c r="B768" s="2">
        <v>0.95207175925925924</v>
      </c>
      <c r="C768">
        <v>1766</v>
      </c>
      <c r="D768">
        <v>13002561</v>
      </c>
      <c r="E768">
        <v>13</v>
      </c>
      <c r="F768">
        <v>22589</v>
      </c>
      <c r="G768" t="s">
        <v>23</v>
      </c>
      <c r="H768">
        <v>18</v>
      </c>
      <c r="I768">
        <v>93412</v>
      </c>
      <c r="J768" t="s">
        <v>102</v>
      </c>
      <c r="K768" t="s">
        <v>25</v>
      </c>
      <c r="L768" t="s">
        <v>39</v>
      </c>
      <c r="M768">
        <v>1</v>
      </c>
      <c r="N768">
        <v>476.24</v>
      </c>
      <c r="O768">
        <v>751</v>
      </c>
      <c r="P768">
        <v>0</v>
      </c>
      <c r="Q768">
        <v>0</v>
      </c>
      <c r="S768">
        <v>29</v>
      </c>
      <c r="T768">
        <v>1</v>
      </c>
      <c r="U768">
        <v>2</v>
      </c>
      <c r="V768">
        <v>751</v>
      </c>
      <c r="W768">
        <v>13130000766</v>
      </c>
    </row>
    <row r="769" spans="1:23" x14ac:dyDescent="0.2">
      <c r="A769" s="1">
        <v>44781</v>
      </c>
      <c r="B769" s="2">
        <v>0.76401620370370371</v>
      </c>
      <c r="C769">
        <v>1767</v>
      </c>
      <c r="D769">
        <v>13002561</v>
      </c>
      <c r="E769">
        <v>13</v>
      </c>
      <c r="F769">
        <v>22589</v>
      </c>
      <c r="G769" t="s">
        <v>23</v>
      </c>
      <c r="H769">
        <v>15</v>
      </c>
      <c r="I769">
        <v>51882</v>
      </c>
      <c r="J769" t="s">
        <v>88</v>
      </c>
      <c r="K769" t="s">
        <v>44</v>
      </c>
      <c r="L769" t="s">
        <v>39</v>
      </c>
      <c r="M769">
        <v>2</v>
      </c>
      <c r="N769">
        <v>557.34</v>
      </c>
      <c r="O769">
        <v>936.44</v>
      </c>
      <c r="P769">
        <v>46.82</v>
      </c>
      <c r="Q769">
        <v>46.82</v>
      </c>
      <c r="R769" t="s">
        <v>30</v>
      </c>
      <c r="S769">
        <v>29</v>
      </c>
      <c r="T769">
        <v>1</v>
      </c>
      <c r="U769">
        <v>2</v>
      </c>
      <c r="V769">
        <v>889.62</v>
      </c>
      <c r="W769">
        <v>13130000767</v>
      </c>
    </row>
    <row r="770" spans="1:23" x14ac:dyDescent="0.2">
      <c r="A770" s="1">
        <v>44790</v>
      </c>
      <c r="B770" s="2">
        <v>0.78623842592592597</v>
      </c>
      <c r="C770">
        <v>1768</v>
      </c>
      <c r="D770">
        <v>13002561</v>
      </c>
      <c r="E770">
        <v>13</v>
      </c>
      <c r="F770">
        <v>22589</v>
      </c>
      <c r="G770" t="s">
        <v>23</v>
      </c>
      <c r="H770">
        <v>15</v>
      </c>
      <c r="I770">
        <v>26280</v>
      </c>
      <c r="J770" t="s">
        <v>37</v>
      </c>
      <c r="K770" t="s">
        <v>60</v>
      </c>
      <c r="L770" t="s">
        <v>29</v>
      </c>
      <c r="M770">
        <v>1</v>
      </c>
      <c r="N770">
        <v>548.15</v>
      </c>
      <c r="O770">
        <v>706.98</v>
      </c>
      <c r="P770">
        <v>0</v>
      </c>
      <c r="Q770">
        <v>0</v>
      </c>
      <c r="S770">
        <v>29</v>
      </c>
      <c r="T770">
        <v>1</v>
      </c>
      <c r="U770">
        <v>5</v>
      </c>
      <c r="V770">
        <v>706.98</v>
      </c>
      <c r="W770">
        <v>13130000768</v>
      </c>
    </row>
    <row r="771" spans="1:23" x14ac:dyDescent="0.2">
      <c r="A771" s="1">
        <v>44774</v>
      </c>
      <c r="B771" s="2">
        <v>0.95570601851851855</v>
      </c>
      <c r="C771">
        <v>1769</v>
      </c>
      <c r="D771">
        <v>13002561</v>
      </c>
      <c r="E771">
        <v>13</v>
      </c>
      <c r="F771">
        <v>22589</v>
      </c>
      <c r="G771" t="s">
        <v>23</v>
      </c>
      <c r="H771">
        <v>18</v>
      </c>
      <c r="I771">
        <v>64370</v>
      </c>
      <c r="J771" t="s">
        <v>89</v>
      </c>
      <c r="K771" t="s">
        <v>28</v>
      </c>
      <c r="L771" t="s">
        <v>32</v>
      </c>
      <c r="M771">
        <v>1</v>
      </c>
      <c r="N771">
        <v>128.97</v>
      </c>
      <c r="O771">
        <v>186.92</v>
      </c>
      <c r="P771">
        <v>0</v>
      </c>
      <c r="Q771">
        <v>0</v>
      </c>
      <c r="S771">
        <v>29</v>
      </c>
      <c r="T771">
        <v>1</v>
      </c>
      <c r="U771">
        <v>4</v>
      </c>
      <c r="V771">
        <v>186.92</v>
      </c>
      <c r="W771">
        <v>13130000769</v>
      </c>
    </row>
    <row r="772" spans="1:23" x14ac:dyDescent="0.2">
      <c r="A772" s="1">
        <v>44774</v>
      </c>
      <c r="B772" s="2">
        <v>0.84065972222222218</v>
      </c>
      <c r="C772">
        <v>1770</v>
      </c>
      <c r="D772">
        <v>13002561</v>
      </c>
      <c r="E772">
        <v>13</v>
      </c>
      <c r="F772">
        <v>22589</v>
      </c>
      <c r="G772" t="s">
        <v>23</v>
      </c>
      <c r="H772">
        <v>18</v>
      </c>
      <c r="I772">
        <v>91593</v>
      </c>
      <c r="J772" t="s">
        <v>127</v>
      </c>
      <c r="K772" t="s">
        <v>38</v>
      </c>
      <c r="L772" t="s">
        <v>34</v>
      </c>
      <c r="M772">
        <v>2</v>
      </c>
      <c r="N772">
        <v>360.8</v>
      </c>
      <c r="O772">
        <v>464.68</v>
      </c>
      <c r="P772">
        <v>0</v>
      </c>
      <c r="Q772">
        <v>0</v>
      </c>
      <c r="S772">
        <v>29</v>
      </c>
      <c r="T772">
        <v>1</v>
      </c>
      <c r="U772">
        <v>4</v>
      </c>
      <c r="V772">
        <v>464.68</v>
      </c>
      <c r="W772">
        <v>13130000770</v>
      </c>
    </row>
    <row r="773" spans="1:23" x14ac:dyDescent="0.2">
      <c r="A773" s="1">
        <v>44800</v>
      </c>
      <c r="B773" s="2">
        <v>0.3573263888888889</v>
      </c>
      <c r="C773">
        <v>1771</v>
      </c>
      <c r="D773">
        <v>13002561</v>
      </c>
      <c r="E773">
        <v>13</v>
      </c>
      <c r="F773">
        <v>22589</v>
      </c>
      <c r="G773" t="s">
        <v>23</v>
      </c>
      <c r="H773">
        <v>15</v>
      </c>
      <c r="I773">
        <v>91349</v>
      </c>
      <c r="J773" t="s">
        <v>93</v>
      </c>
      <c r="K773" t="s">
        <v>60</v>
      </c>
      <c r="L773" t="s">
        <v>47</v>
      </c>
      <c r="M773">
        <v>1</v>
      </c>
      <c r="N773">
        <v>331.65</v>
      </c>
      <c r="O773">
        <v>480.23</v>
      </c>
      <c r="P773">
        <v>0</v>
      </c>
      <c r="Q773">
        <v>0</v>
      </c>
      <c r="S773">
        <v>29</v>
      </c>
      <c r="T773">
        <v>1</v>
      </c>
      <c r="U773">
        <v>5</v>
      </c>
      <c r="V773">
        <v>480.23</v>
      </c>
      <c r="W773">
        <v>13130000771</v>
      </c>
    </row>
    <row r="774" spans="1:23" x14ac:dyDescent="0.2">
      <c r="A774" s="1">
        <v>44795</v>
      </c>
      <c r="B774" s="2">
        <v>0.69449074074074069</v>
      </c>
      <c r="C774">
        <v>1772</v>
      </c>
      <c r="D774">
        <v>13002561</v>
      </c>
      <c r="E774">
        <v>13</v>
      </c>
      <c r="F774">
        <v>22589</v>
      </c>
      <c r="G774" t="s">
        <v>23</v>
      </c>
      <c r="H774">
        <v>18</v>
      </c>
      <c r="I774">
        <v>31430</v>
      </c>
      <c r="J774" t="s">
        <v>84</v>
      </c>
      <c r="K774" t="s">
        <v>28</v>
      </c>
      <c r="L774" t="s">
        <v>29</v>
      </c>
      <c r="M774">
        <v>2</v>
      </c>
      <c r="N774">
        <v>201.27</v>
      </c>
      <c r="O774">
        <v>255.22</v>
      </c>
      <c r="P774">
        <v>25.52</v>
      </c>
      <c r="Q774">
        <v>25.52</v>
      </c>
      <c r="R774" t="s">
        <v>30</v>
      </c>
      <c r="S774">
        <v>29</v>
      </c>
      <c r="T774">
        <v>1</v>
      </c>
      <c r="U774">
        <v>6</v>
      </c>
      <c r="V774">
        <v>229.7</v>
      </c>
      <c r="W774">
        <v>13130000772</v>
      </c>
    </row>
    <row r="775" spans="1:23" x14ac:dyDescent="0.2">
      <c r="A775" s="1">
        <v>44791</v>
      </c>
      <c r="B775" s="2">
        <v>0.94312499999999999</v>
      </c>
      <c r="C775">
        <v>1773</v>
      </c>
      <c r="D775">
        <v>13002561</v>
      </c>
      <c r="E775">
        <v>13</v>
      </c>
      <c r="F775">
        <v>22589</v>
      </c>
      <c r="G775" t="s">
        <v>23</v>
      </c>
      <c r="H775">
        <v>18</v>
      </c>
      <c r="I775">
        <v>32569</v>
      </c>
      <c r="J775" t="s">
        <v>93</v>
      </c>
      <c r="K775" t="s">
        <v>38</v>
      </c>
      <c r="L775" t="s">
        <v>36</v>
      </c>
      <c r="M775">
        <v>1</v>
      </c>
      <c r="N775">
        <v>345.35</v>
      </c>
      <c r="O775">
        <v>573.67999999999995</v>
      </c>
      <c r="P775">
        <v>0</v>
      </c>
      <c r="Q775">
        <v>0</v>
      </c>
      <c r="S775">
        <v>29</v>
      </c>
      <c r="T775">
        <v>1</v>
      </c>
      <c r="U775">
        <v>6</v>
      </c>
      <c r="V775">
        <v>573.67999999999995</v>
      </c>
      <c r="W775">
        <v>13130000773</v>
      </c>
    </row>
    <row r="776" spans="1:23" x14ac:dyDescent="0.2">
      <c r="A776" s="1">
        <v>44799</v>
      </c>
      <c r="B776" s="2">
        <v>0.51277777777777778</v>
      </c>
      <c r="C776">
        <v>1774</v>
      </c>
      <c r="D776">
        <v>13002561</v>
      </c>
      <c r="E776">
        <v>13</v>
      </c>
      <c r="F776">
        <v>22589</v>
      </c>
      <c r="G776" t="s">
        <v>23</v>
      </c>
      <c r="H776">
        <v>18</v>
      </c>
      <c r="I776">
        <v>52139</v>
      </c>
      <c r="J776" t="s">
        <v>69</v>
      </c>
      <c r="K776" t="s">
        <v>28</v>
      </c>
      <c r="L776" t="s">
        <v>39</v>
      </c>
      <c r="M776">
        <v>3</v>
      </c>
      <c r="N776">
        <v>38.79</v>
      </c>
      <c r="O776">
        <v>54.55</v>
      </c>
      <c r="P776">
        <v>5.46</v>
      </c>
      <c r="Q776">
        <v>5.46</v>
      </c>
      <c r="R776" t="s">
        <v>30</v>
      </c>
      <c r="S776">
        <v>29</v>
      </c>
      <c r="T776">
        <v>1</v>
      </c>
      <c r="U776">
        <v>4</v>
      </c>
      <c r="V776">
        <v>49.09</v>
      </c>
      <c r="W776">
        <v>13130000774</v>
      </c>
    </row>
    <row r="777" spans="1:23" x14ac:dyDescent="0.2">
      <c r="A777" s="1">
        <v>44785</v>
      </c>
      <c r="B777" s="2">
        <v>0.5602893518518518</v>
      </c>
      <c r="C777">
        <v>1775</v>
      </c>
      <c r="D777">
        <v>13002561</v>
      </c>
      <c r="E777">
        <v>13</v>
      </c>
      <c r="F777">
        <v>22589</v>
      </c>
      <c r="G777" t="s">
        <v>23</v>
      </c>
      <c r="H777">
        <v>18</v>
      </c>
      <c r="I777">
        <v>98259</v>
      </c>
      <c r="J777" t="s">
        <v>127</v>
      </c>
      <c r="K777" t="s">
        <v>44</v>
      </c>
      <c r="L777" t="s">
        <v>47</v>
      </c>
      <c r="M777">
        <v>3</v>
      </c>
      <c r="N777">
        <v>320.83</v>
      </c>
      <c r="O777">
        <v>472.53</v>
      </c>
      <c r="P777">
        <v>0</v>
      </c>
      <c r="Q777">
        <v>0</v>
      </c>
      <c r="S777">
        <v>29</v>
      </c>
      <c r="T777">
        <v>1</v>
      </c>
      <c r="U777">
        <v>6</v>
      </c>
      <c r="V777">
        <v>472.53</v>
      </c>
      <c r="W777">
        <v>13130000775</v>
      </c>
    </row>
    <row r="778" spans="1:23" x14ac:dyDescent="0.2">
      <c r="A778" s="1">
        <v>44799</v>
      </c>
      <c r="B778" s="2">
        <v>0.3361689814814815</v>
      </c>
      <c r="C778">
        <v>1776</v>
      </c>
      <c r="D778">
        <v>13002561</v>
      </c>
      <c r="E778">
        <v>13</v>
      </c>
      <c r="F778">
        <v>22589</v>
      </c>
      <c r="G778" t="s">
        <v>23</v>
      </c>
      <c r="H778">
        <v>18</v>
      </c>
      <c r="I778">
        <v>94525</v>
      </c>
      <c r="J778" t="s">
        <v>68</v>
      </c>
      <c r="K778" t="s">
        <v>60</v>
      </c>
      <c r="L778" t="s">
        <v>36</v>
      </c>
      <c r="M778">
        <v>3</v>
      </c>
      <c r="N778">
        <v>46.3</v>
      </c>
      <c r="O778">
        <v>74.95</v>
      </c>
      <c r="P778">
        <v>0</v>
      </c>
      <c r="Q778">
        <v>0</v>
      </c>
      <c r="S778">
        <v>29</v>
      </c>
      <c r="T778">
        <v>1</v>
      </c>
      <c r="U778">
        <v>2</v>
      </c>
      <c r="V778">
        <v>74.95</v>
      </c>
      <c r="W778">
        <v>13130000776</v>
      </c>
    </row>
    <row r="779" spans="1:23" x14ac:dyDescent="0.2">
      <c r="A779" s="1">
        <v>44802</v>
      </c>
      <c r="B779" s="2">
        <v>0.74706018518518513</v>
      </c>
      <c r="C779">
        <v>1777</v>
      </c>
      <c r="D779">
        <v>13002561</v>
      </c>
      <c r="E779">
        <v>13</v>
      </c>
      <c r="F779">
        <v>22589</v>
      </c>
      <c r="G779" t="s">
        <v>23</v>
      </c>
      <c r="H779">
        <v>18</v>
      </c>
      <c r="I779">
        <v>61441</v>
      </c>
      <c r="J779" t="s">
        <v>61</v>
      </c>
      <c r="K779" t="s">
        <v>38</v>
      </c>
      <c r="L779" t="s">
        <v>26</v>
      </c>
      <c r="M779">
        <v>1</v>
      </c>
      <c r="N779">
        <v>165.24</v>
      </c>
      <c r="O779">
        <v>208.58</v>
      </c>
      <c r="P779">
        <v>0</v>
      </c>
      <c r="Q779">
        <v>0</v>
      </c>
      <c r="S779">
        <v>29</v>
      </c>
      <c r="T779">
        <v>1</v>
      </c>
      <c r="U779">
        <v>4</v>
      </c>
      <c r="V779">
        <v>208.58</v>
      </c>
      <c r="W779">
        <v>13130000777</v>
      </c>
    </row>
    <row r="780" spans="1:23" x14ac:dyDescent="0.2">
      <c r="A780" s="1">
        <v>44775</v>
      </c>
      <c r="B780" s="2">
        <v>0.67387731481481483</v>
      </c>
      <c r="C780">
        <v>1778</v>
      </c>
      <c r="D780">
        <v>13002561</v>
      </c>
      <c r="E780">
        <v>13</v>
      </c>
      <c r="F780">
        <v>22589</v>
      </c>
      <c r="G780" t="s">
        <v>23</v>
      </c>
      <c r="H780">
        <v>15</v>
      </c>
      <c r="I780">
        <v>27636</v>
      </c>
      <c r="J780" t="s">
        <v>128</v>
      </c>
      <c r="K780" t="s">
        <v>60</v>
      </c>
      <c r="L780" t="s">
        <v>39</v>
      </c>
      <c r="M780">
        <v>1</v>
      </c>
      <c r="N780">
        <v>423.85</v>
      </c>
      <c r="O780">
        <v>588.95000000000005</v>
      </c>
      <c r="P780">
        <v>58.9</v>
      </c>
      <c r="Q780">
        <v>58.9</v>
      </c>
      <c r="R780" t="s">
        <v>30</v>
      </c>
      <c r="S780">
        <v>29</v>
      </c>
      <c r="T780">
        <v>1</v>
      </c>
      <c r="U780">
        <v>1</v>
      </c>
      <c r="V780">
        <v>530.04999999999995</v>
      </c>
      <c r="W780">
        <v>13130000778</v>
      </c>
    </row>
    <row r="781" spans="1:23" x14ac:dyDescent="0.2">
      <c r="A781" s="1">
        <v>44787</v>
      </c>
      <c r="B781" s="2">
        <v>0.68583333333333329</v>
      </c>
      <c r="C781">
        <v>1779</v>
      </c>
      <c r="D781">
        <v>13002561</v>
      </c>
      <c r="E781">
        <v>13</v>
      </c>
      <c r="F781">
        <v>22589</v>
      </c>
      <c r="G781" t="s">
        <v>23</v>
      </c>
      <c r="H781">
        <v>18</v>
      </c>
      <c r="I781">
        <v>64509</v>
      </c>
      <c r="J781" t="s">
        <v>63</v>
      </c>
      <c r="K781" t="s">
        <v>25</v>
      </c>
      <c r="L781" t="s">
        <v>39</v>
      </c>
      <c r="M781">
        <v>1</v>
      </c>
      <c r="N781">
        <v>95.73</v>
      </c>
      <c r="O781">
        <v>142.53</v>
      </c>
      <c r="P781">
        <v>0</v>
      </c>
      <c r="Q781">
        <v>0</v>
      </c>
      <c r="S781">
        <v>29</v>
      </c>
      <c r="T781">
        <v>1</v>
      </c>
      <c r="U781">
        <v>3</v>
      </c>
      <c r="V781">
        <v>142.53</v>
      </c>
      <c r="W781">
        <v>13130000779</v>
      </c>
    </row>
    <row r="782" spans="1:23" x14ac:dyDescent="0.2">
      <c r="A782" s="1">
        <v>44796</v>
      </c>
      <c r="B782" s="2">
        <v>0.94798611111111108</v>
      </c>
      <c r="C782">
        <v>1780</v>
      </c>
      <c r="D782">
        <v>13002561</v>
      </c>
      <c r="E782">
        <v>13</v>
      </c>
      <c r="F782">
        <v>22589</v>
      </c>
      <c r="G782" t="s">
        <v>23</v>
      </c>
      <c r="H782">
        <v>18</v>
      </c>
      <c r="I782">
        <v>28837</v>
      </c>
      <c r="J782" t="s">
        <v>27</v>
      </c>
      <c r="K782" t="s">
        <v>60</v>
      </c>
      <c r="L782" t="s">
        <v>39</v>
      </c>
      <c r="M782">
        <v>2</v>
      </c>
      <c r="N782">
        <v>149.78</v>
      </c>
      <c r="O782">
        <v>196.44</v>
      </c>
      <c r="P782">
        <v>0</v>
      </c>
      <c r="Q782">
        <v>0</v>
      </c>
      <c r="S782">
        <v>29</v>
      </c>
      <c r="T782">
        <v>1</v>
      </c>
      <c r="U782">
        <v>1</v>
      </c>
      <c r="V782">
        <v>196.44</v>
      </c>
      <c r="W782">
        <v>13130000780</v>
      </c>
    </row>
    <row r="783" spans="1:23" x14ac:dyDescent="0.2">
      <c r="A783" s="1">
        <v>44803</v>
      </c>
      <c r="B783" s="2">
        <v>0.38180555555555562</v>
      </c>
      <c r="C783">
        <v>1781</v>
      </c>
      <c r="D783">
        <v>13002561</v>
      </c>
      <c r="E783">
        <v>13</v>
      </c>
      <c r="F783">
        <v>22589</v>
      </c>
      <c r="G783" t="s">
        <v>23</v>
      </c>
      <c r="H783">
        <v>15</v>
      </c>
      <c r="I783">
        <v>38618</v>
      </c>
      <c r="J783" t="s">
        <v>98</v>
      </c>
      <c r="K783" t="s">
        <v>38</v>
      </c>
      <c r="L783" t="s">
        <v>26</v>
      </c>
      <c r="M783">
        <v>3</v>
      </c>
      <c r="N783">
        <v>353.84</v>
      </c>
      <c r="O783">
        <v>569.37</v>
      </c>
      <c r="P783">
        <v>56.94</v>
      </c>
      <c r="Q783">
        <v>56.94</v>
      </c>
      <c r="R783" t="s">
        <v>30</v>
      </c>
      <c r="S783">
        <v>29</v>
      </c>
      <c r="T783">
        <v>1</v>
      </c>
      <c r="U783">
        <v>1</v>
      </c>
      <c r="V783">
        <v>512.42999999999995</v>
      </c>
      <c r="W783">
        <v>13130000781</v>
      </c>
    </row>
    <row r="784" spans="1:23" x14ac:dyDescent="0.2">
      <c r="A784" s="1">
        <v>44775</v>
      </c>
      <c r="B784" s="2">
        <v>0.34814814814814821</v>
      </c>
      <c r="C784">
        <v>1782</v>
      </c>
      <c r="D784">
        <v>13002561</v>
      </c>
      <c r="E784">
        <v>13</v>
      </c>
      <c r="F784">
        <v>22589</v>
      </c>
      <c r="G784" t="s">
        <v>23</v>
      </c>
      <c r="H784">
        <v>15</v>
      </c>
      <c r="I784">
        <v>96803</v>
      </c>
      <c r="J784" t="s">
        <v>50</v>
      </c>
      <c r="K784" t="s">
        <v>38</v>
      </c>
      <c r="L784" t="s">
        <v>26</v>
      </c>
      <c r="M784">
        <v>3</v>
      </c>
      <c r="N784">
        <v>64.3</v>
      </c>
      <c r="O784">
        <v>84.83</v>
      </c>
      <c r="P784">
        <v>4.24</v>
      </c>
      <c r="Q784">
        <v>4.24</v>
      </c>
      <c r="R784" t="s">
        <v>30</v>
      </c>
      <c r="S784">
        <v>29</v>
      </c>
      <c r="T784">
        <v>1</v>
      </c>
      <c r="U784">
        <v>2</v>
      </c>
      <c r="V784">
        <v>80.59</v>
      </c>
      <c r="W784">
        <v>13130000782</v>
      </c>
    </row>
    <row r="785" spans="1:23" x14ac:dyDescent="0.2">
      <c r="A785" s="1">
        <v>44798</v>
      </c>
      <c r="B785" s="2">
        <v>0.36082175925925919</v>
      </c>
      <c r="C785">
        <v>1783</v>
      </c>
      <c r="D785">
        <v>13002561</v>
      </c>
      <c r="E785">
        <v>13</v>
      </c>
      <c r="F785">
        <v>22589</v>
      </c>
      <c r="G785" t="s">
        <v>23</v>
      </c>
      <c r="H785">
        <v>15</v>
      </c>
      <c r="I785">
        <v>86400</v>
      </c>
      <c r="J785" t="s">
        <v>90</v>
      </c>
      <c r="K785" t="s">
        <v>45</v>
      </c>
      <c r="L785" t="s">
        <v>39</v>
      </c>
      <c r="M785">
        <v>3</v>
      </c>
      <c r="N785">
        <v>176.58</v>
      </c>
      <c r="O785">
        <v>271.36</v>
      </c>
      <c r="P785">
        <v>0</v>
      </c>
      <c r="Q785">
        <v>0</v>
      </c>
      <c r="S785">
        <v>29</v>
      </c>
      <c r="T785">
        <v>1</v>
      </c>
      <c r="U785">
        <v>4</v>
      </c>
      <c r="V785">
        <v>271.36</v>
      </c>
      <c r="W785">
        <v>13130000783</v>
      </c>
    </row>
    <row r="786" spans="1:23" x14ac:dyDescent="0.2">
      <c r="A786" s="1">
        <v>44786</v>
      </c>
      <c r="B786" s="2">
        <v>0.36178240740740741</v>
      </c>
      <c r="C786">
        <v>1784</v>
      </c>
      <c r="D786">
        <v>13002561</v>
      </c>
      <c r="E786">
        <v>13</v>
      </c>
      <c r="F786">
        <v>22589</v>
      </c>
      <c r="G786" t="s">
        <v>23</v>
      </c>
      <c r="H786">
        <v>15</v>
      </c>
      <c r="I786">
        <v>56158</v>
      </c>
      <c r="J786" t="s">
        <v>124</v>
      </c>
      <c r="K786" t="s">
        <v>45</v>
      </c>
      <c r="L786" t="s">
        <v>51</v>
      </c>
      <c r="M786">
        <v>3</v>
      </c>
      <c r="N786">
        <v>273.3</v>
      </c>
      <c r="O786">
        <v>453.1</v>
      </c>
      <c r="P786">
        <v>22.66</v>
      </c>
      <c r="Q786">
        <v>22.66</v>
      </c>
      <c r="R786" t="s">
        <v>30</v>
      </c>
      <c r="S786">
        <v>29</v>
      </c>
      <c r="T786">
        <v>1</v>
      </c>
      <c r="U786">
        <v>4</v>
      </c>
      <c r="V786">
        <v>430.44</v>
      </c>
      <c r="W786">
        <v>13130000784</v>
      </c>
    </row>
    <row r="787" spans="1:23" x14ac:dyDescent="0.2">
      <c r="A787" s="1">
        <v>44775</v>
      </c>
      <c r="B787" s="2">
        <v>0.81756944444444446</v>
      </c>
      <c r="C787">
        <v>1785</v>
      </c>
      <c r="D787">
        <v>13002561</v>
      </c>
      <c r="E787">
        <v>13</v>
      </c>
      <c r="F787">
        <v>22589</v>
      </c>
      <c r="G787" t="s">
        <v>23</v>
      </c>
      <c r="H787">
        <v>18</v>
      </c>
      <c r="I787">
        <v>86587</v>
      </c>
      <c r="J787" t="s">
        <v>82</v>
      </c>
      <c r="K787" t="s">
        <v>25</v>
      </c>
      <c r="L787" t="s">
        <v>26</v>
      </c>
      <c r="M787">
        <v>1</v>
      </c>
      <c r="N787">
        <v>51.47</v>
      </c>
      <c r="O787">
        <v>70.959999999999994</v>
      </c>
      <c r="P787">
        <v>3.55</v>
      </c>
      <c r="Q787">
        <v>3.55</v>
      </c>
      <c r="R787" t="s">
        <v>30</v>
      </c>
      <c r="S787">
        <v>29</v>
      </c>
      <c r="T787">
        <v>1</v>
      </c>
      <c r="U787">
        <v>6</v>
      </c>
      <c r="V787">
        <v>67.41</v>
      </c>
      <c r="W787">
        <v>13130000785</v>
      </c>
    </row>
    <row r="788" spans="1:23" x14ac:dyDescent="0.2">
      <c r="A788" s="1">
        <v>44777</v>
      </c>
      <c r="B788" s="2">
        <v>0.58267361111111116</v>
      </c>
      <c r="C788">
        <v>1786</v>
      </c>
      <c r="D788">
        <v>13002561</v>
      </c>
      <c r="E788">
        <v>13</v>
      </c>
      <c r="F788">
        <v>22589</v>
      </c>
      <c r="G788" t="s">
        <v>23</v>
      </c>
      <c r="H788">
        <v>18</v>
      </c>
      <c r="I788">
        <v>84150</v>
      </c>
      <c r="J788" t="s">
        <v>96</v>
      </c>
      <c r="K788" t="s">
        <v>45</v>
      </c>
      <c r="L788" t="s">
        <v>26</v>
      </c>
      <c r="M788">
        <v>1</v>
      </c>
      <c r="N788">
        <v>111.89</v>
      </c>
      <c r="O788">
        <v>181.35</v>
      </c>
      <c r="P788">
        <v>9.07</v>
      </c>
      <c r="Q788">
        <v>9.07</v>
      </c>
      <c r="R788" t="s">
        <v>30</v>
      </c>
      <c r="S788">
        <v>29</v>
      </c>
      <c r="T788">
        <v>1</v>
      </c>
      <c r="U788">
        <v>4</v>
      </c>
      <c r="V788">
        <v>172.28</v>
      </c>
      <c r="W788">
        <v>13130000786</v>
      </c>
    </row>
    <row r="789" spans="1:23" x14ac:dyDescent="0.2">
      <c r="A789" s="1">
        <v>44782</v>
      </c>
      <c r="B789" s="2">
        <v>0.58442129629629624</v>
      </c>
      <c r="C789">
        <v>1787</v>
      </c>
      <c r="D789">
        <v>13002561</v>
      </c>
      <c r="E789">
        <v>13</v>
      </c>
      <c r="F789">
        <v>22589</v>
      </c>
      <c r="G789" t="s">
        <v>23</v>
      </c>
      <c r="H789">
        <v>18</v>
      </c>
      <c r="I789">
        <v>17675</v>
      </c>
      <c r="J789" t="s">
        <v>105</v>
      </c>
      <c r="K789" t="s">
        <v>38</v>
      </c>
      <c r="L789" t="s">
        <v>51</v>
      </c>
      <c r="M789">
        <v>1</v>
      </c>
      <c r="N789">
        <v>530.39</v>
      </c>
      <c r="O789">
        <v>809.91</v>
      </c>
      <c r="P789">
        <v>40.5</v>
      </c>
      <c r="Q789">
        <v>40.5</v>
      </c>
      <c r="R789" t="s">
        <v>30</v>
      </c>
      <c r="S789">
        <v>29</v>
      </c>
      <c r="T789">
        <v>1</v>
      </c>
      <c r="U789">
        <v>3</v>
      </c>
      <c r="V789">
        <v>769.41</v>
      </c>
      <c r="W789">
        <v>13130000787</v>
      </c>
    </row>
    <row r="790" spans="1:23" x14ac:dyDescent="0.2">
      <c r="A790" s="1">
        <v>44777</v>
      </c>
      <c r="B790" s="2">
        <v>0.90016203703703701</v>
      </c>
      <c r="C790">
        <v>1788</v>
      </c>
      <c r="D790">
        <v>13002561</v>
      </c>
      <c r="E790">
        <v>13</v>
      </c>
      <c r="F790">
        <v>22589</v>
      </c>
      <c r="G790" t="s">
        <v>23</v>
      </c>
      <c r="H790">
        <v>15</v>
      </c>
      <c r="I790">
        <v>18939</v>
      </c>
      <c r="J790" t="s">
        <v>106</v>
      </c>
      <c r="K790" t="s">
        <v>45</v>
      </c>
      <c r="L790" t="s">
        <v>39</v>
      </c>
      <c r="M790">
        <v>3</v>
      </c>
      <c r="N790">
        <v>303.95999999999998</v>
      </c>
      <c r="O790">
        <v>506.84</v>
      </c>
      <c r="P790">
        <v>50.68</v>
      </c>
      <c r="Q790">
        <v>50.68</v>
      </c>
      <c r="R790" t="s">
        <v>30</v>
      </c>
      <c r="S790">
        <v>29</v>
      </c>
      <c r="T790">
        <v>1</v>
      </c>
      <c r="U790">
        <v>1</v>
      </c>
      <c r="V790">
        <v>456.16</v>
      </c>
      <c r="W790">
        <v>13130000788</v>
      </c>
    </row>
    <row r="791" spans="1:23" x14ac:dyDescent="0.2">
      <c r="A791" s="1">
        <v>44795</v>
      </c>
      <c r="B791" s="2">
        <v>0.49261574074074072</v>
      </c>
      <c r="C791">
        <v>1789</v>
      </c>
      <c r="D791">
        <v>13002561</v>
      </c>
      <c r="E791">
        <v>13</v>
      </c>
      <c r="F791">
        <v>22589</v>
      </c>
      <c r="G791" t="s">
        <v>23</v>
      </c>
      <c r="H791">
        <v>18</v>
      </c>
      <c r="I791">
        <v>13975</v>
      </c>
      <c r="J791" t="s">
        <v>63</v>
      </c>
      <c r="K791" t="s">
        <v>60</v>
      </c>
      <c r="L791" t="s">
        <v>32</v>
      </c>
      <c r="M791">
        <v>1</v>
      </c>
      <c r="N791">
        <v>49.05</v>
      </c>
      <c r="O791">
        <v>67.819999999999993</v>
      </c>
      <c r="P791">
        <v>3.39</v>
      </c>
      <c r="Q791">
        <v>3.39</v>
      </c>
      <c r="R791" t="s">
        <v>30</v>
      </c>
      <c r="S791">
        <v>29</v>
      </c>
      <c r="T791">
        <v>1</v>
      </c>
      <c r="U791">
        <v>3</v>
      </c>
      <c r="V791">
        <v>64.430000000000007</v>
      </c>
      <c r="W791">
        <v>13130000789</v>
      </c>
    </row>
    <row r="792" spans="1:23" x14ac:dyDescent="0.2">
      <c r="A792" s="1">
        <v>44792</v>
      </c>
      <c r="B792" s="2">
        <v>0.84954861111111113</v>
      </c>
      <c r="C792">
        <v>1790</v>
      </c>
      <c r="D792">
        <v>13002561</v>
      </c>
      <c r="E792">
        <v>13</v>
      </c>
      <c r="F792">
        <v>22589</v>
      </c>
      <c r="G792" t="s">
        <v>23</v>
      </c>
      <c r="H792">
        <v>15</v>
      </c>
      <c r="I792">
        <v>87804</v>
      </c>
      <c r="J792" t="s">
        <v>24</v>
      </c>
      <c r="K792" t="s">
        <v>38</v>
      </c>
      <c r="L792" t="s">
        <v>26</v>
      </c>
      <c r="M792">
        <v>2</v>
      </c>
      <c r="N792">
        <v>96.19</v>
      </c>
      <c r="O792">
        <v>144.96</v>
      </c>
      <c r="P792">
        <v>0</v>
      </c>
      <c r="Q792">
        <v>0</v>
      </c>
      <c r="S792">
        <v>29</v>
      </c>
      <c r="T792">
        <v>1</v>
      </c>
      <c r="U792">
        <v>1</v>
      </c>
      <c r="V792">
        <v>144.96</v>
      </c>
      <c r="W792">
        <v>13130000790</v>
      </c>
    </row>
    <row r="793" spans="1:23" x14ac:dyDescent="0.2">
      <c r="A793" s="1">
        <v>44798</v>
      </c>
      <c r="B793" s="2">
        <v>0.682037037037037</v>
      </c>
      <c r="C793">
        <v>1791</v>
      </c>
      <c r="D793">
        <v>13002561</v>
      </c>
      <c r="E793">
        <v>13</v>
      </c>
      <c r="F793">
        <v>22589</v>
      </c>
      <c r="G793" t="s">
        <v>23</v>
      </c>
      <c r="H793">
        <v>15</v>
      </c>
      <c r="I793">
        <v>73301</v>
      </c>
      <c r="J793" t="s">
        <v>54</v>
      </c>
      <c r="K793" t="s">
        <v>60</v>
      </c>
      <c r="L793" t="s">
        <v>32</v>
      </c>
      <c r="M793">
        <v>1</v>
      </c>
      <c r="N793">
        <v>23.23</v>
      </c>
      <c r="O793">
        <v>36.659999999999997</v>
      </c>
      <c r="P793">
        <v>0</v>
      </c>
      <c r="Q793">
        <v>0</v>
      </c>
      <c r="S793">
        <v>29</v>
      </c>
      <c r="T793">
        <v>1</v>
      </c>
      <c r="U793">
        <v>4</v>
      </c>
      <c r="V793">
        <v>36.659999999999997</v>
      </c>
      <c r="W793">
        <v>13130000791</v>
      </c>
    </row>
    <row r="794" spans="1:23" x14ac:dyDescent="0.2">
      <c r="A794" s="1">
        <v>44782</v>
      </c>
      <c r="B794" s="2">
        <v>0.36030092592592589</v>
      </c>
      <c r="C794">
        <v>1792</v>
      </c>
      <c r="D794">
        <v>13002561</v>
      </c>
      <c r="E794">
        <v>13</v>
      </c>
      <c r="F794">
        <v>22589</v>
      </c>
      <c r="G794" t="s">
        <v>23</v>
      </c>
      <c r="H794">
        <v>18</v>
      </c>
      <c r="I794">
        <v>34612</v>
      </c>
      <c r="J794" t="s">
        <v>48</v>
      </c>
      <c r="K794" t="s">
        <v>60</v>
      </c>
      <c r="L794" t="s">
        <v>26</v>
      </c>
      <c r="M794">
        <v>2</v>
      </c>
      <c r="N794">
        <v>78.569999999999993</v>
      </c>
      <c r="O794">
        <v>133.04</v>
      </c>
      <c r="P794">
        <v>13.3</v>
      </c>
      <c r="Q794">
        <v>13.3</v>
      </c>
      <c r="R794" t="s">
        <v>30</v>
      </c>
      <c r="S794">
        <v>29</v>
      </c>
      <c r="T794">
        <v>1</v>
      </c>
      <c r="U794">
        <v>6</v>
      </c>
      <c r="V794">
        <v>119.74</v>
      </c>
      <c r="W794">
        <v>13130000792</v>
      </c>
    </row>
    <row r="795" spans="1:23" x14ac:dyDescent="0.2">
      <c r="A795" s="1">
        <v>44799</v>
      </c>
      <c r="B795" s="2">
        <v>0.82518518518518513</v>
      </c>
      <c r="C795">
        <v>1793</v>
      </c>
      <c r="D795">
        <v>13002561</v>
      </c>
      <c r="E795">
        <v>13</v>
      </c>
      <c r="F795">
        <v>22589</v>
      </c>
      <c r="G795" t="s">
        <v>23</v>
      </c>
      <c r="H795">
        <v>18</v>
      </c>
      <c r="I795">
        <v>11351</v>
      </c>
      <c r="J795" t="s">
        <v>101</v>
      </c>
      <c r="K795" t="s">
        <v>44</v>
      </c>
      <c r="L795" t="s">
        <v>32</v>
      </c>
      <c r="M795">
        <v>1</v>
      </c>
      <c r="N795">
        <v>451.1</v>
      </c>
      <c r="O795">
        <v>670.74</v>
      </c>
      <c r="P795">
        <v>33.54</v>
      </c>
      <c r="Q795">
        <v>33.54</v>
      </c>
      <c r="R795" t="s">
        <v>30</v>
      </c>
      <c r="S795">
        <v>29</v>
      </c>
      <c r="T795">
        <v>1</v>
      </c>
      <c r="U795">
        <v>1</v>
      </c>
      <c r="V795">
        <v>637.20000000000005</v>
      </c>
      <c r="W795">
        <v>13130000793</v>
      </c>
    </row>
    <row r="796" spans="1:23" x14ac:dyDescent="0.2">
      <c r="A796" s="1">
        <v>44779</v>
      </c>
      <c r="B796" s="2">
        <v>0.71335648148148145</v>
      </c>
      <c r="C796">
        <v>1794</v>
      </c>
      <c r="D796">
        <v>13002561</v>
      </c>
      <c r="E796">
        <v>13</v>
      </c>
      <c r="F796">
        <v>22589</v>
      </c>
      <c r="G796" t="s">
        <v>23</v>
      </c>
      <c r="H796">
        <v>15</v>
      </c>
      <c r="I796">
        <v>34339</v>
      </c>
      <c r="J796" t="s">
        <v>49</v>
      </c>
      <c r="K796" t="s">
        <v>44</v>
      </c>
      <c r="L796" t="s">
        <v>36</v>
      </c>
      <c r="M796">
        <v>2</v>
      </c>
      <c r="N796">
        <v>287.24</v>
      </c>
      <c r="O796">
        <v>410.07</v>
      </c>
      <c r="P796">
        <v>20.5</v>
      </c>
      <c r="Q796">
        <v>20.5</v>
      </c>
      <c r="R796" t="s">
        <v>30</v>
      </c>
      <c r="S796">
        <v>29</v>
      </c>
      <c r="T796">
        <v>1</v>
      </c>
      <c r="U796">
        <v>2</v>
      </c>
      <c r="V796">
        <v>389.57</v>
      </c>
      <c r="W796">
        <v>13130000794</v>
      </c>
    </row>
    <row r="797" spans="1:23" x14ac:dyDescent="0.2">
      <c r="A797" s="1">
        <v>44781</v>
      </c>
      <c r="B797" s="2">
        <v>0.74603009259259256</v>
      </c>
      <c r="C797">
        <v>1795</v>
      </c>
      <c r="D797">
        <v>13002561</v>
      </c>
      <c r="E797">
        <v>13</v>
      </c>
      <c r="F797">
        <v>22589</v>
      </c>
      <c r="G797" t="s">
        <v>23</v>
      </c>
      <c r="H797">
        <v>15</v>
      </c>
      <c r="I797">
        <v>76161</v>
      </c>
      <c r="J797" t="s">
        <v>75</v>
      </c>
      <c r="K797" t="s">
        <v>38</v>
      </c>
      <c r="L797" t="s">
        <v>51</v>
      </c>
      <c r="M797">
        <v>3</v>
      </c>
      <c r="N797">
        <v>147.09</v>
      </c>
      <c r="O797">
        <v>235.35</v>
      </c>
      <c r="P797">
        <v>0</v>
      </c>
      <c r="Q797">
        <v>0</v>
      </c>
      <c r="S797">
        <v>29</v>
      </c>
      <c r="T797">
        <v>1</v>
      </c>
      <c r="U797">
        <v>1</v>
      </c>
      <c r="V797">
        <v>235.35</v>
      </c>
      <c r="W797">
        <v>13130000795</v>
      </c>
    </row>
    <row r="798" spans="1:23" x14ac:dyDescent="0.2">
      <c r="A798" s="1">
        <v>44785</v>
      </c>
      <c r="B798" s="2">
        <v>0.35864583333333327</v>
      </c>
      <c r="C798">
        <v>1796</v>
      </c>
      <c r="D798">
        <v>13002561</v>
      </c>
      <c r="E798">
        <v>13</v>
      </c>
      <c r="F798">
        <v>22589</v>
      </c>
      <c r="G798" t="s">
        <v>23</v>
      </c>
      <c r="H798">
        <v>15</v>
      </c>
      <c r="I798">
        <v>93076</v>
      </c>
      <c r="J798" t="s">
        <v>64</v>
      </c>
      <c r="K798" t="s">
        <v>28</v>
      </c>
      <c r="L798" t="s">
        <v>34</v>
      </c>
      <c r="M798">
        <v>2</v>
      </c>
      <c r="N798">
        <v>84.86</v>
      </c>
      <c r="O798">
        <v>143.03</v>
      </c>
      <c r="P798">
        <v>14.3</v>
      </c>
      <c r="Q798">
        <v>14.3</v>
      </c>
      <c r="R798" t="s">
        <v>30</v>
      </c>
      <c r="S798">
        <v>29</v>
      </c>
      <c r="T798">
        <v>1</v>
      </c>
      <c r="U798">
        <v>6</v>
      </c>
      <c r="V798">
        <v>128.72999999999999</v>
      </c>
      <c r="W798">
        <v>13130000796</v>
      </c>
    </row>
    <row r="799" spans="1:23" x14ac:dyDescent="0.2">
      <c r="A799" s="1">
        <v>44804</v>
      </c>
      <c r="B799" s="2">
        <v>0.63618055555555553</v>
      </c>
      <c r="C799">
        <v>1797</v>
      </c>
      <c r="D799">
        <v>13002561</v>
      </c>
      <c r="E799">
        <v>13</v>
      </c>
      <c r="F799">
        <v>22589</v>
      </c>
      <c r="G799" t="s">
        <v>23</v>
      </c>
      <c r="H799">
        <v>18</v>
      </c>
      <c r="I799">
        <v>10669</v>
      </c>
      <c r="J799" t="s">
        <v>67</v>
      </c>
      <c r="K799" t="s">
        <v>28</v>
      </c>
      <c r="L799" t="s">
        <v>26</v>
      </c>
      <c r="M799">
        <v>3</v>
      </c>
      <c r="N799">
        <v>283.97000000000003</v>
      </c>
      <c r="O799">
        <v>462.16</v>
      </c>
      <c r="P799">
        <v>0</v>
      </c>
      <c r="Q799">
        <v>0</v>
      </c>
      <c r="S799">
        <v>29</v>
      </c>
      <c r="T799">
        <v>1</v>
      </c>
      <c r="U799">
        <v>4</v>
      </c>
      <c r="V799">
        <v>462.16</v>
      </c>
      <c r="W799">
        <v>13130000797</v>
      </c>
    </row>
    <row r="800" spans="1:23" x14ac:dyDescent="0.2">
      <c r="A800" s="1">
        <v>44791</v>
      </c>
      <c r="B800" s="2">
        <v>0.70950231481481485</v>
      </c>
      <c r="C800">
        <v>1798</v>
      </c>
      <c r="D800">
        <v>13002561</v>
      </c>
      <c r="E800">
        <v>13</v>
      </c>
      <c r="F800">
        <v>22589</v>
      </c>
      <c r="G800" t="s">
        <v>23</v>
      </c>
      <c r="H800">
        <v>18</v>
      </c>
      <c r="I800">
        <v>51300</v>
      </c>
      <c r="J800" t="s">
        <v>35</v>
      </c>
      <c r="K800" t="s">
        <v>25</v>
      </c>
      <c r="L800" t="s">
        <v>51</v>
      </c>
      <c r="M800">
        <v>3</v>
      </c>
      <c r="N800">
        <v>411.34</v>
      </c>
      <c r="O800">
        <v>550.58000000000004</v>
      </c>
      <c r="P800">
        <v>55.06</v>
      </c>
      <c r="Q800">
        <v>55.06</v>
      </c>
      <c r="R800" t="s">
        <v>30</v>
      </c>
      <c r="S800">
        <v>29</v>
      </c>
      <c r="T800">
        <v>1</v>
      </c>
      <c r="U800">
        <v>2</v>
      </c>
      <c r="V800">
        <v>495.52</v>
      </c>
      <c r="W800">
        <v>13130000798</v>
      </c>
    </row>
    <row r="801" spans="1:23" x14ac:dyDescent="0.2">
      <c r="A801" s="1">
        <v>44792</v>
      </c>
      <c r="B801" s="2">
        <v>0.3636226851851852</v>
      </c>
      <c r="C801">
        <v>1799</v>
      </c>
      <c r="D801">
        <v>13002561</v>
      </c>
      <c r="E801">
        <v>13</v>
      </c>
      <c r="F801">
        <v>22589</v>
      </c>
      <c r="G801" t="s">
        <v>23</v>
      </c>
      <c r="H801">
        <v>15</v>
      </c>
      <c r="I801">
        <v>23239</v>
      </c>
      <c r="J801" t="s">
        <v>78</v>
      </c>
      <c r="K801" t="s">
        <v>28</v>
      </c>
      <c r="L801" t="s">
        <v>39</v>
      </c>
      <c r="M801">
        <v>3</v>
      </c>
      <c r="N801">
        <v>331.59</v>
      </c>
      <c r="O801">
        <v>552.4</v>
      </c>
      <c r="P801">
        <v>55.24</v>
      </c>
      <c r="Q801">
        <v>55.24</v>
      </c>
      <c r="R801" t="s">
        <v>30</v>
      </c>
      <c r="S801">
        <v>29</v>
      </c>
      <c r="T801">
        <v>1</v>
      </c>
      <c r="U801">
        <v>4</v>
      </c>
      <c r="V801">
        <v>497.16</v>
      </c>
      <c r="W801">
        <v>13130000799</v>
      </c>
    </row>
    <row r="802" spans="1:23" x14ac:dyDescent="0.2">
      <c r="A802" s="1">
        <v>44777</v>
      </c>
      <c r="B802" s="2">
        <v>0.4384837962962963</v>
      </c>
      <c r="C802">
        <v>1800</v>
      </c>
      <c r="D802">
        <v>13002561</v>
      </c>
      <c r="E802">
        <v>13</v>
      </c>
      <c r="F802">
        <v>22589</v>
      </c>
      <c r="G802" t="s">
        <v>23</v>
      </c>
      <c r="H802">
        <v>18</v>
      </c>
      <c r="I802">
        <v>38524</v>
      </c>
      <c r="J802" t="s">
        <v>117</v>
      </c>
      <c r="K802" t="s">
        <v>28</v>
      </c>
      <c r="L802" t="s">
        <v>32</v>
      </c>
      <c r="M802">
        <v>3</v>
      </c>
      <c r="N802">
        <v>45.58</v>
      </c>
      <c r="O802">
        <v>69.59</v>
      </c>
      <c r="P802">
        <v>3.48</v>
      </c>
      <c r="Q802">
        <v>3.48</v>
      </c>
      <c r="R802" t="s">
        <v>30</v>
      </c>
      <c r="S802">
        <v>29</v>
      </c>
      <c r="T802">
        <v>1</v>
      </c>
      <c r="U802">
        <v>4</v>
      </c>
      <c r="V802">
        <v>66.11</v>
      </c>
      <c r="W802">
        <v>13130000800</v>
      </c>
    </row>
    <row r="803" spans="1:23" x14ac:dyDescent="0.2">
      <c r="A803" s="1">
        <v>44796</v>
      </c>
      <c r="B803" s="2">
        <v>0.58083333333333331</v>
      </c>
      <c r="C803">
        <v>1801</v>
      </c>
      <c r="D803">
        <v>13002561</v>
      </c>
      <c r="E803">
        <v>13</v>
      </c>
      <c r="F803">
        <v>22589</v>
      </c>
      <c r="G803" t="s">
        <v>23</v>
      </c>
      <c r="H803">
        <v>18</v>
      </c>
      <c r="I803">
        <v>74837</v>
      </c>
      <c r="J803" t="s">
        <v>79</v>
      </c>
      <c r="K803" t="s">
        <v>38</v>
      </c>
      <c r="L803" t="s">
        <v>32</v>
      </c>
      <c r="M803">
        <v>1</v>
      </c>
      <c r="N803">
        <v>563.17999999999995</v>
      </c>
      <c r="O803">
        <v>840.31</v>
      </c>
      <c r="P803">
        <v>42.02</v>
      </c>
      <c r="Q803">
        <v>42.02</v>
      </c>
      <c r="R803" t="s">
        <v>30</v>
      </c>
      <c r="S803">
        <v>29</v>
      </c>
      <c r="T803">
        <v>1</v>
      </c>
      <c r="U803">
        <v>4</v>
      </c>
      <c r="V803">
        <v>798.29</v>
      </c>
      <c r="W803">
        <v>13130000801</v>
      </c>
    </row>
    <row r="804" spans="1:23" x14ac:dyDescent="0.2">
      <c r="A804" s="1">
        <v>44786</v>
      </c>
      <c r="B804" s="2">
        <v>0.73678240740740741</v>
      </c>
      <c r="C804">
        <v>1802</v>
      </c>
      <c r="D804">
        <v>13002561</v>
      </c>
      <c r="E804">
        <v>13</v>
      </c>
      <c r="F804">
        <v>22589</v>
      </c>
      <c r="G804" t="s">
        <v>23</v>
      </c>
      <c r="H804">
        <v>15</v>
      </c>
      <c r="I804">
        <v>10016</v>
      </c>
      <c r="J804" t="s">
        <v>88</v>
      </c>
      <c r="K804" t="s">
        <v>60</v>
      </c>
      <c r="L804" t="s">
        <v>29</v>
      </c>
      <c r="M804">
        <v>1</v>
      </c>
      <c r="N804">
        <v>194.53</v>
      </c>
      <c r="O804">
        <v>313</v>
      </c>
      <c r="P804">
        <v>0</v>
      </c>
      <c r="Q804">
        <v>0</v>
      </c>
      <c r="S804">
        <v>29</v>
      </c>
      <c r="T804">
        <v>1</v>
      </c>
      <c r="U804">
        <v>1</v>
      </c>
      <c r="V804">
        <v>313</v>
      </c>
      <c r="W804">
        <v>13130000802</v>
      </c>
    </row>
    <row r="805" spans="1:23" x14ac:dyDescent="0.2">
      <c r="A805" s="1">
        <v>44791</v>
      </c>
      <c r="B805" s="2">
        <v>0.41142361111111109</v>
      </c>
      <c r="C805">
        <v>1803</v>
      </c>
      <c r="D805">
        <v>13002561</v>
      </c>
      <c r="E805">
        <v>13</v>
      </c>
      <c r="F805">
        <v>22589</v>
      </c>
      <c r="G805" t="s">
        <v>23</v>
      </c>
      <c r="H805">
        <v>15</v>
      </c>
      <c r="I805">
        <v>95128</v>
      </c>
      <c r="J805" t="s">
        <v>101</v>
      </c>
      <c r="K805" t="s">
        <v>38</v>
      </c>
      <c r="L805" t="s">
        <v>32</v>
      </c>
      <c r="M805">
        <v>3</v>
      </c>
      <c r="N805">
        <v>18.989999999999998</v>
      </c>
      <c r="O805">
        <v>31.26</v>
      </c>
      <c r="P805">
        <v>0</v>
      </c>
      <c r="Q805">
        <v>0</v>
      </c>
      <c r="S805">
        <v>29</v>
      </c>
      <c r="T805">
        <v>1</v>
      </c>
      <c r="U805">
        <v>5</v>
      </c>
      <c r="V805">
        <v>31.26</v>
      </c>
      <c r="W805">
        <v>13130000803</v>
      </c>
    </row>
    <row r="806" spans="1:23" x14ac:dyDescent="0.2">
      <c r="A806" s="1">
        <v>44790</v>
      </c>
      <c r="B806" s="2">
        <v>0.54638888888888892</v>
      </c>
      <c r="C806">
        <v>1804</v>
      </c>
      <c r="D806">
        <v>13002561</v>
      </c>
      <c r="E806">
        <v>13</v>
      </c>
      <c r="F806">
        <v>22589</v>
      </c>
      <c r="G806" t="s">
        <v>23</v>
      </c>
      <c r="H806">
        <v>15</v>
      </c>
      <c r="I806">
        <v>67067</v>
      </c>
      <c r="J806" t="s">
        <v>24</v>
      </c>
      <c r="K806" t="s">
        <v>45</v>
      </c>
      <c r="L806" t="s">
        <v>47</v>
      </c>
      <c r="M806">
        <v>3</v>
      </c>
      <c r="N806">
        <v>236.98</v>
      </c>
      <c r="O806">
        <v>303.08</v>
      </c>
      <c r="P806">
        <v>30.31</v>
      </c>
      <c r="Q806">
        <v>30.31</v>
      </c>
      <c r="R806" t="s">
        <v>30</v>
      </c>
      <c r="S806">
        <v>29</v>
      </c>
      <c r="T806">
        <v>1</v>
      </c>
      <c r="U806">
        <v>5</v>
      </c>
      <c r="V806">
        <v>272.77</v>
      </c>
      <c r="W806">
        <v>13130000804</v>
      </c>
    </row>
    <row r="807" spans="1:23" x14ac:dyDescent="0.2">
      <c r="A807" s="1">
        <v>44786</v>
      </c>
      <c r="B807" s="2">
        <v>0.87464120370370368</v>
      </c>
      <c r="C807">
        <v>1805</v>
      </c>
      <c r="D807">
        <v>13002561</v>
      </c>
      <c r="E807">
        <v>13</v>
      </c>
      <c r="F807">
        <v>22589</v>
      </c>
      <c r="G807" t="s">
        <v>23</v>
      </c>
      <c r="H807">
        <v>18</v>
      </c>
      <c r="I807">
        <v>15581</v>
      </c>
      <c r="J807" t="s">
        <v>85</v>
      </c>
      <c r="K807" t="s">
        <v>25</v>
      </c>
      <c r="L807" t="s">
        <v>29</v>
      </c>
      <c r="M807">
        <v>3</v>
      </c>
      <c r="N807">
        <v>265.44</v>
      </c>
      <c r="O807">
        <v>440.86</v>
      </c>
      <c r="P807">
        <v>22.04</v>
      </c>
      <c r="Q807">
        <v>22.04</v>
      </c>
      <c r="R807" t="s">
        <v>30</v>
      </c>
      <c r="S807">
        <v>29</v>
      </c>
      <c r="T807">
        <v>1</v>
      </c>
      <c r="U807">
        <v>1</v>
      </c>
      <c r="V807">
        <v>418.82</v>
      </c>
      <c r="W807">
        <v>13130000805</v>
      </c>
    </row>
    <row r="808" spans="1:23" x14ac:dyDescent="0.2">
      <c r="A808" s="1">
        <v>44802</v>
      </c>
      <c r="B808" s="2">
        <v>0.41859953703703712</v>
      </c>
      <c r="C808">
        <v>1806</v>
      </c>
      <c r="D808">
        <v>13002561</v>
      </c>
      <c r="E808">
        <v>13</v>
      </c>
      <c r="F808">
        <v>22589</v>
      </c>
      <c r="G808" t="s">
        <v>23</v>
      </c>
      <c r="H808">
        <v>18</v>
      </c>
      <c r="I808">
        <v>53829</v>
      </c>
      <c r="J808" t="s">
        <v>85</v>
      </c>
      <c r="K808" t="s">
        <v>38</v>
      </c>
      <c r="L808" t="s">
        <v>36</v>
      </c>
      <c r="M808">
        <v>1</v>
      </c>
      <c r="N808">
        <v>439.73</v>
      </c>
      <c r="O808">
        <v>564.33000000000004</v>
      </c>
      <c r="P808">
        <v>0</v>
      </c>
      <c r="Q808">
        <v>0</v>
      </c>
      <c r="S808">
        <v>29</v>
      </c>
      <c r="T808">
        <v>1</v>
      </c>
      <c r="U808">
        <v>3</v>
      </c>
      <c r="V808">
        <v>564.33000000000004</v>
      </c>
      <c r="W808">
        <v>13130000806</v>
      </c>
    </row>
    <row r="809" spans="1:23" x14ac:dyDescent="0.2">
      <c r="A809" s="1">
        <v>44794</v>
      </c>
      <c r="B809" s="2">
        <v>0.42380787037037038</v>
      </c>
      <c r="C809">
        <v>1807</v>
      </c>
      <c r="D809">
        <v>13002561</v>
      </c>
      <c r="E809">
        <v>13</v>
      </c>
      <c r="F809">
        <v>22589</v>
      </c>
      <c r="G809" t="s">
        <v>23</v>
      </c>
      <c r="H809">
        <v>18</v>
      </c>
      <c r="I809">
        <v>92132</v>
      </c>
      <c r="J809" t="s">
        <v>101</v>
      </c>
      <c r="K809" t="s">
        <v>25</v>
      </c>
      <c r="L809" t="s">
        <v>34</v>
      </c>
      <c r="M809">
        <v>2</v>
      </c>
      <c r="N809">
        <v>221.03</v>
      </c>
      <c r="O809">
        <v>368.58</v>
      </c>
      <c r="P809">
        <v>36.86</v>
      </c>
      <c r="Q809">
        <v>36.86</v>
      </c>
      <c r="R809" t="s">
        <v>30</v>
      </c>
      <c r="S809">
        <v>29</v>
      </c>
      <c r="T809">
        <v>1</v>
      </c>
      <c r="U809">
        <v>5</v>
      </c>
      <c r="V809">
        <v>331.72</v>
      </c>
      <c r="W809">
        <v>13130000807</v>
      </c>
    </row>
    <row r="810" spans="1:23" x14ac:dyDescent="0.2">
      <c r="A810" s="1">
        <v>44786</v>
      </c>
      <c r="B810" s="2">
        <v>0.50291666666666668</v>
      </c>
      <c r="C810">
        <v>1808</v>
      </c>
      <c r="D810">
        <v>13002561</v>
      </c>
      <c r="E810">
        <v>13</v>
      </c>
      <c r="F810">
        <v>22589</v>
      </c>
      <c r="G810" t="s">
        <v>23</v>
      </c>
      <c r="H810">
        <v>18</v>
      </c>
      <c r="I810">
        <v>55218</v>
      </c>
      <c r="J810" t="s">
        <v>116</v>
      </c>
      <c r="K810" t="s">
        <v>28</v>
      </c>
      <c r="L810" t="s">
        <v>34</v>
      </c>
      <c r="M810">
        <v>2</v>
      </c>
      <c r="N810">
        <v>219.82</v>
      </c>
      <c r="O810">
        <v>276.64999999999998</v>
      </c>
      <c r="P810">
        <v>13.83</v>
      </c>
      <c r="Q810">
        <v>13.83</v>
      </c>
      <c r="R810" t="s">
        <v>30</v>
      </c>
      <c r="S810">
        <v>29</v>
      </c>
      <c r="T810">
        <v>1</v>
      </c>
      <c r="U810">
        <v>3</v>
      </c>
      <c r="V810">
        <v>262.82</v>
      </c>
      <c r="W810">
        <v>13130000808</v>
      </c>
    </row>
    <row r="811" spans="1:23" x14ac:dyDescent="0.2">
      <c r="A811" s="1">
        <v>44802</v>
      </c>
      <c r="B811" s="2">
        <v>0.94488425925925923</v>
      </c>
      <c r="C811">
        <v>1809</v>
      </c>
      <c r="D811">
        <v>13002561</v>
      </c>
      <c r="E811">
        <v>13</v>
      </c>
      <c r="F811">
        <v>22589</v>
      </c>
      <c r="G811" t="s">
        <v>23</v>
      </c>
      <c r="H811">
        <v>18</v>
      </c>
      <c r="I811">
        <v>34592</v>
      </c>
      <c r="J811" t="s">
        <v>82</v>
      </c>
      <c r="K811" t="s">
        <v>60</v>
      </c>
      <c r="L811" t="s">
        <v>51</v>
      </c>
      <c r="M811">
        <v>2</v>
      </c>
      <c r="N811">
        <v>478.15</v>
      </c>
      <c r="O811">
        <v>769.18</v>
      </c>
      <c r="P811">
        <v>76.92</v>
      </c>
      <c r="Q811">
        <v>76.92</v>
      </c>
      <c r="R811" t="s">
        <v>30</v>
      </c>
      <c r="S811">
        <v>29</v>
      </c>
      <c r="T811">
        <v>1</v>
      </c>
      <c r="U811">
        <v>4</v>
      </c>
      <c r="V811">
        <v>692.26</v>
      </c>
      <c r="W811">
        <v>13130000809</v>
      </c>
    </row>
    <row r="812" spans="1:23" x14ac:dyDescent="0.2">
      <c r="A812" s="1">
        <v>44803</v>
      </c>
      <c r="B812" s="2">
        <v>0.86192129629629632</v>
      </c>
      <c r="C812">
        <v>1810</v>
      </c>
      <c r="D812">
        <v>13002561</v>
      </c>
      <c r="E812">
        <v>13</v>
      </c>
      <c r="F812">
        <v>22589</v>
      </c>
      <c r="G812" t="s">
        <v>23</v>
      </c>
      <c r="H812">
        <v>15</v>
      </c>
      <c r="I812">
        <v>13490</v>
      </c>
      <c r="J812" t="s">
        <v>90</v>
      </c>
      <c r="K812" t="s">
        <v>45</v>
      </c>
      <c r="L812" t="s">
        <v>26</v>
      </c>
      <c r="M812">
        <v>2</v>
      </c>
      <c r="N812">
        <v>116.59</v>
      </c>
      <c r="O812">
        <v>191.73</v>
      </c>
      <c r="P812">
        <v>19.170000000000002</v>
      </c>
      <c r="Q812">
        <v>19.170000000000002</v>
      </c>
      <c r="R812" t="s">
        <v>30</v>
      </c>
      <c r="S812">
        <v>29</v>
      </c>
      <c r="T812">
        <v>1</v>
      </c>
      <c r="U812">
        <v>3</v>
      </c>
      <c r="V812">
        <v>172.56</v>
      </c>
      <c r="W812">
        <v>13130000810</v>
      </c>
    </row>
    <row r="813" spans="1:23" x14ac:dyDescent="0.2">
      <c r="A813" s="1">
        <v>44778</v>
      </c>
      <c r="B813" s="2">
        <v>0.53098379629629633</v>
      </c>
      <c r="C813">
        <v>1811</v>
      </c>
      <c r="D813">
        <v>13002561</v>
      </c>
      <c r="E813">
        <v>13</v>
      </c>
      <c r="F813">
        <v>22589</v>
      </c>
      <c r="G813" t="s">
        <v>23</v>
      </c>
      <c r="H813">
        <v>15</v>
      </c>
      <c r="I813">
        <v>16490</v>
      </c>
      <c r="J813" t="s">
        <v>106</v>
      </c>
      <c r="K813" t="s">
        <v>28</v>
      </c>
      <c r="L813" t="s">
        <v>29</v>
      </c>
      <c r="M813">
        <v>3</v>
      </c>
      <c r="N813">
        <v>133.62</v>
      </c>
      <c r="O813">
        <v>188.63</v>
      </c>
      <c r="P813">
        <v>18.86</v>
      </c>
      <c r="Q813">
        <v>18.86</v>
      </c>
      <c r="R813" t="s">
        <v>30</v>
      </c>
      <c r="S813">
        <v>29</v>
      </c>
      <c r="T813">
        <v>1</v>
      </c>
      <c r="U813">
        <v>2</v>
      </c>
      <c r="V813">
        <v>169.77</v>
      </c>
      <c r="W813">
        <v>13130000811</v>
      </c>
    </row>
    <row r="814" spans="1:23" x14ac:dyDescent="0.2">
      <c r="A814" s="1">
        <v>44799</v>
      </c>
      <c r="B814" s="2">
        <v>0.3862962962962963</v>
      </c>
      <c r="C814">
        <v>1812</v>
      </c>
      <c r="D814">
        <v>13002561</v>
      </c>
      <c r="E814">
        <v>13</v>
      </c>
      <c r="F814">
        <v>22589</v>
      </c>
      <c r="G814" t="s">
        <v>23</v>
      </c>
      <c r="H814">
        <v>15</v>
      </c>
      <c r="I814">
        <v>53710</v>
      </c>
      <c r="J814" t="s">
        <v>127</v>
      </c>
      <c r="K814" t="s">
        <v>38</v>
      </c>
      <c r="L814" t="s">
        <v>34</v>
      </c>
      <c r="M814">
        <v>2</v>
      </c>
      <c r="N814">
        <v>200.94</v>
      </c>
      <c r="O814">
        <v>276.41000000000003</v>
      </c>
      <c r="P814">
        <v>0</v>
      </c>
      <c r="Q814">
        <v>0</v>
      </c>
      <c r="S814">
        <v>29</v>
      </c>
      <c r="T814">
        <v>1</v>
      </c>
      <c r="U814">
        <v>3</v>
      </c>
      <c r="V814">
        <v>276.41000000000003</v>
      </c>
      <c r="W814">
        <v>13130000812</v>
      </c>
    </row>
    <row r="815" spans="1:23" x14ac:dyDescent="0.2">
      <c r="A815" s="1">
        <v>44780</v>
      </c>
      <c r="B815" s="2">
        <v>0.80105324074074069</v>
      </c>
      <c r="C815">
        <v>1813</v>
      </c>
      <c r="D815">
        <v>13002561</v>
      </c>
      <c r="E815">
        <v>13</v>
      </c>
      <c r="F815">
        <v>22589</v>
      </c>
      <c r="G815" t="s">
        <v>23</v>
      </c>
      <c r="H815">
        <v>15</v>
      </c>
      <c r="I815">
        <v>19258</v>
      </c>
      <c r="J815" t="s">
        <v>68</v>
      </c>
      <c r="K815" t="s">
        <v>45</v>
      </c>
      <c r="L815" t="s">
        <v>51</v>
      </c>
      <c r="M815">
        <v>2</v>
      </c>
      <c r="N815">
        <v>533.51</v>
      </c>
      <c r="O815">
        <v>706.06</v>
      </c>
      <c r="P815">
        <v>0</v>
      </c>
      <c r="Q815">
        <v>0</v>
      </c>
      <c r="S815">
        <v>29</v>
      </c>
      <c r="T815">
        <v>1</v>
      </c>
      <c r="U815">
        <v>5</v>
      </c>
      <c r="V815">
        <v>706.06</v>
      </c>
      <c r="W815">
        <v>13130000813</v>
      </c>
    </row>
    <row r="816" spans="1:23" x14ac:dyDescent="0.2">
      <c r="A816" s="1">
        <v>44787</v>
      </c>
      <c r="B816" s="2">
        <v>0.5508912037037037</v>
      </c>
      <c r="C816">
        <v>1814</v>
      </c>
      <c r="D816">
        <v>13002561</v>
      </c>
      <c r="E816">
        <v>13</v>
      </c>
      <c r="F816">
        <v>22589</v>
      </c>
      <c r="G816" t="s">
        <v>23</v>
      </c>
      <c r="H816">
        <v>15</v>
      </c>
      <c r="I816">
        <v>88065</v>
      </c>
      <c r="J816" t="s">
        <v>125</v>
      </c>
      <c r="K816" t="s">
        <v>44</v>
      </c>
      <c r="L816" t="s">
        <v>36</v>
      </c>
      <c r="M816">
        <v>2</v>
      </c>
      <c r="N816">
        <v>588.27</v>
      </c>
      <c r="O816">
        <v>814.61</v>
      </c>
      <c r="P816">
        <v>40.729999999999997</v>
      </c>
      <c r="Q816">
        <v>40.729999999999997</v>
      </c>
      <c r="R816" t="s">
        <v>30</v>
      </c>
      <c r="S816">
        <v>29</v>
      </c>
      <c r="T816">
        <v>1</v>
      </c>
      <c r="U816">
        <v>6</v>
      </c>
      <c r="V816">
        <v>773.88</v>
      </c>
      <c r="W816">
        <v>13130000814</v>
      </c>
    </row>
    <row r="817" spans="1:23" x14ac:dyDescent="0.2">
      <c r="A817" s="1">
        <v>44779</v>
      </c>
      <c r="B817" s="2">
        <v>0.88196759259259261</v>
      </c>
      <c r="C817">
        <v>1815</v>
      </c>
      <c r="D817">
        <v>13002561</v>
      </c>
      <c r="E817">
        <v>13</v>
      </c>
      <c r="F817">
        <v>22589</v>
      </c>
      <c r="G817" t="s">
        <v>23</v>
      </c>
      <c r="H817">
        <v>15</v>
      </c>
      <c r="I817">
        <v>22922</v>
      </c>
      <c r="J817" t="s">
        <v>69</v>
      </c>
      <c r="K817" t="s">
        <v>38</v>
      </c>
      <c r="L817" t="s">
        <v>36</v>
      </c>
      <c r="M817">
        <v>1</v>
      </c>
      <c r="N817">
        <v>61.81</v>
      </c>
      <c r="O817">
        <v>80.239999999999995</v>
      </c>
      <c r="P817">
        <v>0</v>
      </c>
      <c r="Q817">
        <v>0</v>
      </c>
      <c r="S817">
        <v>29</v>
      </c>
      <c r="T817">
        <v>1</v>
      </c>
      <c r="U817">
        <v>5</v>
      </c>
      <c r="V817">
        <v>80.239999999999995</v>
      </c>
      <c r="W817">
        <v>13130000815</v>
      </c>
    </row>
    <row r="818" spans="1:23" x14ac:dyDescent="0.2">
      <c r="A818" s="1">
        <v>44789</v>
      </c>
      <c r="B818" s="2">
        <v>0.67865740740740743</v>
      </c>
      <c r="C818">
        <v>1816</v>
      </c>
      <c r="D818">
        <v>13002561</v>
      </c>
      <c r="E818">
        <v>13</v>
      </c>
      <c r="F818">
        <v>22589</v>
      </c>
      <c r="G818" t="s">
        <v>23</v>
      </c>
      <c r="H818">
        <v>15</v>
      </c>
      <c r="I818">
        <v>10763</v>
      </c>
      <c r="J818" t="s">
        <v>111</v>
      </c>
      <c r="K818" t="s">
        <v>38</v>
      </c>
      <c r="L818" t="s">
        <v>26</v>
      </c>
      <c r="M818">
        <v>1</v>
      </c>
      <c r="N818">
        <v>343.09</v>
      </c>
      <c r="O818">
        <v>481.06</v>
      </c>
      <c r="P818">
        <v>48.11</v>
      </c>
      <c r="Q818">
        <v>48.11</v>
      </c>
      <c r="R818" t="s">
        <v>30</v>
      </c>
      <c r="S818">
        <v>29</v>
      </c>
      <c r="T818">
        <v>1</v>
      </c>
      <c r="U818">
        <v>2</v>
      </c>
      <c r="V818">
        <v>432.95</v>
      </c>
      <c r="W818">
        <v>13130000816</v>
      </c>
    </row>
    <row r="819" spans="1:23" x14ac:dyDescent="0.2">
      <c r="A819" s="1">
        <v>44789</v>
      </c>
      <c r="B819" s="2">
        <v>0.42585648148148147</v>
      </c>
      <c r="C819">
        <v>1817</v>
      </c>
      <c r="D819">
        <v>13002561</v>
      </c>
      <c r="E819">
        <v>13</v>
      </c>
      <c r="F819">
        <v>22589</v>
      </c>
      <c r="G819" t="s">
        <v>23</v>
      </c>
      <c r="H819">
        <v>15</v>
      </c>
      <c r="I819">
        <v>25285</v>
      </c>
      <c r="J819" t="s">
        <v>124</v>
      </c>
      <c r="K819" t="s">
        <v>28</v>
      </c>
      <c r="L819" t="s">
        <v>39</v>
      </c>
      <c r="M819">
        <v>2</v>
      </c>
      <c r="N819">
        <v>261.16000000000003</v>
      </c>
      <c r="O819">
        <v>389.2</v>
      </c>
      <c r="P819">
        <v>19.46</v>
      </c>
      <c r="Q819">
        <v>19.46</v>
      </c>
      <c r="R819" t="s">
        <v>30</v>
      </c>
      <c r="S819">
        <v>29</v>
      </c>
      <c r="T819">
        <v>1</v>
      </c>
      <c r="U819">
        <v>6</v>
      </c>
      <c r="V819">
        <v>369.74</v>
      </c>
      <c r="W819">
        <v>13130000817</v>
      </c>
    </row>
    <row r="820" spans="1:23" x14ac:dyDescent="0.2">
      <c r="A820" s="1">
        <v>44781</v>
      </c>
      <c r="B820" s="2">
        <v>0.39624999999999999</v>
      </c>
      <c r="C820">
        <v>1818</v>
      </c>
      <c r="D820">
        <v>13002561</v>
      </c>
      <c r="E820">
        <v>13</v>
      </c>
      <c r="F820">
        <v>22589</v>
      </c>
      <c r="G820" t="s">
        <v>23</v>
      </c>
      <c r="H820">
        <v>18</v>
      </c>
      <c r="I820">
        <v>26265</v>
      </c>
      <c r="J820" t="s">
        <v>55</v>
      </c>
      <c r="K820" t="s">
        <v>38</v>
      </c>
      <c r="L820" t="s">
        <v>34</v>
      </c>
      <c r="M820">
        <v>3</v>
      </c>
      <c r="N820">
        <v>358.03</v>
      </c>
      <c r="O820">
        <v>602.69000000000005</v>
      </c>
      <c r="P820">
        <v>0</v>
      </c>
      <c r="Q820">
        <v>0</v>
      </c>
      <c r="S820">
        <v>29</v>
      </c>
      <c r="T820">
        <v>1</v>
      </c>
      <c r="U820">
        <v>5</v>
      </c>
      <c r="V820">
        <v>602.69000000000005</v>
      </c>
      <c r="W820">
        <v>13130000818</v>
      </c>
    </row>
    <row r="821" spans="1:23" x14ac:dyDescent="0.2">
      <c r="A821" s="1">
        <v>44800</v>
      </c>
      <c r="B821" s="2">
        <v>0.44263888888888892</v>
      </c>
      <c r="C821">
        <v>1819</v>
      </c>
      <c r="D821">
        <v>13002561</v>
      </c>
      <c r="E821">
        <v>13</v>
      </c>
      <c r="F821">
        <v>22589</v>
      </c>
      <c r="G821" t="s">
        <v>23</v>
      </c>
      <c r="H821">
        <v>15</v>
      </c>
      <c r="I821">
        <v>17738</v>
      </c>
      <c r="J821" t="s">
        <v>71</v>
      </c>
      <c r="K821" t="s">
        <v>28</v>
      </c>
      <c r="L821" t="s">
        <v>29</v>
      </c>
      <c r="M821">
        <v>3</v>
      </c>
      <c r="N821">
        <v>449</v>
      </c>
      <c r="O821">
        <v>636.39</v>
      </c>
      <c r="P821">
        <v>31.82</v>
      </c>
      <c r="Q821">
        <v>31.82</v>
      </c>
      <c r="R821" t="s">
        <v>30</v>
      </c>
      <c r="S821">
        <v>29</v>
      </c>
      <c r="T821">
        <v>1</v>
      </c>
      <c r="U821">
        <v>2</v>
      </c>
      <c r="V821">
        <v>604.57000000000005</v>
      </c>
      <c r="W821">
        <v>13130000819</v>
      </c>
    </row>
    <row r="822" spans="1:23" x14ac:dyDescent="0.2">
      <c r="A822" s="1">
        <v>44792</v>
      </c>
      <c r="B822" s="2">
        <v>0.34277777777777779</v>
      </c>
      <c r="C822">
        <v>1820</v>
      </c>
      <c r="D822">
        <v>13002561</v>
      </c>
      <c r="E822">
        <v>13</v>
      </c>
      <c r="F822">
        <v>22589</v>
      </c>
      <c r="G822" t="s">
        <v>23</v>
      </c>
      <c r="H822">
        <v>15</v>
      </c>
      <c r="I822">
        <v>79198</v>
      </c>
      <c r="J822" t="s">
        <v>67</v>
      </c>
      <c r="K822" t="s">
        <v>45</v>
      </c>
      <c r="L822" t="s">
        <v>36</v>
      </c>
      <c r="M822">
        <v>2</v>
      </c>
      <c r="N822">
        <v>493.75</v>
      </c>
      <c r="O822">
        <v>784</v>
      </c>
      <c r="P822">
        <v>0</v>
      </c>
      <c r="Q822">
        <v>0</v>
      </c>
      <c r="S822">
        <v>29</v>
      </c>
      <c r="T822">
        <v>1</v>
      </c>
      <c r="U822">
        <v>1</v>
      </c>
      <c r="V822">
        <v>784</v>
      </c>
      <c r="W822">
        <v>13130000820</v>
      </c>
    </row>
    <row r="823" spans="1:23" x14ac:dyDescent="0.2">
      <c r="A823" s="1">
        <v>44776</v>
      </c>
      <c r="B823" s="2">
        <v>0.49682870370370369</v>
      </c>
      <c r="C823">
        <v>1821</v>
      </c>
      <c r="D823">
        <v>13002561</v>
      </c>
      <c r="E823">
        <v>13</v>
      </c>
      <c r="F823">
        <v>22589</v>
      </c>
      <c r="G823" t="s">
        <v>23</v>
      </c>
      <c r="H823">
        <v>15</v>
      </c>
      <c r="I823">
        <v>97683</v>
      </c>
      <c r="J823" t="s">
        <v>83</v>
      </c>
      <c r="K823" t="s">
        <v>45</v>
      </c>
      <c r="L823" t="s">
        <v>47</v>
      </c>
      <c r="M823">
        <v>1</v>
      </c>
      <c r="N823">
        <v>521.63</v>
      </c>
      <c r="O823">
        <v>802.1</v>
      </c>
      <c r="P823">
        <v>0</v>
      </c>
      <c r="Q823">
        <v>0</v>
      </c>
      <c r="S823">
        <v>29</v>
      </c>
      <c r="T823">
        <v>1</v>
      </c>
      <c r="U823">
        <v>3</v>
      </c>
      <c r="V823">
        <v>802.1</v>
      </c>
      <c r="W823">
        <v>13130000821</v>
      </c>
    </row>
    <row r="824" spans="1:23" x14ac:dyDescent="0.2">
      <c r="A824" s="1">
        <v>44801</v>
      </c>
      <c r="B824" s="2">
        <v>0.84149305555555554</v>
      </c>
      <c r="C824">
        <v>1822</v>
      </c>
      <c r="D824">
        <v>13002561</v>
      </c>
      <c r="E824">
        <v>13</v>
      </c>
      <c r="F824">
        <v>22589</v>
      </c>
      <c r="G824" t="s">
        <v>23</v>
      </c>
      <c r="H824">
        <v>18</v>
      </c>
      <c r="I824">
        <v>84165</v>
      </c>
      <c r="J824" t="s">
        <v>37</v>
      </c>
      <c r="K824" t="s">
        <v>45</v>
      </c>
      <c r="L824" t="s">
        <v>39</v>
      </c>
      <c r="M824">
        <v>1</v>
      </c>
      <c r="N824">
        <v>522.72</v>
      </c>
      <c r="O824">
        <v>779.56</v>
      </c>
      <c r="P824">
        <v>0</v>
      </c>
      <c r="Q824">
        <v>0</v>
      </c>
      <c r="S824">
        <v>29</v>
      </c>
      <c r="T824">
        <v>1</v>
      </c>
      <c r="U824">
        <v>2</v>
      </c>
      <c r="V824">
        <v>779.56</v>
      </c>
      <c r="W824">
        <v>13130000822</v>
      </c>
    </row>
    <row r="825" spans="1:23" x14ac:dyDescent="0.2">
      <c r="A825" s="1">
        <v>44775</v>
      </c>
      <c r="B825" s="2">
        <v>0.62531250000000005</v>
      </c>
      <c r="C825">
        <v>1823</v>
      </c>
      <c r="D825">
        <v>13002561</v>
      </c>
      <c r="E825">
        <v>13</v>
      </c>
      <c r="F825">
        <v>22589</v>
      </c>
      <c r="G825" t="s">
        <v>23</v>
      </c>
      <c r="H825">
        <v>15</v>
      </c>
      <c r="I825">
        <v>35599</v>
      </c>
      <c r="J825" t="s">
        <v>52</v>
      </c>
      <c r="K825" t="s">
        <v>60</v>
      </c>
      <c r="L825" t="s">
        <v>39</v>
      </c>
      <c r="M825">
        <v>1</v>
      </c>
      <c r="N825">
        <v>251.34</v>
      </c>
      <c r="O825">
        <v>411.21</v>
      </c>
      <c r="P825">
        <v>41.12</v>
      </c>
      <c r="Q825">
        <v>41.12</v>
      </c>
      <c r="R825" t="s">
        <v>30</v>
      </c>
      <c r="S825">
        <v>29</v>
      </c>
      <c r="T825">
        <v>1</v>
      </c>
      <c r="U825">
        <v>3</v>
      </c>
      <c r="V825">
        <v>370.09</v>
      </c>
      <c r="W825">
        <v>13130000823</v>
      </c>
    </row>
    <row r="826" spans="1:23" x14ac:dyDescent="0.2">
      <c r="A826" s="1">
        <v>44795</v>
      </c>
      <c r="B826" s="2">
        <v>0.79380787037037037</v>
      </c>
      <c r="C826">
        <v>1824</v>
      </c>
      <c r="D826">
        <v>13002561</v>
      </c>
      <c r="E826">
        <v>13</v>
      </c>
      <c r="F826">
        <v>22589</v>
      </c>
      <c r="G826" t="s">
        <v>23</v>
      </c>
      <c r="H826">
        <v>15</v>
      </c>
      <c r="I826">
        <v>51019</v>
      </c>
      <c r="J826" t="s">
        <v>77</v>
      </c>
      <c r="K826" t="s">
        <v>44</v>
      </c>
      <c r="L826" t="s">
        <v>34</v>
      </c>
      <c r="M826">
        <v>2</v>
      </c>
      <c r="N826">
        <v>170.71</v>
      </c>
      <c r="O826">
        <v>275.19</v>
      </c>
      <c r="P826">
        <v>0</v>
      </c>
      <c r="Q826">
        <v>0</v>
      </c>
      <c r="S826">
        <v>29</v>
      </c>
      <c r="T826">
        <v>1</v>
      </c>
      <c r="U826">
        <v>6</v>
      </c>
      <c r="V826">
        <v>275.19</v>
      </c>
      <c r="W826">
        <v>13130000824</v>
      </c>
    </row>
    <row r="827" spans="1:23" x14ac:dyDescent="0.2">
      <c r="A827" s="1">
        <v>44782</v>
      </c>
      <c r="B827" s="2">
        <v>0.74292824074074071</v>
      </c>
      <c r="C827">
        <v>1825</v>
      </c>
      <c r="D827">
        <v>13002561</v>
      </c>
      <c r="E827">
        <v>13</v>
      </c>
      <c r="F827">
        <v>22589</v>
      </c>
      <c r="G827" t="s">
        <v>23</v>
      </c>
      <c r="H827">
        <v>18</v>
      </c>
      <c r="I827">
        <v>16554</v>
      </c>
      <c r="J827" t="s">
        <v>72</v>
      </c>
      <c r="K827" t="s">
        <v>28</v>
      </c>
      <c r="L827" t="s">
        <v>32</v>
      </c>
      <c r="M827">
        <v>1</v>
      </c>
      <c r="N827">
        <v>488.57</v>
      </c>
      <c r="O827">
        <v>830.36</v>
      </c>
      <c r="P827">
        <v>83.04</v>
      </c>
      <c r="Q827">
        <v>83.04</v>
      </c>
      <c r="R827" t="s">
        <v>30</v>
      </c>
      <c r="S827">
        <v>29</v>
      </c>
      <c r="T827">
        <v>1</v>
      </c>
      <c r="U827">
        <v>2</v>
      </c>
      <c r="V827">
        <v>747.32</v>
      </c>
      <c r="W827">
        <v>13130000825</v>
      </c>
    </row>
    <row r="828" spans="1:23" x14ac:dyDescent="0.2">
      <c r="A828" s="1">
        <v>44774</v>
      </c>
      <c r="B828" s="2">
        <v>0.46471064814814822</v>
      </c>
      <c r="C828">
        <v>1826</v>
      </c>
      <c r="D828">
        <v>13002561</v>
      </c>
      <c r="E828">
        <v>13</v>
      </c>
      <c r="F828">
        <v>22589</v>
      </c>
      <c r="G828" t="s">
        <v>23</v>
      </c>
      <c r="H828">
        <v>18</v>
      </c>
      <c r="I828">
        <v>41099</v>
      </c>
      <c r="J828" t="s">
        <v>75</v>
      </c>
      <c r="K828" t="s">
        <v>60</v>
      </c>
      <c r="L828" t="s">
        <v>32</v>
      </c>
      <c r="M828">
        <v>3</v>
      </c>
      <c r="N828">
        <v>10.14</v>
      </c>
      <c r="O828">
        <v>15.87</v>
      </c>
      <c r="P828">
        <v>0</v>
      </c>
      <c r="Q828">
        <v>0</v>
      </c>
      <c r="S828">
        <v>29</v>
      </c>
      <c r="T828">
        <v>1</v>
      </c>
      <c r="U828">
        <v>4</v>
      </c>
      <c r="V828">
        <v>15.87</v>
      </c>
      <c r="W828">
        <v>13130000826</v>
      </c>
    </row>
    <row r="829" spans="1:23" x14ac:dyDescent="0.2">
      <c r="A829" s="1">
        <v>44801</v>
      </c>
      <c r="B829" s="2">
        <v>0.77839120370370374</v>
      </c>
      <c r="C829">
        <v>1827</v>
      </c>
      <c r="D829">
        <v>13002561</v>
      </c>
      <c r="E829">
        <v>13</v>
      </c>
      <c r="F829">
        <v>22589</v>
      </c>
      <c r="G829" t="s">
        <v>23</v>
      </c>
      <c r="H829">
        <v>18</v>
      </c>
      <c r="I829">
        <v>33493</v>
      </c>
      <c r="J829" t="s">
        <v>52</v>
      </c>
      <c r="K829" t="s">
        <v>28</v>
      </c>
      <c r="L829" t="s">
        <v>51</v>
      </c>
      <c r="M829">
        <v>3</v>
      </c>
      <c r="N829">
        <v>334.32</v>
      </c>
      <c r="O829">
        <v>522.52</v>
      </c>
      <c r="P829">
        <v>26.13</v>
      </c>
      <c r="Q829">
        <v>26.13</v>
      </c>
      <c r="R829" t="s">
        <v>30</v>
      </c>
      <c r="S829">
        <v>29</v>
      </c>
      <c r="T829">
        <v>1</v>
      </c>
      <c r="U829">
        <v>6</v>
      </c>
      <c r="V829">
        <v>496.39</v>
      </c>
      <c r="W829">
        <v>13130000827</v>
      </c>
    </row>
    <row r="830" spans="1:23" x14ac:dyDescent="0.2">
      <c r="A830" s="1">
        <v>44785</v>
      </c>
      <c r="B830" s="2">
        <v>0.51018518518518519</v>
      </c>
      <c r="C830">
        <v>1828</v>
      </c>
      <c r="D830">
        <v>13002561</v>
      </c>
      <c r="E830">
        <v>13</v>
      </c>
      <c r="F830">
        <v>22589</v>
      </c>
      <c r="G830" t="s">
        <v>23</v>
      </c>
      <c r="H830">
        <v>18</v>
      </c>
      <c r="I830">
        <v>29793</v>
      </c>
      <c r="J830" t="s">
        <v>79</v>
      </c>
      <c r="K830" t="s">
        <v>38</v>
      </c>
      <c r="L830" t="s">
        <v>39</v>
      </c>
      <c r="M830">
        <v>1</v>
      </c>
      <c r="N830">
        <v>77.209999999999994</v>
      </c>
      <c r="O830">
        <v>98.99</v>
      </c>
      <c r="P830">
        <v>9.9</v>
      </c>
      <c r="Q830">
        <v>9.9</v>
      </c>
      <c r="R830" t="s">
        <v>30</v>
      </c>
      <c r="S830">
        <v>29</v>
      </c>
      <c r="T830">
        <v>1</v>
      </c>
      <c r="U830">
        <v>6</v>
      </c>
      <c r="V830">
        <v>89.09</v>
      </c>
      <c r="W830">
        <v>13130000828</v>
      </c>
    </row>
    <row r="831" spans="1:23" x14ac:dyDescent="0.2">
      <c r="A831" s="1">
        <v>44791</v>
      </c>
      <c r="B831" s="2">
        <v>0.90969907407407402</v>
      </c>
      <c r="C831">
        <v>1829</v>
      </c>
      <c r="D831">
        <v>13002561</v>
      </c>
      <c r="E831">
        <v>13</v>
      </c>
      <c r="F831">
        <v>22589</v>
      </c>
      <c r="G831" t="s">
        <v>23</v>
      </c>
      <c r="H831">
        <v>18</v>
      </c>
      <c r="I831">
        <v>68793</v>
      </c>
      <c r="J831" t="s">
        <v>58</v>
      </c>
      <c r="K831" t="s">
        <v>44</v>
      </c>
      <c r="L831" t="s">
        <v>26</v>
      </c>
      <c r="M831">
        <v>2</v>
      </c>
      <c r="N831">
        <v>363.74</v>
      </c>
      <c r="O831">
        <v>587.22</v>
      </c>
      <c r="P831">
        <v>0</v>
      </c>
      <c r="Q831">
        <v>0</v>
      </c>
      <c r="S831">
        <v>29</v>
      </c>
      <c r="T831">
        <v>1</v>
      </c>
      <c r="U831">
        <v>5</v>
      </c>
      <c r="V831">
        <v>587.22</v>
      </c>
      <c r="W831">
        <v>13130000829</v>
      </c>
    </row>
    <row r="832" spans="1:23" x14ac:dyDescent="0.2">
      <c r="A832" s="1">
        <v>44775</v>
      </c>
      <c r="B832" s="2">
        <v>0.81422453703703701</v>
      </c>
      <c r="C832">
        <v>1830</v>
      </c>
      <c r="D832">
        <v>13002561</v>
      </c>
      <c r="E832">
        <v>13</v>
      </c>
      <c r="F832">
        <v>22589</v>
      </c>
      <c r="G832" t="s">
        <v>23</v>
      </c>
      <c r="H832">
        <v>18</v>
      </c>
      <c r="I832">
        <v>54985</v>
      </c>
      <c r="J832" t="s">
        <v>119</v>
      </c>
      <c r="K832" t="s">
        <v>28</v>
      </c>
      <c r="L832" t="s">
        <v>29</v>
      </c>
      <c r="M832">
        <v>3</v>
      </c>
      <c r="N832">
        <v>198.57</v>
      </c>
      <c r="O832">
        <v>327.81</v>
      </c>
      <c r="P832">
        <v>32.78</v>
      </c>
      <c r="Q832">
        <v>32.78</v>
      </c>
      <c r="R832" t="s">
        <v>30</v>
      </c>
      <c r="S832">
        <v>29</v>
      </c>
      <c r="T832">
        <v>1</v>
      </c>
      <c r="U832">
        <v>2</v>
      </c>
      <c r="V832">
        <v>295.02999999999997</v>
      </c>
      <c r="W832">
        <v>13130000830</v>
      </c>
    </row>
    <row r="833" spans="1:23" x14ac:dyDescent="0.2">
      <c r="A833" s="1">
        <v>44788</v>
      </c>
      <c r="B833" s="2">
        <v>0.50504629629629627</v>
      </c>
      <c r="C833">
        <v>1831</v>
      </c>
      <c r="D833">
        <v>13002561</v>
      </c>
      <c r="E833">
        <v>13</v>
      </c>
      <c r="F833">
        <v>22589</v>
      </c>
      <c r="G833" t="s">
        <v>23</v>
      </c>
      <c r="H833">
        <v>15</v>
      </c>
      <c r="I833">
        <v>15301</v>
      </c>
      <c r="J833" t="s">
        <v>62</v>
      </c>
      <c r="K833" t="s">
        <v>45</v>
      </c>
      <c r="L833" t="s">
        <v>34</v>
      </c>
      <c r="M833">
        <v>1</v>
      </c>
      <c r="N833">
        <v>19.899999999999999</v>
      </c>
      <c r="O833">
        <v>27.15</v>
      </c>
      <c r="P833">
        <v>2.71</v>
      </c>
      <c r="Q833">
        <v>2.71</v>
      </c>
      <c r="R833" t="s">
        <v>30</v>
      </c>
      <c r="S833">
        <v>29</v>
      </c>
      <c r="T833">
        <v>1</v>
      </c>
      <c r="U833">
        <v>3</v>
      </c>
      <c r="V833">
        <v>24.44</v>
      </c>
      <c r="W833">
        <v>13130000831</v>
      </c>
    </row>
    <row r="834" spans="1:23" x14ac:dyDescent="0.2">
      <c r="A834" s="1">
        <v>44797</v>
      </c>
      <c r="B834" s="2">
        <v>0.84188657407407408</v>
      </c>
      <c r="C834">
        <v>1832</v>
      </c>
      <c r="D834">
        <v>13002561</v>
      </c>
      <c r="E834">
        <v>13</v>
      </c>
      <c r="F834">
        <v>22589</v>
      </c>
      <c r="G834" t="s">
        <v>23</v>
      </c>
      <c r="H834">
        <v>18</v>
      </c>
      <c r="I834">
        <v>86717</v>
      </c>
      <c r="J834" t="s">
        <v>94</v>
      </c>
      <c r="K834" t="s">
        <v>25</v>
      </c>
      <c r="L834" t="s">
        <v>39</v>
      </c>
      <c r="M834">
        <v>2</v>
      </c>
      <c r="N834">
        <v>257.14999999999998</v>
      </c>
      <c r="O834">
        <v>433.34</v>
      </c>
      <c r="P834">
        <v>21.67</v>
      </c>
      <c r="Q834">
        <v>21.67</v>
      </c>
      <c r="R834" t="s">
        <v>30</v>
      </c>
      <c r="S834">
        <v>29</v>
      </c>
      <c r="T834">
        <v>1</v>
      </c>
      <c r="U834">
        <v>3</v>
      </c>
      <c r="V834">
        <v>411.67</v>
      </c>
      <c r="W834">
        <v>13130000832</v>
      </c>
    </row>
    <row r="835" spans="1:23" x14ac:dyDescent="0.2">
      <c r="A835" s="1">
        <v>44783</v>
      </c>
      <c r="B835" s="2">
        <v>0.36575231481481479</v>
      </c>
      <c r="C835">
        <v>1833</v>
      </c>
      <c r="D835">
        <v>13002561</v>
      </c>
      <c r="E835">
        <v>13</v>
      </c>
      <c r="F835">
        <v>22589</v>
      </c>
      <c r="G835" t="s">
        <v>23</v>
      </c>
      <c r="H835">
        <v>18</v>
      </c>
      <c r="I835">
        <v>36350</v>
      </c>
      <c r="J835" t="s">
        <v>101</v>
      </c>
      <c r="K835" t="s">
        <v>25</v>
      </c>
      <c r="L835" t="s">
        <v>39</v>
      </c>
      <c r="M835">
        <v>2</v>
      </c>
      <c r="N835">
        <v>142.76</v>
      </c>
      <c r="O835">
        <v>189.9</v>
      </c>
      <c r="P835">
        <v>0</v>
      </c>
      <c r="Q835">
        <v>0</v>
      </c>
      <c r="S835">
        <v>29</v>
      </c>
      <c r="T835">
        <v>1</v>
      </c>
      <c r="U835">
        <v>3</v>
      </c>
      <c r="V835">
        <v>189.9</v>
      </c>
      <c r="W835">
        <v>13130000833</v>
      </c>
    </row>
    <row r="836" spans="1:23" x14ac:dyDescent="0.2">
      <c r="A836" s="1">
        <v>44775</v>
      </c>
      <c r="B836" s="2">
        <v>0.56887731481481485</v>
      </c>
      <c r="C836">
        <v>1834</v>
      </c>
      <c r="D836">
        <v>13002561</v>
      </c>
      <c r="E836">
        <v>13</v>
      </c>
      <c r="F836">
        <v>22589</v>
      </c>
      <c r="G836" t="s">
        <v>23</v>
      </c>
      <c r="H836">
        <v>18</v>
      </c>
      <c r="I836">
        <v>69119</v>
      </c>
      <c r="J836" t="s">
        <v>83</v>
      </c>
      <c r="K836" t="s">
        <v>38</v>
      </c>
      <c r="L836" t="s">
        <v>29</v>
      </c>
      <c r="M836">
        <v>1</v>
      </c>
      <c r="N836">
        <v>69.03</v>
      </c>
      <c r="O836">
        <v>89.61</v>
      </c>
      <c r="P836">
        <v>8.9600000000000009</v>
      </c>
      <c r="Q836">
        <v>8.9600000000000009</v>
      </c>
      <c r="R836" t="s">
        <v>30</v>
      </c>
      <c r="S836">
        <v>29</v>
      </c>
      <c r="T836">
        <v>1</v>
      </c>
      <c r="U836">
        <v>6</v>
      </c>
      <c r="V836">
        <v>80.650000000000006</v>
      </c>
      <c r="W836">
        <v>13130000834</v>
      </c>
    </row>
    <row r="837" spans="1:23" x14ac:dyDescent="0.2">
      <c r="A837" s="1">
        <v>44795</v>
      </c>
      <c r="B837" s="2">
        <v>0.90604166666666663</v>
      </c>
      <c r="C837">
        <v>1835</v>
      </c>
      <c r="D837">
        <v>13002561</v>
      </c>
      <c r="E837">
        <v>13</v>
      </c>
      <c r="F837">
        <v>22589</v>
      </c>
      <c r="G837" t="s">
        <v>23</v>
      </c>
      <c r="H837">
        <v>15</v>
      </c>
      <c r="I837">
        <v>62230</v>
      </c>
      <c r="J837" t="s">
        <v>124</v>
      </c>
      <c r="K837" t="s">
        <v>45</v>
      </c>
      <c r="L837" t="s">
        <v>29</v>
      </c>
      <c r="M837">
        <v>2</v>
      </c>
      <c r="N837">
        <v>146.30000000000001</v>
      </c>
      <c r="O837">
        <v>247.6</v>
      </c>
      <c r="P837">
        <v>12.38</v>
      </c>
      <c r="Q837">
        <v>12.38</v>
      </c>
      <c r="R837" t="s">
        <v>30</v>
      </c>
      <c r="S837">
        <v>29</v>
      </c>
      <c r="T837">
        <v>1</v>
      </c>
      <c r="U837">
        <v>2</v>
      </c>
      <c r="V837">
        <v>235.22</v>
      </c>
      <c r="W837">
        <v>13130000835</v>
      </c>
    </row>
    <row r="838" spans="1:23" x14ac:dyDescent="0.2">
      <c r="A838" s="1">
        <v>44797</v>
      </c>
      <c r="B838" s="2">
        <v>0.92479166666666668</v>
      </c>
      <c r="C838">
        <v>1836</v>
      </c>
      <c r="D838">
        <v>13002561</v>
      </c>
      <c r="E838">
        <v>13</v>
      </c>
      <c r="F838">
        <v>22589</v>
      </c>
      <c r="G838" t="s">
        <v>23</v>
      </c>
      <c r="H838">
        <v>18</v>
      </c>
      <c r="I838">
        <v>73976</v>
      </c>
      <c r="J838" t="s">
        <v>86</v>
      </c>
      <c r="K838" t="s">
        <v>60</v>
      </c>
      <c r="L838" t="s">
        <v>34</v>
      </c>
      <c r="M838">
        <v>2</v>
      </c>
      <c r="N838">
        <v>135.53</v>
      </c>
      <c r="O838">
        <v>222.06</v>
      </c>
      <c r="P838">
        <v>0</v>
      </c>
      <c r="Q838">
        <v>0</v>
      </c>
      <c r="S838">
        <v>29</v>
      </c>
      <c r="T838">
        <v>1</v>
      </c>
      <c r="U838">
        <v>5</v>
      </c>
      <c r="V838">
        <v>222.06</v>
      </c>
      <c r="W838">
        <v>13130000836</v>
      </c>
    </row>
    <row r="839" spans="1:23" x14ac:dyDescent="0.2">
      <c r="A839" s="1">
        <v>44784</v>
      </c>
      <c r="B839" s="2">
        <v>0.81405092592592587</v>
      </c>
      <c r="C839">
        <v>1837</v>
      </c>
      <c r="D839">
        <v>13002561</v>
      </c>
      <c r="E839">
        <v>13</v>
      </c>
      <c r="F839">
        <v>22589</v>
      </c>
      <c r="G839" t="s">
        <v>23</v>
      </c>
      <c r="H839">
        <v>18</v>
      </c>
      <c r="I839">
        <v>15647</v>
      </c>
      <c r="J839" t="s">
        <v>128</v>
      </c>
      <c r="K839" t="s">
        <v>38</v>
      </c>
      <c r="L839" t="s">
        <v>36</v>
      </c>
      <c r="M839">
        <v>1</v>
      </c>
      <c r="N839">
        <v>447.99</v>
      </c>
      <c r="O839">
        <v>600.66999999999996</v>
      </c>
      <c r="P839">
        <v>0</v>
      </c>
      <c r="Q839">
        <v>0</v>
      </c>
      <c r="S839">
        <v>29</v>
      </c>
      <c r="T839">
        <v>1</v>
      </c>
      <c r="U839">
        <v>3</v>
      </c>
      <c r="V839">
        <v>600.66999999999996</v>
      </c>
      <c r="W839">
        <v>13130000837</v>
      </c>
    </row>
    <row r="840" spans="1:23" x14ac:dyDescent="0.2">
      <c r="A840" s="1">
        <v>44792</v>
      </c>
      <c r="B840" s="2">
        <v>0.50203703703703706</v>
      </c>
      <c r="C840">
        <v>1838</v>
      </c>
      <c r="D840">
        <v>13002561</v>
      </c>
      <c r="E840">
        <v>13</v>
      </c>
      <c r="F840">
        <v>22589</v>
      </c>
      <c r="G840" t="s">
        <v>23</v>
      </c>
      <c r="H840">
        <v>15</v>
      </c>
      <c r="I840">
        <v>49189</v>
      </c>
      <c r="J840" t="s">
        <v>90</v>
      </c>
      <c r="K840" t="s">
        <v>45</v>
      </c>
      <c r="L840" t="s">
        <v>47</v>
      </c>
      <c r="M840">
        <v>3</v>
      </c>
      <c r="N840">
        <v>486.41</v>
      </c>
      <c r="O840">
        <v>690.51</v>
      </c>
      <c r="P840">
        <v>0</v>
      </c>
      <c r="Q840">
        <v>0</v>
      </c>
      <c r="S840">
        <v>29</v>
      </c>
      <c r="T840">
        <v>1</v>
      </c>
      <c r="U840">
        <v>3</v>
      </c>
      <c r="V840">
        <v>690.51</v>
      </c>
      <c r="W840">
        <v>13130000838</v>
      </c>
    </row>
    <row r="841" spans="1:23" x14ac:dyDescent="0.2">
      <c r="A841" s="1">
        <v>44799</v>
      </c>
      <c r="B841" s="2">
        <v>0.78276620370370376</v>
      </c>
      <c r="C841">
        <v>1839</v>
      </c>
      <c r="D841">
        <v>13002561</v>
      </c>
      <c r="E841">
        <v>13</v>
      </c>
      <c r="F841">
        <v>22589</v>
      </c>
      <c r="G841" t="s">
        <v>23</v>
      </c>
      <c r="H841">
        <v>18</v>
      </c>
      <c r="I841">
        <v>38010</v>
      </c>
      <c r="J841" t="s">
        <v>56</v>
      </c>
      <c r="K841" t="s">
        <v>25</v>
      </c>
      <c r="L841" t="s">
        <v>34</v>
      </c>
      <c r="M841">
        <v>2</v>
      </c>
      <c r="N841">
        <v>36.409999999999997</v>
      </c>
      <c r="O841">
        <v>57.73</v>
      </c>
      <c r="P841">
        <v>5.77</v>
      </c>
      <c r="Q841">
        <v>5.77</v>
      </c>
      <c r="R841" t="s">
        <v>30</v>
      </c>
      <c r="S841">
        <v>29</v>
      </c>
      <c r="T841">
        <v>1</v>
      </c>
      <c r="U841">
        <v>6</v>
      </c>
      <c r="V841">
        <v>51.96</v>
      </c>
      <c r="W841">
        <v>13130000839</v>
      </c>
    </row>
    <row r="842" spans="1:23" x14ac:dyDescent="0.2">
      <c r="A842" s="1">
        <v>44783</v>
      </c>
      <c r="B842" s="2">
        <v>0.87746527777777783</v>
      </c>
      <c r="C842">
        <v>1840</v>
      </c>
      <c r="D842">
        <v>13002561</v>
      </c>
      <c r="E842">
        <v>13</v>
      </c>
      <c r="F842">
        <v>22589</v>
      </c>
      <c r="G842" t="s">
        <v>23</v>
      </c>
      <c r="H842">
        <v>15</v>
      </c>
      <c r="I842">
        <v>91660</v>
      </c>
      <c r="J842" t="s">
        <v>113</v>
      </c>
      <c r="K842" t="s">
        <v>38</v>
      </c>
      <c r="L842" t="s">
        <v>36</v>
      </c>
      <c r="M842">
        <v>2</v>
      </c>
      <c r="N842">
        <v>154.66999999999999</v>
      </c>
      <c r="O842">
        <v>255.75</v>
      </c>
      <c r="P842">
        <v>12.79</v>
      </c>
      <c r="Q842">
        <v>12.79</v>
      </c>
      <c r="R842" t="s">
        <v>30</v>
      </c>
      <c r="S842">
        <v>29</v>
      </c>
      <c r="T842">
        <v>1</v>
      </c>
      <c r="U842">
        <v>3</v>
      </c>
      <c r="V842">
        <v>242.96</v>
      </c>
      <c r="W842">
        <v>13130000840</v>
      </c>
    </row>
    <row r="843" spans="1:23" x14ac:dyDescent="0.2">
      <c r="A843" s="1">
        <v>44792</v>
      </c>
      <c r="B843" s="2">
        <v>0.44697916666666659</v>
      </c>
      <c r="C843">
        <v>1841</v>
      </c>
      <c r="D843">
        <v>13002561</v>
      </c>
      <c r="E843">
        <v>13</v>
      </c>
      <c r="F843">
        <v>22589</v>
      </c>
      <c r="G843" t="s">
        <v>23</v>
      </c>
      <c r="H843">
        <v>18</v>
      </c>
      <c r="I843">
        <v>44910</v>
      </c>
      <c r="J843" t="s">
        <v>101</v>
      </c>
      <c r="K843" t="s">
        <v>44</v>
      </c>
      <c r="L843" t="s">
        <v>32</v>
      </c>
      <c r="M843">
        <v>3</v>
      </c>
      <c r="N843">
        <v>470.19</v>
      </c>
      <c r="O843">
        <v>693.32</v>
      </c>
      <c r="P843">
        <v>34.67</v>
      </c>
      <c r="Q843">
        <v>34.67</v>
      </c>
      <c r="R843" t="s">
        <v>30</v>
      </c>
      <c r="S843">
        <v>29</v>
      </c>
      <c r="T843">
        <v>1</v>
      </c>
      <c r="U843">
        <v>6</v>
      </c>
      <c r="V843">
        <v>658.65</v>
      </c>
      <c r="W843">
        <v>13130000841</v>
      </c>
    </row>
    <row r="844" spans="1:23" x14ac:dyDescent="0.2">
      <c r="A844" s="1">
        <v>44774</v>
      </c>
      <c r="B844" s="2">
        <v>0.51879629629629631</v>
      </c>
      <c r="C844">
        <v>1842</v>
      </c>
      <c r="D844">
        <v>13002561</v>
      </c>
      <c r="E844">
        <v>13</v>
      </c>
      <c r="F844">
        <v>22589</v>
      </c>
      <c r="G844" t="s">
        <v>23</v>
      </c>
      <c r="H844">
        <v>15</v>
      </c>
      <c r="I844">
        <v>77094</v>
      </c>
      <c r="J844" t="s">
        <v>53</v>
      </c>
      <c r="K844" t="s">
        <v>45</v>
      </c>
      <c r="L844" t="s">
        <v>51</v>
      </c>
      <c r="M844">
        <v>3</v>
      </c>
      <c r="N844">
        <v>130.04</v>
      </c>
      <c r="O844">
        <v>199.51</v>
      </c>
      <c r="P844">
        <v>19.95</v>
      </c>
      <c r="Q844">
        <v>19.95</v>
      </c>
      <c r="R844" t="s">
        <v>30</v>
      </c>
      <c r="S844">
        <v>29</v>
      </c>
      <c r="T844">
        <v>1</v>
      </c>
      <c r="U844">
        <v>3</v>
      </c>
      <c r="V844">
        <v>179.56</v>
      </c>
      <c r="W844">
        <v>13130000842</v>
      </c>
    </row>
    <row r="845" spans="1:23" x14ac:dyDescent="0.2">
      <c r="A845" s="1">
        <v>44791</v>
      </c>
      <c r="B845" s="2">
        <v>0.41221064814814817</v>
      </c>
      <c r="C845">
        <v>1843</v>
      </c>
      <c r="D845">
        <v>13002561</v>
      </c>
      <c r="E845">
        <v>13</v>
      </c>
      <c r="F845">
        <v>22589</v>
      </c>
      <c r="G845" t="s">
        <v>23</v>
      </c>
      <c r="H845">
        <v>15</v>
      </c>
      <c r="I845">
        <v>24670</v>
      </c>
      <c r="J845" t="s">
        <v>101</v>
      </c>
      <c r="K845" t="s">
        <v>60</v>
      </c>
      <c r="L845" t="s">
        <v>51</v>
      </c>
      <c r="M845">
        <v>1</v>
      </c>
      <c r="N845">
        <v>87.76</v>
      </c>
      <c r="O845">
        <v>111.94</v>
      </c>
      <c r="P845">
        <v>5.6</v>
      </c>
      <c r="Q845">
        <v>5.6</v>
      </c>
      <c r="R845" t="s">
        <v>30</v>
      </c>
      <c r="S845">
        <v>29</v>
      </c>
      <c r="T845">
        <v>1</v>
      </c>
      <c r="U845">
        <v>6</v>
      </c>
      <c r="V845">
        <v>106.34</v>
      </c>
      <c r="W845">
        <v>13130000843</v>
      </c>
    </row>
    <row r="846" spans="1:23" x14ac:dyDescent="0.2">
      <c r="A846" s="1">
        <v>44777</v>
      </c>
      <c r="B846" s="2">
        <v>0.52252314814814815</v>
      </c>
      <c r="C846">
        <v>1844</v>
      </c>
      <c r="D846">
        <v>13002561</v>
      </c>
      <c r="E846">
        <v>13</v>
      </c>
      <c r="F846">
        <v>22589</v>
      </c>
      <c r="G846" t="s">
        <v>23</v>
      </c>
      <c r="H846">
        <v>18</v>
      </c>
      <c r="I846">
        <v>21195</v>
      </c>
      <c r="J846" t="s">
        <v>69</v>
      </c>
      <c r="K846" t="s">
        <v>45</v>
      </c>
      <c r="L846" t="s">
        <v>36</v>
      </c>
      <c r="M846">
        <v>2</v>
      </c>
      <c r="N846">
        <v>305.10000000000002</v>
      </c>
      <c r="O846">
        <v>474.51</v>
      </c>
      <c r="P846">
        <v>0</v>
      </c>
      <c r="Q846">
        <v>0</v>
      </c>
      <c r="S846">
        <v>29</v>
      </c>
      <c r="T846">
        <v>1</v>
      </c>
      <c r="U846">
        <v>5</v>
      </c>
      <c r="V846">
        <v>474.51</v>
      </c>
      <c r="W846">
        <v>13130000844</v>
      </c>
    </row>
    <row r="847" spans="1:23" x14ac:dyDescent="0.2">
      <c r="A847" s="1">
        <v>44775</v>
      </c>
      <c r="B847" s="2">
        <v>0.57277777777777783</v>
      </c>
      <c r="C847">
        <v>1845</v>
      </c>
      <c r="D847">
        <v>13002561</v>
      </c>
      <c r="E847">
        <v>13</v>
      </c>
      <c r="F847">
        <v>22589</v>
      </c>
      <c r="G847" t="s">
        <v>23</v>
      </c>
      <c r="H847">
        <v>15</v>
      </c>
      <c r="I847">
        <v>24535</v>
      </c>
      <c r="J847" t="s">
        <v>54</v>
      </c>
      <c r="K847" t="s">
        <v>45</v>
      </c>
      <c r="L847" t="s">
        <v>29</v>
      </c>
      <c r="M847">
        <v>3</v>
      </c>
      <c r="N847">
        <v>177.52</v>
      </c>
      <c r="O847">
        <v>233.4</v>
      </c>
      <c r="P847">
        <v>0</v>
      </c>
      <c r="Q847">
        <v>0</v>
      </c>
      <c r="S847">
        <v>29</v>
      </c>
      <c r="T847">
        <v>1</v>
      </c>
      <c r="U847">
        <v>1</v>
      </c>
      <c r="V847">
        <v>233.4</v>
      </c>
      <c r="W847">
        <v>13130000845</v>
      </c>
    </row>
    <row r="848" spans="1:23" x14ac:dyDescent="0.2">
      <c r="A848" s="1">
        <v>44792</v>
      </c>
      <c r="B848" s="2">
        <v>0.83415509259259257</v>
      </c>
      <c r="C848">
        <v>1846</v>
      </c>
      <c r="D848">
        <v>13002561</v>
      </c>
      <c r="E848">
        <v>13</v>
      </c>
      <c r="F848">
        <v>22589</v>
      </c>
      <c r="G848" t="s">
        <v>23</v>
      </c>
      <c r="H848">
        <v>15</v>
      </c>
      <c r="I848">
        <v>32347</v>
      </c>
      <c r="J848" t="s">
        <v>110</v>
      </c>
      <c r="K848" t="s">
        <v>44</v>
      </c>
      <c r="L848" t="s">
        <v>47</v>
      </c>
      <c r="M848">
        <v>3</v>
      </c>
      <c r="N848">
        <v>490.78</v>
      </c>
      <c r="O848">
        <v>681.02</v>
      </c>
      <c r="P848">
        <v>68.099999999999994</v>
      </c>
      <c r="Q848">
        <v>68.099999999999994</v>
      </c>
      <c r="R848" t="s">
        <v>30</v>
      </c>
      <c r="S848">
        <v>29</v>
      </c>
      <c r="T848">
        <v>1</v>
      </c>
      <c r="U848">
        <v>1</v>
      </c>
      <c r="V848">
        <v>612.91999999999996</v>
      </c>
      <c r="W848">
        <v>13130000846</v>
      </c>
    </row>
    <row r="849" spans="1:23" x14ac:dyDescent="0.2">
      <c r="A849" s="1">
        <v>44775</v>
      </c>
      <c r="B849" s="2">
        <v>0.65625</v>
      </c>
      <c r="C849">
        <v>1847</v>
      </c>
      <c r="D849">
        <v>13002561</v>
      </c>
      <c r="E849">
        <v>13</v>
      </c>
      <c r="F849">
        <v>22589</v>
      </c>
      <c r="G849" t="s">
        <v>23</v>
      </c>
      <c r="H849">
        <v>18</v>
      </c>
      <c r="I849">
        <v>87625</v>
      </c>
      <c r="J849" t="s">
        <v>24</v>
      </c>
      <c r="K849" t="s">
        <v>45</v>
      </c>
      <c r="L849" t="s">
        <v>34</v>
      </c>
      <c r="M849">
        <v>2</v>
      </c>
      <c r="N849">
        <v>189.66</v>
      </c>
      <c r="O849">
        <v>261.31</v>
      </c>
      <c r="P849">
        <v>0</v>
      </c>
      <c r="Q849">
        <v>0</v>
      </c>
      <c r="S849">
        <v>29</v>
      </c>
      <c r="T849">
        <v>1</v>
      </c>
      <c r="U849">
        <v>5</v>
      </c>
      <c r="V849">
        <v>261.31</v>
      </c>
      <c r="W849">
        <v>13130000847</v>
      </c>
    </row>
    <row r="850" spans="1:23" x14ac:dyDescent="0.2">
      <c r="A850" s="1">
        <v>44775</v>
      </c>
      <c r="B850" s="2">
        <v>0.54065972222222225</v>
      </c>
      <c r="C850">
        <v>1848</v>
      </c>
      <c r="D850">
        <v>13002561</v>
      </c>
      <c r="E850">
        <v>13</v>
      </c>
      <c r="F850">
        <v>22589</v>
      </c>
      <c r="G850" t="s">
        <v>23</v>
      </c>
      <c r="H850">
        <v>18</v>
      </c>
      <c r="I850">
        <v>92359</v>
      </c>
      <c r="J850" t="s">
        <v>117</v>
      </c>
      <c r="K850" t="s">
        <v>38</v>
      </c>
      <c r="L850" t="s">
        <v>51</v>
      </c>
      <c r="M850">
        <v>1</v>
      </c>
      <c r="N850">
        <v>46.7</v>
      </c>
      <c r="O850">
        <v>62.98</v>
      </c>
      <c r="P850">
        <v>3.15</v>
      </c>
      <c r="Q850">
        <v>3.15</v>
      </c>
      <c r="R850" t="s">
        <v>30</v>
      </c>
      <c r="S850">
        <v>29</v>
      </c>
      <c r="T850">
        <v>1</v>
      </c>
      <c r="U850">
        <v>3</v>
      </c>
      <c r="V850">
        <v>59.83</v>
      </c>
      <c r="W850">
        <v>13130000848</v>
      </c>
    </row>
    <row r="851" spans="1:23" x14ac:dyDescent="0.2">
      <c r="A851" s="1">
        <v>44792</v>
      </c>
      <c r="B851" s="2">
        <v>0.87197916666666664</v>
      </c>
      <c r="C851">
        <v>1849</v>
      </c>
      <c r="D851">
        <v>13002561</v>
      </c>
      <c r="E851">
        <v>13</v>
      </c>
      <c r="F851">
        <v>22589</v>
      </c>
      <c r="G851" t="s">
        <v>23</v>
      </c>
      <c r="H851">
        <v>18</v>
      </c>
      <c r="I851">
        <v>38793</v>
      </c>
      <c r="J851" t="s">
        <v>122</v>
      </c>
      <c r="K851" t="s">
        <v>28</v>
      </c>
      <c r="L851" t="s">
        <v>26</v>
      </c>
      <c r="M851">
        <v>1</v>
      </c>
      <c r="N851">
        <v>58.51</v>
      </c>
      <c r="O851">
        <v>93.09</v>
      </c>
      <c r="P851">
        <v>4.6500000000000004</v>
      </c>
      <c r="Q851">
        <v>4.6500000000000004</v>
      </c>
      <c r="R851" t="s">
        <v>30</v>
      </c>
      <c r="S851">
        <v>29</v>
      </c>
      <c r="T851">
        <v>1</v>
      </c>
      <c r="U851">
        <v>1</v>
      </c>
      <c r="V851">
        <v>88.44</v>
      </c>
      <c r="W851">
        <v>13130000849</v>
      </c>
    </row>
    <row r="852" spans="1:23" x14ac:dyDescent="0.2">
      <c r="A852" s="1">
        <v>44799</v>
      </c>
      <c r="B852" s="2">
        <v>0.49475694444444451</v>
      </c>
      <c r="C852">
        <v>1850</v>
      </c>
      <c r="D852">
        <v>13002561</v>
      </c>
      <c r="E852">
        <v>13</v>
      </c>
      <c r="F852">
        <v>22589</v>
      </c>
      <c r="G852" t="s">
        <v>23</v>
      </c>
      <c r="H852">
        <v>15</v>
      </c>
      <c r="I852">
        <v>14482</v>
      </c>
      <c r="J852" t="s">
        <v>105</v>
      </c>
      <c r="K852" t="s">
        <v>45</v>
      </c>
      <c r="L852" t="s">
        <v>36</v>
      </c>
      <c r="M852">
        <v>3</v>
      </c>
      <c r="N852">
        <v>49.61</v>
      </c>
      <c r="O852">
        <v>81.61</v>
      </c>
      <c r="P852">
        <v>0</v>
      </c>
      <c r="Q852">
        <v>0</v>
      </c>
      <c r="S852">
        <v>29</v>
      </c>
      <c r="T852">
        <v>1</v>
      </c>
      <c r="U852">
        <v>5</v>
      </c>
      <c r="V852">
        <v>81.61</v>
      </c>
      <c r="W852">
        <v>13130000850</v>
      </c>
    </row>
    <row r="853" spans="1:23" x14ac:dyDescent="0.2">
      <c r="A853" s="1">
        <v>44782</v>
      </c>
      <c r="B853" s="2">
        <v>0.76394675925925926</v>
      </c>
      <c r="C853">
        <v>1851</v>
      </c>
      <c r="D853">
        <v>13002561</v>
      </c>
      <c r="E853">
        <v>13</v>
      </c>
      <c r="F853">
        <v>22589</v>
      </c>
      <c r="G853" t="s">
        <v>23</v>
      </c>
      <c r="H853">
        <v>15</v>
      </c>
      <c r="I853">
        <v>19249</v>
      </c>
      <c r="J853" t="s">
        <v>112</v>
      </c>
      <c r="K853" t="s">
        <v>28</v>
      </c>
      <c r="L853" t="s">
        <v>36</v>
      </c>
      <c r="M853">
        <v>3</v>
      </c>
      <c r="N853">
        <v>597.54999999999995</v>
      </c>
      <c r="O853">
        <v>997.78</v>
      </c>
      <c r="P853">
        <v>0</v>
      </c>
      <c r="Q853">
        <v>0</v>
      </c>
      <c r="S853">
        <v>29</v>
      </c>
      <c r="T853">
        <v>1</v>
      </c>
      <c r="U853">
        <v>5</v>
      </c>
      <c r="V853">
        <v>997.78</v>
      </c>
      <c r="W853">
        <v>13130000851</v>
      </c>
    </row>
    <row r="854" spans="1:23" x14ac:dyDescent="0.2">
      <c r="A854" s="1">
        <v>44791</v>
      </c>
      <c r="B854" s="2">
        <v>0.47606481481481477</v>
      </c>
      <c r="C854">
        <v>1852</v>
      </c>
      <c r="D854">
        <v>13002561</v>
      </c>
      <c r="E854">
        <v>13</v>
      </c>
      <c r="F854">
        <v>22589</v>
      </c>
      <c r="G854" t="s">
        <v>23</v>
      </c>
      <c r="H854">
        <v>18</v>
      </c>
      <c r="I854">
        <v>13946</v>
      </c>
      <c r="J854" t="s">
        <v>85</v>
      </c>
      <c r="K854" t="s">
        <v>44</v>
      </c>
      <c r="L854" t="s">
        <v>36</v>
      </c>
      <c r="M854">
        <v>1</v>
      </c>
      <c r="N854">
        <v>5.44</v>
      </c>
      <c r="O854">
        <v>6.81</v>
      </c>
      <c r="P854">
        <v>0.34</v>
      </c>
      <c r="Q854">
        <v>0.34</v>
      </c>
      <c r="R854" t="s">
        <v>30</v>
      </c>
      <c r="S854">
        <v>29</v>
      </c>
      <c r="T854">
        <v>1</v>
      </c>
      <c r="U854">
        <v>2</v>
      </c>
      <c r="V854">
        <v>6.47</v>
      </c>
      <c r="W854">
        <v>13130000852</v>
      </c>
    </row>
    <row r="855" spans="1:23" x14ac:dyDescent="0.2">
      <c r="A855" s="1">
        <v>44801</v>
      </c>
      <c r="B855" s="2">
        <v>0.70627314814814812</v>
      </c>
      <c r="C855">
        <v>1853</v>
      </c>
      <c r="D855">
        <v>13002561</v>
      </c>
      <c r="E855">
        <v>13</v>
      </c>
      <c r="F855">
        <v>22589</v>
      </c>
      <c r="G855" t="s">
        <v>23</v>
      </c>
      <c r="H855">
        <v>15</v>
      </c>
      <c r="I855">
        <v>62386</v>
      </c>
      <c r="J855" t="s">
        <v>63</v>
      </c>
      <c r="K855" t="s">
        <v>28</v>
      </c>
      <c r="L855" t="s">
        <v>47</v>
      </c>
      <c r="M855">
        <v>1</v>
      </c>
      <c r="N855">
        <v>422.61</v>
      </c>
      <c r="O855">
        <v>707.48</v>
      </c>
      <c r="P855">
        <v>0</v>
      </c>
      <c r="Q855">
        <v>0</v>
      </c>
      <c r="S855">
        <v>29</v>
      </c>
      <c r="T855">
        <v>1</v>
      </c>
      <c r="U855">
        <v>2</v>
      </c>
      <c r="V855">
        <v>707.48</v>
      </c>
      <c r="W855">
        <v>13130000853</v>
      </c>
    </row>
    <row r="856" spans="1:23" x14ac:dyDescent="0.2">
      <c r="A856" s="1">
        <v>44792</v>
      </c>
      <c r="B856" s="2">
        <v>0.52064814814814819</v>
      </c>
      <c r="C856">
        <v>1854</v>
      </c>
      <c r="D856">
        <v>13002561</v>
      </c>
      <c r="E856">
        <v>13</v>
      </c>
      <c r="F856">
        <v>22589</v>
      </c>
      <c r="G856" t="s">
        <v>23</v>
      </c>
      <c r="H856">
        <v>15</v>
      </c>
      <c r="I856">
        <v>44455</v>
      </c>
      <c r="J856" t="s">
        <v>116</v>
      </c>
      <c r="K856" t="s">
        <v>45</v>
      </c>
      <c r="L856" t="s">
        <v>36</v>
      </c>
      <c r="M856">
        <v>1</v>
      </c>
      <c r="N856">
        <v>575.67999999999995</v>
      </c>
      <c r="O856">
        <v>755.59</v>
      </c>
      <c r="P856">
        <v>75.56</v>
      </c>
      <c r="Q856">
        <v>75.56</v>
      </c>
      <c r="R856" t="s">
        <v>30</v>
      </c>
      <c r="S856">
        <v>29</v>
      </c>
      <c r="T856">
        <v>1</v>
      </c>
      <c r="U856">
        <v>5</v>
      </c>
      <c r="V856">
        <v>680.03</v>
      </c>
      <c r="W856">
        <v>13130000854</v>
      </c>
    </row>
    <row r="857" spans="1:23" x14ac:dyDescent="0.2">
      <c r="A857" s="1">
        <v>44775</v>
      </c>
      <c r="B857" s="2">
        <v>0.43012731481481481</v>
      </c>
      <c r="C857">
        <v>1855</v>
      </c>
      <c r="D857">
        <v>13002561</v>
      </c>
      <c r="E857">
        <v>13</v>
      </c>
      <c r="F857">
        <v>22589</v>
      </c>
      <c r="G857" t="s">
        <v>23</v>
      </c>
      <c r="H857">
        <v>15</v>
      </c>
      <c r="I857">
        <v>58357</v>
      </c>
      <c r="J857" t="s">
        <v>55</v>
      </c>
      <c r="K857" t="s">
        <v>45</v>
      </c>
      <c r="L857" t="s">
        <v>32</v>
      </c>
      <c r="M857">
        <v>2</v>
      </c>
      <c r="N857">
        <v>576.54999999999995</v>
      </c>
      <c r="O857">
        <v>937.12</v>
      </c>
      <c r="P857">
        <v>0</v>
      </c>
      <c r="Q857">
        <v>0</v>
      </c>
      <c r="S857">
        <v>29</v>
      </c>
      <c r="T857">
        <v>1</v>
      </c>
      <c r="U857">
        <v>1</v>
      </c>
      <c r="V857">
        <v>937.12</v>
      </c>
      <c r="W857">
        <v>13130000855</v>
      </c>
    </row>
    <row r="858" spans="1:23" x14ac:dyDescent="0.2">
      <c r="A858" s="1">
        <v>44798</v>
      </c>
      <c r="B858" s="2">
        <v>0.80384259259259261</v>
      </c>
      <c r="C858">
        <v>1856</v>
      </c>
      <c r="D858">
        <v>13002561</v>
      </c>
      <c r="E858">
        <v>13</v>
      </c>
      <c r="F858">
        <v>22589</v>
      </c>
      <c r="G858" t="s">
        <v>23</v>
      </c>
      <c r="H858">
        <v>18</v>
      </c>
      <c r="I858">
        <v>86539</v>
      </c>
      <c r="J858" t="s">
        <v>125</v>
      </c>
      <c r="K858" t="s">
        <v>60</v>
      </c>
      <c r="L858" t="s">
        <v>32</v>
      </c>
      <c r="M858">
        <v>3</v>
      </c>
      <c r="N858">
        <v>56.68</v>
      </c>
      <c r="O858">
        <v>95.2</v>
      </c>
      <c r="P858">
        <v>9.52</v>
      </c>
      <c r="Q858">
        <v>9.52</v>
      </c>
      <c r="R858" t="s">
        <v>30</v>
      </c>
      <c r="S858">
        <v>29</v>
      </c>
      <c r="T858">
        <v>1</v>
      </c>
      <c r="U858">
        <v>2</v>
      </c>
      <c r="V858">
        <v>85.68</v>
      </c>
      <c r="W858">
        <v>13130000856</v>
      </c>
    </row>
    <row r="859" spans="1:23" x14ac:dyDescent="0.2">
      <c r="A859" s="1">
        <v>44774</v>
      </c>
      <c r="B859" s="2">
        <v>0.72329861111111116</v>
      </c>
      <c r="C859">
        <v>1857</v>
      </c>
      <c r="D859">
        <v>13002561</v>
      </c>
      <c r="E859">
        <v>13</v>
      </c>
      <c r="F859">
        <v>22589</v>
      </c>
      <c r="G859" t="s">
        <v>23</v>
      </c>
      <c r="H859">
        <v>18</v>
      </c>
      <c r="I859">
        <v>63827</v>
      </c>
      <c r="J859" t="s">
        <v>117</v>
      </c>
      <c r="K859" t="s">
        <v>38</v>
      </c>
      <c r="L859" t="s">
        <v>36</v>
      </c>
      <c r="M859">
        <v>3</v>
      </c>
      <c r="N859">
        <v>324.27999999999997</v>
      </c>
      <c r="O859">
        <v>482.86</v>
      </c>
      <c r="P859">
        <v>0</v>
      </c>
      <c r="Q859">
        <v>0</v>
      </c>
      <c r="S859">
        <v>29</v>
      </c>
      <c r="T859">
        <v>1</v>
      </c>
      <c r="U859">
        <v>1</v>
      </c>
      <c r="V859">
        <v>482.86</v>
      </c>
      <c r="W859">
        <v>13130000857</v>
      </c>
    </row>
    <row r="860" spans="1:23" x14ac:dyDescent="0.2">
      <c r="A860" s="1">
        <v>44800</v>
      </c>
      <c r="B860" s="2">
        <v>0.71231481481481485</v>
      </c>
      <c r="C860">
        <v>1858</v>
      </c>
      <c r="D860">
        <v>13002561</v>
      </c>
      <c r="E860">
        <v>13</v>
      </c>
      <c r="F860">
        <v>22589</v>
      </c>
      <c r="G860" t="s">
        <v>23</v>
      </c>
      <c r="H860">
        <v>15</v>
      </c>
      <c r="I860">
        <v>99662</v>
      </c>
      <c r="J860" t="s">
        <v>128</v>
      </c>
      <c r="K860" t="s">
        <v>38</v>
      </c>
      <c r="L860" t="s">
        <v>51</v>
      </c>
      <c r="M860">
        <v>3</v>
      </c>
      <c r="N860">
        <v>534.14</v>
      </c>
      <c r="O860">
        <v>822.88</v>
      </c>
      <c r="P860">
        <v>82.29</v>
      </c>
      <c r="Q860">
        <v>82.29</v>
      </c>
      <c r="R860" t="s">
        <v>30</v>
      </c>
      <c r="S860">
        <v>29</v>
      </c>
      <c r="T860">
        <v>1</v>
      </c>
      <c r="U860">
        <v>3</v>
      </c>
      <c r="V860">
        <v>740.59</v>
      </c>
      <c r="W860">
        <v>13130000858</v>
      </c>
    </row>
    <row r="861" spans="1:23" x14ac:dyDescent="0.2">
      <c r="A861" s="1">
        <v>44789</v>
      </c>
      <c r="B861" s="2">
        <v>0.6412268518518518</v>
      </c>
      <c r="C861">
        <v>1859</v>
      </c>
      <c r="D861">
        <v>13002561</v>
      </c>
      <c r="E861">
        <v>13</v>
      </c>
      <c r="F861">
        <v>22589</v>
      </c>
      <c r="G861" t="s">
        <v>23</v>
      </c>
      <c r="H861">
        <v>15</v>
      </c>
      <c r="I861">
        <v>84779</v>
      </c>
      <c r="J861" t="s">
        <v>43</v>
      </c>
      <c r="K861" t="s">
        <v>25</v>
      </c>
      <c r="L861" t="s">
        <v>34</v>
      </c>
      <c r="M861">
        <v>1</v>
      </c>
      <c r="N861">
        <v>463.91</v>
      </c>
      <c r="O861">
        <v>642.67999999999995</v>
      </c>
      <c r="P861">
        <v>64.27</v>
      </c>
      <c r="Q861">
        <v>64.27</v>
      </c>
      <c r="R861" t="s">
        <v>30</v>
      </c>
      <c r="S861">
        <v>29</v>
      </c>
      <c r="T861">
        <v>1</v>
      </c>
      <c r="U861">
        <v>4</v>
      </c>
      <c r="V861">
        <v>578.41</v>
      </c>
      <c r="W861">
        <v>13130000859</v>
      </c>
    </row>
    <row r="862" spans="1:23" x14ac:dyDescent="0.2">
      <c r="A862" s="1">
        <v>44787</v>
      </c>
      <c r="B862" s="2">
        <v>0.43920138888888888</v>
      </c>
      <c r="C862">
        <v>1860</v>
      </c>
      <c r="D862">
        <v>13002561</v>
      </c>
      <c r="E862">
        <v>13</v>
      </c>
      <c r="F862">
        <v>22589</v>
      </c>
      <c r="G862" t="s">
        <v>23</v>
      </c>
      <c r="H862">
        <v>15</v>
      </c>
      <c r="I862">
        <v>20154</v>
      </c>
      <c r="J862" t="s">
        <v>93</v>
      </c>
      <c r="K862" t="s">
        <v>45</v>
      </c>
      <c r="L862" t="s">
        <v>29</v>
      </c>
      <c r="M862">
        <v>1</v>
      </c>
      <c r="N862">
        <v>32.090000000000003</v>
      </c>
      <c r="O862">
        <v>44.36</v>
      </c>
      <c r="P862">
        <v>2.2200000000000002</v>
      </c>
      <c r="Q862">
        <v>2.2200000000000002</v>
      </c>
      <c r="R862" t="s">
        <v>30</v>
      </c>
      <c r="S862">
        <v>29</v>
      </c>
      <c r="T862">
        <v>1</v>
      </c>
      <c r="U862">
        <v>6</v>
      </c>
      <c r="V862">
        <v>42.14</v>
      </c>
      <c r="W862">
        <v>13130000860</v>
      </c>
    </row>
    <row r="863" spans="1:23" x14ac:dyDescent="0.2">
      <c r="A863" s="1">
        <v>44799</v>
      </c>
      <c r="B863" s="2">
        <v>0.57873842592592595</v>
      </c>
      <c r="C863">
        <v>1861</v>
      </c>
      <c r="D863">
        <v>13002561</v>
      </c>
      <c r="E863">
        <v>13</v>
      </c>
      <c r="F863">
        <v>22589</v>
      </c>
      <c r="G863" t="s">
        <v>23</v>
      </c>
      <c r="H863">
        <v>18</v>
      </c>
      <c r="I863">
        <v>69288</v>
      </c>
      <c r="J863" t="s">
        <v>71</v>
      </c>
      <c r="K863" t="s">
        <v>60</v>
      </c>
      <c r="L863" t="s">
        <v>29</v>
      </c>
      <c r="M863">
        <v>2</v>
      </c>
      <c r="N863">
        <v>207.92</v>
      </c>
      <c r="O863">
        <v>281.73</v>
      </c>
      <c r="P863">
        <v>28.17</v>
      </c>
      <c r="Q863">
        <v>28.17</v>
      </c>
      <c r="R863" t="s">
        <v>30</v>
      </c>
      <c r="S863">
        <v>29</v>
      </c>
      <c r="T863">
        <v>1</v>
      </c>
      <c r="U863">
        <v>2</v>
      </c>
      <c r="V863">
        <v>253.56</v>
      </c>
      <c r="W863">
        <v>13130000861</v>
      </c>
    </row>
    <row r="864" spans="1:23" x14ac:dyDescent="0.2">
      <c r="A864" s="1">
        <v>44779</v>
      </c>
      <c r="B864" s="2">
        <v>0.8674074074074074</v>
      </c>
      <c r="C864">
        <v>1862</v>
      </c>
      <c r="D864">
        <v>13002561</v>
      </c>
      <c r="E864">
        <v>13</v>
      </c>
      <c r="F864">
        <v>22589</v>
      </c>
      <c r="G864" t="s">
        <v>23</v>
      </c>
      <c r="H864">
        <v>18</v>
      </c>
      <c r="I864">
        <v>92686</v>
      </c>
      <c r="J864" t="s">
        <v>74</v>
      </c>
      <c r="K864" t="s">
        <v>60</v>
      </c>
      <c r="L864" t="s">
        <v>51</v>
      </c>
      <c r="M864">
        <v>3</v>
      </c>
      <c r="N864">
        <v>37.94</v>
      </c>
      <c r="O864">
        <v>62.16</v>
      </c>
      <c r="P864">
        <v>6.22</v>
      </c>
      <c r="Q864">
        <v>6.22</v>
      </c>
      <c r="R864" t="s">
        <v>30</v>
      </c>
      <c r="S864">
        <v>29</v>
      </c>
      <c r="T864">
        <v>1</v>
      </c>
      <c r="U864">
        <v>5</v>
      </c>
      <c r="V864">
        <v>55.94</v>
      </c>
      <c r="W864">
        <v>13130000862</v>
      </c>
    </row>
    <row r="865" spans="1:23" x14ac:dyDescent="0.2">
      <c r="A865" s="1">
        <v>44785</v>
      </c>
      <c r="B865" s="2">
        <v>0.84317129629629628</v>
      </c>
      <c r="C865">
        <v>1863</v>
      </c>
      <c r="D865">
        <v>13002561</v>
      </c>
      <c r="E865">
        <v>13</v>
      </c>
      <c r="F865">
        <v>22589</v>
      </c>
      <c r="G865" t="s">
        <v>23</v>
      </c>
      <c r="H865">
        <v>15</v>
      </c>
      <c r="I865">
        <v>92484</v>
      </c>
      <c r="J865" t="s">
        <v>83</v>
      </c>
      <c r="K865" t="s">
        <v>38</v>
      </c>
      <c r="L865" t="s">
        <v>47</v>
      </c>
      <c r="M865">
        <v>3</v>
      </c>
      <c r="N865">
        <v>348.4</v>
      </c>
      <c r="O865">
        <v>583.13</v>
      </c>
      <c r="P865">
        <v>0</v>
      </c>
      <c r="Q865">
        <v>0</v>
      </c>
      <c r="S865">
        <v>29</v>
      </c>
      <c r="T865">
        <v>1</v>
      </c>
      <c r="U865">
        <v>1</v>
      </c>
      <c r="V865">
        <v>583.13</v>
      </c>
      <c r="W865">
        <v>13130000863</v>
      </c>
    </row>
    <row r="866" spans="1:23" x14ac:dyDescent="0.2">
      <c r="A866" s="1">
        <v>44803</v>
      </c>
      <c r="B866" s="2">
        <v>0.93864583333333329</v>
      </c>
      <c r="C866">
        <v>1864</v>
      </c>
      <c r="D866">
        <v>13002561</v>
      </c>
      <c r="E866">
        <v>13</v>
      </c>
      <c r="F866">
        <v>22589</v>
      </c>
      <c r="G866" t="s">
        <v>23</v>
      </c>
      <c r="H866">
        <v>18</v>
      </c>
      <c r="I866">
        <v>71342</v>
      </c>
      <c r="J866" t="s">
        <v>76</v>
      </c>
      <c r="K866" t="s">
        <v>45</v>
      </c>
      <c r="L866" t="s">
        <v>34</v>
      </c>
      <c r="M866">
        <v>3</v>
      </c>
      <c r="N866">
        <v>354.3</v>
      </c>
      <c r="O866">
        <v>478.27</v>
      </c>
      <c r="P866">
        <v>47.83</v>
      </c>
      <c r="Q866">
        <v>47.83</v>
      </c>
      <c r="R866" t="s">
        <v>30</v>
      </c>
      <c r="S866">
        <v>29</v>
      </c>
      <c r="T866">
        <v>1</v>
      </c>
      <c r="U866">
        <v>3</v>
      </c>
      <c r="V866">
        <v>430.44</v>
      </c>
      <c r="W866">
        <v>13130000864</v>
      </c>
    </row>
    <row r="867" spans="1:23" x14ac:dyDescent="0.2">
      <c r="A867" s="1">
        <v>44789</v>
      </c>
      <c r="B867" s="2">
        <v>0.76429398148148153</v>
      </c>
      <c r="C867">
        <v>1865</v>
      </c>
      <c r="D867">
        <v>13002561</v>
      </c>
      <c r="E867">
        <v>13</v>
      </c>
      <c r="F867">
        <v>22589</v>
      </c>
      <c r="G867" t="s">
        <v>23</v>
      </c>
      <c r="H867">
        <v>18</v>
      </c>
      <c r="I867">
        <v>81033</v>
      </c>
      <c r="J867" t="s">
        <v>56</v>
      </c>
      <c r="K867" t="s">
        <v>25</v>
      </c>
      <c r="L867" t="s">
        <v>34</v>
      </c>
      <c r="M867">
        <v>1</v>
      </c>
      <c r="N867">
        <v>68.819999999999993</v>
      </c>
      <c r="O867">
        <v>112.92</v>
      </c>
      <c r="P867">
        <v>5.65</v>
      </c>
      <c r="Q867">
        <v>5.65</v>
      </c>
      <c r="R867" t="s">
        <v>30</v>
      </c>
      <c r="S867">
        <v>29</v>
      </c>
      <c r="T867">
        <v>1</v>
      </c>
      <c r="U867">
        <v>2</v>
      </c>
      <c r="V867">
        <v>107.27</v>
      </c>
      <c r="W867">
        <v>13130000865</v>
      </c>
    </row>
    <row r="868" spans="1:23" x14ac:dyDescent="0.2">
      <c r="A868" s="1">
        <v>44802</v>
      </c>
      <c r="B868" s="2">
        <v>0.64712962962962961</v>
      </c>
      <c r="C868">
        <v>1866</v>
      </c>
      <c r="D868">
        <v>13002561</v>
      </c>
      <c r="E868">
        <v>13</v>
      </c>
      <c r="F868">
        <v>22589</v>
      </c>
      <c r="G868" t="s">
        <v>23</v>
      </c>
      <c r="H868">
        <v>18</v>
      </c>
      <c r="I868">
        <v>22464</v>
      </c>
      <c r="J868" t="s">
        <v>27</v>
      </c>
      <c r="K868" t="s">
        <v>25</v>
      </c>
      <c r="L868" t="s">
        <v>29</v>
      </c>
      <c r="M868">
        <v>3</v>
      </c>
      <c r="N868">
        <v>129.88999999999999</v>
      </c>
      <c r="O868">
        <v>165.08</v>
      </c>
      <c r="P868">
        <v>0</v>
      </c>
      <c r="Q868">
        <v>0</v>
      </c>
      <c r="S868">
        <v>29</v>
      </c>
      <c r="T868">
        <v>1</v>
      </c>
      <c r="U868">
        <v>6</v>
      </c>
      <c r="V868">
        <v>165.08</v>
      </c>
      <c r="W868">
        <v>13130000866</v>
      </c>
    </row>
    <row r="869" spans="1:23" x14ac:dyDescent="0.2">
      <c r="A869" s="1">
        <v>44776</v>
      </c>
      <c r="B869" s="2">
        <v>0.75322916666666662</v>
      </c>
      <c r="C869">
        <v>1867</v>
      </c>
      <c r="D869">
        <v>13002561</v>
      </c>
      <c r="E869">
        <v>13</v>
      </c>
      <c r="F869">
        <v>22589</v>
      </c>
      <c r="G869" t="s">
        <v>23</v>
      </c>
      <c r="H869">
        <v>15</v>
      </c>
      <c r="I869">
        <v>68150</v>
      </c>
      <c r="J869" t="s">
        <v>31</v>
      </c>
      <c r="K869" t="s">
        <v>45</v>
      </c>
      <c r="L869" t="s">
        <v>34</v>
      </c>
      <c r="M869">
        <v>1</v>
      </c>
      <c r="N869">
        <v>397.59</v>
      </c>
      <c r="O869">
        <v>625.70000000000005</v>
      </c>
      <c r="P869">
        <v>0</v>
      </c>
      <c r="Q869">
        <v>0</v>
      </c>
      <c r="S869">
        <v>29</v>
      </c>
      <c r="T869">
        <v>1</v>
      </c>
      <c r="U869">
        <v>1</v>
      </c>
      <c r="V869">
        <v>625.70000000000005</v>
      </c>
      <c r="W869">
        <v>13130000867</v>
      </c>
    </row>
    <row r="870" spans="1:23" x14ac:dyDescent="0.2">
      <c r="A870" s="1">
        <v>44781</v>
      </c>
      <c r="B870" s="2">
        <v>0.88437500000000002</v>
      </c>
      <c r="C870">
        <v>1868</v>
      </c>
      <c r="D870">
        <v>13002561</v>
      </c>
      <c r="E870">
        <v>13</v>
      </c>
      <c r="F870">
        <v>22589</v>
      </c>
      <c r="G870" t="s">
        <v>23</v>
      </c>
      <c r="H870">
        <v>15</v>
      </c>
      <c r="I870">
        <v>48182</v>
      </c>
      <c r="J870" t="s">
        <v>94</v>
      </c>
      <c r="K870" t="s">
        <v>44</v>
      </c>
      <c r="L870" t="s">
        <v>26</v>
      </c>
      <c r="M870">
        <v>1</v>
      </c>
      <c r="N870">
        <v>57.25</v>
      </c>
      <c r="O870">
        <v>95.67</v>
      </c>
      <c r="P870">
        <v>0</v>
      </c>
      <c r="Q870">
        <v>0</v>
      </c>
      <c r="S870">
        <v>29</v>
      </c>
      <c r="T870">
        <v>1</v>
      </c>
      <c r="U870">
        <v>6</v>
      </c>
      <c r="V870">
        <v>95.67</v>
      </c>
      <c r="W870">
        <v>13130000868</v>
      </c>
    </row>
    <row r="871" spans="1:23" x14ac:dyDescent="0.2">
      <c r="A871" s="1">
        <v>44796</v>
      </c>
      <c r="B871" s="2">
        <v>0.78953703703703704</v>
      </c>
      <c r="C871">
        <v>1869</v>
      </c>
      <c r="D871">
        <v>13002561</v>
      </c>
      <c r="E871">
        <v>13</v>
      </c>
      <c r="F871">
        <v>22589</v>
      </c>
      <c r="G871" t="s">
        <v>23</v>
      </c>
      <c r="H871">
        <v>15</v>
      </c>
      <c r="I871">
        <v>34450</v>
      </c>
      <c r="J871" t="s">
        <v>96</v>
      </c>
      <c r="K871" t="s">
        <v>45</v>
      </c>
      <c r="L871" t="s">
        <v>47</v>
      </c>
      <c r="M871">
        <v>2</v>
      </c>
      <c r="N871">
        <v>591.57000000000005</v>
      </c>
      <c r="O871">
        <v>809.45</v>
      </c>
      <c r="P871">
        <v>80.95</v>
      </c>
      <c r="Q871">
        <v>80.95</v>
      </c>
      <c r="R871" t="s">
        <v>30</v>
      </c>
      <c r="S871">
        <v>29</v>
      </c>
      <c r="T871">
        <v>1</v>
      </c>
      <c r="U871">
        <v>6</v>
      </c>
      <c r="V871">
        <v>728.5</v>
      </c>
      <c r="W871">
        <v>13130000869</v>
      </c>
    </row>
    <row r="872" spans="1:23" x14ac:dyDescent="0.2">
      <c r="A872" s="1">
        <v>44785</v>
      </c>
      <c r="B872" s="2">
        <v>0.47943287037037041</v>
      </c>
      <c r="C872">
        <v>1870</v>
      </c>
      <c r="D872">
        <v>13002561</v>
      </c>
      <c r="E872">
        <v>13</v>
      </c>
      <c r="F872">
        <v>22589</v>
      </c>
      <c r="G872" t="s">
        <v>23</v>
      </c>
      <c r="H872">
        <v>15</v>
      </c>
      <c r="I872">
        <v>62435</v>
      </c>
      <c r="J872" t="s">
        <v>50</v>
      </c>
      <c r="K872" t="s">
        <v>28</v>
      </c>
      <c r="L872" t="s">
        <v>26</v>
      </c>
      <c r="M872">
        <v>2</v>
      </c>
      <c r="N872">
        <v>37.299999999999997</v>
      </c>
      <c r="O872">
        <v>51.79</v>
      </c>
      <c r="P872">
        <v>5.18</v>
      </c>
      <c r="Q872">
        <v>5.18</v>
      </c>
      <c r="R872" t="s">
        <v>30</v>
      </c>
      <c r="S872">
        <v>29</v>
      </c>
      <c r="T872">
        <v>1</v>
      </c>
      <c r="U872">
        <v>3</v>
      </c>
      <c r="V872">
        <v>46.61</v>
      </c>
      <c r="W872">
        <v>13130000870</v>
      </c>
    </row>
    <row r="873" spans="1:23" x14ac:dyDescent="0.2">
      <c r="A873" s="1">
        <v>44796</v>
      </c>
      <c r="B873" s="2">
        <v>0.37229166666666669</v>
      </c>
      <c r="C873">
        <v>1871</v>
      </c>
      <c r="D873">
        <v>13002561</v>
      </c>
      <c r="E873">
        <v>13</v>
      </c>
      <c r="F873">
        <v>22589</v>
      </c>
      <c r="G873" t="s">
        <v>23</v>
      </c>
      <c r="H873">
        <v>15</v>
      </c>
      <c r="I873">
        <v>38797</v>
      </c>
      <c r="J873" t="s">
        <v>119</v>
      </c>
      <c r="K873" t="s">
        <v>45</v>
      </c>
      <c r="L873" t="s">
        <v>36</v>
      </c>
      <c r="M873">
        <v>2</v>
      </c>
      <c r="N873">
        <v>517.63</v>
      </c>
      <c r="O873">
        <v>655.71</v>
      </c>
      <c r="P873">
        <v>32.79</v>
      </c>
      <c r="Q873">
        <v>32.79</v>
      </c>
      <c r="R873" t="s">
        <v>30</v>
      </c>
      <c r="S873">
        <v>29</v>
      </c>
      <c r="T873">
        <v>1</v>
      </c>
      <c r="U873">
        <v>5</v>
      </c>
      <c r="V873">
        <v>622.91999999999996</v>
      </c>
      <c r="W873">
        <v>13130000871</v>
      </c>
    </row>
    <row r="874" spans="1:23" x14ac:dyDescent="0.2">
      <c r="A874" s="1">
        <v>44787</v>
      </c>
      <c r="B874" s="2">
        <v>0.35381944444444452</v>
      </c>
      <c r="C874">
        <v>1872</v>
      </c>
      <c r="D874">
        <v>13002561</v>
      </c>
      <c r="E874">
        <v>13</v>
      </c>
      <c r="F874">
        <v>22589</v>
      </c>
      <c r="G874" t="s">
        <v>23</v>
      </c>
      <c r="H874">
        <v>15</v>
      </c>
      <c r="I874">
        <v>30849</v>
      </c>
      <c r="J874" t="s">
        <v>83</v>
      </c>
      <c r="K874" t="s">
        <v>60</v>
      </c>
      <c r="L874" t="s">
        <v>26</v>
      </c>
      <c r="M874">
        <v>2</v>
      </c>
      <c r="N874">
        <v>223.15</v>
      </c>
      <c r="O874">
        <v>374.56</v>
      </c>
      <c r="P874">
        <v>18.73</v>
      </c>
      <c r="Q874">
        <v>18.73</v>
      </c>
      <c r="R874" t="s">
        <v>30</v>
      </c>
      <c r="S874">
        <v>29</v>
      </c>
      <c r="T874">
        <v>1</v>
      </c>
      <c r="U874">
        <v>2</v>
      </c>
      <c r="V874">
        <v>355.83</v>
      </c>
      <c r="W874">
        <v>13130000872</v>
      </c>
    </row>
    <row r="875" spans="1:23" x14ac:dyDescent="0.2">
      <c r="A875" s="1">
        <v>44795</v>
      </c>
      <c r="B875" s="2">
        <v>0.59857638888888887</v>
      </c>
      <c r="C875">
        <v>1873</v>
      </c>
      <c r="D875">
        <v>13002561</v>
      </c>
      <c r="E875">
        <v>13</v>
      </c>
      <c r="F875">
        <v>22589</v>
      </c>
      <c r="G875" t="s">
        <v>23</v>
      </c>
      <c r="H875">
        <v>15</v>
      </c>
      <c r="I875">
        <v>11921</v>
      </c>
      <c r="J875" t="s">
        <v>85</v>
      </c>
      <c r="K875" t="s">
        <v>25</v>
      </c>
      <c r="L875" t="s">
        <v>36</v>
      </c>
      <c r="M875">
        <v>2</v>
      </c>
      <c r="N875">
        <v>130.57</v>
      </c>
      <c r="O875">
        <v>170.24</v>
      </c>
      <c r="P875">
        <v>8.51</v>
      </c>
      <c r="Q875">
        <v>8.51</v>
      </c>
      <c r="R875" t="s">
        <v>30</v>
      </c>
      <c r="S875">
        <v>29</v>
      </c>
      <c r="T875">
        <v>1</v>
      </c>
      <c r="U875">
        <v>6</v>
      </c>
      <c r="V875">
        <v>161.72999999999999</v>
      </c>
      <c r="W875">
        <v>13130000873</v>
      </c>
    </row>
    <row r="876" spans="1:23" x14ac:dyDescent="0.2">
      <c r="A876" s="1">
        <v>44781</v>
      </c>
      <c r="B876" s="2">
        <v>0.83374999999999999</v>
      </c>
      <c r="C876">
        <v>1874</v>
      </c>
      <c r="D876">
        <v>13002561</v>
      </c>
      <c r="E876">
        <v>13</v>
      </c>
      <c r="F876">
        <v>22589</v>
      </c>
      <c r="G876" t="s">
        <v>23</v>
      </c>
      <c r="H876">
        <v>15</v>
      </c>
      <c r="I876">
        <v>53355</v>
      </c>
      <c r="J876" t="s">
        <v>97</v>
      </c>
      <c r="K876" t="s">
        <v>38</v>
      </c>
      <c r="L876" t="s">
        <v>32</v>
      </c>
      <c r="M876">
        <v>3</v>
      </c>
      <c r="N876">
        <v>342.7</v>
      </c>
      <c r="O876">
        <v>436.68</v>
      </c>
      <c r="P876">
        <v>43.67</v>
      </c>
      <c r="Q876">
        <v>43.67</v>
      </c>
      <c r="R876" t="s">
        <v>30</v>
      </c>
      <c r="S876">
        <v>29</v>
      </c>
      <c r="T876">
        <v>1</v>
      </c>
      <c r="U876">
        <v>5</v>
      </c>
      <c r="V876">
        <v>393.01</v>
      </c>
      <c r="W876">
        <v>13130000874</v>
      </c>
    </row>
    <row r="877" spans="1:23" x14ac:dyDescent="0.2">
      <c r="A877" s="1">
        <v>44796</v>
      </c>
      <c r="B877" s="2">
        <v>0.54759259259259263</v>
      </c>
      <c r="C877">
        <v>1875</v>
      </c>
      <c r="D877">
        <v>13002561</v>
      </c>
      <c r="E877">
        <v>13</v>
      </c>
      <c r="F877">
        <v>22589</v>
      </c>
      <c r="G877" t="s">
        <v>23</v>
      </c>
      <c r="H877">
        <v>15</v>
      </c>
      <c r="I877">
        <v>81951</v>
      </c>
      <c r="J877" t="s">
        <v>114</v>
      </c>
      <c r="K877" t="s">
        <v>25</v>
      </c>
      <c r="L877" t="s">
        <v>39</v>
      </c>
      <c r="M877">
        <v>1</v>
      </c>
      <c r="N877">
        <v>353.53</v>
      </c>
      <c r="O877">
        <v>558.39</v>
      </c>
      <c r="P877">
        <v>55.84</v>
      </c>
      <c r="Q877">
        <v>55.84</v>
      </c>
      <c r="R877" t="s">
        <v>30</v>
      </c>
      <c r="S877">
        <v>29</v>
      </c>
      <c r="T877">
        <v>1</v>
      </c>
      <c r="U877">
        <v>5</v>
      </c>
      <c r="V877">
        <v>502.55</v>
      </c>
      <c r="W877">
        <v>13130000875</v>
      </c>
    </row>
    <row r="878" spans="1:23" x14ac:dyDescent="0.2">
      <c r="A878" s="1">
        <v>44776</v>
      </c>
      <c r="B878" s="2">
        <v>0.8373842592592593</v>
      </c>
      <c r="C878">
        <v>1876</v>
      </c>
      <c r="D878">
        <v>13002561</v>
      </c>
      <c r="E878">
        <v>13</v>
      </c>
      <c r="F878">
        <v>22589</v>
      </c>
      <c r="G878" t="s">
        <v>23</v>
      </c>
      <c r="H878">
        <v>18</v>
      </c>
      <c r="I878">
        <v>68745</v>
      </c>
      <c r="J878" t="s">
        <v>95</v>
      </c>
      <c r="K878" t="s">
        <v>45</v>
      </c>
      <c r="L878" t="s">
        <v>26</v>
      </c>
      <c r="M878">
        <v>1</v>
      </c>
      <c r="N878">
        <v>333.3</v>
      </c>
      <c r="O878">
        <v>493.58</v>
      </c>
      <c r="P878">
        <v>0</v>
      </c>
      <c r="Q878">
        <v>0</v>
      </c>
      <c r="S878">
        <v>29</v>
      </c>
      <c r="T878">
        <v>1</v>
      </c>
      <c r="U878">
        <v>6</v>
      </c>
      <c r="V878">
        <v>493.58</v>
      </c>
      <c r="W878">
        <v>13130000876</v>
      </c>
    </row>
    <row r="879" spans="1:23" x14ac:dyDescent="0.2">
      <c r="A879" s="1">
        <v>44779</v>
      </c>
      <c r="B879" s="2">
        <v>0.83425925925925926</v>
      </c>
      <c r="C879">
        <v>1877</v>
      </c>
      <c r="D879">
        <v>13002561</v>
      </c>
      <c r="E879">
        <v>13</v>
      </c>
      <c r="F879">
        <v>22589</v>
      </c>
      <c r="G879" t="s">
        <v>23</v>
      </c>
      <c r="H879">
        <v>18</v>
      </c>
      <c r="I879">
        <v>97288</v>
      </c>
      <c r="J879" t="s">
        <v>31</v>
      </c>
      <c r="K879" t="s">
        <v>25</v>
      </c>
      <c r="L879" t="s">
        <v>29</v>
      </c>
      <c r="M879">
        <v>3</v>
      </c>
      <c r="N879">
        <v>431.65</v>
      </c>
      <c r="O879">
        <v>585.57000000000005</v>
      </c>
      <c r="P879">
        <v>0</v>
      </c>
      <c r="Q879">
        <v>0</v>
      </c>
      <c r="S879">
        <v>29</v>
      </c>
      <c r="T879">
        <v>1</v>
      </c>
      <c r="U879">
        <v>2</v>
      </c>
      <c r="V879">
        <v>585.57000000000005</v>
      </c>
      <c r="W879">
        <v>13130000877</v>
      </c>
    </row>
    <row r="880" spans="1:23" x14ac:dyDescent="0.2">
      <c r="A880" s="1">
        <v>44801</v>
      </c>
      <c r="B880" s="2">
        <v>0.68053240740740739</v>
      </c>
      <c r="C880">
        <v>1878</v>
      </c>
      <c r="D880">
        <v>13002561</v>
      </c>
      <c r="E880">
        <v>13</v>
      </c>
      <c r="F880">
        <v>22589</v>
      </c>
      <c r="G880" t="s">
        <v>23</v>
      </c>
      <c r="H880">
        <v>15</v>
      </c>
      <c r="I880">
        <v>51040</v>
      </c>
      <c r="J880" t="s">
        <v>81</v>
      </c>
      <c r="K880" t="s">
        <v>45</v>
      </c>
      <c r="L880" t="s">
        <v>51</v>
      </c>
      <c r="M880">
        <v>2</v>
      </c>
      <c r="N880">
        <v>94.35</v>
      </c>
      <c r="O880">
        <v>139.9</v>
      </c>
      <c r="P880">
        <v>0</v>
      </c>
      <c r="Q880">
        <v>0</v>
      </c>
      <c r="S880">
        <v>29</v>
      </c>
      <c r="T880">
        <v>1</v>
      </c>
      <c r="U880">
        <v>3</v>
      </c>
      <c r="V880">
        <v>139.9</v>
      </c>
      <c r="W880">
        <v>13130000878</v>
      </c>
    </row>
    <row r="881" spans="1:23" x14ac:dyDescent="0.2">
      <c r="A881" s="1">
        <v>44787</v>
      </c>
      <c r="B881" s="2">
        <v>0.78541666666666665</v>
      </c>
      <c r="C881">
        <v>1879</v>
      </c>
      <c r="D881">
        <v>13002561</v>
      </c>
      <c r="E881">
        <v>13</v>
      </c>
      <c r="F881">
        <v>22589</v>
      </c>
      <c r="G881" t="s">
        <v>23</v>
      </c>
      <c r="H881">
        <v>15</v>
      </c>
      <c r="I881">
        <v>12975</v>
      </c>
      <c r="J881" t="s">
        <v>104</v>
      </c>
      <c r="K881" t="s">
        <v>44</v>
      </c>
      <c r="L881" t="s">
        <v>51</v>
      </c>
      <c r="M881">
        <v>3</v>
      </c>
      <c r="N881">
        <v>481.66</v>
      </c>
      <c r="O881">
        <v>780.43</v>
      </c>
      <c r="P881">
        <v>78.040000000000006</v>
      </c>
      <c r="Q881">
        <v>78.040000000000006</v>
      </c>
      <c r="R881" t="s">
        <v>30</v>
      </c>
      <c r="S881">
        <v>29</v>
      </c>
      <c r="T881">
        <v>1</v>
      </c>
      <c r="U881">
        <v>5</v>
      </c>
      <c r="V881">
        <v>702.39</v>
      </c>
      <c r="W881">
        <v>13130000879</v>
      </c>
    </row>
    <row r="882" spans="1:23" x14ac:dyDescent="0.2">
      <c r="A882" s="1">
        <v>44798</v>
      </c>
      <c r="B882" s="2">
        <v>0.64460648148148147</v>
      </c>
      <c r="C882">
        <v>1880</v>
      </c>
      <c r="D882">
        <v>13002561</v>
      </c>
      <c r="E882">
        <v>13</v>
      </c>
      <c r="F882">
        <v>22589</v>
      </c>
      <c r="G882" t="s">
        <v>23</v>
      </c>
      <c r="H882">
        <v>15</v>
      </c>
      <c r="I882">
        <v>73907</v>
      </c>
      <c r="J882" t="s">
        <v>46</v>
      </c>
      <c r="K882" t="s">
        <v>28</v>
      </c>
      <c r="L882" t="s">
        <v>36</v>
      </c>
      <c r="M882">
        <v>2</v>
      </c>
      <c r="N882">
        <v>64.36</v>
      </c>
      <c r="O882">
        <v>107.79</v>
      </c>
      <c r="P882">
        <v>10.78</v>
      </c>
      <c r="Q882">
        <v>10.78</v>
      </c>
      <c r="R882" t="s">
        <v>30</v>
      </c>
      <c r="S882">
        <v>29</v>
      </c>
      <c r="T882">
        <v>1</v>
      </c>
      <c r="U882">
        <v>3</v>
      </c>
      <c r="V882">
        <v>97.01</v>
      </c>
      <c r="W882">
        <v>13130000880</v>
      </c>
    </row>
    <row r="883" spans="1:23" x14ac:dyDescent="0.2">
      <c r="A883" s="1">
        <v>44804</v>
      </c>
      <c r="B883" s="2">
        <v>0.44707175925925918</v>
      </c>
      <c r="C883">
        <v>1881</v>
      </c>
      <c r="D883">
        <v>13002561</v>
      </c>
      <c r="E883">
        <v>13</v>
      </c>
      <c r="F883">
        <v>22589</v>
      </c>
      <c r="G883" t="s">
        <v>23</v>
      </c>
      <c r="H883">
        <v>15</v>
      </c>
      <c r="I883">
        <v>75973</v>
      </c>
      <c r="J883" t="s">
        <v>93</v>
      </c>
      <c r="K883" t="s">
        <v>28</v>
      </c>
      <c r="L883" t="s">
        <v>34</v>
      </c>
      <c r="M883">
        <v>1</v>
      </c>
      <c r="N883">
        <v>203.88</v>
      </c>
      <c r="O883">
        <v>308.97000000000003</v>
      </c>
      <c r="P883">
        <v>15.45</v>
      </c>
      <c r="Q883">
        <v>15.45</v>
      </c>
      <c r="R883" t="s">
        <v>30</v>
      </c>
      <c r="S883">
        <v>29</v>
      </c>
      <c r="T883">
        <v>1</v>
      </c>
      <c r="U883">
        <v>5</v>
      </c>
      <c r="V883">
        <v>293.52</v>
      </c>
      <c r="W883">
        <v>13130000881</v>
      </c>
    </row>
    <row r="884" spans="1:23" x14ac:dyDescent="0.2">
      <c r="A884" s="1">
        <v>44778</v>
      </c>
      <c r="B884" s="2">
        <v>0.86442129629629627</v>
      </c>
      <c r="C884">
        <v>1882</v>
      </c>
      <c r="D884">
        <v>13002561</v>
      </c>
      <c r="E884">
        <v>13</v>
      </c>
      <c r="F884">
        <v>22589</v>
      </c>
      <c r="G884" t="s">
        <v>23</v>
      </c>
      <c r="H884">
        <v>15</v>
      </c>
      <c r="I884">
        <v>68478</v>
      </c>
      <c r="J884" t="s">
        <v>128</v>
      </c>
      <c r="K884" t="s">
        <v>44</v>
      </c>
      <c r="L884" t="s">
        <v>39</v>
      </c>
      <c r="M884">
        <v>3</v>
      </c>
      <c r="N884">
        <v>389.14</v>
      </c>
      <c r="O884">
        <v>526.07000000000005</v>
      </c>
      <c r="P884">
        <v>52.61</v>
      </c>
      <c r="Q884">
        <v>52.61</v>
      </c>
      <c r="R884" t="s">
        <v>30</v>
      </c>
      <c r="S884">
        <v>29</v>
      </c>
      <c r="T884">
        <v>1</v>
      </c>
      <c r="U884">
        <v>1</v>
      </c>
      <c r="V884">
        <v>473.46</v>
      </c>
      <c r="W884">
        <v>13130000882</v>
      </c>
    </row>
    <row r="885" spans="1:23" x14ac:dyDescent="0.2">
      <c r="A885" s="1">
        <v>44782</v>
      </c>
      <c r="B885" s="2">
        <v>0.43189814814814809</v>
      </c>
      <c r="C885">
        <v>1883</v>
      </c>
      <c r="D885">
        <v>13002561</v>
      </c>
      <c r="E885">
        <v>13</v>
      </c>
      <c r="F885">
        <v>22589</v>
      </c>
      <c r="G885" t="s">
        <v>23</v>
      </c>
      <c r="H885">
        <v>15</v>
      </c>
      <c r="I885">
        <v>26114</v>
      </c>
      <c r="J885" t="s">
        <v>62</v>
      </c>
      <c r="K885" t="s">
        <v>38</v>
      </c>
      <c r="L885" t="s">
        <v>26</v>
      </c>
      <c r="M885">
        <v>3</v>
      </c>
      <c r="N885">
        <v>175.79</v>
      </c>
      <c r="O885">
        <v>275.22000000000003</v>
      </c>
      <c r="P885">
        <v>0</v>
      </c>
      <c r="Q885">
        <v>0</v>
      </c>
      <c r="S885">
        <v>29</v>
      </c>
      <c r="T885">
        <v>1</v>
      </c>
      <c r="U885">
        <v>5</v>
      </c>
      <c r="V885">
        <v>275.22000000000003</v>
      </c>
      <c r="W885">
        <v>13130000883</v>
      </c>
    </row>
    <row r="886" spans="1:23" x14ac:dyDescent="0.2">
      <c r="A886" s="1">
        <v>44795</v>
      </c>
      <c r="B886" s="2">
        <v>0.44002314814814808</v>
      </c>
      <c r="C886">
        <v>1884</v>
      </c>
      <c r="D886">
        <v>13002561</v>
      </c>
      <c r="E886">
        <v>13</v>
      </c>
      <c r="F886">
        <v>22589</v>
      </c>
      <c r="G886" t="s">
        <v>23</v>
      </c>
      <c r="H886">
        <v>15</v>
      </c>
      <c r="I886">
        <v>46483</v>
      </c>
      <c r="J886" t="s">
        <v>119</v>
      </c>
      <c r="K886" t="s">
        <v>38</v>
      </c>
      <c r="L886" t="s">
        <v>26</v>
      </c>
      <c r="M886">
        <v>2</v>
      </c>
      <c r="N886">
        <v>171.52</v>
      </c>
      <c r="O886">
        <v>258.31</v>
      </c>
      <c r="P886">
        <v>12.92</v>
      </c>
      <c r="Q886">
        <v>12.92</v>
      </c>
      <c r="R886" t="s">
        <v>30</v>
      </c>
      <c r="S886">
        <v>29</v>
      </c>
      <c r="T886">
        <v>1</v>
      </c>
      <c r="U886">
        <v>1</v>
      </c>
      <c r="V886">
        <v>245.39</v>
      </c>
      <c r="W886">
        <v>13130000884</v>
      </c>
    </row>
    <row r="887" spans="1:23" x14ac:dyDescent="0.2">
      <c r="A887" s="1">
        <v>44784</v>
      </c>
      <c r="B887" s="2">
        <v>0.63523148148148145</v>
      </c>
      <c r="C887">
        <v>1885</v>
      </c>
      <c r="D887">
        <v>13002561</v>
      </c>
      <c r="E887">
        <v>13</v>
      </c>
      <c r="F887">
        <v>22589</v>
      </c>
      <c r="G887" t="s">
        <v>23</v>
      </c>
      <c r="H887">
        <v>18</v>
      </c>
      <c r="I887">
        <v>97680</v>
      </c>
      <c r="J887" t="s">
        <v>93</v>
      </c>
      <c r="K887" t="s">
        <v>45</v>
      </c>
      <c r="L887" t="s">
        <v>26</v>
      </c>
      <c r="M887">
        <v>1</v>
      </c>
      <c r="N887">
        <v>459.85</v>
      </c>
      <c r="O887">
        <v>620.70000000000005</v>
      </c>
      <c r="P887">
        <v>0</v>
      </c>
      <c r="Q887">
        <v>0</v>
      </c>
      <c r="S887">
        <v>29</v>
      </c>
      <c r="T887">
        <v>1</v>
      </c>
      <c r="U887">
        <v>3</v>
      </c>
      <c r="V887">
        <v>620.70000000000005</v>
      </c>
      <c r="W887">
        <v>13130000885</v>
      </c>
    </row>
    <row r="888" spans="1:23" x14ac:dyDescent="0.2">
      <c r="A888" s="1">
        <v>44794</v>
      </c>
      <c r="B888" s="2">
        <v>0.79953703703703705</v>
      </c>
      <c r="C888">
        <v>1886</v>
      </c>
      <c r="D888">
        <v>13002561</v>
      </c>
      <c r="E888">
        <v>13</v>
      </c>
      <c r="F888">
        <v>22589</v>
      </c>
      <c r="G888" t="s">
        <v>23</v>
      </c>
      <c r="H888">
        <v>15</v>
      </c>
      <c r="I888">
        <v>93791</v>
      </c>
      <c r="J888" t="s">
        <v>42</v>
      </c>
      <c r="K888" t="s">
        <v>25</v>
      </c>
      <c r="L888" t="s">
        <v>39</v>
      </c>
      <c r="M888">
        <v>2</v>
      </c>
      <c r="N888">
        <v>518.65</v>
      </c>
      <c r="O888">
        <v>807.87</v>
      </c>
      <c r="P888">
        <v>0</v>
      </c>
      <c r="Q888">
        <v>0</v>
      </c>
      <c r="S888">
        <v>29</v>
      </c>
      <c r="T888">
        <v>1</v>
      </c>
      <c r="U888">
        <v>2</v>
      </c>
      <c r="V888">
        <v>807.87</v>
      </c>
      <c r="W888">
        <v>13130000886</v>
      </c>
    </row>
    <row r="889" spans="1:23" x14ac:dyDescent="0.2">
      <c r="A889" s="1">
        <v>44787</v>
      </c>
      <c r="B889" s="2">
        <v>0.69245370370370374</v>
      </c>
      <c r="C889">
        <v>1887</v>
      </c>
      <c r="D889">
        <v>13002561</v>
      </c>
      <c r="E889">
        <v>13</v>
      </c>
      <c r="F889">
        <v>22589</v>
      </c>
      <c r="G889" t="s">
        <v>23</v>
      </c>
      <c r="H889">
        <v>15</v>
      </c>
      <c r="I889">
        <v>95470</v>
      </c>
      <c r="J889" t="s">
        <v>124</v>
      </c>
      <c r="K889" t="s">
        <v>45</v>
      </c>
      <c r="L889" t="s">
        <v>34</v>
      </c>
      <c r="M889">
        <v>1</v>
      </c>
      <c r="N889">
        <v>8.67</v>
      </c>
      <c r="O889">
        <v>13.05</v>
      </c>
      <c r="P889">
        <v>1.31</v>
      </c>
      <c r="Q889">
        <v>1.31</v>
      </c>
      <c r="R889" t="s">
        <v>30</v>
      </c>
      <c r="S889">
        <v>29</v>
      </c>
      <c r="T889">
        <v>1</v>
      </c>
      <c r="U889">
        <v>5</v>
      </c>
      <c r="V889">
        <v>11.74</v>
      </c>
      <c r="W889">
        <v>13130000887</v>
      </c>
    </row>
    <row r="890" spans="1:23" x14ac:dyDescent="0.2">
      <c r="A890" s="1">
        <v>44785</v>
      </c>
      <c r="B890" s="2">
        <v>0.44968750000000002</v>
      </c>
      <c r="C890">
        <v>1888</v>
      </c>
      <c r="D890">
        <v>13002561</v>
      </c>
      <c r="E890">
        <v>13</v>
      </c>
      <c r="F890">
        <v>22589</v>
      </c>
      <c r="G890" t="s">
        <v>23</v>
      </c>
      <c r="H890">
        <v>15</v>
      </c>
      <c r="I890">
        <v>71178</v>
      </c>
      <c r="J890" t="s">
        <v>40</v>
      </c>
      <c r="K890" t="s">
        <v>28</v>
      </c>
      <c r="L890" t="s">
        <v>36</v>
      </c>
      <c r="M890">
        <v>1</v>
      </c>
      <c r="N890">
        <v>112.4</v>
      </c>
      <c r="O890">
        <v>158.43</v>
      </c>
      <c r="P890">
        <v>0</v>
      </c>
      <c r="Q890">
        <v>0</v>
      </c>
      <c r="S890">
        <v>29</v>
      </c>
      <c r="T890">
        <v>1</v>
      </c>
      <c r="U890">
        <v>5</v>
      </c>
      <c r="V890">
        <v>158.43</v>
      </c>
      <c r="W890">
        <v>13130000888</v>
      </c>
    </row>
    <row r="891" spans="1:23" x14ac:dyDescent="0.2">
      <c r="A891" s="1">
        <v>44793</v>
      </c>
      <c r="B891" s="2">
        <v>0.37335648148148148</v>
      </c>
      <c r="C891">
        <v>1889</v>
      </c>
      <c r="D891">
        <v>13002561</v>
      </c>
      <c r="E891">
        <v>13</v>
      </c>
      <c r="F891">
        <v>22589</v>
      </c>
      <c r="G891" t="s">
        <v>23</v>
      </c>
      <c r="H891">
        <v>18</v>
      </c>
      <c r="I891">
        <v>75612</v>
      </c>
      <c r="J891" t="s">
        <v>111</v>
      </c>
      <c r="K891" t="s">
        <v>38</v>
      </c>
      <c r="L891" t="s">
        <v>51</v>
      </c>
      <c r="M891">
        <v>2</v>
      </c>
      <c r="N891">
        <v>529.19000000000005</v>
      </c>
      <c r="O891">
        <v>755.22</v>
      </c>
      <c r="P891">
        <v>75.52</v>
      </c>
      <c r="Q891">
        <v>75.52</v>
      </c>
      <c r="R891" t="s">
        <v>30</v>
      </c>
      <c r="S891">
        <v>29</v>
      </c>
      <c r="T891">
        <v>1</v>
      </c>
      <c r="U891">
        <v>3</v>
      </c>
      <c r="V891">
        <v>679.7</v>
      </c>
      <c r="W891">
        <v>13130000889</v>
      </c>
    </row>
    <row r="892" spans="1:23" x14ac:dyDescent="0.2">
      <c r="A892" s="1">
        <v>44777</v>
      </c>
      <c r="B892" s="2">
        <v>0.58607638888888891</v>
      </c>
      <c r="C892">
        <v>1890</v>
      </c>
      <c r="D892">
        <v>13002561</v>
      </c>
      <c r="E892">
        <v>13</v>
      </c>
      <c r="F892">
        <v>22589</v>
      </c>
      <c r="G892" t="s">
        <v>23</v>
      </c>
      <c r="H892">
        <v>15</v>
      </c>
      <c r="I892">
        <v>67734</v>
      </c>
      <c r="J892" t="s">
        <v>100</v>
      </c>
      <c r="K892" t="s">
        <v>60</v>
      </c>
      <c r="L892" t="s">
        <v>51</v>
      </c>
      <c r="M892">
        <v>3</v>
      </c>
      <c r="N892">
        <v>599.35</v>
      </c>
      <c r="O892">
        <v>830.71</v>
      </c>
      <c r="P892">
        <v>41.54</v>
      </c>
      <c r="Q892">
        <v>41.54</v>
      </c>
      <c r="R892" t="s">
        <v>30</v>
      </c>
      <c r="S892">
        <v>29</v>
      </c>
      <c r="T892">
        <v>1</v>
      </c>
      <c r="U892">
        <v>2</v>
      </c>
      <c r="V892">
        <v>789.17</v>
      </c>
      <c r="W892">
        <v>13130000890</v>
      </c>
    </row>
    <row r="893" spans="1:23" x14ac:dyDescent="0.2">
      <c r="A893" s="1">
        <v>44779</v>
      </c>
      <c r="B893" s="2">
        <v>0.86350694444444442</v>
      </c>
      <c r="C893">
        <v>1891</v>
      </c>
      <c r="D893">
        <v>13002561</v>
      </c>
      <c r="E893">
        <v>13</v>
      </c>
      <c r="F893">
        <v>22589</v>
      </c>
      <c r="G893" t="s">
        <v>23</v>
      </c>
      <c r="H893">
        <v>15</v>
      </c>
      <c r="I893">
        <v>67572</v>
      </c>
      <c r="J893" t="s">
        <v>27</v>
      </c>
      <c r="K893" t="s">
        <v>60</v>
      </c>
      <c r="L893" t="s">
        <v>26</v>
      </c>
      <c r="M893">
        <v>2</v>
      </c>
      <c r="N893">
        <v>401.56</v>
      </c>
      <c r="O893">
        <v>677.74</v>
      </c>
      <c r="P893">
        <v>67.77</v>
      </c>
      <c r="Q893">
        <v>67.77</v>
      </c>
      <c r="R893" t="s">
        <v>30</v>
      </c>
      <c r="S893">
        <v>29</v>
      </c>
      <c r="T893">
        <v>1</v>
      </c>
      <c r="U893">
        <v>2</v>
      </c>
      <c r="V893">
        <v>609.97</v>
      </c>
      <c r="W893">
        <v>13130000891</v>
      </c>
    </row>
    <row r="894" spans="1:23" x14ac:dyDescent="0.2">
      <c r="A894" s="1">
        <v>44790</v>
      </c>
      <c r="B894" s="2">
        <v>0.71214120370370371</v>
      </c>
      <c r="C894">
        <v>1892</v>
      </c>
      <c r="D894">
        <v>13002561</v>
      </c>
      <c r="E894">
        <v>13</v>
      </c>
      <c r="F894">
        <v>22589</v>
      </c>
      <c r="G894" t="s">
        <v>23</v>
      </c>
      <c r="H894">
        <v>18</v>
      </c>
      <c r="I894">
        <v>22888</v>
      </c>
      <c r="J894" t="s">
        <v>126</v>
      </c>
      <c r="K894" t="s">
        <v>25</v>
      </c>
      <c r="L894" t="s">
        <v>32</v>
      </c>
      <c r="M894">
        <v>1</v>
      </c>
      <c r="N894">
        <v>240.34</v>
      </c>
      <c r="O894">
        <v>331.16</v>
      </c>
      <c r="P894">
        <v>33.119999999999997</v>
      </c>
      <c r="Q894">
        <v>33.119999999999997</v>
      </c>
      <c r="R894" t="s">
        <v>30</v>
      </c>
      <c r="S894">
        <v>29</v>
      </c>
      <c r="T894">
        <v>1</v>
      </c>
      <c r="U894">
        <v>4</v>
      </c>
      <c r="V894">
        <v>298.04000000000002</v>
      </c>
      <c r="W894">
        <v>13130000892</v>
      </c>
    </row>
    <row r="895" spans="1:23" x14ac:dyDescent="0.2">
      <c r="A895" s="1">
        <v>44804</v>
      </c>
      <c r="B895" s="2">
        <v>0.44741898148148151</v>
      </c>
      <c r="C895">
        <v>1893</v>
      </c>
      <c r="D895">
        <v>13002561</v>
      </c>
      <c r="E895">
        <v>13</v>
      </c>
      <c r="F895">
        <v>22589</v>
      </c>
      <c r="G895" t="s">
        <v>23</v>
      </c>
      <c r="H895">
        <v>15</v>
      </c>
      <c r="I895">
        <v>60974</v>
      </c>
      <c r="J895" t="s">
        <v>79</v>
      </c>
      <c r="K895" t="s">
        <v>60</v>
      </c>
      <c r="L895" t="s">
        <v>29</v>
      </c>
      <c r="M895">
        <v>2</v>
      </c>
      <c r="N895">
        <v>11.48</v>
      </c>
      <c r="O895">
        <v>18.66</v>
      </c>
      <c r="P895">
        <v>0</v>
      </c>
      <c r="Q895">
        <v>0</v>
      </c>
      <c r="S895">
        <v>29</v>
      </c>
      <c r="T895">
        <v>1</v>
      </c>
      <c r="U895">
        <v>2</v>
      </c>
      <c r="V895">
        <v>18.66</v>
      </c>
      <c r="W895">
        <v>13130000893</v>
      </c>
    </row>
    <row r="896" spans="1:23" x14ac:dyDescent="0.2">
      <c r="A896" s="1">
        <v>44778</v>
      </c>
      <c r="B896" s="2">
        <v>0.89456018518518521</v>
      </c>
      <c r="C896">
        <v>1894</v>
      </c>
      <c r="D896">
        <v>13002561</v>
      </c>
      <c r="E896">
        <v>13</v>
      </c>
      <c r="F896">
        <v>22589</v>
      </c>
      <c r="G896" t="s">
        <v>23</v>
      </c>
      <c r="H896">
        <v>15</v>
      </c>
      <c r="I896">
        <v>30673</v>
      </c>
      <c r="J896" t="s">
        <v>109</v>
      </c>
      <c r="K896" t="s">
        <v>25</v>
      </c>
      <c r="L896" t="s">
        <v>51</v>
      </c>
      <c r="M896">
        <v>2</v>
      </c>
      <c r="N896">
        <v>458.27</v>
      </c>
      <c r="O896">
        <v>609.71</v>
      </c>
      <c r="P896">
        <v>0</v>
      </c>
      <c r="Q896">
        <v>0</v>
      </c>
      <c r="S896">
        <v>29</v>
      </c>
      <c r="T896">
        <v>1</v>
      </c>
      <c r="U896">
        <v>6</v>
      </c>
      <c r="V896">
        <v>609.71</v>
      </c>
      <c r="W896">
        <v>13130000894</v>
      </c>
    </row>
    <row r="897" spans="1:23" x14ac:dyDescent="0.2">
      <c r="A897" s="1">
        <v>44788</v>
      </c>
      <c r="B897" s="2">
        <v>0.61840277777777775</v>
      </c>
      <c r="C897">
        <v>1895</v>
      </c>
      <c r="D897">
        <v>13002561</v>
      </c>
      <c r="E897">
        <v>13</v>
      </c>
      <c r="F897">
        <v>22589</v>
      </c>
      <c r="G897" t="s">
        <v>23</v>
      </c>
      <c r="H897">
        <v>18</v>
      </c>
      <c r="I897">
        <v>78330</v>
      </c>
      <c r="J897" t="s">
        <v>112</v>
      </c>
      <c r="K897" t="s">
        <v>60</v>
      </c>
      <c r="L897" t="s">
        <v>34</v>
      </c>
      <c r="M897">
        <v>2</v>
      </c>
      <c r="N897">
        <v>584.44000000000005</v>
      </c>
      <c r="O897">
        <v>815.46</v>
      </c>
      <c r="P897">
        <v>40.770000000000003</v>
      </c>
      <c r="Q897">
        <v>40.770000000000003</v>
      </c>
      <c r="R897" t="s">
        <v>30</v>
      </c>
      <c r="S897">
        <v>29</v>
      </c>
      <c r="T897">
        <v>1</v>
      </c>
      <c r="U897">
        <v>2</v>
      </c>
      <c r="V897">
        <v>774.69</v>
      </c>
      <c r="W897">
        <v>13130000895</v>
      </c>
    </row>
    <row r="898" spans="1:23" x14ac:dyDescent="0.2">
      <c r="A898" s="1">
        <v>44798</v>
      </c>
      <c r="B898" s="2">
        <v>0.86179398148148145</v>
      </c>
      <c r="C898">
        <v>1896</v>
      </c>
      <c r="D898">
        <v>13002561</v>
      </c>
      <c r="E898">
        <v>13</v>
      </c>
      <c r="F898">
        <v>22589</v>
      </c>
      <c r="G898" t="s">
        <v>23</v>
      </c>
      <c r="H898">
        <v>15</v>
      </c>
      <c r="I898">
        <v>54162</v>
      </c>
      <c r="J898" t="s">
        <v>94</v>
      </c>
      <c r="K898" t="s">
        <v>25</v>
      </c>
      <c r="L898" t="s">
        <v>26</v>
      </c>
      <c r="M898">
        <v>2</v>
      </c>
      <c r="N898">
        <v>41.72</v>
      </c>
      <c r="O898">
        <v>66.61</v>
      </c>
      <c r="P898">
        <v>3.33</v>
      </c>
      <c r="Q898">
        <v>3.33</v>
      </c>
      <c r="R898" t="s">
        <v>30</v>
      </c>
      <c r="S898">
        <v>29</v>
      </c>
      <c r="T898">
        <v>1</v>
      </c>
      <c r="U898">
        <v>2</v>
      </c>
      <c r="V898">
        <v>63.28</v>
      </c>
      <c r="W898">
        <v>13130000896</v>
      </c>
    </row>
    <row r="899" spans="1:23" x14ac:dyDescent="0.2">
      <c r="A899" s="1">
        <v>44786</v>
      </c>
      <c r="B899" s="2">
        <v>0.4917361111111111</v>
      </c>
      <c r="C899">
        <v>1897</v>
      </c>
      <c r="D899">
        <v>13002561</v>
      </c>
      <c r="E899">
        <v>13</v>
      </c>
      <c r="F899">
        <v>22589</v>
      </c>
      <c r="G899" t="s">
        <v>23</v>
      </c>
      <c r="H899">
        <v>18</v>
      </c>
      <c r="I899">
        <v>39469</v>
      </c>
      <c r="J899" t="s">
        <v>100</v>
      </c>
      <c r="K899" t="s">
        <v>28</v>
      </c>
      <c r="L899" t="s">
        <v>34</v>
      </c>
      <c r="M899">
        <v>1</v>
      </c>
      <c r="N899">
        <v>385.96</v>
      </c>
      <c r="O899">
        <v>639.65</v>
      </c>
      <c r="P899">
        <v>63.97</v>
      </c>
      <c r="Q899">
        <v>63.97</v>
      </c>
      <c r="R899" t="s">
        <v>30</v>
      </c>
      <c r="S899">
        <v>29</v>
      </c>
      <c r="T899">
        <v>1</v>
      </c>
      <c r="U899">
        <v>1</v>
      </c>
      <c r="V899">
        <v>575.67999999999995</v>
      </c>
      <c r="W899">
        <v>13130000897</v>
      </c>
    </row>
    <row r="900" spans="1:23" x14ac:dyDescent="0.2">
      <c r="A900" s="1">
        <v>44803</v>
      </c>
      <c r="B900" s="2">
        <v>0.36305555555555558</v>
      </c>
      <c r="C900">
        <v>1898</v>
      </c>
      <c r="D900">
        <v>13002561</v>
      </c>
      <c r="E900">
        <v>13</v>
      </c>
      <c r="F900">
        <v>22589</v>
      </c>
      <c r="G900" t="s">
        <v>23</v>
      </c>
      <c r="H900">
        <v>18</v>
      </c>
      <c r="I900">
        <v>34764</v>
      </c>
      <c r="J900" t="s">
        <v>33</v>
      </c>
      <c r="K900" t="s">
        <v>60</v>
      </c>
      <c r="L900" t="s">
        <v>32</v>
      </c>
      <c r="M900">
        <v>2</v>
      </c>
      <c r="N900">
        <v>390.89</v>
      </c>
      <c r="O900">
        <v>570.83000000000004</v>
      </c>
      <c r="P900">
        <v>28.54</v>
      </c>
      <c r="Q900">
        <v>28.54</v>
      </c>
      <c r="R900" t="s">
        <v>30</v>
      </c>
      <c r="S900">
        <v>29</v>
      </c>
      <c r="T900">
        <v>1</v>
      </c>
      <c r="U900">
        <v>1</v>
      </c>
      <c r="V900">
        <v>542.29</v>
      </c>
      <c r="W900">
        <v>13130000898</v>
      </c>
    </row>
    <row r="901" spans="1:23" x14ac:dyDescent="0.2">
      <c r="A901" s="1">
        <v>44788</v>
      </c>
      <c r="B901" s="2">
        <v>0.67995370370370367</v>
      </c>
      <c r="C901">
        <v>1899</v>
      </c>
      <c r="D901">
        <v>13002561</v>
      </c>
      <c r="E901">
        <v>13</v>
      </c>
      <c r="F901">
        <v>22589</v>
      </c>
      <c r="G901" t="s">
        <v>23</v>
      </c>
      <c r="H901">
        <v>18</v>
      </c>
      <c r="I901">
        <v>30669</v>
      </c>
      <c r="J901" t="s">
        <v>124</v>
      </c>
      <c r="K901" t="s">
        <v>45</v>
      </c>
      <c r="L901" t="s">
        <v>39</v>
      </c>
      <c r="M901">
        <v>3</v>
      </c>
      <c r="N901">
        <v>83.04</v>
      </c>
      <c r="O901">
        <v>134.85</v>
      </c>
      <c r="P901">
        <v>6.74</v>
      </c>
      <c r="Q901">
        <v>6.74</v>
      </c>
      <c r="R901" t="s">
        <v>30</v>
      </c>
      <c r="S901">
        <v>29</v>
      </c>
      <c r="T901">
        <v>1</v>
      </c>
      <c r="U901">
        <v>3</v>
      </c>
      <c r="V901">
        <v>128.11000000000001</v>
      </c>
      <c r="W901">
        <v>13130000899</v>
      </c>
    </row>
    <row r="902" spans="1:23" x14ac:dyDescent="0.2">
      <c r="A902" s="1">
        <v>44781</v>
      </c>
      <c r="B902" s="2">
        <v>0.88775462962962959</v>
      </c>
      <c r="C902">
        <v>1900</v>
      </c>
      <c r="D902">
        <v>13002561</v>
      </c>
      <c r="E902">
        <v>13</v>
      </c>
      <c r="F902">
        <v>22589</v>
      </c>
      <c r="G902" t="s">
        <v>23</v>
      </c>
      <c r="H902">
        <v>15</v>
      </c>
      <c r="I902">
        <v>81174</v>
      </c>
      <c r="J902" t="s">
        <v>64</v>
      </c>
      <c r="K902" t="s">
        <v>28</v>
      </c>
      <c r="L902" t="s">
        <v>36</v>
      </c>
      <c r="M902">
        <v>1</v>
      </c>
      <c r="N902">
        <v>352.53</v>
      </c>
      <c r="O902">
        <v>560.16</v>
      </c>
      <c r="P902">
        <v>0</v>
      </c>
      <c r="Q902">
        <v>0</v>
      </c>
      <c r="S902">
        <v>29</v>
      </c>
      <c r="T902">
        <v>1</v>
      </c>
      <c r="U902">
        <v>3</v>
      </c>
      <c r="V902">
        <v>560.16</v>
      </c>
      <c r="W902">
        <v>13130000900</v>
      </c>
    </row>
    <row r="903" spans="1:23" x14ac:dyDescent="0.2">
      <c r="A903" s="1">
        <v>44785</v>
      </c>
      <c r="B903" s="2">
        <v>0.66506944444444449</v>
      </c>
      <c r="C903">
        <v>1901</v>
      </c>
      <c r="D903">
        <v>13002561</v>
      </c>
      <c r="E903">
        <v>13</v>
      </c>
      <c r="F903">
        <v>22589</v>
      </c>
      <c r="G903" t="s">
        <v>23</v>
      </c>
      <c r="H903">
        <v>15</v>
      </c>
      <c r="I903">
        <v>96445</v>
      </c>
      <c r="J903" t="s">
        <v>117</v>
      </c>
      <c r="K903" t="s">
        <v>25</v>
      </c>
      <c r="L903" t="s">
        <v>36</v>
      </c>
      <c r="M903">
        <v>1</v>
      </c>
      <c r="N903">
        <v>29.76</v>
      </c>
      <c r="O903">
        <v>47.18</v>
      </c>
      <c r="P903">
        <v>2.36</v>
      </c>
      <c r="Q903">
        <v>2.36</v>
      </c>
      <c r="R903" t="s">
        <v>30</v>
      </c>
      <c r="S903">
        <v>29</v>
      </c>
      <c r="T903">
        <v>1</v>
      </c>
      <c r="U903">
        <v>5</v>
      </c>
      <c r="V903">
        <v>44.82</v>
      </c>
      <c r="W903">
        <v>13130000901</v>
      </c>
    </row>
    <row r="904" spans="1:23" x14ac:dyDescent="0.2">
      <c r="A904" s="1">
        <v>44785</v>
      </c>
      <c r="B904" s="2">
        <v>0.9018518518518519</v>
      </c>
      <c r="C904">
        <v>1902</v>
      </c>
      <c r="D904">
        <v>13002561</v>
      </c>
      <c r="E904">
        <v>13</v>
      </c>
      <c r="F904">
        <v>22589</v>
      </c>
      <c r="G904" t="s">
        <v>23</v>
      </c>
      <c r="H904">
        <v>18</v>
      </c>
      <c r="I904">
        <v>23534</v>
      </c>
      <c r="J904" t="s">
        <v>104</v>
      </c>
      <c r="K904" t="s">
        <v>38</v>
      </c>
      <c r="L904" t="s">
        <v>32</v>
      </c>
      <c r="M904">
        <v>3</v>
      </c>
      <c r="N904">
        <v>225.42</v>
      </c>
      <c r="O904">
        <v>315.52999999999997</v>
      </c>
      <c r="P904">
        <v>31.55</v>
      </c>
      <c r="Q904">
        <v>31.55</v>
      </c>
      <c r="R904" t="s">
        <v>30</v>
      </c>
      <c r="S904">
        <v>29</v>
      </c>
      <c r="T904">
        <v>1</v>
      </c>
      <c r="U904">
        <v>1</v>
      </c>
      <c r="V904">
        <v>283.98</v>
      </c>
      <c r="W904">
        <v>13130000902</v>
      </c>
    </row>
    <row r="905" spans="1:23" x14ac:dyDescent="0.2">
      <c r="A905" s="1">
        <v>44778</v>
      </c>
      <c r="B905" s="2">
        <v>0.55718749999999995</v>
      </c>
      <c r="C905">
        <v>1903</v>
      </c>
      <c r="D905">
        <v>13002561</v>
      </c>
      <c r="E905">
        <v>13</v>
      </c>
      <c r="F905">
        <v>22589</v>
      </c>
      <c r="G905" t="s">
        <v>23</v>
      </c>
      <c r="H905">
        <v>15</v>
      </c>
      <c r="I905">
        <v>84717</v>
      </c>
      <c r="J905" t="s">
        <v>50</v>
      </c>
      <c r="K905" t="s">
        <v>60</v>
      </c>
      <c r="L905" t="s">
        <v>51</v>
      </c>
      <c r="M905">
        <v>3</v>
      </c>
      <c r="N905">
        <v>153.15</v>
      </c>
      <c r="O905">
        <v>247.19</v>
      </c>
      <c r="P905">
        <v>24.72</v>
      </c>
      <c r="Q905">
        <v>24.72</v>
      </c>
      <c r="R905" t="s">
        <v>30</v>
      </c>
      <c r="S905">
        <v>29</v>
      </c>
      <c r="T905">
        <v>1</v>
      </c>
      <c r="U905">
        <v>2</v>
      </c>
      <c r="V905">
        <v>222.47</v>
      </c>
      <c r="W905">
        <v>13130000903</v>
      </c>
    </row>
    <row r="906" spans="1:23" x14ac:dyDescent="0.2">
      <c r="A906" s="1">
        <v>44778</v>
      </c>
      <c r="B906" s="2">
        <v>0.35466435185185191</v>
      </c>
      <c r="C906">
        <v>1904</v>
      </c>
      <c r="D906">
        <v>13002561</v>
      </c>
      <c r="E906">
        <v>13</v>
      </c>
      <c r="F906">
        <v>22589</v>
      </c>
      <c r="G906" t="s">
        <v>23</v>
      </c>
      <c r="H906">
        <v>15</v>
      </c>
      <c r="I906">
        <v>22626</v>
      </c>
      <c r="J906" t="s">
        <v>54</v>
      </c>
      <c r="K906" t="s">
        <v>45</v>
      </c>
      <c r="L906" t="s">
        <v>32</v>
      </c>
      <c r="M906">
        <v>1</v>
      </c>
      <c r="N906">
        <v>192.87</v>
      </c>
      <c r="O906">
        <v>281.81</v>
      </c>
      <c r="P906">
        <v>0</v>
      </c>
      <c r="Q906">
        <v>0</v>
      </c>
      <c r="S906">
        <v>29</v>
      </c>
      <c r="T906">
        <v>1</v>
      </c>
      <c r="U906">
        <v>4</v>
      </c>
      <c r="V906">
        <v>281.81</v>
      </c>
      <c r="W906">
        <v>13130000904</v>
      </c>
    </row>
    <row r="907" spans="1:23" x14ac:dyDescent="0.2">
      <c r="A907" s="1">
        <v>44785</v>
      </c>
      <c r="B907" s="2">
        <v>0.69623842592592589</v>
      </c>
      <c r="C907">
        <v>1905</v>
      </c>
      <c r="D907">
        <v>13002561</v>
      </c>
      <c r="E907">
        <v>13</v>
      </c>
      <c r="F907">
        <v>22589</v>
      </c>
      <c r="G907" t="s">
        <v>23</v>
      </c>
      <c r="H907">
        <v>18</v>
      </c>
      <c r="I907">
        <v>72563</v>
      </c>
      <c r="J907" t="s">
        <v>126</v>
      </c>
      <c r="K907" t="s">
        <v>60</v>
      </c>
      <c r="L907" t="s">
        <v>34</v>
      </c>
      <c r="M907">
        <v>1</v>
      </c>
      <c r="N907">
        <v>360.88</v>
      </c>
      <c r="O907">
        <v>561.69000000000005</v>
      </c>
      <c r="P907">
        <v>56.17</v>
      </c>
      <c r="Q907">
        <v>56.17</v>
      </c>
      <c r="R907" t="s">
        <v>30</v>
      </c>
      <c r="S907">
        <v>29</v>
      </c>
      <c r="T907">
        <v>1</v>
      </c>
      <c r="U907">
        <v>6</v>
      </c>
      <c r="V907">
        <v>505.52</v>
      </c>
      <c r="W907">
        <v>13130000905</v>
      </c>
    </row>
    <row r="908" spans="1:23" x14ac:dyDescent="0.2">
      <c r="A908" s="1">
        <v>44777</v>
      </c>
      <c r="B908" s="2">
        <v>0.42692129629629633</v>
      </c>
      <c r="C908">
        <v>1906</v>
      </c>
      <c r="D908">
        <v>13002561</v>
      </c>
      <c r="E908">
        <v>13</v>
      </c>
      <c r="F908">
        <v>22589</v>
      </c>
      <c r="G908" t="s">
        <v>23</v>
      </c>
      <c r="H908">
        <v>18</v>
      </c>
      <c r="I908">
        <v>70370</v>
      </c>
      <c r="J908" t="s">
        <v>94</v>
      </c>
      <c r="K908" t="s">
        <v>60</v>
      </c>
      <c r="L908" t="s">
        <v>26</v>
      </c>
      <c r="M908">
        <v>1</v>
      </c>
      <c r="N908">
        <v>315.36</v>
      </c>
      <c r="O908">
        <v>533.64</v>
      </c>
      <c r="P908">
        <v>53.36</v>
      </c>
      <c r="Q908">
        <v>53.36</v>
      </c>
      <c r="R908" t="s">
        <v>30</v>
      </c>
      <c r="S908">
        <v>29</v>
      </c>
      <c r="T908">
        <v>1</v>
      </c>
      <c r="U908">
        <v>1</v>
      </c>
      <c r="V908">
        <v>480.28</v>
      </c>
      <c r="W908">
        <v>13130000906</v>
      </c>
    </row>
    <row r="909" spans="1:23" x14ac:dyDescent="0.2">
      <c r="A909" s="1">
        <v>44802</v>
      </c>
      <c r="B909" s="2">
        <v>0.74313657407407407</v>
      </c>
      <c r="C909">
        <v>1907</v>
      </c>
      <c r="D909">
        <v>13002561</v>
      </c>
      <c r="E909">
        <v>13</v>
      </c>
      <c r="F909">
        <v>22589</v>
      </c>
      <c r="G909" t="s">
        <v>23</v>
      </c>
      <c r="H909">
        <v>15</v>
      </c>
      <c r="I909">
        <v>47421</v>
      </c>
      <c r="J909" t="s">
        <v>97</v>
      </c>
      <c r="K909" t="s">
        <v>38</v>
      </c>
      <c r="L909" t="s">
        <v>51</v>
      </c>
      <c r="M909">
        <v>2</v>
      </c>
      <c r="N909">
        <v>502.17</v>
      </c>
      <c r="O909">
        <v>706.44</v>
      </c>
      <c r="P909">
        <v>35.32</v>
      </c>
      <c r="Q909">
        <v>35.32</v>
      </c>
      <c r="R909" t="s">
        <v>30</v>
      </c>
      <c r="S909">
        <v>29</v>
      </c>
      <c r="T909">
        <v>1</v>
      </c>
      <c r="U909">
        <v>2</v>
      </c>
      <c r="V909">
        <v>671.12</v>
      </c>
      <c r="W909">
        <v>13130000907</v>
      </c>
    </row>
    <row r="910" spans="1:23" x14ac:dyDescent="0.2">
      <c r="A910" s="1">
        <v>44789</v>
      </c>
      <c r="B910" s="2">
        <v>0.74027777777777781</v>
      </c>
      <c r="C910">
        <v>1908</v>
      </c>
      <c r="D910">
        <v>13002561</v>
      </c>
      <c r="E910">
        <v>13</v>
      </c>
      <c r="F910">
        <v>22589</v>
      </c>
      <c r="G910" t="s">
        <v>23</v>
      </c>
      <c r="H910">
        <v>18</v>
      </c>
      <c r="I910">
        <v>12588</v>
      </c>
      <c r="J910" t="s">
        <v>94</v>
      </c>
      <c r="K910" t="s">
        <v>45</v>
      </c>
      <c r="L910" t="s">
        <v>36</v>
      </c>
      <c r="M910">
        <v>1</v>
      </c>
      <c r="N910">
        <v>143.91</v>
      </c>
      <c r="O910">
        <v>233.46</v>
      </c>
      <c r="P910">
        <v>0</v>
      </c>
      <c r="Q910">
        <v>0</v>
      </c>
      <c r="S910">
        <v>29</v>
      </c>
      <c r="T910">
        <v>1</v>
      </c>
      <c r="U910">
        <v>6</v>
      </c>
      <c r="V910">
        <v>233.46</v>
      </c>
      <c r="W910">
        <v>13130000908</v>
      </c>
    </row>
    <row r="911" spans="1:23" x14ac:dyDescent="0.2">
      <c r="A911" s="1">
        <v>44794</v>
      </c>
      <c r="B911" s="2">
        <v>0.69465277777777779</v>
      </c>
      <c r="C911">
        <v>1909</v>
      </c>
      <c r="D911">
        <v>13002561</v>
      </c>
      <c r="E911">
        <v>13</v>
      </c>
      <c r="F911">
        <v>22589</v>
      </c>
      <c r="G911" t="s">
        <v>23</v>
      </c>
      <c r="H911">
        <v>15</v>
      </c>
      <c r="I911">
        <v>90749</v>
      </c>
      <c r="J911" t="s">
        <v>82</v>
      </c>
      <c r="K911" t="s">
        <v>60</v>
      </c>
      <c r="L911" t="s">
        <v>47</v>
      </c>
      <c r="M911">
        <v>3</v>
      </c>
      <c r="N911">
        <v>31.71</v>
      </c>
      <c r="O911">
        <v>39.64</v>
      </c>
      <c r="P911">
        <v>1.98</v>
      </c>
      <c r="Q911">
        <v>1.98</v>
      </c>
      <c r="R911" t="s">
        <v>30</v>
      </c>
      <c r="S911">
        <v>29</v>
      </c>
      <c r="T911">
        <v>1</v>
      </c>
      <c r="U911">
        <v>6</v>
      </c>
      <c r="V911">
        <v>37.659999999999997</v>
      </c>
      <c r="W911">
        <v>13130000909</v>
      </c>
    </row>
    <row r="912" spans="1:23" x14ac:dyDescent="0.2">
      <c r="A912" s="1">
        <v>44783</v>
      </c>
      <c r="B912" s="2">
        <v>0.38269675925925928</v>
      </c>
      <c r="C912">
        <v>1910</v>
      </c>
      <c r="D912">
        <v>13002561</v>
      </c>
      <c r="E912">
        <v>13</v>
      </c>
      <c r="F912">
        <v>22589</v>
      </c>
      <c r="G912" t="s">
        <v>23</v>
      </c>
      <c r="H912">
        <v>18</v>
      </c>
      <c r="I912">
        <v>52648</v>
      </c>
      <c r="J912" t="s">
        <v>105</v>
      </c>
      <c r="K912" t="s">
        <v>28</v>
      </c>
      <c r="L912" t="s">
        <v>26</v>
      </c>
      <c r="M912">
        <v>1</v>
      </c>
      <c r="N912">
        <v>207.08</v>
      </c>
      <c r="O912">
        <v>342.87</v>
      </c>
      <c r="P912">
        <v>34.29</v>
      </c>
      <c r="Q912">
        <v>34.29</v>
      </c>
      <c r="R912" t="s">
        <v>30</v>
      </c>
      <c r="S912">
        <v>29</v>
      </c>
      <c r="T912">
        <v>1</v>
      </c>
      <c r="U912">
        <v>2</v>
      </c>
      <c r="V912">
        <v>308.58</v>
      </c>
      <c r="W912">
        <v>13130000910</v>
      </c>
    </row>
    <row r="913" spans="1:23" x14ac:dyDescent="0.2">
      <c r="A913" s="1">
        <v>44798</v>
      </c>
      <c r="B913" s="2">
        <v>0.59517361111111111</v>
      </c>
      <c r="C913">
        <v>1911</v>
      </c>
      <c r="D913">
        <v>13002561</v>
      </c>
      <c r="E913">
        <v>13</v>
      </c>
      <c r="F913">
        <v>22589</v>
      </c>
      <c r="G913" t="s">
        <v>23</v>
      </c>
      <c r="H913">
        <v>15</v>
      </c>
      <c r="I913">
        <v>29411</v>
      </c>
      <c r="J913" t="s">
        <v>70</v>
      </c>
      <c r="K913" t="s">
        <v>25</v>
      </c>
      <c r="L913" t="s">
        <v>34</v>
      </c>
      <c r="M913">
        <v>1</v>
      </c>
      <c r="N913">
        <v>93.79</v>
      </c>
      <c r="O913">
        <v>133.5</v>
      </c>
      <c r="P913">
        <v>6.68</v>
      </c>
      <c r="Q913">
        <v>6.68</v>
      </c>
      <c r="R913" t="s">
        <v>30</v>
      </c>
      <c r="S913">
        <v>29</v>
      </c>
      <c r="T913">
        <v>1</v>
      </c>
      <c r="U913">
        <v>6</v>
      </c>
      <c r="V913">
        <v>126.82</v>
      </c>
      <c r="W913">
        <v>13130000911</v>
      </c>
    </row>
    <row r="914" spans="1:23" x14ac:dyDescent="0.2">
      <c r="A914" s="1">
        <v>44786</v>
      </c>
      <c r="B914" s="2">
        <v>0.82063657407407409</v>
      </c>
      <c r="C914">
        <v>1912</v>
      </c>
      <c r="D914">
        <v>13002561</v>
      </c>
      <c r="E914">
        <v>13</v>
      </c>
      <c r="F914">
        <v>22589</v>
      </c>
      <c r="G914" t="s">
        <v>23</v>
      </c>
      <c r="H914">
        <v>18</v>
      </c>
      <c r="I914">
        <v>26846</v>
      </c>
      <c r="J914" t="s">
        <v>99</v>
      </c>
      <c r="K914" t="s">
        <v>44</v>
      </c>
      <c r="L914" t="s">
        <v>29</v>
      </c>
      <c r="M914">
        <v>2</v>
      </c>
      <c r="N914">
        <v>527.02</v>
      </c>
      <c r="O914">
        <v>806.59</v>
      </c>
      <c r="P914">
        <v>0</v>
      </c>
      <c r="Q914">
        <v>0</v>
      </c>
      <c r="S914">
        <v>29</v>
      </c>
      <c r="T914">
        <v>1</v>
      </c>
      <c r="U914">
        <v>3</v>
      </c>
      <c r="V914">
        <v>806.59</v>
      </c>
      <c r="W914">
        <v>13130000912</v>
      </c>
    </row>
    <row r="915" spans="1:23" x14ac:dyDescent="0.2">
      <c r="A915" s="1">
        <v>44793</v>
      </c>
      <c r="B915" s="2">
        <v>0.38398148148148148</v>
      </c>
      <c r="C915">
        <v>1913</v>
      </c>
      <c r="D915">
        <v>13002561</v>
      </c>
      <c r="E915">
        <v>13</v>
      </c>
      <c r="F915">
        <v>22589</v>
      </c>
      <c r="G915" t="s">
        <v>23</v>
      </c>
      <c r="H915">
        <v>15</v>
      </c>
      <c r="I915">
        <v>62823</v>
      </c>
      <c r="J915" t="s">
        <v>96</v>
      </c>
      <c r="K915" t="s">
        <v>60</v>
      </c>
      <c r="L915" t="s">
        <v>34</v>
      </c>
      <c r="M915">
        <v>1</v>
      </c>
      <c r="N915">
        <v>81.06</v>
      </c>
      <c r="O915">
        <v>114.93</v>
      </c>
      <c r="P915">
        <v>11.49</v>
      </c>
      <c r="Q915">
        <v>11.49</v>
      </c>
      <c r="R915" t="s">
        <v>30</v>
      </c>
      <c r="S915">
        <v>29</v>
      </c>
      <c r="T915">
        <v>1</v>
      </c>
      <c r="U915">
        <v>5</v>
      </c>
      <c r="V915">
        <v>103.44</v>
      </c>
      <c r="W915">
        <v>13130000913</v>
      </c>
    </row>
    <row r="916" spans="1:23" x14ac:dyDescent="0.2">
      <c r="A916" s="1">
        <v>44776</v>
      </c>
      <c r="B916" s="2">
        <v>0.94289351851851855</v>
      </c>
      <c r="C916">
        <v>1914</v>
      </c>
      <c r="D916">
        <v>13002561</v>
      </c>
      <c r="E916">
        <v>13</v>
      </c>
      <c r="F916">
        <v>22589</v>
      </c>
      <c r="G916" t="s">
        <v>23</v>
      </c>
      <c r="H916">
        <v>15</v>
      </c>
      <c r="I916">
        <v>57090</v>
      </c>
      <c r="J916" t="s">
        <v>93</v>
      </c>
      <c r="K916" t="s">
        <v>44</v>
      </c>
      <c r="L916" t="s">
        <v>47</v>
      </c>
      <c r="M916">
        <v>2</v>
      </c>
      <c r="N916">
        <v>258.47000000000003</v>
      </c>
      <c r="O916">
        <v>367.54</v>
      </c>
      <c r="P916">
        <v>18.38</v>
      </c>
      <c r="Q916">
        <v>18.38</v>
      </c>
      <c r="R916" t="s">
        <v>30</v>
      </c>
      <c r="S916">
        <v>29</v>
      </c>
      <c r="T916">
        <v>1</v>
      </c>
      <c r="U916">
        <v>6</v>
      </c>
      <c r="V916">
        <v>349.16</v>
      </c>
      <c r="W916">
        <v>13130000914</v>
      </c>
    </row>
    <row r="917" spans="1:23" x14ac:dyDescent="0.2">
      <c r="A917" s="1">
        <v>44783</v>
      </c>
      <c r="B917" s="2">
        <v>0.9198263888888889</v>
      </c>
      <c r="C917">
        <v>1915</v>
      </c>
      <c r="D917">
        <v>13002561</v>
      </c>
      <c r="E917">
        <v>13</v>
      </c>
      <c r="F917">
        <v>22589</v>
      </c>
      <c r="G917" t="s">
        <v>23</v>
      </c>
      <c r="H917">
        <v>15</v>
      </c>
      <c r="I917">
        <v>29336</v>
      </c>
      <c r="J917" t="s">
        <v>96</v>
      </c>
      <c r="K917" t="s">
        <v>25</v>
      </c>
      <c r="L917" t="s">
        <v>51</v>
      </c>
      <c r="M917">
        <v>3</v>
      </c>
      <c r="N917">
        <v>38.1</v>
      </c>
      <c r="O917">
        <v>58.34</v>
      </c>
      <c r="P917">
        <v>5.83</v>
      </c>
      <c r="Q917">
        <v>5.83</v>
      </c>
      <c r="R917" t="s">
        <v>30</v>
      </c>
      <c r="S917">
        <v>29</v>
      </c>
      <c r="T917">
        <v>1</v>
      </c>
      <c r="U917">
        <v>2</v>
      </c>
      <c r="V917">
        <v>52.51</v>
      </c>
      <c r="W917">
        <v>13130000915</v>
      </c>
    </row>
    <row r="918" spans="1:23" x14ac:dyDescent="0.2">
      <c r="A918" s="1">
        <v>44800</v>
      </c>
      <c r="B918" s="2">
        <v>0.43571759259259257</v>
      </c>
      <c r="C918">
        <v>1916</v>
      </c>
      <c r="D918">
        <v>13002561</v>
      </c>
      <c r="E918">
        <v>13</v>
      </c>
      <c r="F918">
        <v>22589</v>
      </c>
      <c r="G918" t="s">
        <v>23</v>
      </c>
      <c r="H918">
        <v>18</v>
      </c>
      <c r="I918">
        <v>37208</v>
      </c>
      <c r="J918" t="s">
        <v>80</v>
      </c>
      <c r="K918" t="s">
        <v>25</v>
      </c>
      <c r="L918" t="s">
        <v>26</v>
      </c>
      <c r="M918">
        <v>1</v>
      </c>
      <c r="N918">
        <v>255.42</v>
      </c>
      <c r="O918">
        <v>364.13</v>
      </c>
      <c r="P918">
        <v>36.409999999999997</v>
      </c>
      <c r="Q918">
        <v>36.409999999999997</v>
      </c>
      <c r="R918" t="s">
        <v>30</v>
      </c>
      <c r="S918">
        <v>29</v>
      </c>
      <c r="T918">
        <v>1</v>
      </c>
      <c r="U918">
        <v>3</v>
      </c>
      <c r="V918">
        <v>327.72</v>
      </c>
      <c r="W918">
        <v>13130000916</v>
      </c>
    </row>
    <row r="919" spans="1:23" x14ac:dyDescent="0.2">
      <c r="A919" s="1">
        <v>44788</v>
      </c>
      <c r="B919" s="2">
        <v>0.63719907407407406</v>
      </c>
      <c r="C919">
        <v>1917</v>
      </c>
      <c r="D919">
        <v>13002561</v>
      </c>
      <c r="E919">
        <v>13</v>
      </c>
      <c r="F919">
        <v>22589</v>
      </c>
      <c r="G919" t="s">
        <v>23</v>
      </c>
      <c r="H919">
        <v>18</v>
      </c>
      <c r="I919">
        <v>21466</v>
      </c>
      <c r="J919" t="s">
        <v>108</v>
      </c>
      <c r="K919" t="s">
        <v>25</v>
      </c>
      <c r="L919" t="s">
        <v>29</v>
      </c>
      <c r="M919">
        <v>3</v>
      </c>
      <c r="N919">
        <v>422.63</v>
      </c>
      <c r="O919">
        <v>714.95</v>
      </c>
      <c r="P919">
        <v>35.75</v>
      </c>
      <c r="Q919">
        <v>35.75</v>
      </c>
      <c r="R919" t="s">
        <v>30</v>
      </c>
      <c r="S919">
        <v>29</v>
      </c>
      <c r="T919">
        <v>1</v>
      </c>
      <c r="U919">
        <v>1</v>
      </c>
      <c r="V919">
        <v>679.2</v>
      </c>
      <c r="W919">
        <v>13130000917</v>
      </c>
    </row>
    <row r="920" spans="1:23" x14ac:dyDescent="0.2">
      <c r="A920" s="1">
        <v>44799</v>
      </c>
      <c r="B920" s="2">
        <v>0.9549305555555555</v>
      </c>
      <c r="C920">
        <v>1918</v>
      </c>
      <c r="D920">
        <v>13002561</v>
      </c>
      <c r="E920">
        <v>13</v>
      </c>
      <c r="F920">
        <v>22589</v>
      </c>
      <c r="G920" t="s">
        <v>23</v>
      </c>
      <c r="H920">
        <v>18</v>
      </c>
      <c r="I920">
        <v>32230</v>
      </c>
      <c r="J920" t="s">
        <v>75</v>
      </c>
      <c r="K920" t="s">
        <v>60</v>
      </c>
      <c r="L920" t="s">
        <v>26</v>
      </c>
      <c r="M920">
        <v>1</v>
      </c>
      <c r="N920">
        <v>128.97999999999999</v>
      </c>
      <c r="O920">
        <v>166.05</v>
      </c>
      <c r="P920">
        <v>0</v>
      </c>
      <c r="Q920">
        <v>0</v>
      </c>
      <c r="S920">
        <v>29</v>
      </c>
      <c r="T920">
        <v>1</v>
      </c>
      <c r="U920">
        <v>2</v>
      </c>
      <c r="V920">
        <v>166.05</v>
      </c>
      <c r="W920">
        <v>13130000918</v>
      </c>
    </row>
    <row r="921" spans="1:23" x14ac:dyDescent="0.2">
      <c r="A921" s="1">
        <v>44793</v>
      </c>
      <c r="B921" s="2">
        <v>0.6322106481481482</v>
      </c>
      <c r="C921">
        <v>1919</v>
      </c>
      <c r="D921">
        <v>13002561</v>
      </c>
      <c r="E921">
        <v>13</v>
      </c>
      <c r="F921">
        <v>22589</v>
      </c>
      <c r="G921" t="s">
        <v>23</v>
      </c>
      <c r="H921">
        <v>15</v>
      </c>
      <c r="I921">
        <v>24445</v>
      </c>
      <c r="J921" t="s">
        <v>127</v>
      </c>
      <c r="K921" t="s">
        <v>28</v>
      </c>
      <c r="L921" t="s">
        <v>47</v>
      </c>
      <c r="M921">
        <v>1</v>
      </c>
      <c r="N921">
        <v>35.83</v>
      </c>
      <c r="O921">
        <v>51.1</v>
      </c>
      <c r="P921">
        <v>2.56</v>
      </c>
      <c r="Q921">
        <v>2.56</v>
      </c>
      <c r="R921" t="s">
        <v>30</v>
      </c>
      <c r="S921">
        <v>29</v>
      </c>
      <c r="T921">
        <v>1</v>
      </c>
      <c r="U921">
        <v>6</v>
      </c>
      <c r="V921">
        <v>48.54</v>
      </c>
      <c r="W921">
        <v>13130000919</v>
      </c>
    </row>
    <row r="922" spans="1:23" x14ac:dyDescent="0.2">
      <c r="A922" s="1">
        <v>44791</v>
      </c>
      <c r="B922" s="2">
        <v>0.47550925925925919</v>
      </c>
      <c r="C922">
        <v>1920</v>
      </c>
      <c r="D922">
        <v>13002561</v>
      </c>
      <c r="E922">
        <v>13</v>
      </c>
      <c r="F922">
        <v>22589</v>
      </c>
      <c r="G922" t="s">
        <v>23</v>
      </c>
      <c r="H922">
        <v>15</v>
      </c>
      <c r="I922">
        <v>73598</v>
      </c>
      <c r="J922" t="s">
        <v>69</v>
      </c>
      <c r="K922" t="s">
        <v>44</v>
      </c>
      <c r="L922" t="s">
        <v>34</v>
      </c>
      <c r="M922">
        <v>3</v>
      </c>
      <c r="N922">
        <v>414</v>
      </c>
      <c r="O922">
        <v>564.9</v>
      </c>
      <c r="P922">
        <v>0</v>
      </c>
      <c r="Q922">
        <v>0</v>
      </c>
      <c r="S922">
        <v>29</v>
      </c>
      <c r="T922">
        <v>1</v>
      </c>
      <c r="U922">
        <v>6</v>
      </c>
      <c r="V922">
        <v>564.9</v>
      </c>
      <c r="W922">
        <v>13130000920</v>
      </c>
    </row>
    <row r="923" spans="1:23" x14ac:dyDescent="0.2">
      <c r="A923" s="1">
        <v>44788</v>
      </c>
      <c r="B923" s="2">
        <v>0.87649305555555557</v>
      </c>
      <c r="C923">
        <v>1921</v>
      </c>
      <c r="D923">
        <v>13002561</v>
      </c>
      <c r="E923">
        <v>13</v>
      </c>
      <c r="F923">
        <v>22589</v>
      </c>
      <c r="G923" t="s">
        <v>23</v>
      </c>
      <c r="H923">
        <v>15</v>
      </c>
      <c r="I923">
        <v>14959</v>
      </c>
      <c r="J923" t="s">
        <v>114</v>
      </c>
      <c r="K923" t="s">
        <v>44</v>
      </c>
      <c r="L923" t="s">
        <v>51</v>
      </c>
      <c r="M923">
        <v>1</v>
      </c>
      <c r="N923">
        <v>341.2</v>
      </c>
      <c r="O923">
        <v>490.84</v>
      </c>
      <c r="P923">
        <v>0</v>
      </c>
      <c r="Q923">
        <v>0</v>
      </c>
      <c r="S923">
        <v>29</v>
      </c>
      <c r="T923">
        <v>1</v>
      </c>
      <c r="U923">
        <v>4</v>
      </c>
      <c r="V923">
        <v>490.84</v>
      </c>
      <c r="W923">
        <v>13130000921</v>
      </c>
    </row>
    <row r="924" spans="1:23" x14ac:dyDescent="0.2">
      <c r="A924" s="1">
        <v>44785</v>
      </c>
      <c r="B924" s="2">
        <v>0.80863425925925925</v>
      </c>
      <c r="C924">
        <v>1922</v>
      </c>
      <c r="D924">
        <v>13002561</v>
      </c>
      <c r="E924">
        <v>13</v>
      </c>
      <c r="F924">
        <v>22589</v>
      </c>
      <c r="G924" t="s">
        <v>23</v>
      </c>
      <c r="H924">
        <v>15</v>
      </c>
      <c r="I924">
        <v>75973</v>
      </c>
      <c r="J924" t="s">
        <v>27</v>
      </c>
      <c r="K924" t="s">
        <v>38</v>
      </c>
      <c r="L924" t="s">
        <v>51</v>
      </c>
      <c r="M924">
        <v>3</v>
      </c>
      <c r="N924">
        <v>317.39</v>
      </c>
      <c r="O924">
        <v>517.1</v>
      </c>
      <c r="P924">
        <v>25.86</v>
      </c>
      <c r="Q924">
        <v>25.86</v>
      </c>
      <c r="R924" t="s">
        <v>30</v>
      </c>
      <c r="S924">
        <v>29</v>
      </c>
      <c r="T924">
        <v>1</v>
      </c>
      <c r="U924">
        <v>4</v>
      </c>
      <c r="V924">
        <v>491.24</v>
      </c>
      <c r="W924">
        <v>13130000922</v>
      </c>
    </row>
    <row r="925" spans="1:23" x14ac:dyDescent="0.2">
      <c r="A925" s="1">
        <v>44803</v>
      </c>
      <c r="B925" s="2">
        <v>0.86114583333333339</v>
      </c>
      <c r="C925">
        <v>1923</v>
      </c>
      <c r="D925">
        <v>13002561</v>
      </c>
      <c r="E925">
        <v>13</v>
      </c>
      <c r="F925">
        <v>22589</v>
      </c>
      <c r="G925" t="s">
        <v>23</v>
      </c>
      <c r="H925">
        <v>18</v>
      </c>
      <c r="I925">
        <v>51013</v>
      </c>
      <c r="J925" t="s">
        <v>67</v>
      </c>
      <c r="K925" t="s">
        <v>25</v>
      </c>
      <c r="L925" t="s">
        <v>34</v>
      </c>
      <c r="M925">
        <v>1</v>
      </c>
      <c r="N925">
        <v>552.52</v>
      </c>
      <c r="O925">
        <v>861.16</v>
      </c>
      <c r="P925">
        <v>0</v>
      </c>
      <c r="Q925">
        <v>0</v>
      </c>
      <c r="S925">
        <v>29</v>
      </c>
      <c r="T925">
        <v>1</v>
      </c>
      <c r="U925">
        <v>5</v>
      </c>
      <c r="V925">
        <v>861.16</v>
      </c>
      <c r="W925">
        <v>13130000923</v>
      </c>
    </row>
    <row r="926" spans="1:23" x14ac:dyDescent="0.2">
      <c r="A926" s="1">
        <v>44791</v>
      </c>
      <c r="B926" s="2">
        <v>0.92780092592592589</v>
      </c>
      <c r="C926">
        <v>1924</v>
      </c>
      <c r="D926">
        <v>13002561</v>
      </c>
      <c r="E926">
        <v>13</v>
      </c>
      <c r="F926">
        <v>22589</v>
      </c>
      <c r="G926" t="s">
        <v>23</v>
      </c>
      <c r="H926">
        <v>18</v>
      </c>
      <c r="I926">
        <v>76770</v>
      </c>
      <c r="J926" t="s">
        <v>66</v>
      </c>
      <c r="K926" t="s">
        <v>38</v>
      </c>
      <c r="L926" t="s">
        <v>36</v>
      </c>
      <c r="M926">
        <v>1</v>
      </c>
      <c r="N926">
        <v>63.18</v>
      </c>
      <c r="O926">
        <v>80.06</v>
      </c>
      <c r="P926">
        <v>0</v>
      </c>
      <c r="Q926">
        <v>0</v>
      </c>
      <c r="S926">
        <v>29</v>
      </c>
      <c r="T926">
        <v>1</v>
      </c>
      <c r="U926">
        <v>1</v>
      </c>
      <c r="V926">
        <v>80.06</v>
      </c>
      <c r="W926">
        <v>13130000924</v>
      </c>
    </row>
    <row r="927" spans="1:23" x14ac:dyDescent="0.2">
      <c r="A927" s="1">
        <v>44793</v>
      </c>
      <c r="B927" s="2">
        <v>0.35046296296296298</v>
      </c>
      <c r="C927">
        <v>1925</v>
      </c>
      <c r="D927">
        <v>13002561</v>
      </c>
      <c r="E927">
        <v>13</v>
      </c>
      <c r="F927">
        <v>22589</v>
      </c>
      <c r="G927" t="s">
        <v>23</v>
      </c>
      <c r="H927">
        <v>18</v>
      </c>
      <c r="I927">
        <v>23484</v>
      </c>
      <c r="J927" t="s">
        <v>37</v>
      </c>
      <c r="K927" t="s">
        <v>60</v>
      </c>
      <c r="L927" t="s">
        <v>29</v>
      </c>
      <c r="M927">
        <v>1</v>
      </c>
      <c r="N927">
        <v>102.74</v>
      </c>
      <c r="O927">
        <v>167.73</v>
      </c>
      <c r="P927">
        <v>16.77</v>
      </c>
      <c r="Q927">
        <v>16.77</v>
      </c>
      <c r="R927" t="s">
        <v>30</v>
      </c>
      <c r="S927">
        <v>29</v>
      </c>
      <c r="T927">
        <v>1</v>
      </c>
      <c r="U927">
        <v>3</v>
      </c>
      <c r="V927">
        <v>150.96</v>
      </c>
      <c r="W927">
        <v>13130000925</v>
      </c>
    </row>
    <row r="928" spans="1:23" x14ac:dyDescent="0.2">
      <c r="A928" s="1">
        <v>44779</v>
      </c>
      <c r="B928" s="2">
        <v>0.3679398148148148</v>
      </c>
      <c r="C928">
        <v>1926</v>
      </c>
      <c r="D928">
        <v>13002561</v>
      </c>
      <c r="E928">
        <v>13</v>
      </c>
      <c r="F928">
        <v>22589</v>
      </c>
      <c r="G928" t="s">
        <v>23</v>
      </c>
      <c r="H928">
        <v>18</v>
      </c>
      <c r="I928">
        <v>93493</v>
      </c>
      <c r="J928" t="s">
        <v>31</v>
      </c>
      <c r="K928" t="s">
        <v>25</v>
      </c>
      <c r="L928" t="s">
        <v>51</v>
      </c>
      <c r="M928">
        <v>2</v>
      </c>
      <c r="N928">
        <v>587.51</v>
      </c>
      <c r="O928">
        <v>818.27</v>
      </c>
      <c r="P928">
        <v>0</v>
      </c>
      <c r="Q928">
        <v>0</v>
      </c>
      <c r="S928">
        <v>29</v>
      </c>
      <c r="T928">
        <v>1</v>
      </c>
      <c r="U928">
        <v>4</v>
      </c>
      <c r="V928">
        <v>818.27</v>
      </c>
      <c r="W928">
        <v>13130000926</v>
      </c>
    </row>
    <row r="929" spans="1:23" x14ac:dyDescent="0.2">
      <c r="A929" s="1">
        <v>44794</v>
      </c>
      <c r="B929" s="2">
        <v>0.84439814814814818</v>
      </c>
      <c r="C929">
        <v>1927</v>
      </c>
      <c r="D929">
        <v>13002561</v>
      </c>
      <c r="E929">
        <v>13</v>
      </c>
      <c r="F929">
        <v>22589</v>
      </c>
      <c r="G929" t="s">
        <v>23</v>
      </c>
      <c r="H929">
        <v>15</v>
      </c>
      <c r="I929">
        <v>33131</v>
      </c>
      <c r="J929" t="s">
        <v>62</v>
      </c>
      <c r="K929" t="s">
        <v>60</v>
      </c>
      <c r="L929" t="s">
        <v>26</v>
      </c>
      <c r="M929">
        <v>2</v>
      </c>
      <c r="N929">
        <v>102.87</v>
      </c>
      <c r="O929">
        <v>147.97</v>
      </c>
      <c r="P929">
        <v>7.4</v>
      </c>
      <c r="Q929">
        <v>7.4</v>
      </c>
      <c r="R929" t="s">
        <v>30</v>
      </c>
      <c r="S929">
        <v>29</v>
      </c>
      <c r="T929">
        <v>1</v>
      </c>
      <c r="U929">
        <v>6</v>
      </c>
      <c r="V929">
        <v>140.57</v>
      </c>
      <c r="W929">
        <v>13130000927</v>
      </c>
    </row>
    <row r="930" spans="1:23" x14ac:dyDescent="0.2">
      <c r="A930" s="1">
        <v>44802</v>
      </c>
      <c r="B930" s="2">
        <v>0.63026620370370368</v>
      </c>
      <c r="C930">
        <v>1928</v>
      </c>
      <c r="D930">
        <v>13002561</v>
      </c>
      <c r="E930">
        <v>13</v>
      </c>
      <c r="F930">
        <v>22589</v>
      </c>
      <c r="G930" t="s">
        <v>23</v>
      </c>
      <c r="H930">
        <v>15</v>
      </c>
      <c r="I930">
        <v>74456</v>
      </c>
      <c r="J930" t="s">
        <v>46</v>
      </c>
      <c r="K930" t="s">
        <v>28</v>
      </c>
      <c r="L930" t="s">
        <v>39</v>
      </c>
      <c r="M930">
        <v>2</v>
      </c>
      <c r="N930">
        <v>552.39</v>
      </c>
      <c r="O930">
        <v>931.12</v>
      </c>
      <c r="P930">
        <v>0</v>
      </c>
      <c r="Q930">
        <v>0</v>
      </c>
      <c r="S930">
        <v>29</v>
      </c>
      <c r="T930">
        <v>1</v>
      </c>
      <c r="U930">
        <v>3</v>
      </c>
      <c r="V930">
        <v>931.12</v>
      </c>
      <c r="W930">
        <v>13130000928</v>
      </c>
    </row>
    <row r="931" spans="1:23" x14ac:dyDescent="0.2">
      <c r="A931" s="1">
        <v>44787</v>
      </c>
      <c r="B931" s="2">
        <v>0.61145833333333333</v>
      </c>
      <c r="C931">
        <v>1929</v>
      </c>
      <c r="D931">
        <v>13002561</v>
      </c>
      <c r="E931">
        <v>13</v>
      </c>
      <c r="F931">
        <v>22589</v>
      </c>
      <c r="G931" t="s">
        <v>23</v>
      </c>
      <c r="H931">
        <v>18</v>
      </c>
      <c r="I931">
        <v>71473</v>
      </c>
      <c r="J931" t="s">
        <v>78</v>
      </c>
      <c r="K931" t="s">
        <v>38</v>
      </c>
      <c r="L931" t="s">
        <v>29</v>
      </c>
      <c r="M931">
        <v>3</v>
      </c>
      <c r="N931">
        <v>305.49</v>
      </c>
      <c r="O931">
        <v>508.09</v>
      </c>
      <c r="P931">
        <v>0</v>
      </c>
      <c r="Q931">
        <v>0</v>
      </c>
      <c r="S931">
        <v>29</v>
      </c>
      <c r="T931">
        <v>1</v>
      </c>
      <c r="U931">
        <v>6</v>
      </c>
      <c r="V931">
        <v>508.09</v>
      </c>
      <c r="W931">
        <v>13130000929</v>
      </c>
    </row>
    <row r="932" spans="1:23" x14ac:dyDescent="0.2">
      <c r="A932" s="1">
        <v>44783</v>
      </c>
      <c r="B932" s="2">
        <v>0.34476851851851847</v>
      </c>
      <c r="C932">
        <v>1930</v>
      </c>
      <c r="D932">
        <v>13002561</v>
      </c>
      <c r="E932">
        <v>13</v>
      </c>
      <c r="F932">
        <v>22589</v>
      </c>
      <c r="G932" t="s">
        <v>23</v>
      </c>
      <c r="H932">
        <v>18</v>
      </c>
      <c r="I932">
        <v>54731</v>
      </c>
      <c r="J932" t="s">
        <v>107</v>
      </c>
      <c r="K932" t="s">
        <v>60</v>
      </c>
      <c r="L932" t="s">
        <v>29</v>
      </c>
      <c r="M932">
        <v>3</v>
      </c>
      <c r="N932">
        <v>320.45</v>
      </c>
      <c r="O932">
        <v>489.66</v>
      </c>
      <c r="P932">
        <v>24.48</v>
      </c>
      <c r="Q932">
        <v>24.48</v>
      </c>
      <c r="R932" t="s">
        <v>30</v>
      </c>
      <c r="S932">
        <v>29</v>
      </c>
      <c r="T932">
        <v>1</v>
      </c>
      <c r="U932">
        <v>5</v>
      </c>
      <c r="V932">
        <v>465.18</v>
      </c>
      <c r="W932">
        <v>13130000930</v>
      </c>
    </row>
    <row r="933" spans="1:23" x14ac:dyDescent="0.2">
      <c r="A933" s="1">
        <v>44802</v>
      </c>
      <c r="B933" s="2">
        <v>0.53640046296296295</v>
      </c>
      <c r="C933">
        <v>1931</v>
      </c>
      <c r="D933">
        <v>13002561</v>
      </c>
      <c r="E933">
        <v>13</v>
      </c>
      <c r="F933">
        <v>22589</v>
      </c>
      <c r="G933" t="s">
        <v>23</v>
      </c>
      <c r="H933">
        <v>15</v>
      </c>
      <c r="I933">
        <v>49113</v>
      </c>
      <c r="J933" t="s">
        <v>85</v>
      </c>
      <c r="K933" t="s">
        <v>28</v>
      </c>
      <c r="L933" t="s">
        <v>39</v>
      </c>
      <c r="M933">
        <v>3</v>
      </c>
      <c r="N933">
        <v>91.09</v>
      </c>
      <c r="O933">
        <v>151.72999999999999</v>
      </c>
      <c r="P933">
        <v>0</v>
      </c>
      <c r="Q933">
        <v>0</v>
      </c>
      <c r="S933">
        <v>29</v>
      </c>
      <c r="T933">
        <v>1</v>
      </c>
      <c r="U933">
        <v>4</v>
      </c>
      <c r="V933">
        <v>151.72999999999999</v>
      </c>
      <c r="W933">
        <v>13130000931</v>
      </c>
    </row>
    <row r="934" spans="1:23" x14ac:dyDescent="0.2">
      <c r="A934" s="1">
        <v>44798</v>
      </c>
      <c r="B934" s="2">
        <v>0.93516203703703704</v>
      </c>
      <c r="C934">
        <v>1932</v>
      </c>
      <c r="D934">
        <v>13002561</v>
      </c>
      <c r="E934">
        <v>13</v>
      </c>
      <c r="F934">
        <v>22589</v>
      </c>
      <c r="G934" t="s">
        <v>23</v>
      </c>
      <c r="H934">
        <v>15</v>
      </c>
      <c r="I934">
        <v>48791</v>
      </c>
      <c r="J934" t="s">
        <v>84</v>
      </c>
      <c r="K934" t="s">
        <v>60</v>
      </c>
      <c r="L934" t="s">
        <v>39</v>
      </c>
      <c r="M934">
        <v>1</v>
      </c>
      <c r="N934">
        <v>319.89</v>
      </c>
      <c r="O934">
        <v>526.65</v>
      </c>
      <c r="P934">
        <v>26.33</v>
      </c>
      <c r="Q934">
        <v>26.33</v>
      </c>
      <c r="R934" t="s">
        <v>30</v>
      </c>
      <c r="S934">
        <v>29</v>
      </c>
      <c r="T934">
        <v>1</v>
      </c>
      <c r="U934">
        <v>5</v>
      </c>
      <c r="V934">
        <v>500.32</v>
      </c>
      <c r="W934">
        <v>13130000932</v>
      </c>
    </row>
    <row r="935" spans="1:23" x14ac:dyDescent="0.2">
      <c r="A935" s="1">
        <v>44775</v>
      </c>
      <c r="B935" s="2">
        <v>0.47767361111111112</v>
      </c>
      <c r="C935">
        <v>1933</v>
      </c>
      <c r="D935">
        <v>13002561</v>
      </c>
      <c r="E935">
        <v>13</v>
      </c>
      <c r="F935">
        <v>22589</v>
      </c>
      <c r="G935" t="s">
        <v>23</v>
      </c>
      <c r="H935">
        <v>15</v>
      </c>
      <c r="I935">
        <v>46425</v>
      </c>
      <c r="J935" t="s">
        <v>84</v>
      </c>
      <c r="K935" t="s">
        <v>25</v>
      </c>
      <c r="L935" t="s">
        <v>32</v>
      </c>
      <c r="M935">
        <v>3</v>
      </c>
      <c r="N935">
        <v>201.94</v>
      </c>
      <c r="O935">
        <v>314.57</v>
      </c>
      <c r="P935">
        <v>31.46</v>
      </c>
      <c r="Q935">
        <v>31.46</v>
      </c>
      <c r="R935" t="s">
        <v>30</v>
      </c>
      <c r="S935">
        <v>29</v>
      </c>
      <c r="T935">
        <v>1</v>
      </c>
      <c r="U935">
        <v>5</v>
      </c>
      <c r="V935">
        <v>283.11</v>
      </c>
      <c r="W935">
        <v>13130000933</v>
      </c>
    </row>
    <row r="936" spans="1:23" x14ac:dyDescent="0.2">
      <c r="A936" s="1">
        <v>44801</v>
      </c>
      <c r="B936" s="2">
        <v>0.42856481481481479</v>
      </c>
      <c r="C936">
        <v>1934</v>
      </c>
      <c r="D936">
        <v>13002561</v>
      </c>
      <c r="E936">
        <v>13</v>
      </c>
      <c r="F936">
        <v>22589</v>
      </c>
      <c r="G936" t="s">
        <v>23</v>
      </c>
      <c r="H936">
        <v>15</v>
      </c>
      <c r="I936">
        <v>19814</v>
      </c>
      <c r="J936" t="s">
        <v>105</v>
      </c>
      <c r="K936" t="s">
        <v>45</v>
      </c>
      <c r="L936" t="s">
        <v>32</v>
      </c>
      <c r="M936">
        <v>2</v>
      </c>
      <c r="N936">
        <v>90.22</v>
      </c>
      <c r="O936">
        <v>129.33000000000001</v>
      </c>
      <c r="P936">
        <v>12.93</v>
      </c>
      <c r="Q936">
        <v>12.93</v>
      </c>
      <c r="R936" t="s">
        <v>30</v>
      </c>
      <c r="S936">
        <v>29</v>
      </c>
      <c r="T936">
        <v>1</v>
      </c>
      <c r="U936">
        <v>2</v>
      </c>
      <c r="V936">
        <v>116.4</v>
      </c>
      <c r="W936">
        <v>13130000934</v>
      </c>
    </row>
    <row r="937" spans="1:23" x14ac:dyDescent="0.2">
      <c r="A937" s="1">
        <v>44799</v>
      </c>
      <c r="B937" s="2">
        <v>0.41418981481481482</v>
      </c>
      <c r="C937">
        <v>1935</v>
      </c>
      <c r="D937">
        <v>13002561</v>
      </c>
      <c r="E937">
        <v>13</v>
      </c>
      <c r="F937">
        <v>22589</v>
      </c>
      <c r="G937" t="s">
        <v>23</v>
      </c>
      <c r="H937">
        <v>18</v>
      </c>
      <c r="I937">
        <v>86857</v>
      </c>
      <c r="J937" t="s">
        <v>95</v>
      </c>
      <c r="K937" t="s">
        <v>38</v>
      </c>
      <c r="L937" t="s">
        <v>26</v>
      </c>
      <c r="M937">
        <v>2</v>
      </c>
      <c r="N937">
        <v>255.25</v>
      </c>
      <c r="O937">
        <v>413.96</v>
      </c>
      <c r="P937">
        <v>0</v>
      </c>
      <c r="Q937">
        <v>0</v>
      </c>
      <c r="S937">
        <v>29</v>
      </c>
      <c r="T937">
        <v>1</v>
      </c>
      <c r="U937">
        <v>5</v>
      </c>
      <c r="V937">
        <v>413.96</v>
      </c>
      <c r="W937">
        <v>13130000935</v>
      </c>
    </row>
    <row r="938" spans="1:23" x14ac:dyDescent="0.2">
      <c r="A938" s="1">
        <v>44794</v>
      </c>
      <c r="B938" s="2">
        <v>0.82853009259259258</v>
      </c>
      <c r="C938">
        <v>1936</v>
      </c>
      <c r="D938">
        <v>13002561</v>
      </c>
      <c r="E938">
        <v>13</v>
      </c>
      <c r="F938">
        <v>22589</v>
      </c>
      <c r="G938" t="s">
        <v>23</v>
      </c>
      <c r="H938">
        <v>18</v>
      </c>
      <c r="I938">
        <v>32585</v>
      </c>
      <c r="J938" t="s">
        <v>82</v>
      </c>
      <c r="K938" t="s">
        <v>44</v>
      </c>
      <c r="L938" t="s">
        <v>34</v>
      </c>
      <c r="M938">
        <v>2</v>
      </c>
      <c r="N938">
        <v>97.45</v>
      </c>
      <c r="O938">
        <v>134.03</v>
      </c>
      <c r="P938">
        <v>6.7</v>
      </c>
      <c r="Q938">
        <v>6.7</v>
      </c>
      <c r="R938" t="s">
        <v>30</v>
      </c>
      <c r="S938">
        <v>29</v>
      </c>
      <c r="T938">
        <v>1</v>
      </c>
      <c r="U938">
        <v>1</v>
      </c>
      <c r="V938">
        <v>127.33</v>
      </c>
      <c r="W938">
        <v>13130000936</v>
      </c>
    </row>
    <row r="939" spans="1:23" x14ac:dyDescent="0.2">
      <c r="A939" s="1">
        <v>44792</v>
      </c>
      <c r="B939" s="2">
        <v>0.75767361111111109</v>
      </c>
      <c r="C939">
        <v>1937</v>
      </c>
      <c r="D939">
        <v>13002561</v>
      </c>
      <c r="E939">
        <v>13</v>
      </c>
      <c r="F939">
        <v>22589</v>
      </c>
      <c r="G939" t="s">
        <v>23</v>
      </c>
      <c r="H939">
        <v>15</v>
      </c>
      <c r="I939">
        <v>58149</v>
      </c>
      <c r="J939" t="s">
        <v>46</v>
      </c>
      <c r="K939" t="s">
        <v>60</v>
      </c>
      <c r="L939" t="s">
        <v>39</v>
      </c>
      <c r="M939">
        <v>2</v>
      </c>
      <c r="N939">
        <v>208.62</v>
      </c>
      <c r="O939">
        <v>325.87</v>
      </c>
      <c r="P939">
        <v>32.590000000000003</v>
      </c>
      <c r="Q939">
        <v>32.590000000000003</v>
      </c>
      <c r="R939" t="s">
        <v>30</v>
      </c>
      <c r="S939">
        <v>29</v>
      </c>
      <c r="T939">
        <v>1</v>
      </c>
      <c r="U939">
        <v>1</v>
      </c>
      <c r="V939">
        <v>293.27999999999997</v>
      </c>
      <c r="W939">
        <v>13130000937</v>
      </c>
    </row>
    <row r="940" spans="1:23" x14ac:dyDescent="0.2">
      <c r="A940" s="1">
        <v>44798</v>
      </c>
      <c r="B940" s="2">
        <v>0.55444444444444441</v>
      </c>
      <c r="C940">
        <v>1938</v>
      </c>
      <c r="D940">
        <v>13002561</v>
      </c>
      <c r="E940">
        <v>13</v>
      </c>
      <c r="F940">
        <v>22589</v>
      </c>
      <c r="G940" t="s">
        <v>23</v>
      </c>
      <c r="H940">
        <v>18</v>
      </c>
      <c r="I940">
        <v>39051</v>
      </c>
      <c r="J940" t="s">
        <v>112</v>
      </c>
      <c r="K940" t="s">
        <v>28</v>
      </c>
      <c r="L940" t="s">
        <v>36</v>
      </c>
      <c r="M940">
        <v>2</v>
      </c>
      <c r="N940">
        <v>232.61</v>
      </c>
      <c r="O940">
        <v>382.24</v>
      </c>
      <c r="P940">
        <v>38.22</v>
      </c>
      <c r="Q940">
        <v>38.22</v>
      </c>
      <c r="R940" t="s">
        <v>30</v>
      </c>
      <c r="S940">
        <v>29</v>
      </c>
      <c r="T940">
        <v>1</v>
      </c>
      <c r="U940">
        <v>6</v>
      </c>
      <c r="V940">
        <v>344.02</v>
      </c>
      <c r="W940">
        <v>13130000938</v>
      </c>
    </row>
    <row r="941" spans="1:23" x14ac:dyDescent="0.2">
      <c r="A941" s="1">
        <v>44781</v>
      </c>
      <c r="B941" s="2">
        <v>0.83460648148148153</v>
      </c>
      <c r="C941">
        <v>1939</v>
      </c>
      <c r="D941">
        <v>13002561</v>
      </c>
      <c r="E941">
        <v>13</v>
      </c>
      <c r="F941">
        <v>22589</v>
      </c>
      <c r="G941" t="s">
        <v>23</v>
      </c>
      <c r="H941">
        <v>15</v>
      </c>
      <c r="I941">
        <v>59333</v>
      </c>
      <c r="J941" t="s">
        <v>121</v>
      </c>
      <c r="K941" t="s">
        <v>44</v>
      </c>
      <c r="L941" t="s">
        <v>39</v>
      </c>
      <c r="M941">
        <v>2</v>
      </c>
      <c r="N941">
        <v>395.51</v>
      </c>
      <c r="O941">
        <v>528.51</v>
      </c>
      <c r="P941">
        <v>52.85</v>
      </c>
      <c r="Q941">
        <v>52.85</v>
      </c>
      <c r="R941" t="s">
        <v>30</v>
      </c>
      <c r="S941">
        <v>29</v>
      </c>
      <c r="T941">
        <v>1</v>
      </c>
      <c r="U941">
        <v>6</v>
      </c>
      <c r="V941">
        <v>475.66</v>
      </c>
      <c r="W941">
        <v>13130000939</v>
      </c>
    </row>
    <row r="942" spans="1:23" x14ac:dyDescent="0.2">
      <c r="A942" s="1">
        <v>44791</v>
      </c>
      <c r="B942" s="2">
        <v>0.68559027777777781</v>
      </c>
      <c r="C942">
        <v>1940</v>
      </c>
      <c r="D942">
        <v>13002561</v>
      </c>
      <c r="E942">
        <v>13</v>
      </c>
      <c r="F942">
        <v>22589</v>
      </c>
      <c r="G942" t="s">
        <v>23</v>
      </c>
      <c r="H942">
        <v>18</v>
      </c>
      <c r="I942">
        <v>77012</v>
      </c>
      <c r="J942" t="s">
        <v>120</v>
      </c>
      <c r="K942" t="s">
        <v>38</v>
      </c>
      <c r="L942" t="s">
        <v>51</v>
      </c>
      <c r="M942">
        <v>2</v>
      </c>
      <c r="N942">
        <v>249.64</v>
      </c>
      <c r="O942">
        <v>356.81</v>
      </c>
      <c r="P942">
        <v>17.84</v>
      </c>
      <c r="Q942">
        <v>17.84</v>
      </c>
      <c r="R942" t="s">
        <v>30</v>
      </c>
      <c r="S942">
        <v>29</v>
      </c>
      <c r="T942">
        <v>1</v>
      </c>
      <c r="U942">
        <v>3</v>
      </c>
      <c r="V942">
        <v>338.97</v>
      </c>
      <c r="W942">
        <v>13130000940</v>
      </c>
    </row>
    <row r="943" spans="1:23" x14ac:dyDescent="0.2">
      <c r="A943" s="1">
        <v>44797</v>
      </c>
      <c r="B943" s="2">
        <v>0.6074074074074074</v>
      </c>
      <c r="C943">
        <v>1941</v>
      </c>
      <c r="D943">
        <v>13002561</v>
      </c>
      <c r="E943">
        <v>13</v>
      </c>
      <c r="F943">
        <v>22589</v>
      </c>
      <c r="G943" t="s">
        <v>23</v>
      </c>
      <c r="H943">
        <v>18</v>
      </c>
      <c r="I943">
        <v>63398</v>
      </c>
      <c r="J943" t="s">
        <v>93</v>
      </c>
      <c r="K943" t="s">
        <v>28</v>
      </c>
      <c r="L943" t="s">
        <v>51</v>
      </c>
      <c r="M943">
        <v>2</v>
      </c>
      <c r="N943">
        <v>238.27</v>
      </c>
      <c r="O943">
        <v>303.77999999999997</v>
      </c>
      <c r="P943">
        <v>0</v>
      </c>
      <c r="Q943">
        <v>0</v>
      </c>
      <c r="S943">
        <v>29</v>
      </c>
      <c r="T943">
        <v>1</v>
      </c>
      <c r="U943">
        <v>3</v>
      </c>
      <c r="V943">
        <v>303.77999999999997</v>
      </c>
      <c r="W943">
        <v>13130000941</v>
      </c>
    </row>
    <row r="944" spans="1:23" x14ac:dyDescent="0.2">
      <c r="A944" s="1">
        <v>44774</v>
      </c>
      <c r="B944" s="2">
        <v>0.53623842592592597</v>
      </c>
      <c r="C944">
        <v>1942</v>
      </c>
      <c r="D944">
        <v>13002561</v>
      </c>
      <c r="E944">
        <v>13</v>
      </c>
      <c r="F944">
        <v>22589</v>
      </c>
      <c r="G944" t="s">
        <v>23</v>
      </c>
      <c r="H944">
        <v>18</v>
      </c>
      <c r="I944">
        <v>61680</v>
      </c>
      <c r="J944" t="s">
        <v>75</v>
      </c>
      <c r="K944" t="s">
        <v>25</v>
      </c>
      <c r="L944" t="s">
        <v>36</v>
      </c>
      <c r="M944">
        <v>2</v>
      </c>
      <c r="N944">
        <v>89.03</v>
      </c>
      <c r="O944">
        <v>116.87</v>
      </c>
      <c r="P944">
        <v>11.69</v>
      </c>
      <c r="Q944">
        <v>11.69</v>
      </c>
      <c r="R944" t="s">
        <v>30</v>
      </c>
      <c r="S944">
        <v>29</v>
      </c>
      <c r="T944">
        <v>1</v>
      </c>
      <c r="U944">
        <v>1</v>
      </c>
      <c r="V944">
        <v>105.18</v>
      </c>
      <c r="W944">
        <v>13130000942</v>
      </c>
    </row>
    <row r="945" spans="1:23" x14ac:dyDescent="0.2">
      <c r="A945" s="1">
        <v>44799</v>
      </c>
      <c r="B945" s="2">
        <v>0.79989583333333336</v>
      </c>
      <c r="C945">
        <v>1943</v>
      </c>
      <c r="D945">
        <v>13002561</v>
      </c>
      <c r="E945">
        <v>13</v>
      </c>
      <c r="F945">
        <v>22589</v>
      </c>
      <c r="G945" t="s">
        <v>23</v>
      </c>
      <c r="H945">
        <v>18</v>
      </c>
      <c r="I945">
        <v>31148</v>
      </c>
      <c r="J945" t="s">
        <v>66</v>
      </c>
      <c r="K945" t="s">
        <v>38</v>
      </c>
      <c r="L945" t="s">
        <v>36</v>
      </c>
      <c r="M945">
        <v>3</v>
      </c>
      <c r="N945">
        <v>124.12</v>
      </c>
      <c r="O945">
        <v>174.05</v>
      </c>
      <c r="P945">
        <v>17.41</v>
      </c>
      <c r="Q945">
        <v>17.41</v>
      </c>
      <c r="R945" t="s">
        <v>30</v>
      </c>
      <c r="S945">
        <v>29</v>
      </c>
      <c r="T945">
        <v>1</v>
      </c>
      <c r="U945">
        <v>1</v>
      </c>
      <c r="V945">
        <v>156.63999999999999</v>
      </c>
      <c r="W945">
        <v>13130000943</v>
      </c>
    </row>
    <row r="946" spans="1:23" x14ac:dyDescent="0.2">
      <c r="A946" s="1">
        <v>44780</v>
      </c>
      <c r="B946" s="2">
        <v>0.63284722222222223</v>
      </c>
      <c r="C946">
        <v>1944</v>
      </c>
      <c r="D946">
        <v>13002561</v>
      </c>
      <c r="E946">
        <v>13</v>
      </c>
      <c r="F946">
        <v>22589</v>
      </c>
      <c r="G946" t="s">
        <v>23</v>
      </c>
      <c r="H946">
        <v>18</v>
      </c>
      <c r="I946">
        <v>23842</v>
      </c>
      <c r="J946" t="s">
        <v>63</v>
      </c>
      <c r="K946" t="s">
        <v>44</v>
      </c>
      <c r="L946" t="s">
        <v>26</v>
      </c>
      <c r="M946">
        <v>2</v>
      </c>
      <c r="N946">
        <v>437.45</v>
      </c>
      <c r="O946">
        <v>617.21</v>
      </c>
      <c r="P946">
        <v>61.72</v>
      </c>
      <c r="Q946">
        <v>61.72</v>
      </c>
      <c r="R946" t="s">
        <v>30</v>
      </c>
      <c r="S946">
        <v>29</v>
      </c>
      <c r="T946">
        <v>1</v>
      </c>
      <c r="U946">
        <v>1</v>
      </c>
      <c r="V946">
        <v>555.49</v>
      </c>
      <c r="W946">
        <v>13130000944</v>
      </c>
    </row>
    <row r="947" spans="1:23" x14ac:dyDescent="0.2">
      <c r="A947" s="1">
        <v>44783</v>
      </c>
      <c r="B947" s="2">
        <v>0.39716435185185178</v>
      </c>
      <c r="C947">
        <v>1945</v>
      </c>
      <c r="D947">
        <v>13002561</v>
      </c>
      <c r="E947">
        <v>13</v>
      </c>
      <c r="F947">
        <v>22589</v>
      </c>
      <c r="G947" t="s">
        <v>23</v>
      </c>
      <c r="H947">
        <v>18</v>
      </c>
      <c r="I947">
        <v>51868</v>
      </c>
      <c r="J947" t="s">
        <v>68</v>
      </c>
      <c r="K947" t="s">
        <v>60</v>
      </c>
      <c r="L947" t="s">
        <v>32</v>
      </c>
      <c r="M947">
        <v>2</v>
      </c>
      <c r="N947">
        <v>261.74</v>
      </c>
      <c r="O947">
        <v>405.05</v>
      </c>
      <c r="P947">
        <v>0</v>
      </c>
      <c r="Q947">
        <v>0</v>
      </c>
      <c r="S947">
        <v>29</v>
      </c>
      <c r="T947">
        <v>1</v>
      </c>
      <c r="U947">
        <v>3</v>
      </c>
      <c r="V947">
        <v>405.05</v>
      </c>
      <c r="W947">
        <v>13130000945</v>
      </c>
    </row>
    <row r="948" spans="1:23" x14ac:dyDescent="0.2">
      <c r="A948" s="1">
        <v>44788</v>
      </c>
      <c r="B948" s="2">
        <v>0.5733449074074074</v>
      </c>
      <c r="C948">
        <v>1946</v>
      </c>
      <c r="D948">
        <v>13002561</v>
      </c>
      <c r="E948">
        <v>13</v>
      </c>
      <c r="F948">
        <v>22589</v>
      </c>
      <c r="G948" t="s">
        <v>23</v>
      </c>
      <c r="H948">
        <v>15</v>
      </c>
      <c r="I948">
        <v>18159</v>
      </c>
      <c r="J948" t="s">
        <v>62</v>
      </c>
      <c r="K948" t="s">
        <v>45</v>
      </c>
      <c r="L948" t="s">
        <v>51</v>
      </c>
      <c r="M948">
        <v>3</v>
      </c>
      <c r="N948">
        <v>462.77</v>
      </c>
      <c r="O948">
        <v>617.52</v>
      </c>
      <c r="P948">
        <v>0</v>
      </c>
      <c r="Q948">
        <v>0</v>
      </c>
      <c r="S948">
        <v>29</v>
      </c>
      <c r="T948">
        <v>1</v>
      </c>
      <c r="U948">
        <v>5</v>
      </c>
      <c r="V948">
        <v>617.52</v>
      </c>
      <c r="W948">
        <v>13130000946</v>
      </c>
    </row>
    <row r="949" spans="1:23" x14ac:dyDescent="0.2">
      <c r="A949" s="1">
        <v>44778</v>
      </c>
      <c r="B949" s="2">
        <v>0.8924305555555555</v>
      </c>
      <c r="C949">
        <v>1947</v>
      </c>
      <c r="D949">
        <v>13002561</v>
      </c>
      <c r="E949">
        <v>13</v>
      </c>
      <c r="F949">
        <v>22589</v>
      </c>
      <c r="G949" t="s">
        <v>23</v>
      </c>
      <c r="H949">
        <v>18</v>
      </c>
      <c r="I949">
        <v>28612</v>
      </c>
      <c r="J949" t="s">
        <v>55</v>
      </c>
      <c r="K949" t="s">
        <v>38</v>
      </c>
      <c r="L949" t="s">
        <v>51</v>
      </c>
      <c r="M949">
        <v>3</v>
      </c>
      <c r="N949">
        <v>41.97</v>
      </c>
      <c r="O949">
        <v>57.35</v>
      </c>
      <c r="P949">
        <v>5.74</v>
      </c>
      <c r="Q949">
        <v>5.74</v>
      </c>
      <c r="R949" t="s">
        <v>30</v>
      </c>
      <c r="S949">
        <v>29</v>
      </c>
      <c r="T949">
        <v>1</v>
      </c>
      <c r="U949">
        <v>1</v>
      </c>
      <c r="V949">
        <v>51.61</v>
      </c>
      <c r="W949">
        <v>13130000947</v>
      </c>
    </row>
    <row r="950" spans="1:23" x14ac:dyDescent="0.2">
      <c r="A950" s="1">
        <v>44775</v>
      </c>
      <c r="B950" s="2">
        <v>0.77020833333333338</v>
      </c>
      <c r="C950">
        <v>1948</v>
      </c>
      <c r="D950">
        <v>13002561</v>
      </c>
      <c r="E950">
        <v>13</v>
      </c>
      <c r="F950">
        <v>22589</v>
      </c>
      <c r="G950" t="s">
        <v>23</v>
      </c>
      <c r="H950">
        <v>18</v>
      </c>
      <c r="I950">
        <v>39859</v>
      </c>
      <c r="J950" t="s">
        <v>24</v>
      </c>
      <c r="K950" t="s">
        <v>28</v>
      </c>
      <c r="L950" t="s">
        <v>39</v>
      </c>
      <c r="M950">
        <v>3</v>
      </c>
      <c r="N950">
        <v>219.34</v>
      </c>
      <c r="O950">
        <v>312.29000000000002</v>
      </c>
      <c r="P950">
        <v>0</v>
      </c>
      <c r="Q950">
        <v>0</v>
      </c>
      <c r="S950">
        <v>29</v>
      </c>
      <c r="T950">
        <v>1</v>
      </c>
      <c r="U950">
        <v>1</v>
      </c>
      <c r="V950">
        <v>312.29000000000002</v>
      </c>
      <c r="W950">
        <v>13130000948</v>
      </c>
    </row>
    <row r="951" spans="1:23" x14ac:dyDescent="0.2">
      <c r="A951" s="1">
        <v>44789</v>
      </c>
      <c r="B951" s="2">
        <v>0.53004629629629629</v>
      </c>
      <c r="C951">
        <v>1949</v>
      </c>
      <c r="D951">
        <v>13002561</v>
      </c>
      <c r="E951">
        <v>13</v>
      </c>
      <c r="F951">
        <v>22589</v>
      </c>
      <c r="G951" t="s">
        <v>23</v>
      </c>
      <c r="H951">
        <v>18</v>
      </c>
      <c r="I951">
        <v>88968</v>
      </c>
      <c r="J951" t="s">
        <v>46</v>
      </c>
      <c r="K951" t="s">
        <v>60</v>
      </c>
      <c r="L951" t="s">
        <v>32</v>
      </c>
      <c r="M951">
        <v>2</v>
      </c>
      <c r="N951">
        <v>399.61</v>
      </c>
      <c r="O951">
        <v>562.76</v>
      </c>
      <c r="P951">
        <v>0</v>
      </c>
      <c r="Q951">
        <v>0</v>
      </c>
      <c r="S951">
        <v>29</v>
      </c>
      <c r="T951">
        <v>1</v>
      </c>
      <c r="U951">
        <v>3</v>
      </c>
      <c r="V951">
        <v>562.76</v>
      </c>
      <c r="W951">
        <v>13130000949</v>
      </c>
    </row>
    <row r="952" spans="1:23" x14ac:dyDescent="0.2">
      <c r="A952" s="1">
        <v>44777</v>
      </c>
      <c r="B952" s="2">
        <v>0.71996527777777775</v>
      </c>
      <c r="C952">
        <v>1950</v>
      </c>
      <c r="D952">
        <v>13002561</v>
      </c>
      <c r="E952">
        <v>13</v>
      </c>
      <c r="F952">
        <v>22589</v>
      </c>
      <c r="G952" t="s">
        <v>23</v>
      </c>
      <c r="H952">
        <v>18</v>
      </c>
      <c r="I952">
        <v>86437</v>
      </c>
      <c r="J952" t="s">
        <v>108</v>
      </c>
      <c r="K952" t="s">
        <v>44</v>
      </c>
      <c r="L952" t="s">
        <v>36</v>
      </c>
      <c r="M952">
        <v>3</v>
      </c>
      <c r="N952">
        <v>315.27999999999997</v>
      </c>
      <c r="O952">
        <v>522.37</v>
      </c>
      <c r="P952">
        <v>52.24</v>
      </c>
      <c r="Q952">
        <v>52.24</v>
      </c>
      <c r="R952" t="s">
        <v>30</v>
      </c>
      <c r="S952">
        <v>29</v>
      </c>
      <c r="T952">
        <v>1</v>
      </c>
      <c r="U952">
        <v>3</v>
      </c>
      <c r="V952">
        <v>470.13</v>
      </c>
      <c r="W952">
        <v>13130000950</v>
      </c>
    </row>
    <row r="953" spans="1:23" x14ac:dyDescent="0.2">
      <c r="A953" s="1">
        <v>44799</v>
      </c>
      <c r="B953" s="2">
        <v>0.57454861111111111</v>
      </c>
      <c r="C953">
        <v>1951</v>
      </c>
      <c r="D953">
        <v>13002561</v>
      </c>
      <c r="E953">
        <v>13</v>
      </c>
      <c r="F953">
        <v>22589</v>
      </c>
      <c r="G953" t="s">
        <v>23</v>
      </c>
      <c r="H953">
        <v>15</v>
      </c>
      <c r="I953">
        <v>29504</v>
      </c>
      <c r="J953" t="s">
        <v>74</v>
      </c>
      <c r="K953" t="s">
        <v>60</v>
      </c>
      <c r="L953" t="s">
        <v>36</v>
      </c>
      <c r="M953">
        <v>3</v>
      </c>
      <c r="N953">
        <v>12.59</v>
      </c>
      <c r="O953">
        <v>18.29</v>
      </c>
      <c r="P953">
        <v>0.91</v>
      </c>
      <c r="Q953">
        <v>0.91</v>
      </c>
      <c r="R953" t="s">
        <v>30</v>
      </c>
      <c r="S953">
        <v>29</v>
      </c>
      <c r="T953">
        <v>1</v>
      </c>
      <c r="U953">
        <v>2</v>
      </c>
      <c r="V953">
        <v>17.38</v>
      </c>
      <c r="W953">
        <v>13130000951</v>
      </c>
    </row>
    <row r="954" spans="1:23" x14ac:dyDescent="0.2">
      <c r="A954" s="1">
        <v>44794</v>
      </c>
      <c r="B954" s="2">
        <v>0.91206018518518517</v>
      </c>
      <c r="C954">
        <v>1952</v>
      </c>
      <c r="D954">
        <v>13002561</v>
      </c>
      <c r="E954">
        <v>13</v>
      </c>
      <c r="F954">
        <v>22589</v>
      </c>
      <c r="G954" t="s">
        <v>23</v>
      </c>
      <c r="H954">
        <v>18</v>
      </c>
      <c r="I954">
        <v>88350</v>
      </c>
      <c r="J954" t="s">
        <v>111</v>
      </c>
      <c r="K954" t="s">
        <v>60</v>
      </c>
      <c r="L954" t="s">
        <v>29</v>
      </c>
      <c r="M954">
        <v>2</v>
      </c>
      <c r="N954">
        <v>131.03</v>
      </c>
      <c r="O954">
        <v>207.13</v>
      </c>
      <c r="P954">
        <v>10.36</v>
      </c>
      <c r="Q954">
        <v>10.36</v>
      </c>
      <c r="R954" t="s">
        <v>30</v>
      </c>
      <c r="S954">
        <v>29</v>
      </c>
      <c r="T954">
        <v>1</v>
      </c>
      <c r="U954">
        <v>4</v>
      </c>
      <c r="V954">
        <v>196.77</v>
      </c>
      <c r="W954">
        <v>13130000952</v>
      </c>
    </row>
    <row r="955" spans="1:23" x14ac:dyDescent="0.2">
      <c r="A955" s="1">
        <v>44792</v>
      </c>
      <c r="B955" s="2">
        <v>0.49577546296296299</v>
      </c>
      <c r="C955">
        <v>1953</v>
      </c>
      <c r="D955">
        <v>13002561</v>
      </c>
      <c r="E955">
        <v>13</v>
      </c>
      <c r="F955">
        <v>22589</v>
      </c>
      <c r="G955" t="s">
        <v>23</v>
      </c>
      <c r="H955">
        <v>15</v>
      </c>
      <c r="I955">
        <v>42596</v>
      </c>
      <c r="J955" t="s">
        <v>67</v>
      </c>
      <c r="K955" t="s">
        <v>25</v>
      </c>
      <c r="L955" t="s">
        <v>34</v>
      </c>
      <c r="M955">
        <v>1</v>
      </c>
      <c r="N955">
        <v>471.51</v>
      </c>
      <c r="O955">
        <v>772.97</v>
      </c>
      <c r="P955">
        <v>38.65</v>
      </c>
      <c r="Q955">
        <v>38.65</v>
      </c>
      <c r="R955" t="s">
        <v>30</v>
      </c>
      <c r="S955">
        <v>29</v>
      </c>
      <c r="T955">
        <v>1</v>
      </c>
      <c r="U955">
        <v>3</v>
      </c>
      <c r="V955">
        <v>734.32</v>
      </c>
      <c r="W955">
        <v>13130000953</v>
      </c>
    </row>
    <row r="956" spans="1:23" x14ac:dyDescent="0.2">
      <c r="A956" s="1">
        <v>44779</v>
      </c>
      <c r="B956" s="2">
        <v>0.83665509259259263</v>
      </c>
      <c r="C956">
        <v>1954</v>
      </c>
      <c r="D956">
        <v>13002561</v>
      </c>
      <c r="E956">
        <v>13</v>
      </c>
      <c r="F956">
        <v>22589</v>
      </c>
      <c r="G956" t="s">
        <v>23</v>
      </c>
      <c r="H956">
        <v>18</v>
      </c>
      <c r="I956">
        <v>32877</v>
      </c>
      <c r="J956" t="s">
        <v>94</v>
      </c>
      <c r="K956" t="s">
        <v>38</v>
      </c>
      <c r="L956" t="s">
        <v>34</v>
      </c>
      <c r="M956">
        <v>1</v>
      </c>
      <c r="N956">
        <v>140.25</v>
      </c>
      <c r="O956">
        <v>235.22</v>
      </c>
      <c r="P956">
        <v>11.76</v>
      </c>
      <c r="Q956">
        <v>11.76</v>
      </c>
      <c r="R956" t="s">
        <v>30</v>
      </c>
      <c r="S956">
        <v>29</v>
      </c>
      <c r="T956">
        <v>1</v>
      </c>
      <c r="U956">
        <v>5</v>
      </c>
      <c r="V956">
        <v>223.46</v>
      </c>
      <c r="W956">
        <v>13130000954</v>
      </c>
    </row>
    <row r="957" spans="1:23" x14ac:dyDescent="0.2">
      <c r="A957" s="1">
        <v>44785</v>
      </c>
      <c r="B957" s="2">
        <v>0.5141782407407407</v>
      </c>
      <c r="C957">
        <v>1955</v>
      </c>
      <c r="D957">
        <v>13002561</v>
      </c>
      <c r="E957">
        <v>13</v>
      </c>
      <c r="F957">
        <v>22589</v>
      </c>
      <c r="G957" t="s">
        <v>23</v>
      </c>
      <c r="H957">
        <v>15</v>
      </c>
      <c r="I957">
        <v>78347</v>
      </c>
      <c r="J957" t="s">
        <v>70</v>
      </c>
      <c r="K957" t="s">
        <v>45</v>
      </c>
      <c r="L957" t="s">
        <v>39</v>
      </c>
      <c r="M957">
        <v>3</v>
      </c>
      <c r="N957">
        <v>417.02</v>
      </c>
      <c r="O957">
        <v>645.04</v>
      </c>
      <c r="P957">
        <v>0</v>
      </c>
      <c r="Q957">
        <v>0</v>
      </c>
      <c r="S957">
        <v>29</v>
      </c>
      <c r="T957">
        <v>1</v>
      </c>
      <c r="U957">
        <v>5</v>
      </c>
      <c r="V957">
        <v>645.04</v>
      </c>
      <c r="W957">
        <v>13130000955</v>
      </c>
    </row>
    <row r="958" spans="1:23" x14ac:dyDescent="0.2">
      <c r="A958" s="1">
        <v>44786</v>
      </c>
      <c r="B958" s="2">
        <v>0.60226851851851848</v>
      </c>
      <c r="C958">
        <v>1956</v>
      </c>
      <c r="D958">
        <v>13002561</v>
      </c>
      <c r="E958">
        <v>13</v>
      </c>
      <c r="F958">
        <v>22589</v>
      </c>
      <c r="G958" t="s">
        <v>23</v>
      </c>
      <c r="H958">
        <v>15</v>
      </c>
      <c r="I958">
        <v>77354</v>
      </c>
      <c r="J958" t="s">
        <v>37</v>
      </c>
      <c r="K958" t="s">
        <v>28</v>
      </c>
      <c r="L958" t="s">
        <v>36</v>
      </c>
      <c r="M958">
        <v>1</v>
      </c>
      <c r="N958">
        <v>333.44</v>
      </c>
      <c r="O958">
        <v>463</v>
      </c>
      <c r="P958">
        <v>23.15</v>
      </c>
      <c r="Q958">
        <v>23.15</v>
      </c>
      <c r="R958" t="s">
        <v>30</v>
      </c>
      <c r="S958">
        <v>29</v>
      </c>
      <c r="T958">
        <v>1</v>
      </c>
      <c r="U958">
        <v>6</v>
      </c>
      <c r="V958">
        <v>439.85</v>
      </c>
      <c r="W958">
        <v>13130000956</v>
      </c>
    </row>
    <row r="959" spans="1:23" x14ac:dyDescent="0.2">
      <c r="A959" s="1">
        <v>44789</v>
      </c>
      <c r="B959" s="2">
        <v>0.56265046296296295</v>
      </c>
      <c r="C959">
        <v>1957</v>
      </c>
      <c r="D959">
        <v>13002561</v>
      </c>
      <c r="E959">
        <v>13</v>
      </c>
      <c r="F959">
        <v>22589</v>
      </c>
      <c r="G959" t="s">
        <v>23</v>
      </c>
      <c r="H959">
        <v>18</v>
      </c>
      <c r="I959">
        <v>75120</v>
      </c>
      <c r="J959" t="s">
        <v>27</v>
      </c>
      <c r="K959" t="s">
        <v>25</v>
      </c>
      <c r="L959" t="s">
        <v>34</v>
      </c>
      <c r="M959">
        <v>3</v>
      </c>
      <c r="N959">
        <v>136.15</v>
      </c>
      <c r="O959">
        <v>208.39</v>
      </c>
      <c r="P959">
        <v>10.42</v>
      </c>
      <c r="Q959">
        <v>10.42</v>
      </c>
      <c r="R959" t="s">
        <v>30</v>
      </c>
      <c r="S959">
        <v>29</v>
      </c>
      <c r="T959">
        <v>1</v>
      </c>
      <c r="U959">
        <v>5</v>
      </c>
      <c r="V959">
        <v>197.97</v>
      </c>
      <c r="W959">
        <v>13130000957</v>
      </c>
    </row>
    <row r="960" spans="1:23" x14ac:dyDescent="0.2">
      <c r="A960" s="1">
        <v>44794</v>
      </c>
      <c r="B960" s="2">
        <v>0.6535185185185185</v>
      </c>
      <c r="C960">
        <v>1958</v>
      </c>
      <c r="D960">
        <v>13002561</v>
      </c>
      <c r="E960">
        <v>13</v>
      </c>
      <c r="F960">
        <v>22589</v>
      </c>
      <c r="G960" t="s">
        <v>23</v>
      </c>
      <c r="H960">
        <v>15</v>
      </c>
      <c r="I960">
        <v>47560</v>
      </c>
      <c r="J960" t="s">
        <v>52</v>
      </c>
      <c r="K960" t="s">
        <v>60</v>
      </c>
      <c r="L960" t="s">
        <v>47</v>
      </c>
      <c r="M960">
        <v>1</v>
      </c>
      <c r="N960">
        <v>473.7</v>
      </c>
      <c r="O960">
        <v>727.42</v>
      </c>
      <c r="P960">
        <v>36.369999999999997</v>
      </c>
      <c r="Q960">
        <v>36.369999999999997</v>
      </c>
      <c r="R960" t="s">
        <v>30</v>
      </c>
      <c r="S960">
        <v>29</v>
      </c>
      <c r="T960">
        <v>1</v>
      </c>
      <c r="U960">
        <v>2</v>
      </c>
      <c r="V960">
        <v>691.05</v>
      </c>
      <c r="W960">
        <v>13130000958</v>
      </c>
    </row>
    <row r="961" spans="1:23" x14ac:dyDescent="0.2">
      <c r="A961" s="1">
        <v>44793</v>
      </c>
      <c r="B961" s="2">
        <v>0.4390162037037037</v>
      </c>
      <c r="C961">
        <v>1959</v>
      </c>
      <c r="D961">
        <v>13002561</v>
      </c>
      <c r="E961">
        <v>13</v>
      </c>
      <c r="F961">
        <v>22589</v>
      </c>
      <c r="G961" t="s">
        <v>23</v>
      </c>
      <c r="H961">
        <v>15</v>
      </c>
      <c r="I961">
        <v>49253</v>
      </c>
      <c r="J961" t="s">
        <v>107</v>
      </c>
      <c r="K961" t="s">
        <v>25</v>
      </c>
      <c r="L961" t="s">
        <v>39</v>
      </c>
      <c r="M961">
        <v>1</v>
      </c>
      <c r="N961">
        <v>528.54</v>
      </c>
      <c r="O961">
        <v>779.41</v>
      </c>
      <c r="P961">
        <v>77.94</v>
      </c>
      <c r="Q961">
        <v>77.94</v>
      </c>
      <c r="R961" t="s">
        <v>30</v>
      </c>
      <c r="S961">
        <v>29</v>
      </c>
      <c r="T961">
        <v>1</v>
      </c>
      <c r="U961">
        <v>3</v>
      </c>
      <c r="V961">
        <v>701.47</v>
      </c>
      <c r="W961">
        <v>13130000959</v>
      </c>
    </row>
    <row r="962" spans="1:23" x14ac:dyDescent="0.2">
      <c r="A962" s="1">
        <v>44781</v>
      </c>
      <c r="B962" s="2">
        <v>0.75664351851851852</v>
      </c>
      <c r="C962">
        <v>1960</v>
      </c>
      <c r="D962">
        <v>13002561</v>
      </c>
      <c r="E962">
        <v>13</v>
      </c>
      <c r="F962">
        <v>22589</v>
      </c>
      <c r="G962" t="s">
        <v>23</v>
      </c>
      <c r="H962">
        <v>18</v>
      </c>
      <c r="I962">
        <v>33182</v>
      </c>
      <c r="J962" t="s">
        <v>89</v>
      </c>
      <c r="K962" t="s">
        <v>38</v>
      </c>
      <c r="L962" t="s">
        <v>32</v>
      </c>
      <c r="M962">
        <v>2</v>
      </c>
      <c r="N962">
        <v>383.74</v>
      </c>
      <c r="O962">
        <v>560.12</v>
      </c>
      <c r="P962">
        <v>0</v>
      </c>
      <c r="Q962">
        <v>0</v>
      </c>
      <c r="S962">
        <v>29</v>
      </c>
      <c r="T962">
        <v>1</v>
      </c>
      <c r="U962">
        <v>2</v>
      </c>
      <c r="V962">
        <v>560.12</v>
      </c>
      <c r="W962">
        <v>13130000960</v>
      </c>
    </row>
    <row r="963" spans="1:23" x14ac:dyDescent="0.2">
      <c r="A963" s="1">
        <v>44774</v>
      </c>
      <c r="B963" s="2">
        <v>0.38577546296296289</v>
      </c>
      <c r="C963">
        <v>1961</v>
      </c>
      <c r="D963">
        <v>13002561</v>
      </c>
      <c r="E963">
        <v>13</v>
      </c>
      <c r="F963">
        <v>22589</v>
      </c>
      <c r="G963" t="s">
        <v>23</v>
      </c>
      <c r="H963">
        <v>18</v>
      </c>
      <c r="I963">
        <v>20056</v>
      </c>
      <c r="J963" t="s">
        <v>24</v>
      </c>
      <c r="K963" t="s">
        <v>28</v>
      </c>
      <c r="L963" t="s">
        <v>32</v>
      </c>
      <c r="M963">
        <v>2</v>
      </c>
      <c r="N963">
        <v>482.61</v>
      </c>
      <c r="O963">
        <v>797.3</v>
      </c>
      <c r="P963">
        <v>79.73</v>
      </c>
      <c r="Q963">
        <v>79.73</v>
      </c>
      <c r="R963" t="s">
        <v>30</v>
      </c>
      <c r="S963">
        <v>29</v>
      </c>
      <c r="T963">
        <v>1</v>
      </c>
      <c r="U963">
        <v>1</v>
      </c>
      <c r="V963">
        <v>717.57</v>
      </c>
      <c r="W963">
        <v>13130000961</v>
      </c>
    </row>
    <row r="964" spans="1:23" x14ac:dyDescent="0.2">
      <c r="A964" s="1">
        <v>44782</v>
      </c>
      <c r="B964" s="2">
        <v>0.42574074074074081</v>
      </c>
      <c r="C964">
        <v>1962</v>
      </c>
      <c r="D964">
        <v>13002561</v>
      </c>
      <c r="E964">
        <v>13</v>
      </c>
      <c r="F964">
        <v>22589</v>
      </c>
      <c r="G964" t="s">
        <v>23</v>
      </c>
      <c r="H964">
        <v>18</v>
      </c>
      <c r="I964">
        <v>82812</v>
      </c>
      <c r="J964" t="s">
        <v>126</v>
      </c>
      <c r="K964" t="s">
        <v>25</v>
      </c>
      <c r="L964" t="s">
        <v>47</v>
      </c>
      <c r="M964">
        <v>1</v>
      </c>
      <c r="N964">
        <v>52.67</v>
      </c>
      <c r="O964">
        <v>87</v>
      </c>
      <c r="P964">
        <v>0</v>
      </c>
      <c r="Q964">
        <v>0</v>
      </c>
      <c r="S964">
        <v>29</v>
      </c>
      <c r="T964">
        <v>1</v>
      </c>
      <c r="U964">
        <v>2</v>
      </c>
      <c r="V964">
        <v>87</v>
      </c>
      <c r="W964">
        <v>13130000962</v>
      </c>
    </row>
    <row r="965" spans="1:23" x14ac:dyDescent="0.2">
      <c r="A965" s="1">
        <v>44802</v>
      </c>
      <c r="B965" s="2">
        <v>0.78968749999999999</v>
      </c>
      <c r="C965">
        <v>1963</v>
      </c>
      <c r="D965">
        <v>13002561</v>
      </c>
      <c r="E965">
        <v>13</v>
      </c>
      <c r="F965">
        <v>22589</v>
      </c>
      <c r="G965" t="s">
        <v>23</v>
      </c>
      <c r="H965">
        <v>15</v>
      </c>
      <c r="I965">
        <v>25748</v>
      </c>
      <c r="J965" t="s">
        <v>77</v>
      </c>
      <c r="K965" t="s">
        <v>38</v>
      </c>
      <c r="L965" t="s">
        <v>51</v>
      </c>
      <c r="M965">
        <v>2</v>
      </c>
      <c r="N965">
        <v>350.91</v>
      </c>
      <c r="O965">
        <v>537.21</v>
      </c>
      <c r="P965">
        <v>26.86</v>
      </c>
      <c r="Q965">
        <v>26.86</v>
      </c>
      <c r="R965" t="s">
        <v>30</v>
      </c>
      <c r="S965">
        <v>29</v>
      </c>
      <c r="T965">
        <v>1</v>
      </c>
      <c r="U965">
        <v>4</v>
      </c>
      <c r="V965">
        <v>510.35</v>
      </c>
      <c r="W965">
        <v>13130000963</v>
      </c>
    </row>
    <row r="966" spans="1:23" x14ac:dyDescent="0.2">
      <c r="A966" s="1">
        <v>44786</v>
      </c>
      <c r="B966" s="2">
        <v>0.63643518518518516</v>
      </c>
      <c r="C966">
        <v>1964</v>
      </c>
      <c r="D966">
        <v>13002561</v>
      </c>
      <c r="E966">
        <v>13</v>
      </c>
      <c r="F966">
        <v>22589</v>
      </c>
      <c r="G966" t="s">
        <v>23</v>
      </c>
      <c r="H966">
        <v>18</v>
      </c>
      <c r="I966">
        <v>32622</v>
      </c>
      <c r="J966" t="s">
        <v>104</v>
      </c>
      <c r="K966" t="s">
        <v>60</v>
      </c>
      <c r="L966" t="s">
        <v>39</v>
      </c>
      <c r="M966">
        <v>2</v>
      </c>
      <c r="N966">
        <v>556.86</v>
      </c>
      <c r="O966">
        <v>814.08</v>
      </c>
      <c r="P966">
        <v>0</v>
      </c>
      <c r="Q966">
        <v>0</v>
      </c>
      <c r="S966">
        <v>29</v>
      </c>
      <c r="T966">
        <v>1</v>
      </c>
      <c r="U966">
        <v>3</v>
      </c>
      <c r="V966">
        <v>814.08</v>
      </c>
      <c r="W966">
        <v>13130000964</v>
      </c>
    </row>
    <row r="967" spans="1:23" x14ac:dyDescent="0.2">
      <c r="A967" s="1">
        <v>44778</v>
      </c>
      <c r="B967" s="2">
        <v>0.43752314814814808</v>
      </c>
      <c r="C967">
        <v>1965</v>
      </c>
      <c r="D967">
        <v>13002561</v>
      </c>
      <c r="E967">
        <v>13</v>
      </c>
      <c r="F967">
        <v>22589</v>
      </c>
      <c r="G967" t="s">
        <v>23</v>
      </c>
      <c r="H967">
        <v>18</v>
      </c>
      <c r="I967">
        <v>48509</v>
      </c>
      <c r="J967" t="s">
        <v>84</v>
      </c>
      <c r="K967" t="s">
        <v>60</v>
      </c>
      <c r="L967" t="s">
        <v>26</v>
      </c>
      <c r="M967">
        <v>2</v>
      </c>
      <c r="N967">
        <v>535.27</v>
      </c>
      <c r="O967">
        <v>881.81</v>
      </c>
      <c r="P967">
        <v>0</v>
      </c>
      <c r="Q967">
        <v>0</v>
      </c>
      <c r="S967">
        <v>29</v>
      </c>
      <c r="T967">
        <v>1</v>
      </c>
      <c r="U967">
        <v>5</v>
      </c>
      <c r="V967">
        <v>881.81</v>
      </c>
      <c r="W967">
        <v>13130000965</v>
      </c>
    </row>
    <row r="968" spans="1:23" x14ac:dyDescent="0.2">
      <c r="A968" s="1">
        <v>44779</v>
      </c>
      <c r="B968" s="2">
        <v>0.47594907407407411</v>
      </c>
      <c r="C968">
        <v>1966</v>
      </c>
      <c r="D968">
        <v>13002561</v>
      </c>
      <c r="E968">
        <v>13</v>
      </c>
      <c r="F968">
        <v>22589</v>
      </c>
      <c r="G968" t="s">
        <v>23</v>
      </c>
      <c r="H968">
        <v>18</v>
      </c>
      <c r="I968">
        <v>42571</v>
      </c>
      <c r="J968" t="s">
        <v>31</v>
      </c>
      <c r="K968" t="s">
        <v>44</v>
      </c>
      <c r="L968" t="s">
        <v>36</v>
      </c>
      <c r="M968">
        <v>1</v>
      </c>
      <c r="N968">
        <v>409.42</v>
      </c>
      <c r="O968">
        <v>556.89</v>
      </c>
      <c r="P968">
        <v>27.84</v>
      </c>
      <c r="Q968">
        <v>27.84</v>
      </c>
      <c r="R968" t="s">
        <v>30</v>
      </c>
      <c r="S968">
        <v>29</v>
      </c>
      <c r="T968">
        <v>1</v>
      </c>
      <c r="U968">
        <v>5</v>
      </c>
      <c r="V968">
        <v>529.04999999999995</v>
      </c>
      <c r="W968">
        <v>13130000966</v>
      </c>
    </row>
    <row r="969" spans="1:23" x14ac:dyDescent="0.2">
      <c r="A969" s="1">
        <v>44783</v>
      </c>
      <c r="B969" s="2">
        <v>0.36172453703703711</v>
      </c>
      <c r="C969">
        <v>1967</v>
      </c>
      <c r="D969">
        <v>13002561</v>
      </c>
      <c r="E969">
        <v>13</v>
      </c>
      <c r="F969">
        <v>22589</v>
      </c>
      <c r="G969" t="s">
        <v>23</v>
      </c>
      <c r="H969">
        <v>18</v>
      </c>
      <c r="I969">
        <v>25173</v>
      </c>
      <c r="J969" t="s">
        <v>79</v>
      </c>
      <c r="K969" t="s">
        <v>38</v>
      </c>
      <c r="L969" t="s">
        <v>36</v>
      </c>
      <c r="M969">
        <v>3</v>
      </c>
      <c r="N969">
        <v>591.37</v>
      </c>
      <c r="O969">
        <v>809.63</v>
      </c>
      <c r="P969">
        <v>40.479999999999997</v>
      </c>
      <c r="Q969">
        <v>40.479999999999997</v>
      </c>
      <c r="R969" t="s">
        <v>30</v>
      </c>
      <c r="S969">
        <v>29</v>
      </c>
      <c r="T969">
        <v>1</v>
      </c>
      <c r="U969">
        <v>1</v>
      </c>
      <c r="V969">
        <v>769.15</v>
      </c>
      <c r="W969">
        <v>13130000967</v>
      </c>
    </row>
    <row r="970" spans="1:23" x14ac:dyDescent="0.2">
      <c r="A970" s="1">
        <v>44775</v>
      </c>
      <c r="B970" s="2">
        <v>0.51697916666666666</v>
      </c>
      <c r="C970">
        <v>1968</v>
      </c>
      <c r="D970">
        <v>13002561</v>
      </c>
      <c r="E970">
        <v>13</v>
      </c>
      <c r="F970">
        <v>22589</v>
      </c>
      <c r="G970" t="s">
        <v>23</v>
      </c>
      <c r="H970">
        <v>18</v>
      </c>
      <c r="I970">
        <v>21955</v>
      </c>
      <c r="J970" t="s">
        <v>104</v>
      </c>
      <c r="K970" t="s">
        <v>45</v>
      </c>
      <c r="L970" t="s">
        <v>36</v>
      </c>
      <c r="M970">
        <v>2</v>
      </c>
      <c r="N970">
        <v>442.89</v>
      </c>
      <c r="O970">
        <v>742.48</v>
      </c>
      <c r="P970">
        <v>0</v>
      </c>
      <c r="Q970">
        <v>0</v>
      </c>
      <c r="S970">
        <v>29</v>
      </c>
      <c r="T970">
        <v>1</v>
      </c>
      <c r="U970">
        <v>4</v>
      </c>
      <c r="V970">
        <v>742.48</v>
      </c>
      <c r="W970">
        <v>13130000968</v>
      </c>
    </row>
    <row r="971" spans="1:23" x14ac:dyDescent="0.2">
      <c r="A971" s="1">
        <v>44793</v>
      </c>
      <c r="B971" s="2">
        <v>0.57300925925925927</v>
      </c>
      <c r="C971">
        <v>1969</v>
      </c>
      <c r="D971">
        <v>13002561</v>
      </c>
      <c r="E971">
        <v>13</v>
      </c>
      <c r="F971">
        <v>22589</v>
      </c>
      <c r="G971" t="s">
        <v>23</v>
      </c>
      <c r="H971">
        <v>18</v>
      </c>
      <c r="I971">
        <v>69692</v>
      </c>
      <c r="J971" t="s">
        <v>80</v>
      </c>
      <c r="K971" t="s">
        <v>25</v>
      </c>
      <c r="L971" t="s">
        <v>26</v>
      </c>
      <c r="M971">
        <v>3</v>
      </c>
      <c r="N971">
        <v>343.12</v>
      </c>
      <c r="O971">
        <v>437.43</v>
      </c>
      <c r="P971">
        <v>0</v>
      </c>
      <c r="Q971">
        <v>0</v>
      </c>
      <c r="S971">
        <v>29</v>
      </c>
      <c r="T971">
        <v>1</v>
      </c>
      <c r="U971">
        <v>1</v>
      </c>
      <c r="V971">
        <v>437.43</v>
      </c>
      <c r="W971">
        <v>13130000969</v>
      </c>
    </row>
    <row r="972" spans="1:23" x14ac:dyDescent="0.2">
      <c r="A972" s="1">
        <v>44774</v>
      </c>
      <c r="B972" s="2">
        <v>0.87145833333333333</v>
      </c>
      <c r="C972">
        <v>1970</v>
      </c>
      <c r="D972">
        <v>13002561</v>
      </c>
      <c r="E972">
        <v>13</v>
      </c>
      <c r="F972">
        <v>22589</v>
      </c>
      <c r="G972" t="s">
        <v>23</v>
      </c>
      <c r="H972">
        <v>15</v>
      </c>
      <c r="I972">
        <v>70084</v>
      </c>
      <c r="J972" t="s">
        <v>120</v>
      </c>
      <c r="K972" t="s">
        <v>25</v>
      </c>
      <c r="L972" t="s">
        <v>36</v>
      </c>
      <c r="M972">
        <v>2</v>
      </c>
      <c r="N972">
        <v>455.36</v>
      </c>
      <c r="O972">
        <v>735.9</v>
      </c>
      <c r="P972">
        <v>73.59</v>
      </c>
      <c r="Q972">
        <v>73.59</v>
      </c>
      <c r="R972" t="s">
        <v>30</v>
      </c>
      <c r="S972">
        <v>29</v>
      </c>
      <c r="T972">
        <v>1</v>
      </c>
      <c r="U972">
        <v>4</v>
      </c>
      <c r="V972">
        <v>662.31</v>
      </c>
      <c r="W972">
        <v>13130000970</v>
      </c>
    </row>
    <row r="973" spans="1:23" x14ac:dyDescent="0.2">
      <c r="A973" s="1">
        <v>44776</v>
      </c>
      <c r="B973" s="2">
        <v>0.46706018518518522</v>
      </c>
      <c r="C973">
        <v>1971</v>
      </c>
      <c r="D973">
        <v>13002561</v>
      </c>
      <c r="E973">
        <v>13</v>
      </c>
      <c r="F973">
        <v>22589</v>
      </c>
      <c r="G973" t="s">
        <v>23</v>
      </c>
      <c r="H973">
        <v>18</v>
      </c>
      <c r="I973">
        <v>70735</v>
      </c>
      <c r="J973" t="s">
        <v>50</v>
      </c>
      <c r="K973" t="s">
        <v>28</v>
      </c>
      <c r="L973" t="s">
        <v>51</v>
      </c>
      <c r="M973">
        <v>3</v>
      </c>
      <c r="N973">
        <v>326.86</v>
      </c>
      <c r="O973">
        <v>415.44</v>
      </c>
      <c r="P973">
        <v>20.77</v>
      </c>
      <c r="Q973">
        <v>20.77</v>
      </c>
      <c r="R973" t="s">
        <v>30</v>
      </c>
      <c r="S973">
        <v>29</v>
      </c>
      <c r="T973">
        <v>1</v>
      </c>
      <c r="U973">
        <v>3</v>
      </c>
      <c r="V973">
        <v>394.67</v>
      </c>
      <c r="W973">
        <v>13130000971</v>
      </c>
    </row>
    <row r="974" spans="1:23" x14ac:dyDescent="0.2">
      <c r="A974" s="1">
        <v>44792</v>
      </c>
      <c r="B974" s="2">
        <v>0.91612268518518514</v>
      </c>
      <c r="C974">
        <v>1972</v>
      </c>
      <c r="D974">
        <v>13002561</v>
      </c>
      <c r="E974">
        <v>13</v>
      </c>
      <c r="F974">
        <v>22589</v>
      </c>
      <c r="G974" t="s">
        <v>23</v>
      </c>
      <c r="H974">
        <v>15</v>
      </c>
      <c r="I974">
        <v>29890</v>
      </c>
      <c r="J974" t="s">
        <v>55</v>
      </c>
      <c r="K974" t="s">
        <v>28</v>
      </c>
      <c r="L974" t="s">
        <v>32</v>
      </c>
      <c r="M974">
        <v>3</v>
      </c>
      <c r="N974">
        <v>145.27000000000001</v>
      </c>
      <c r="O974">
        <v>225.37</v>
      </c>
      <c r="P974">
        <v>0</v>
      </c>
      <c r="Q974">
        <v>0</v>
      </c>
      <c r="S974">
        <v>29</v>
      </c>
      <c r="T974">
        <v>1</v>
      </c>
      <c r="U974">
        <v>5</v>
      </c>
      <c r="V974">
        <v>225.37</v>
      </c>
      <c r="W974">
        <v>13130000972</v>
      </c>
    </row>
    <row r="975" spans="1:23" x14ac:dyDescent="0.2">
      <c r="A975" s="1">
        <v>44804</v>
      </c>
      <c r="B975" s="2">
        <v>0.51798611111111115</v>
      </c>
      <c r="C975">
        <v>1973</v>
      </c>
      <c r="D975">
        <v>13002561</v>
      </c>
      <c r="E975">
        <v>13</v>
      </c>
      <c r="F975">
        <v>22589</v>
      </c>
      <c r="G975" t="s">
        <v>23</v>
      </c>
      <c r="H975">
        <v>15</v>
      </c>
      <c r="I975">
        <v>89783</v>
      </c>
      <c r="J975" t="s">
        <v>83</v>
      </c>
      <c r="K975" t="s">
        <v>60</v>
      </c>
      <c r="L975" t="s">
        <v>26</v>
      </c>
      <c r="M975">
        <v>2</v>
      </c>
      <c r="N975">
        <v>149.53</v>
      </c>
      <c r="O975">
        <v>250.12</v>
      </c>
      <c r="P975">
        <v>25.01</v>
      </c>
      <c r="Q975">
        <v>25.01</v>
      </c>
      <c r="R975" t="s">
        <v>30</v>
      </c>
      <c r="S975">
        <v>29</v>
      </c>
      <c r="T975">
        <v>1</v>
      </c>
      <c r="U975">
        <v>2</v>
      </c>
      <c r="V975">
        <v>225.11</v>
      </c>
      <c r="W975">
        <v>13130000973</v>
      </c>
    </row>
    <row r="976" spans="1:23" x14ac:dyDescent="0.2">
      <c r="A976" s="1">
        <v>44795</v>
      </c>
      <c r="B976" s="2">
        <v>0.67038194444444443</v>
      </c>
      <c r="C976">
        <v>1974</v>
      </c>
      <c r="D976">
        <v>13002561</v>
      </c>
      <c r="E976">
        <v>13</v>
      </c>
      <c r="F976">
        <v>22589</v>
      </c>
      <c r="G976" t="s">
        <v>23</v>
      </c>
      <c r="H976">
        <v>15</v>
      </c>
      <c r="I976">
        <v>68226</v>
      </c>
      <c r="J976" t="s">
        <v>106</v>
      </c>
      <c r="K976" t="s">
        <v>38</v>
      </c>
      <c r="L976" t="s">
        <v>32</v>
      </c>
      <c r="M976">
        <v>3</v>
      </c>
      <c r="N976">
        <v>178.66</v>
      </c>
      <c r="O976">
        <v>226.88</v>
      </c>
      <c r="P976">
        <v>22.69</v>
      </c>
      <c r="Q976">
        <v>22.69</v>
      </c>
      <c r="R976" t="s">
        <v>30</v>
      </c>
      <c r="S976">
        <v>29</v>
      </c>
      <c r="T976">
        <v>1</v>
      </c>
      <c r="U976">
        <v>4</v>
      </c>
      <c r="V976">
        <v>204.19</v>
      </c>
      <c r="W976">
        <v>13130000974</v>
      </c>
    </row>
    <row r="977" spans="1:23" x14ac:dyDescent="0.2">
      <c r="A977" s="1">
        <v>44784</v>
      </c>
      <c r="B977" s="2">
        <v>0.45523148148148151</v>
      </c>
      <c r="C977">
        <v>1975</v>
      </c>
      <c r="D977">
        <v>13002561</v>
      </c>
      <c r="E977">
        <v>13</v>
      </c>
      <c r="F977">
        <v>22589</v>
      </c>
      <c r="G977" t="s">
        <v>23</v>
      </c>
      <c r="H977">
        <v>18</v>
      </c>
      <c r="I977">
        <v>37797</v>
      </c>
      <c r="J977" t="s">
        <v>54</v>
      </c>
      <c r="K977" t="s">
        <v>25</v>
      </c>
      <c r="L977" t="s">
        <v>29</v>
      </c>
      <c r="M977">
        <v>2</v>
      </c>
      <c r="N977">
        <v>283.76</v>
      </c>
      <c r="O977">
        <v>418.34</v>
      </c>
      <c r="P977">
        <v>0</v>
      </c>
      <c r="Q977">
        <v>0</v>
      </c>
      <c r="S977">
        <v>29</v>
      </c>
      <c r="T977">
        <v>1</v>
      </c>
      <c r="U977">
        <v>5</v>
      </c>
      <c r="V977">
        <v>418.34</v>
      </c>
      <c r="W977">
        <v>13130000975</v>
      </c>
    </row>
    <row r="978" spans="1:23" x14ac:dyDescent="0.2">
      <c r="A978" s="1">
        <v>44801</v>
      </c>
      <c r="B978" s="2">
        <v>0.57193287037037033</v>
      </c>
      <c r="C978">
        <v>1976</v>
      </c>
      <c r="D978">
        <v>13002561</v>
      </c>
      <c r="E978">
        <v>13</v>
      </c>
      <c r="F978">
        <v>22589</v>
      </c>
      <c r="G978" t="s">
        <v>23</v>
      </c>
      <c r="H978">
        <v>15</v>
      </c>
      <c r="I978">
        <v>13678</v>
      </c>
      <c r="J978" t="s">
        <v>119</v>
      </c>
      <c r="K978" t="s">
        <v>60</v>
      </c>
      <c r="L978" t="s">
        <v>51</v>
      </c>
      <c r="M978">
        <v>3</v>
      </c>
      <c r="N978">
        <v>359.47</v>
      </c>
      <c r="O978">
        <v>526.63</v>
      </c>
      <c r="P978">
        <v>26.33</v>
      </c>
      <c r="Q978">
        <v>26.33</v>
      </c>
      <c r="R978" t="s">
        <v>30</v>
      </c>
      <c r="S978">
        <v>29</v>
      </c>
      <c r="T978">
        <v>1</v>
      </c>
      <c r="U978">
        <v>1</v>
      </c>
      <c r="V978">
        <v>500.3</v>
      </c>
      <c r="W978">
        <v>13130000976</v>
      </c>
    </row>
    <row r="979" spans="1:23" x14ac:dyDescent="0.2">
      <c r="A979" s="1">
        <v>44801</v>
      </c>
      <c r="B979" s="2">
        <v>0.62089120370370365</v>
      </c>
      <c r="C979">
        <v>1977</v>
      </c>
      <c r="D979">
        <v>13002561</v>
      </c>
      <c r="E979">
        <v>13</v>
      </c>
      <c r="F979">
        <v>22589</v>
      </c>
      <c r="G979" t="s">
        <v>23</v>
      </c>
      <c r="H979">
        <v>18</v>
      </c>
      <c r="I979">
        <v>44469</v>
      </c>
      <c r="J979" t="s">
        <v>79</v>
      </c>
      <c r="K979" t="s">
        <v>60</v>
      </c>
      <c r="L979" t="s">
        <v>29</v>
      </c>
      <c r="M979">
        <v>3</v>
      </c>
      <c r="N979">
        <v>562.16</v>
      </c>
      <c r="O979">
        <v>771.86</v>
      </c>
      <c r="P979">
        <v>0</v>
      </c>
      <c r="Q979">
        <v>0</v>
      </c>
      <c r="S979">
        <v>29</v>
      </c>
      <c r="T979">
        <v>1</v>
      </c>
      <c r="U979">
        <v>6</v>
      </c>
      <c r="V979">
        <v>771.86</v>
      </c>
      <c r="W979">
        <v>13130000977</v>
      </c>
    </row>
    <row r="980" spans="1:23" x14ac:dyDescent="0.2">
      <c r="A980" s="1">
        <v>44779</v>
      </c>
      <c r="B980" s="2">
        <v>0.95787037037037037</v>
      </c>
      <c r="C980">
        <v>1978</v>
      </c>
      <c r="D980">
        <v>13002561</v>
      </c>
      <c r="E980">
        <v>13</v>
      </c>
      <c r="F980">
        <v>22589</v>
      </c>
      <c r="G980" t="s">
        <v>23</v>
      </c>
      <c r="H980">
        <v>15</v>
      </c>
      <c r="I980">
        <v>70637</v>
      </c>
      <c r="J980" t="s">
        <v>115</v>
      </c>
      <c r="K980" t="s">
        <v>28</v>
      </c>
      <c r="L980" t="s">
        <v>51</v>
      </c>
      <c r="M980">
        <v>1</v>
      </c>
      <c r="N980">
        <v>407.52</v>
      </c>
      <c r="O980">
        <v>679.08</v>
      </c>
      <c r="P980">
        <v>33.950000000000003</v>
      </c>
      <c r="Q980">
        <v>33.950000000000003</v>
      </c>
      <c r="R980" t="s">
        <v>30</v>
      </c>
      <c r="S980">
        <v>29</v>
      </c>
      <c r="T980">
        <v>1</v>
      </c>
      <c r="U980">
        <v>3</v>
      </c>
      <c r="V980">
        <v>645.13</v>
      </c>
      <c r="W980">
        <v>13130000978</v>
      </c>
    </row>
    <row r="981" spans="1:23" x14ac:dyDescent="0.2">
      <c r="A981" s="1">
        <v>44778</v>
      </c>
      <c r="B981" s="2">
        <v>0.92740740740740746</v>
      </c>
      <c r="C981">
        <v>1979</v>
      </c>
      <c r="D981">
        <v>13002561</v>
      </c>
      <c r="E981">
        <v>13</v>
      </c>
      <c r="F981">
        <v>22589</v>
      </c>
      <c r="G981" t="s">
        <v>23</v>
      </c>
      <c r="H981">
        <v>18</v>
      </c>
      <c r="I981">
        <v>66918</v>
      </c>
      <c r="J981" t="s">
        <v>79</v>
      </c>
      <c r="K981" t="s">
        <v>28</v>
      </c>
      <c r="L981" t="s">
        <v>29</v>
      </c>
      <c r="M981">
        <v>3</v>
      </c>
      <c r="N981">
        <v>28.09</v>
      </c>
      <c r="O981">
        <v>44.37</v>
      </c>
      <c r="P981">
        <v>2.2200000000000002</v>
      </c>
      <c r="Q981">
        <v>2.2200000000000002</v>
      </c>
      <c r="R981" t="s">
        <v>30</v>
      </c>
      <c r="S981">
        <v>29</v>
      </c>
      <c r="T981">
        <v>1</v>
      </c>
      <c r="U981">
        <v>4</v>
      </c>
      <c r="V981">
        <v>42.15</v>
      </c>
      <c r="W981">
        <v>13130000979</v>
      </c>
    </row>
    <row r="982" spans="1:23" x14ac:dyDescent="0.2">
      <c r="A982" s="1">
        <v>44786</v>
      </c>
      <c r="B982" s="2">
        <v>0.8815277777777778</v>
      </c>
      <c r="C982">
        <v>1980</v>
      </c>
      <c r="D982">
        <v>13002561</v>
      </c>
      <c r="E982">
        <v>13</v>
      </c>
      <c r="F982">
        <v>22589</v>
      </c>
      <c r="G982" t="s">
        <v>23</v>
      </c>
      <c r="H982">
        <v>18</v>
      </c>
      <c r="I982">
        <v>65098</v>
      </c>
      <c r="J982" t="s">
        <v>84</v>
      </c>
      <c r="K982" t="s">
        <v>25</v>
      </c>
      <c r="L982" t="s">
        <v>36</v>
      </c>
      <c r="M982">
        <v>1</v>
      </c>
      <c r="N982">
        <v>250.75</v>
      </c>
      <c r="O982">
        <v>414.71</v>
      </c>
      <c r="P982">
        <v>0</v>
      </c>
      <c r="Q982">
        <v>0</v>
      </c>
      <c r="S982">
        <v>29</v>
      </c>
      <c r="T982">
        <v>1</v>
      </c>
      <c r="U982">
        <v>3</v>
      </c>
      <c r="V982">
        <v>414.71</v>
      </c>
      <c r="W982">
        <v>13130000980</v>
      </c>
    </row>
    <row r="983" spans="1:23" x14ac:dyDescent="0.2">
      <c r="A983" s="1">
        <v>44797</v>
      </c>
      <c r="B983" s="2">
        <v>0.94188657407407406</v>
      </c>
      <c r="C983">
        <v>1981</v>
      </c>
      <c r="D983">
        <v>13002561</v>
      </c>
      <c r="E983">
        <v>13</v>
      </c>
      <c r="F983">
        <v>22589</v>
      </c>
      <c r="G983" t="s">
        <v>23</v>
      </c>
      <c r="H983">
        <v>18</v>
      </c>
      <c r="I983">
        <v>48815</v>
      </c>
      <c r="J983" t="s">
        <v>85</v>
      </c>
      <c r="K983" t="s">
        <v>38</v>
      </c>
      <c r="L983" t="s">
        <v>26</v>
      </c>
      <c r="M983">
        <v>2</v>
      </c>
      <c r="N983">
        <v>6.52</v>
      </c>
      <c r="O983">
        <v>10.33</v>
      </c>
      <c r="P983">
        <v>0.52</v>
      </c>
      <c r="Q983">
        <v>0.52</v>
      </c>
      <c r="R983" t="s">
        <v>30</v>
      </c>
      <c r="S983">
        <v>29</v>
      </c>
      <c r="T983">
        <v>1</v>
      </c>
      <c r="U983">
        <v>4</v>
      </c>
      <c r="V983">
        <v>9.81</v>
      </c>
      <c r="W983">
        <v>13130000981</v>
      </c>
    </row>
    <row r="984" spans="1:23" x14ac:dyDescent="0.2">
      <c r="A984" s="1">
        <v>44782</v>
      </c>
      <c r="B984" s="2">
        <v>0.82854166666666662</v>
      </c>
      <c r="C984">
        <v>1982</v>
      </c>
      <c r="D984">
        <v>13002561</v>
      </c>
      <c r="E984">
        <v>13</v>
      </c>
      <c r="F984">
        <v>22589</v>
      </c>
      <c r="G984" t="s">
        <v>23</v>
      </c>
      <c r="H984">
        <v>15</v>
      </c>
      <c r="I984">
        <v>22029</v>
      </c>
      <c r="J984" t="s">
        <v>91</v>
      </c>
      <c r="K984" t="s">
        <v>38</v>
      </c>
      <c r="L984" t="s">
        <v>26</v>
      </c>
      <c r="M984">
        <v>3</v>
      </c>
      <c r="N984">
        <v>210.65</v>
      </c>
      <c r="O984">
        <v>296.85000000000002</v>
      </c>
      <c r="P984">
        <v>29.69</v>
      </c>
      <c r="Q984">
        <v>29.69</v>
      </c>
      <c r="R984" t="s">
        <v>30</v>
      </c>
      <c r="S984">
        <v>29</v>
      </c>
      <c r="T984">
        <v>1</v>
      </c>
      <c r="U984">
        <v>2</v>
      </c>
      <c r="V984">
        <v>267.16000000000003</v>
      </c>
      <c r="W984">
        <v>13130000982</v>
      </c>
    </row>
    <row r="985" spans="1:23" x14ac:dyDescent="0.2">
      <c r="A985" s="1">
        <v>44795</v>
      </c>
      <c r="B985" s="2">
        <v>0.85241898148148143</v>
      </c>
      <c r="C985">
        <v>1983</v>
      </c>
      <c r="D985">
        <v>13002561</v>
      </c>
      <c r="E985">
        <v>13</v>
      </c>
      <c r="F985">
        <v>22589</v>
      </c>
      <c r="G985" t="s">
        <v>23</v>
      </c>
      <c r="H985">
        <v>15</v>
      </c>
      <c r="I985">
        <v>97289</v>
      </c>
      <c r="J985" t="s">
        <v>48</v>
      </c>
      <c r="K985" t="s">
        <v>38</v>
      </c>
      <c r="L985" t="s">
        <v>26</v>
      </c>
      <c r="M985">
        <v>1</v>
      </c>
      <c r="N985">
        <v>525.97</v>
      </c>
      <c r="O985">
        <v>657.95</v>
      </c>
      <c r="P985">
        <v>32.9</v>
      </c>
      <c r="Q985">
        <v>32.9</v>
      </c>
      <c r="R985" t="s">
        <v>30</v>
      </c>
      <c r="S985">
        <v>29</v>
      </c>
      <c r="T985">
        <v>1</v>
      </c>
      <c r="U985">
        <v>5</v>
      </c>
      <c r="V985">
        <v>625.04999999999995</v>
      </c>
      <c r="W985">
        <v>13130000983</v>
      </c>
    </row>
    <row r="986" spans="1:23" x14ac:dyDescent="0.2">
      <c r="A986" s="1">
        <v>44795</v>
      </c>
      <c r="B986" s="2">
        <v>0.33760416666666659</v>
      </c>
      <c r="C986">
        <v>1984</v>
      </c>
      <c r="D986">
        <v>13002561</v>
      </c>
      <c r="E986">
        <v>13</v>
      </c>
      <c r="F986">
        <v>22589</v>
      </c>
      <c r="G986" t="s">
        <v>23</v>
      </c>
      <c r="H986">
        <v>15</v>
      </c>
      <c r="I986">
        <v>29470</v>
      </c>
      <c r="J986" t="s">
        <v>94</v>
      </c>
      <c r="K986" t="s">
        <v>38</v>
      </c>
      <c r="L986" t="s">
        <v>32</v>
      </c>
      <c r="M986">
        <v>1</v>
      </c>
      <c r="N986">
        <v>445.46</v>
      </c>
      <c r="O986">
        <v>666.04</v>
      </c>
      <c r="P986">
        <v>33.299999999999997</v>
      </c>
      <c r="Q986">
        <v>33.299999999999997</v>
      </c>
      <c r="R986" t="s">
        <v>30</v>
      </c>
      <c r="S986">
        <v>29</v>
      </c>
      <c r="T986">
        <v>1</v>
      </c>
      <c r="U986">
        <v>6</v>
      </c>
      <c r="V986">
        <v>632.74</v>
      </c>
      <c r="W986">
        <v>13130000984</v>
      </c>
    </row>
    <row r="987" spans="1:23" x14ac:dyDescent="0.2">
      <c r="A987" s="1">
        <v>44779</v>
      </c>
      <c r="B987" s="2">
        <v>0.87479166666666663</v>
      </c>
      <c r="C987">
        <v>1985</v>
      </c>
      <c r="D987">
        <v>13002561</v>
      </c>
      <c r="E987">
        <v>13</v>
      </c>
      <c r="F987">
        <v>22589</v>
      </c>
      <c r="G987" t="s">
        <v>23</v>
      </c>
      <c r="H987">
        <v>15</v>
      </c>
      <c r="I987">
        <v>50419</v>
      </c>
      <c r="J987" t="s">
        <v>123</v>
      </c>
      <c r="K987" t="s">
        <v>60</v>
      </c>
      <c r="L987" t="s">
        <v>34</v>
      </c>
      <c r="M987">
        <v>1</v>
      </c>
      <c r="N987">
        <v>208.7</v>
      </c>
      <c r="O987">
        <v>313</v>
      </c>
      <c r="P987">
        <v>15.65</v>
      </c>
      <c r="Q987">
        <v>15.65</v>
      </c>
      <c r="R987" t="s">
        <v>30</v>
      </c>
      <c r="S987">
        <v>29</v>
      </c>
      <c r="T987">
        <v>1</v>
      </c>
      <c r="U987">
        <v>1</v>
      </c>
      <c r="V987">
        <v>297.35000000000002</v>
      </c>
      <c r="W987">
        <v>13130000985</v>
      </c>
    </row>
    <row r="988" spans="1:23" x14ac:dyDescent="0.2">
      <c r="A988" s="1">
        <v>44788</v>
      </c>
      <c r="B988" s="2">
        <v>0.80621527777777779</v>
      </c>
      <c r="C988">
        <v>1986</v>
      </c>
      <c r="D988">
        <v>13002561</v>
      </c>
      <c r="E988">
        <v>13</v>
      </c>
      <c r="F988">
        <v>22589</v>
      </c>
      <c r="G988" t="s">
        <v>23</v>
      </c>
      <c r="H988">
        <v>18</v>
      </c>
      <c r="I988">
        <v>19769</v>
      </c>
      <c r="J988" t="s">
        <v>58</v>
      </c>
      <c r="K988" t="s">
        <v>25</v>
      </c>
      <c r="L988" t="s">
        <v>47</v>
      </c>
      <c r="M988">
        <v>1</v>
      </c>
      <c r="N988">
        <v>92.23</v>
      </c>
      <c r="O988">
        <v>116.19</v>
      </c>
      <c r="P988">
        <v>5.81</v>
      </c>
      <c r="Q988">
        <v>5.81</v>
      </c>
      <c r="R988" t="s">
        <v>30</v>
      </c>
      <c r="S988">
        <v>29</v>
      </c>
      <c r="T988">
        <v>1</v>
      </c>
      <c r="U988">
        <v>1</v>
      </c>
      <c r="V988">
        <v>110.38</v>
      </c>
      <c r="W988">
        <v>13130000986</v>
      </c>
    </row>
    <row r="989" spans="1:23" x14ac:dyDescent="0.2">
      <c r="A989" s="1">
        <v>44775</v>
      </c>
      <c r="B989" s="2">
        <v>0.90896990740740746</v>
      </c>
      <c r="C989">
        <v>1987</v>
      </c>
      <c r="D989">
        <v>13002561</v>
      </c>
      <c r="E989">
        <v>13</v>
      </c>
      <c r="F989">
        <v>22589</v>
      </c>
      <c r="G989" t="s">
        <v>23</v>
      </c>
      <c r="H989">
        <v>15</v>
      </c>
      <c r="I989">
        <v>12228</v>
      </c>
      <c r="J989" t="s">
        <v>122</v>
      </c>
      <c r="K989" t="s">
        <v>28</v>
      </c>
      <c r="L989" t="s">
        <v>47</v>
      </c>
      <c r="M989">
        <v>2</v>
      </c>
      <c r="N989">
        <v>61.21</v>
      </c>
      <c r="O989">
        <v>88.9</v>
      </c>
      <c r="P989">
        <v>4.45</v>
      </c>
      <c r="Q989">
        <v>4.45</v>
      </c>
      <c r="R989" t="s">
        <v>30</v>
      </c>
      <c r="S989">
        <v>29</v>
      </c>
      <c r="T989">
        <v>1</v>
      </c>
      <c r="U989">
        <v>6</v>
      </c>
      <c r="V989">
        <v>84.45</v>
      </c>
      <c r="W989">
        <v>13130000987</v>
      </c>
    </row>
    <row r="990" spans="1:23" x14ac:dyDescent="0.2">
      <c r="A990" s="1">
        <v>44786</v>
      </c>
      <c r="B990" s="2">
        <v>0.44043981481481481</v>
      </c>
      <c r="C990">
        <v>1988</v>
      </c>
      <c r="D990">
        <v>13002561</v>
      </c>
      <c r="E990">
        <v>13</v>
      </c>
      <c r="F990">
        <v>22589</v>
      </c>
      <c r="G990" t="s">
        <v>23</v>
      </c>
      <c r="H990">
        <v>15</v>
      </c>
      <c r="I990">
        <v>18455</v>
      </c>
      <c r="J990" t="s">
        <v>103</v>
      </c>
      <c r="K990" t="s">
        <v>25</v>
      </c>
      <c r="L990" t="s">
        <v>32</v>
      </c>
      <c r="M990">
        <v>1</v>
      </c>
      <c r="N990">
        <v>60.72</v>
      </c>
      <c r="O990">
        <v>88.48</v>
      </c>
      <c r="P990">
        <v>0</v>
      </c>
      <c r="Q990">
        <v>0</v>
      </c>
      <c r="S990">
        <v>29</v>
      </c>
      <c r="T990">
        <v>1</v>
      </c>
      <c r="U990">
        <v>1</v>
      </c>
      <c r="V990">
        <v>88.48</v>
      </c>
      <c r="W990">
        <v>13130000988</v>
      </c>
    </row>
    <row r="991" spans="1:23" x14ac:dyDescent="0.2">
      <c r="A991" s="1">
        <v>44792</v>
      </c>
      <c r="B991" s="2">
        <v>0.89497685185185183</v>
      </c>
      <c r="C991">
        <v>1989</v>
      </c>
      <c r="D991">
        <v>13002561</v>
      </c>
      <c r="E991">
        <v>13</v>
      </c>
      <c r="F991">
        <v>22589</v>
      </c>
      <c r="G991" t="s">
        <v>23</v>
      </c>
      <c r="H991">
        <v>18</v>
      </c>
      <c r="I991">
        <v>54782</v>
      </c>
      <c r="J991" t="s">
        <v>99</v>
      </c>
      <c r="K991" t="s">
        <v>25</v>
      </c>
      <c r="L991" t="s">
        <v>51</v>
      </c>
      <c r="M991">
        <v>2</v>
      </c>
      <c r="N991">
        <v>24.39</v>
      </c>
      <c r="O991">
        <v>35.020000000000003</v>
      </c>
      <c r="P991">
        <v>1.75</v>
      </c>
      <c r="Q991">
        <v>1.75</v>
      </c>
      <c r="R991" t="s">
        <v>30</v>
      </c>
      <c r="S991">
        <v>29</v>
      </c>
      <c r="T991">
        <v>1</v>
      </c>
      <c r="U991">
        <v>2</v>
      </c>
      <c r="V991">
        <v>33.270000000000003</v>
      </c>
      <c r="W991">
        <v>13130000989</v>
      </c>
    </row>
    <row r="992" spans="1:23" x14ac:dyDescent="0.2">
      <c r="A992" s="1">
        <v>44797</v>
      </c>
      <c r="B992" s="2">
        <v>0.52346064814814819</v>
      </c>
      <c r="C992">
        <v>1990</v>
      </c>
      <c r="D992">
        <v>13002561</v>
      </c>
      <c r="E992">
        <v>13</v>
      </c>
      <c r="F992">
        <v>22589</v>
      </c>
      <c r="G992" t="s">
        <v>23</v>
      </c>
      <c r="H992">
        <v>15</v>
      </c>
      <c r="I992">
        <v>89402</v>
      </c>
      <c r="J992" t="s">
        <v>89</v>
      </c>
      <c r="K992" t="s">
        <v>60</v>
      </c>
      <c r="L992" t="s">
        <v>47</v>
      </c>
      <c r="M992">
        <v>1</v>
      </c>
      <c r="N992">
        <v>160.37</v>
      </c>
      <c r="O992">
        <v>200.64</v>
      </c>
      <c r="P992">
        <v>0</v>
      </c>
      <c r="Q992">
        <v>0</v>
      </c>
      <c r="S992">
        <v>29</v>
      </c>
      <c r="T992">
        <v>1</v>
      </c>
      <c r="U992">
        <v>6</v>
      </c>
      <c r="V992">
        <v>200.64</v>
      </c>
      <c r="W992">
        <v>13130000990</v>
      </c>
    </row>
    <row r="993" spans="1:23" x14ac:dyDescent="0.2">
      <c r="A993" s="1">
        <v>44794</v>
      </c>
      <c r="B993" s="2">
        <v>0.57503472222222218</v>
      </c>
      <c r="C993">
        <v>1991</v>
      </c>
      <c r="D993">
        <v>13002561</v>
      </c>
      <c r="E993">
        <v>13</v>
      </c>
      <c r="F993">
        <v>22589</v>
      </c>
      <c r="G993" t="s">
        <v>23</v>
      </c>
      <c r="H993">
        <v>15</v>
      </c>
      <c r="I993">
        <v>20758</v>
      </c>
      <c r="J993" t="s">
        <v>61</v>
      </c>
      <c r="K993" t="s">
        <v>38</v>
      </c>
      <c r="L993" t="s">
        <v>32</v>
      </c>
      <c r="M993">
        <v>3</v>
      </c>
      <c r="N993">
        <v>272.63</v>
      </c>
      <c r="O993">
        <v>341.34</v>
      </c>
      <c r="P993">
        <v>17.07</v>
      </c>
      <c r="Q993">
        <v>17.07</v>
      </c>
      <c r="R993" t="s">
        <v>30</v>
      </c>
      <c r="S993">
        <v>29</v>
      </c>
      <c r="T993">
        <v>1</v>
      </c>
      <c r="U993">
        <v>6</v>
      </c>
      <c r="V993">
        <v>324.27</v>
      </c>
      <c r="W993">
        <v>13130000991</v>
      </c>
    </row>
    <row r="994" spans="1:23" x14ac:dyDescent="0.2">
      <c r="A994" s="1">
        <v>44798</v>
      </c>
      <c r="B994" s="2">
        <v>0.71425925925925926</v>
      </c>
      <c r="C994">
        <v>1992</v>
      </c>
      <c r="D994">
        <v>13002561</v>
      </c>
      <c r="E994">
        <v>13</v>
      </c>
      <c r="F994">
        <v>22589</v>
      </c>
      <c r="G994" t="s">
        <v>23</v>
      </c>
      <c r="H994">
        <v>18</v>
      </c>
      <c r="I994">
        <v>57471</v>
      </c>
      <c r="J994" t="s">
        <v>120</v>
      </c>
      <c r="K994" t="s">
        <v>28</v>
      </c>
      <c r="L994" t="s">
        <v>29</v>
      </c>
      <c r="M994">
        <v>2</v>
      </c>
      <c r="N994">
        <v>358.5</v>
      </c>
      <c r="O994">
        <v>546.21</v>
      </c>
      <c r="P994">
        <v>0</v>
      </c>
      <c r="Q994">
        <v>0</v>
      </c>
      <c r="S994">
        <v>29</v>
      </c>
      <c r="T994">
        <v>1</v>
      </c>
      <c r="U994">
        <v>3</v>
      </c>
      <c r="V994">
        <v>546.21</v>
      </c>
      <c r="W994">
        <v>13130000992</v>
      </c>
    </row>
    <row r="995" spans="1:23" x14ac:dyDescent="0.2">
      <c r="A995" s="1">
        <v>44791</v>
      </c>
      <c r="B995" s="2">
        <v>0.88854166666666667</v>
      </c>
      <c r="C995">
        <v>1993</v>
      </c>
      <c r="D995">
        <v>13002561</v>
      </c>
      <c r="E995">
        <v>13</v>
      </c>
      <c r="F995">
        <v>22589</v>
      </c>
      <c r="G995" t="s">
        <v>23</v>
      </c>
      <c r="H995">
        <v>18</v>
      </c>
      <c r="I995">
        <v>45699</v>
      </c>
      <c r="J995" t="s">
        <v>106</v>
      </c>
      <c r="K995" t="s">
        <v>45</v>
      </c>
      <c r="L995" t="s">
        <v>36</v>
      </c>
      <c r="M995">
        <v>1</v>
      </c>
      <c r="N995">
        <v>101.69</v>
      </c>
      <c r="O995">
        <v>148.11000000000001</v>
      </c>
      <c r="P995">
        <v>7.41</v>
      </c>
      <c r="Q995">
        <v>7.41</v>
      </c>
      <c r="R995" t="s">
        <v>30</v>
      </c>
      <c r="S995">
        <v>29</v>
      </c>
      <c r="T995">
        <v>1</v>
      </c>
      <c r="U995">
        <v>1</v>
      </c>
      <c r="V995">
        <v>140.69999999999999</v>
      </c>
      <c r="W995">
        <v>13130000993</v>
      </c>
    </row>
    <row r="996" spans="1:23" x14ac:dyDescent="0.2">
      <c r="A996" s="1">
        <v>44802</v>
      </c>
      <c r="B996" s="2">
        <v>0.45284722222222218</v>
      </c>
      <c r="C996">
        <v>1994</v>
      </c>
      <c r="D996">
        <v>13002561</v>
      </c>
      <c r="E996">
        <v>13</v>
      </c>
      <c r="F996">
        <v>22589</v>
      </c>
      <c r="G996" t="s">
        <v>23</v>
      </c>
      <c r="H996">
        <v>15</v>
      </c>
      <c r="I996">
        <v>87226</v>
      </c>
      <c r="J996" t="s">
        <v>109</v>
      </c>
      <c r="K996" t="s">
        <v>25</v>
      </c>
      <c r="L996" t="s">
        <v>34</v>
      </c>
      <c r="M996">
        <v>2</v>
      </c>
      <c r="N996">
        <v>510.34</v>
      </c>
      <c r="O996">
        <v>837.86</v>
      </c>
      <c r="P996">
        <v>0</v>
      </c>
      <c r="Q996">
        <v>0</v>
      </c>
      <c r="S996">
        <v>29</v>
      </c>
      <c r="T996">
        <v>1</v>
      </c>
      <c r="U996">
        <v>3</v>
      </c>
      <c r="V996">
        <v>837.86</v>
      </c>
      <c r="W996">
        <v>13130000994</v>
      </c>
    </row>
    <row r="997" spans="1:23" x14ac:dyDescent="0.2">
      <c r="A997" s="1">
        <v>44801</v>
      </c>
      <c r="B997" s="2">
        <v>0.56076388888888884</v>
      </c>
      <c r="C997">
        <v>1995</v>
      </c>
      <c r="D997">
        <v>13002561</v>
      </c>
      <c r="E997">
        <v>13</v>
      </c>
      <c r="F997">
        <v>22589</v>
      </c>
      <c r="G997" t="s">
        <v>23</v>
      </c>
      <c r="H997">
        <v>18</v>
      </c>
      <c r="I997">
        <v>39308</v>
      </c>
      <c r="J997" t="s">
        <v>102</v>
      </c>
      <c r="K997" t="s">
        <v>25</v>
      </c>
      <c r="L997" t="s">
        <v>36</v>
      </c>
      <c r="M997">
        <v>3</v>
      </c>
      <c r="N997">
        <v>414.23</v>
      </c>
      <c r="O997">
        <v>631.77</v>
      </c>
      <c r="P997">
        <v>0</v>
      </c>
      <c r="Q997">
        <v>0</v>
      </c>
      <c r="S997">
        <v>29</v>
      </c>
      <c r="T997">
        <v>1</v>
      </c>
      <c r="U997">
        <v>5</v>
      </c>
      <c r="V997">
        <v>631.77</v>
      </c>
      <c r="W997">
        <v>13130000995</v>
      </c>
    </row>
    <row r="998" spans="1:23" x14ac:dyDescent="0.2">
      <c r="A998" s="1">
        <v>44802</v>
      </c>
      <c r="B998" s="2">
        <v>0.94054398148148144</v>
      </c>
      <c r="C998">
        <v>1996</v>
      </c>
      <c r="D998">
        <v>13002561</v>
      </c>
      <c r="E998">
        <v>13</v>
      </c>
      <c r="F998">
        <v>22589</v>
      </c>
      <c r="G998" t="s">
        <v>23</v>
      </c>
      <c r="H998">
        <v>18</v>
      </c>
      <c r="I998">
        <v>53188</v>
      </c>
      <c r="J998" t="s">
        <v>101</v>
      </c>
      <c r="K998" t="s">
        <v>44</v>
      </c>
      <c r="L998" t="s">
        <v>29</v>
      </c>
      <c r="M998">
        <v>3</v>
      </c>
      <c r="N998">
        <v>418.16</v>
      </c>
      <c r="O998">
        <v>569.54</v>
      </c>
      <c r="P998">
        <v>56.95</v>
      </c>
      <c r="Q998">
        <v>56.95</v>
      </c>
      <c r="R998" t="s">
        <v>30</v>
      </c>
      <c r="S998">
        <v>29</v>
      </c>
      <c r="T998">
        <v>1</v>
      </c>
      <c r="U998">
        <v>4</v>
      </c>
      <c r="V998">
        <v>512.59</v>
      </c>
      <c r="W998">
        <v>13130000996</v>
      </c>
    </row>
    <row r="999" spans="1:23" x14ac:dyDescent="0.2">
      <c r="A999" s="1">
        <v>44797</v>
      </c>
      <c r="B999" s="2">
        <v>0.63309027777777782</v>
      </c>
      <c r="C999">
        <v>1997</v>
      </c>
      <c r="D999">
        <v>13002561</v>
      </c>
      <c r="E999">
        <v>13</v>
      </c>
      <c r="F999">
        <v>22589</v>
      </c>
      <c r="G999" t="s">
        <v>23</v>
      </c>
      <c r="H999">
        <v>15</v>
      </c>
      <c r="I999">
        <v>16558</v>
      </c>
      <c r="J999" t="s">
        <v>78</v>
      </c>
      <c r="K999" t="s">
        <v>28</v>
      </c>
      <c r="L999" t="s">
        <v>51</v>
      </c>
      <c r="M999">
        <v>3</v>
      </c>
      <c r="N999">
        <v>196.83</v>
      </c>
      <c r="O999">
        <v>253.63</v>
      </c>
      <c r="P999">
        <v>25.36</v>
      </c>
      <c r="Q999">
        <v>25.36</v>
      </c>
      <c r="R999" t="s">
        <v>30</v>
      </c>
      <c r="S999">
        <v>29</v>
      </c>
      <c r="T999">
        <v>1</v>
      </c>
      <c r="U999">
        <v>5</v>
      </c>
      <c r="V999">
        <v>228.27</v>
      </c>
      <c r="W999">
        <v>13130000997</v>
      </c>
    </row>
    <row r="1000" spans="1:23" x14ac:dyDescent="0.2">
      <c r="A1000" s="1">
        <v>44792</v>
      </c>
      <c r="B1000" s="2">
        <v>0.75526620370370368</v>
      </c>
      <c r="C1000">
        <v>1998</v>
      </c>
      <c r="D1000">
        <v>13002561</v>
      </c>
      <c r="E1000">
        <v>13</v>
      </c>
      <c r="F1000">
        <v>22589</v>
      </c>
      <c r="G1000" t="s">
        <v>23</v>
      </c>
      <c r="H1000">
        <v>18</v>
      </c>
      <c r="I1000">
        <v>58251</v>
      </c>
      <c r="J1000" t="s">
        <v>94</v>
      </c>
      <c r="K1000" t="s">
        <v>45</v>
      </c>
      <c r="L1000" t="s">
        <v>47</v>
      </c>
      <c r="M1000">
        <v>2</v>
      </c>
      <c r="N1000">
        <v>133.88</v>
      </c>
      <c r="O1000">
        <v>185.99</v>
      </c>
      <c r="P1000">
        <v>9.3000000000000007</v>
      </c>
      <c r="Q1000">
        <v>9.3000000000000007</v>
      </c>
      <c r="R1000" t="s">
        <v>30</v>
      </c>
      <c r="S1000">
        <v>29</v>
      </c>
      <c r="T1000">
        <v>1</v>
      </c>
      <c r="U1000">
        <v>1</v>
      </c>
      <c r="V1000">
        <v>176.69</v>
      </c>
      <c r="W1000">
        <v>13130000998</v>
      </c>
    </row>
    <row r="1001" spans="1:23" x14ac:dyDescent="0.2">
      <c r="A1001" s="1">
        <v>44790</v>
      </c>
      <c r="B1001" s="2">
        <v>0.59771990740740744</v>
      </c>
      <c r="C1001">
        <v>1999</v>
      </c>
      <c r="D1001">
        <v>13002561</v>
      </c>
      <c r="E1001">
        <v>13</v>
      </c>
      <c r="F1001">
        <v>22589</v>
      </c>
      <c r="G1001" t="s">
        <v>23</v>
      </c>
      <c r="H1001">
        <v>15</v>
      </c>
      <c r="I1001">
        <v>27708</v>
      </c>
      <c r="J1001" t="s">
        <v>37</v>
      </c>
      <c r="K1001" t="s">
        <v>60</v>
      </c>
      <c r="L1001" t="s">
        <v>36</v>
      </c>
      <c r="M1001">
        <v>3</v>
      </c>
      <c r="N1001">
        <v>251.68</v>
      </c>
      <c r="O1001">
        <v>358.81</v>
      </c>
      <c r="P1001">
        <v>17.940000000000001</v>
      </c>
      <c r="Q1001">
        <v>17.940000000000001</v>
      </c>
      <c r="R1001" t="s">
        <v>30</v>
      </c>
      <c r="S1001">
        <v>29</v>
      </c>
      <c r="T1001">
        <v>1</v>
      </c>
      <c r="U1001">
        <v>6</v>
      </c>
      <c r="V1001">
        <v>340.87</v>
      </c>
      <c r="W1001">
        <v>13130000999</v>
      </c>
    </row>
    <row r="1002" spans="1:23" x14ac:dyDescent="0.2">
      <c r="A1002" s="1">
        <v>44777</v>
      </c>
      <c r="B1002" s="2">
        <v>0.73347222222222219</v>
      </c>
      <c r="C1002">
        <v>2000</v>
      </c>
      <c r="D1002">
        <v>13002561</v>
      </c>
      <c r="E1002">
        <v>13</v>
      </c>
      <c r="F1002">
        <v>22589</v>
      </c>
      <c r="G1002" t="s">
        <v>23</v>
      </c>
      <c r="H1002">
        <v>18</v>
      </c>
      <c r="I1002">
        <v>67381</v>
      </c>
      <c r="J1002" t="s">
        <v>106</v>
      </c>
      <c r="K1002" t="s">
        <v>25</v>
      </c>
      <c r="L1002" t="s">
        <v>51</v>
      </c>
      <c r="M1002">
        <v>1</v>
      </c>
      <c r="N1002">
        <v>333.46</v>
      </c>
      <c r="O1002">
        <v>434.5</v>
      </c>
      <c r="P1002">
        <v>0</v>
      </c>
      <c r="Q1002">
        <v>0</v>
      </c>
      <c r="S1002">
        <v>29</v>
      </c>
      <c r="T1002">
        <v>1</v>
      </c>
      <c r="U1002">
        <v>2</v>
      </c>
      <c r="V1002">
        <v>434.5</v>
      </c>
      <c r="W1002">
        <v>13130001000</v>
      </c>
    </row>
    <row r="1003" spans="1:23" x14ac:dyDescent="0.2">
      <c r="A1003" s="1">
        <v>44775</v>
      </c>
      <c r="B1003" s="2">
        <v>0.81194444444444447</v>
      </c>
      <c r="C1003">
        <v>2001</v>
      </c>
      <c r="D1003">
        <v>13002561</v>
      </c>
      <c r="E1003">
        <v>13</v>
      </c>
      <c r="F1003">
        <v>22589</v>
      </c>
      <c r="G1003" t="s">
        <v>23</v>
      </c>
      <c r="H1003">
        <v>15</v>
      </c>
      <c r="I1003">
        <v>87550</v>
      </c>
      <c r="J1003" t="s">
        <v>80</v>
      </c>
      <c r="K1003" t="s">
        <v>28</v>
      </c>
      <c r="L1003" t="s">
        <v>29</v>
      </c>
      <c r="M1003">
        <v>3</v>
      </c>
      <c r="N1003">
        <v>179.75</v>
      </c>
      <c r="O1003">
        <v>286.48</v>
      </c>
      <c r="P1003">
        <v>28.65</v>
      </c>
      <c r="Q1003">
        <v>28.65</v>
      </c>
      <c r="R1003" t="s">
        <v>30</v>
      </c>
      <c r="S1003">
        <v>29</v>
      </c>
      <c r="T1003">
        <v>1</v>
      </c>
      <c r="U1003">
        <v>2</v>
      </c>
      <c r="V1003">
        <v>257.83</v>
      </c>
      <c r="W1003">
        <v>13130001001</v>
      </c>
    </row>
    <row r="1004" spans="1:23" x14ac:dyDescent="0.2">
      <c r="A1004" s="1">
        <v>44789</v>
      </c>
      <c r="B1004" s="2">
        <v>0.92231481481481481</v>
      </c>
      <c r="C1004">
        <v>2002</v>
      </c>
      <c r="D1004">
        <v>13002561</v>
      </c>
      <c r="E1004">
        <v>13</v>
      </c>
      <c r="F1004">
        <v>22589</v>
      </c>
      <c r="G1004" t="s">
        <v>23</v>
      </c>
      <c r="H1004">
        <v>18</v>
      </c>
      <c r="I1004">
        <v>27330</v>
      </c>
      <c r="J1004" t="s">
        <v>95</v>
      </c>
      <c r="K1004" t="s">
        <v>28</v>
      </c>
      <c r="L1004" t="s">
        <v>29</v>
      </c>
      <c r="M1004">
        <v>3</v>
      </c>
      <c r="N1004">
        <v>224.29</v>
      </c>
      <c r="O1004">
        <v>357.7</v>
      </c>
      <c r="P1004">
        <v>35.770000000000003</v>
      </c>
      <c r="Q1004">
        <v>35.770000000000003</v>
      </c>
      <c r="R1004" t="s">
        <v>30</v>
      </c>
      <c r="S1004">
        <v>29</v>
      </c>
      <c r="T1004">
        <v>1</v>
      </c>
      <c r="U1004">
        <v>6</v>
      </c>
      <c r="V1004">
        <v>321.93</v>
      </c>
      <c r="W1004">
        <v>13130001002</v>
      </c>
    </row>
    <row r="1005" spans="1:23" x14ac:dyDescent="0.2">
      <c r="A1005" s="1">
        <v>44784</v>
      </c>
      <c r="B1005" s="2">
        <v>0.65869212962962964</v>
      </c>
      <c r="C1005">
        <v>2003</v>
      </c>
      <c r="D1005">
        <v>13002561</v>
      </c>
      <c r="E1005">
        <v>13</v>
      </c>
      <c r="F1005">
        <v>22589</v>
      </c>
      <c r="G1005" t="s">
        <v>23</v>
      </c>
      <c r="H1005">
        <v>18</v>
      </c>
      <c r="I1005">
        <v>36277</v>
      </c>
      <c r="J1005" t="s">
        <v>114</v>
      </c>
      <c r="K1005" t="s">
        <v>45</v>
      </c>
      <c r="L1005" t="s">
        <v>47</v>
      </c>
      <c r="M1005">
        <v>2</v>
      </c>
      <c r="N1005">
        <v>569.24</v>
      </c>
      <c r="O1005">
        <v>715.41</v>
      </c>
      <c r="P1005">
        <v>35.770000000000003</v>
      </c>
      <c r="Q1005">
        <v>35.770000000000003</v>
      </c>
      <c r="R1005" t="s">
        <v>30</v>
      </c>
      <c r="S1005">
        <v>29</v>
      </c>
      <c r="T1005">
        <v>1</v>
      </c>
      <c r="U1005">
        <v>3</v>
      </c>
      <c r="V1005">
        <v>679.64</v>
      </c>
      <c r="W1005">
        <v>13130001003</v>
      </c>
    </row>
    <row r="1006" spans="1:23" x14ac:dyDescent="0.2">
      <c r="A1006" s="1">
        <v>44781</v>
      </c>
      <c r="B1006" s="2">
        <v>0.84748842592592588</v>
      </c>
      <c r="C1006">
        <v>2004</v>
      </c>
      <c r="D1006">
        <v>13002561</v>
      </c>
      <c r="E1006">
        <v>13</v>
      </c>
      <c r="F1006">
        <v>22589</v>
      </c>
      <c r="G1006" t="s">
        <v>23</v>
      </c>
      <c r="H1006">
        <v>18</v>
      </c>
      <c r="I1006">
        <v>67085</v>
      </c>
      <c r="J1006" t="s">
        <v>121</v>
      </c>
      <c r="K1006" t="s">
        <v>28</v>
      </c>
      <c r="L1006" t="s">
        <v>39</v>
      </c>
      <c r="M1006">
        <v>3</v>
      </c>
      <c r="N1006">
        <v>426.15</v>
      </c>
      <c r="O1006">
        <v>701.26</v>
      </c>
      <c r="P1006">
        <v>0</v>
      </c>
      <c r="Q1006">
        <v>0</v>
      </c>
      <c r="S1006">
        <v>29</v>
      </c>
      <c r="T1006">
        <v>1</v>
      </c>
      <c r="U1006">
        <v>6</v>
      </c>
      <c r="V1006">
        <v>701.26</v>
      </c>
      <c r="W1006">
        <v>13130001004</v>
      </c>
    </row>
    <row r="1007" spans="1:23" x14ac:dyDescent="0.2">
      <c r="A1007" s="1">
        <v>44778</v>
      </c>
      <c r="B1007" s="2">
        <v>0.67623842592592598</v>
      </c>
      <c r="C1007">
        <v>2005</v>
      </c>
      <c r="D1007">
        <v>13002561</v>
      </c>
      <c r="E1007">
        <v>13</v>
      </c>
      <c r="F1007">
        <v>22589</v>
      </c>
      <c r="G1007" t="s">
        <v>23</v>
      </c>
      <c r="H1007">
        <v>18</v>
      </c>
      <c r="I1007">
        <v>75782</v>
      </c>
      <c r="J1007" t="s">
        <v>99</v>
      </c>
      <c r="K1007" t="s">
        <v>25</v>
      </c>
      <c r="L1007" t="s">
        <v>32</v>
      </c>
      <c r="M1007">
        <v>2</v>
      </c>
      <c r="N1007">
        <v>62.33</v>
      </c>
      <c r="O1007">
        <v>95.57</v>
      </c>
      <c r="P1007">
        <v>0</v>
      </c>
      <c r="Q1007">
        <v>0</v>
      </c>
      <c r="S1007">
        <v>29</v>
      </c>
      <c r="T1007">
        <v>1</v>
      </c>
      <c r="U1007">
        <v>6</v>
      </c>
      <c r="V1007">
        <v>95.57</v>
      </c>
      <c r="W1007">
        <v>13130001005</v>
      </c>
    </row>
    <row r="1008" spans="1:23" x14ac:dyDescent="0.2">
      <c r="A1008" s="1">
        <v>44803</v>
      </c>
      <c r="B1008" s="2">
        <v>0.69291666666666663</v>
      </c>
      <c r="C1008">
        <v>2006</v>
      </c>
      <c r="D1008">
        <v>13002561</v>
      </c>
      <c r="E1008">
        <v>13</v>
      </c>
      <c r="F1008">
        <v>22589</v>
      </c>
      <c r="G1008" t="s">
        <v>23</v>
      </c>
      <c r="H1008">
        <v>15</v>
      </c>
      <c r="I1008">
        <v>23471</v>
      </c>
      <c r="J1008" t="s">
        <v>24</v>
      </c>
      <c r="K1008" t="s">
        <v>60</v>
      </c>
      <c r="L1008" t="s">
        <v>51</v>
      </c>
      <c r="M1008">
        <v>2</v>
      </c>
      <c r="N1008">
        <v>104.78</v>
      </c>
      <c r="O1008">
        <v>162.09</v>
      </c>
      <c r="P1008">
        <v>0</v>
      </c>
      <c r="Q1008">
        <v>0</v>
      </c>
      <c r="S1008">
        <v>29</v>
      </c>
      <c r="T1008">
        <v>1</v>
      </c>
      <c r="U1008">
        <v>2</v>
      </c>
      <c r="V1008">
        <v>162.09</v>
      </c>
      <c r="W1008">
        <v>13130001006</v>
      </c>
    </row>
    <row r="1009" spans="1:23" x14ac:dyDescent="0.2">
      <c r="A1009" s="1">
        <v>44786</v>
      </c>
      <c r="B1009" s="2">
        <v>0.40858796296296301</v>
      </c>
      <c r="C1009">
        <v>2007</v>
      </c>
      <c r="D1009">
        <v>13002561</v>
      </c>
      <c r="E1009">
        <v>13</v>
      </c>
      <c r="F1009">
        <v>22589</v>
      </c>
      <c r="G1009" t="s">
        <v>23</v>
      </c>
      <c r="H1009">
        <v>15</v>
      </c>
      <c r="I1009">
        <v>76769</v>
      </c>
      <c r="J1009" t="s">
        <v>84</v>
      </c>
      <c r="K1009" t="s">
        <v>45</v>
      </c>
      <c r="L1009" t="s">
        <v>47</v>
      </c>
      <c r="M1009">
        <v>3</v>
      </c>
      <c r="N1009">
        <v>117.03</v>
      </c>
      <c r="O1009">
        <v>176.18</v>
      </c>
      <c r="P1009">
        <v>0</v>
      </c>
      <c r="Q1009">
        <v>0</v>
      </c>
      <c r="S1009">
        <v>29</v>
      </c>
      <c r="T1009">
        <v>1</v>
      </c>
      <c r="U1009">
        <v>6</v>
      </c>
      <c r="V1009">
        <v>176.18</v>
      </c>
      <c r="W1009">
        <v>13130001007</v>
      </c>
    </row>
    <row r="1010" spans="1:23" x14ac:dyDescent="0.2">
      <c r="A1010" s="1">
        <v>44784</v>
      </c>
      <c r="B1010" s="2">
        <v>0.46355324074074072</v>
      </c>
      <c r="C1010">
        <v>2008</v>
      </c>
      <c r="D1010">
        <v>13002561</v>
      </c>
      <c r="E1010">
        <v>13</v>
      </c>
      <c r="F1010">
        <v>22589</v>
      </c>
      <c r="G1010" t="s">
        <v>23</v>
      </c>
      <c r="H1010">
        <v>18</v>
      </c>
      <c r="I1010">
        <v>13032</v>
      </c>
      <c r="J1010" t="s">
        <v>99</v>
      </c>
      <c r="K1010" t="s">
        <v>45</v>
      </c>
      <c r="L1010" t="s">
        <v>47</v>
      </c>
      <c r="M1010">
        <v>1</v>
      </c>
      <c r="N1010">
        <v>383</v>
      </c>
      <c r="O1010">
        <v>577.69000000000005</v>
      </c>
      <c r="P1010">
        <v>28.88</v>
      </c>
      <c r="Q1010">
        <v>28.88</v>
      </c>
      <c r="R1010" t="s">
        <v>30</v>
      </c>
      <c r="S1010">
        <v>29</v>
      </c>
      <c r="T1010">
        <v>1</v>
      </c>
      <c r="U1010">
        <v>4</v>
      </c>
      <c r="V1010">
        <v>548.80999999999995</v>
      </c>
      <c r="W1010">
        <v>13130001008</v>
      </c>
    </row>
    <row r="1011" spans="1:23" x14ac:dyDescent="0.2">
      <c r="A1011" s="1">
        <v>44802</v>
      </c>
      <c r="B1011" s="2">
        <v>0.42825231481481479</v>
      </c>
      <c r="C1011">
        <v>2009</v>
      </c>
      <c r="D1011">
        <v>13002561</v>
      </c>
      <c r="E1011">
        <v>13</v>
      </c>
      <c r="F1011">
        <v>22589</v>
      </c>
      <c r="G1011" t="s">
        <v>23</v>
      </c>
      <c r="H1011">
        <v>15</v>
      </c>
      <c r="I1011">
        <v>30235</v>
      </c>
      <c r="J1011" t="s">
        <v>99</v>
      </c>
      <c r="K1011" t="s">
        <v>60</v>
      </c>
      <c r="L1011" t="s">
        <v>47</v>
      </c>
      <c r="M1011">
        <v>1</v>
      </c>
      <c r="N1011">
        <v>28.43</v>
      </c>
      <c r="O1011">
        <v>44.83</v>
      </c>
      <c r="P1011">
        <v>4.4800000000000004</v>
      </c>
      <c r="Q1011">
        <v>4.4800000000000004</v>
      </c>
      <c r="R1011" t="s">
        <v>30</v>
      </c>
      <c r="S1011">
        <v>29</v>
      </c>
      <c r="T1011">
        <v>1</v>
      </c>
      <c r="U1011">
        <v>4</v>
      </c>
      <c r="V1011">
        <v>40.35</v>
      </c>
      <c r="W1011">
        <v>13130001009</v>
      </c>
    </row>
    <row r="1012" spans="1:23" x14ac:dyDescent="0.2">
      <c r="A1012" s="1">
        <v>44795</v>
      </c>
      <c r="B1012" s="2">
        <v>0.86564814814814817</v>
      </c>
      <c r="C1012">
        <v>2010</v>
      </c>
      <c r="D1012">
        <v>13002561</v>
      </c>
      <c r="E1012">
        <v>13</v>
      </c>
      <c r="F1012">
        <v>22589</v>
      </c>
      <c r="G1012" t="s">
        <v>23</v>
      </c>
      <c r="H1012">
        <v>15</v>
      </c>
      <c r="I1012">
        <v>97655</v>
      </c>
      <c r="J1012" t="s">
        <v>71</v>
      </c>
      <c r="K1012" t="s">
        <v>28</v>
      </c>
      <c r="L1012" t="s">
        <v>26</v>
      </c>
      <c r="M1012">
        <v>1</v>
      </c>
      <c r="N1012">
        <v>535.96</v>
      </c>
      <c r="O1012">
        <v>691.17</v>
      </c>
      <c r="P1012">
        <v>34.56</v>
      </c>
      <c r="Q1012">
        <v>34.56</v>
      </c>
      <c r="R1012" t="s">
        <v>30</v>
      </c>
      <c r="S1012">
        <v>29</v>
      </c>
      <c r="T1012">
        <v>1</v>
      </c>
      <c r="U1012">
        <v>3</v>
      </c>
      <c r="V1012">
        <v>656.61</v>
      </c>
      <c r="W1012">
        <v>13130001010</v>
      </c>
    </row>
    <row r="1013" spans="1:23" x14ac:dyDescent="0.2">
      <c r="A1013" s="1">
        <v>44792</v>
      </c>
      <c r="B1013" s="2">
        <v>0.41578703703703701</v>
      </c>
      <c r="C1013">
        <v>2011</v>
      </c>
      <c r="D1013">
        <v>13002561</v>
      </c>
      <c r="E1013">
        <v>13</v>
      </c>
      <c r="F1013">
        <v>22589</v>
      </c>
      <c r="G1013" t="s">
        <v>23</v>
      </c>
      <c r="H1013">
        <v>15</v>
      </c>
      <c r="I1013">
        <v>50010</v>
      </c>
      <c r="J1013" t="s">
        <v>124</v>
      </c>
      <c r="K1013" t="s">
        <v>25</v>
      </c>
      <c r="L1013" t="s">
        <v>51</v>
      </c>
      <c r="M1013">
        <v>3</v>
      </c>
      <c r="N1013">
        <v>92.65</v>
      </c>
      <c r="O1013">
        <v>146.1</v>
      </c>
      <c r="P1013">
        <v>7.3</v>
      </c>
      <c r="Q1013">
        <v>7.3</v>
      </c>
      <c r="R1013" t="s">
        <v>30</v>
      </c>
      <c r="S1013">
        <v>29</v>
      </c>
      <c r="T1013">
        <v>1</v>
      </c>
      <c r="U1013">
        <v>3</v>
      </c>
      <c r="V1013">
        <v>138.80000000000001</v>
      </c>
      <c r="W1013">
        <v>13130001011</v>
      </c>
    </row>
    <row r="1014" spans="1:23" x14ac:dyDescent="0.2">
      <c r="A1014" s="1">
        <v>44786</v>
      </c>
      <c r="B1014" s="2">
        <v>0.8005902777777778</v>
      </c>
      <c r="C1014">
        <v>2012</v>
      </c>
      <c r="D1014">
        <v>13002561</v>
      </c>
      <c r="E1014">
        <v>13</v>
      </c>
      <c r="F1014">
        <v>22589</v>
      </c>
      <c r="G1014" t="s">
        <v>23</v>
      </c>
      <c r="H1014">
        <v>15</v>
      </c>
      <c r="I1014">
        <v>73632</v>
      </c>
      <c r="J1014" t="s">
        <v>63</v>
      </c>
      <c r="K1014" t="s">
        <v>28</v>
      </c>
      <c r="L1014" t="s">
        <v>29</v>
      </c>
      <c r="M1014">
        <v>2</v>
      </c>
      <c r="N1014">
        <v>208.49</v>
      </c>
      <c r="O1014">
        <v>262.68</v>
      </c>
      <c r="P1014">
        <v>26.27</v>
      </c>
      <c r="Q1014">
        <v>26.27</v>
      </c>
      <c r="R1014" t="s">
        <v>30</v>
      </c>
      <c r="S1014">
        <v>29</v>
      </c>
      <c r="T1014">
        <v>1</v>
      </c>
      <c r="U1014">
        <v>3</v>
      </c>
      <c r="V1014">
        <v>236.41</v>
      </c>
      <c r="W1014">
        <v>13130001012</v>
      </c>
    </row>
    <row r="1015" spans="1:23" x14ac:dyDescent="0.2">
      <c r="A1015" s="1">
        <v>44777</v>
      </c>
      <c r="B1015" s="2">
        <v>0.47087962962962959</v>
      </c>
      <c r="C1015">
        <v>2013</v>
      </c>
      <c r="D1015">
        <v>13002561</v>
      </c>
      <c r="E1015">
        <v>13</v>
      </c>
      <c r="F1015">
        <v>22589</v>
      </c>
      <c r="G1015" t="s">
        <v>23</v>
      </c>
      <c r="H1015">
        <v>15</v>
      </c>
      <c r="I1015">
        <v>63747</v>
      </c>
      <c r="J1015" t="s">
        <v>40</v>
      </c>
      <c r="K1015" t="s">
        <v>38</v>
      </c>
      <c r="L1015" t="s">
        <v>29</v>
      </c>
      <c r="M1015">
        <v>1</v>
      </c>
      <c r="N1015">
        <v>81.03</v>
      </c>
      <c r="O1015">
        <v>123.12</v>
      </c>
      <c r="P1015">
        <v>0</v>
      </c>
      <c r="Q1015">
        <v>0</v>
      </c>
      <c r="S1015">
        <v>29</v>
      </c>
      <c r="T1015">
        <v>1</v>
      </c>
      <c r="U1015">
        <v>6</v>
      </c>
      <c r="V1015">
        <v>123.12</v>
      </c>
      <c r="W1015">
        <v>13130001013</v>
      </c>
    </row>
    <row r="1016" spans="1:23" x14ac:dyDescent="0.2">
      <c r="A1016" s="1">
        <v>44787</v>
      </c>
      <c r="B1016" s="2">
        <v>0.45225694444444442</v>
      </c>
      <c r="C1016">
        <v>2014</v>
      </c>
      <c r="D1016">
        <v>13002561</v>
      </c>
      <c r="E1016">
        <v>13</v>
      </c>
      <c r="F1016">
        <v>22589</v>
      </c>
      <c r="G1016" t="s">
        <v>23</v>
      </c>
      <c r="H1016">
        <v>15</v>
      </c>
      <c r="I1016">
        <v>23632</v>
      </c>
      <c r="J1016" t="s">
        <v>75</v>
      </c>
      <c r="K1016" t="s">
        <v>44</v>
      </c>
      <c r="L1016" t="s">
        <v>32</v>
      </c>
      <c r="M1016">
        <v>2</v>
      </c>
      <c r="N1016">
        <v>209.79</v>
      </c>
      <c r="O1016">
        <v>272.29000000000002</v>
      </c>
      <c r="P1016">
        <v>27.23</v>
      </c>
      <c r="Q1016">
        <v>27.23</v>
      </c>
      <c r="R1016" t="s">
        <v>30</v>
      </c>
      <c r="S1016">
        <v>29</v>
      </c>
      <c r="T1016">
        <v>1</v>
      </c>
      <c r="U1016">
        <v>4</v>
      </c>
      <c r="V1016">
        <v>245.06</v>
      </c>
      <c r="W1016">
        <v>13130001014</v>
      </c>
    </row>
    <row r="1017" spans="1:23" x14ac:dyDescent="0.2">
      <c r="A1017" s="1">
        <v>44781</v>
      </c>
      <c r="B1017" s="2">
        <v>0.33755787037037038</v>
      </c>
      <c r="C1017">
        <v>2015</v>
      </c>
      <c r="D1017">
        <v>13002561</v>
      </c>
      <c r="E1017">
        <v>13</v>
      </c>
      <c r="F1017">
        <v>22589</v>
      </c>
      <c r="G1017" t="s">
        <v>23</v>
      </c>
      <c r="H1017">
        <v>15</v>
      </c>
      <c r="I1017">
        <v>75212</v>
      </c>
      <c r="J1017" t="s">
        <v>99</v>
      </c>
      <c r="K1017" t="s">
        <v>25</v>
      </c>
      <c r="L1017" t="s">
        <v>51</v>
      </c>
      <c r="M1017">
        <v>1</v>
      </c>
      <c r="N1017">
        <v>572.26</v>
      </c>
      <c r="O1017">
        <v>832.63</v>
      </c>
      <c r="P1017">
        <v>41.63</v>
      </c>
      <c r="Q1017">
        <v>41.63</v>
      </c>
      <c r="R1017" t="s">
        <v>30</v>
      </c>
      <c r="S1017">
        <v>29</v>
      </c>
      <c r="T1017">
        <v>1</v>
      </c>
      <c r="U1017">
        <v>4</v>
      </c>
      <c r="V1017">
        <v>791</v>
      </c>
      <c r="W1017">
        <v>13130001015</v>
      </c>
    </row>
    <row r="1018" spans="1:23" x14ac:dyDescent="0.2">
      <c r="A1018" s="1">
        <v>44787</v>
      </c>
      <c r="B1018" s="2">
        <v>0.86053240740740744</v>
      </c>
      <c r="C1018">
        <v>2016</v>
      </c>
      <c r="D1018">
        <v>13002561</v>
      </c>
      <c r="E1018">
        <v>13</v>
      </c>
      <c r="F1018">
        <v>22589</v>
      </c>
      <c r="G1018" t="s">
        <v>23</v>
      </c>
      <c r="H1018">
        <v>18</v>
      </c>
      <c r="I1018">
        <v>22640</v>
      </c>
      <c r="J1018" t="s">
        <v>77</v>
      </c>
      <c r="K1018" t="s">
        <v>28</v>
      </c>
      <c r="L1018" t="s">
        <v>26</v>
      </c>
      <c r="M1018">
        <v>2</v>
      </c>
      <c r="N1018">
        <v>372.09</v>
      </c>
      <c r="O1018">
        <v>522.38</v>
      </c>
      <c r="P1018">
        <v>26.12</v>
      </c>
      <c r="Q1018">
        <v>26.12</v>
      </c>
      <c r="R1018" t="s">
        <v>30</v>
      </c>
      <c r="S1018">
        <v>29</v>
      </c>
      <c r="T1018">
        <v>1</v>
      </c>
      <c r="U1018">
        <v>2</v>
      </c>
      <c r="V1018">
        <v>496.26</v>
      </c>
      <c r="W1018">
        <v>13130001016</v>
      </c>
    </row>
    <row r="1019" spans="1:23" x14ac:dyDescent="0.2">
      <c r="A1019" s="1">
        <v>44787</v>
      </c>
      <c r="B1019" s="2">
        <v>0.51275462962962959</v>
      </c>
      <c r="C1019">
        <v>2017</v>
      </c>
      <c r="D1019">
        <v>13002561</v>
      </c>
      <c r="E1019">
        <v>13</v>
      </c>
      <c r="F1019">
        <v>22589</v>
      </c>
      <c r="G1019" t="s">
        <v>23</v>
      </c>
      <c r="H1019">
        <v>18</v>
      </c>
      <c r="I1019">
        <v>11821</v>
      </c>
      <c r="J1019" t="s">
        <v>113</v>
      </c>
      <c r="K1019" t="s">
        <v>38</v>
      </c>
      <c r="L1019" t="s">
        <v>47</v>
      </c>
      <c r="M1019">
        <v>2</v>
      </c>
      <c r="N1019">
        <v>63.53</v>
      </c>
      <c r="O1019">
        <v>90.19</v>
      </c>
      <c r="P1019">
        <v>4.51</v>
      </c>
      <c r="Q1019">
        <v>4.51</v>
      </c>
      <c r="R1019" t="s">
        <v>30</v>
      </c>
      <c r="S1019">
        <v>29</v>
      </c>
      <c r="T1019">
        <v>1</v>
      </c>
      <c r="U1019">
        <v>5</v>
      </c>
      <c r="V1019">
        <v>85.68</v>
      </c>
      <c r="W1019">
        <v>13130001017</v>
      </c>
    </row>
    <row r="1020" spans="1:23" x14ac:dyDescent="0.2">
      <c r="A1020" s="1">
        <v>44800</v>
      </c>
      <c r="B1020" s="2">
        <v>0.62932870370370375</v>
      </c>
      <c r="C1020">
        <v>2018</v>
      </c>
      <c r="D1020">
        <v>13002561</v>
      </c>
      <c r="E1020">
        <v>13</v>
      </c>
      <c r="F1020">
        <v>22589</v>
      </c>
      <c r="G1020" t="s">
        <v>23</v>
      </c>
      <c r="H1020">
        <v>18</v>
      </c>
      <c r="I1020">
        <v>81371</v>
      </c>
      <c r="J1020" t="s">
        <v>64</v>
      </c>
      <c r="K1020" t="s">
        <v>25</v>
      </c>
      <c r="L1020" t="s">
        <v>29</v>
      </c>
      <c r="M1020">
        <v>1</v>
      </c>
      <c r="N1020">
        <v>428.57</v>
      </c>
      <c r="O1020">
        <v>618.47</v>
      </c>
      <c r="P1020">
        <v>0</v>
      </c>
      <c r="Q1020">
        <v>0</v>
      </c>
      <c r="S1020">
        <v>29</v>
      </c>
      <c r="T1020">
        <v>1</v>
      </c>
      <c r="U1020">
        <v>3</v>
      </c>
      <c r="V1020">
        <v>618.47</v>
      </c>
      <c r="W1020">
        <v>13130001018</v>
      </c>
    </row>
    <row r="1021" spans="1:23" x14ac:dyDescent="0.2">
      <c r="A1021" s="1">
        <v>44801</v>
      </c>
      <c r="B1021" s="2">
        <v>0.40497685185185178</v>
      </c>
      <c r="C1021">
        <v>2019</v>
      </c>
      <c r="D1021">
        <v>13002561</v>
      </c>
      <c r="E1021">
        <v>13</v>
      </c>
      <c r="F1021">
        <v>22589</v>
      </c>
      <c r="G1021" t="s">
        <v>23</v>
      </c>
      <c r="H1021">
        <v>15</v>
      </c>
      <c r="I1021">
        <v>37121</v>
      </c>
      <c r="J1021" t="s">
        <v>58</v>
      </c>
      <c r="K1021" t="s">
        <v>38</v>
      </c>
      <c r="L1021" t="s">
        <v>34</v>
      </c>
      <c r="M1021">
        <v>3</v>
      </c>
      <c r="N1021">
        <v>275.11</v>
      </c>
      <c r="O1021">
        <v>361.32</v>
      </c>
      <c r="P1021">
        <v>18.07</v>
      </c>
      <c r="Q1021">
        <v>18.07</v>
      </c>
      <c r="R1021" t="s">
        <v>30</v>
      </c>
      <c r="S1021">
        <v>29</v>
      </c>
      <c r="T1021">
        <v>1</v>
      </c>
      <c r="U1021">
        <v>3</v>
      </c>
      <c r="V1021">
        <v>343.25</v>
      </c>
      <c r="W1021">
        <v>13130001019</v>
      </c>
    </row>
    <row r="1022" spans="1:23" x14ac:dyDescent="0.2">
      <c r="A1022" s="1">
        <v>44803</v>
      </c>
      <c r="B1022" s="2">
        <v>0.72620370370370368</v>
      </c>
      <c r="C1022">
        <v>2020</v>
      </c>
      <c r="D1022">
        <v>13002561</v>
      </c>
      <c r="E1022">
        <v>13</v>
      </c>
      <c r="F1022">
        <v>22589</v>
      </c>
      <c r="G1022" t="s">
        <v>23</v>
      </c>
      <c r="H1022">
        <v>18</v>
      </c>
      <c r="I1022">
        <v>44995</v>
      </c>
      <c r="J1022" t="s">
        <v>64</v>
      </c>
      <c r="K1022" t="s">
        <v>38</v>
      </c>
      <c r="L1022" t="s">
        <v>36</v>
      </c>
      <c r="M1022">
        <v>2</v>
      </c>
      <c r="N1022">
        <v>405.42</v>
      </c>
      <c r="O1022">
        <v>676</v>
      </c>
      <c r="P1022">
        <v>33.799999999999997</v>
      </c>
      <c r="Q1022">
        <v>33.799999999999997</v>
      </c>
      <c r="R1022" t="s">
        <v>30</v>
      </c>
      <c r="S1022">
        <v>29</v>
      </c>
      <c r="T1022">
        <v>1</v>
      </c>
      <c r="U1022">
        <v>6</v>
      </c>
      <c r="V1022">
        <v>642.20000000000005</v>
      </c>
      <c r="W1022">
        <v>13130001020</v>
      </c>
    </row>
    <row r="1023" spans="1:23" x14ac:dyDescent="0.2">
      <c r="A1023" s="1">
        <v>44774</v>
      </c>
      <c r="B1023" s="2">
        <v>0.7786805555555556</v>
      </c>
      <c r="C1023">
        <v>2021</v>
      </c>
      <c r="D1023">
        <v>13002561</v>
      </c>
      <c r="E1023">
        <v>13</v>
      </c>
      <c r="F1023">
        <v>22589</v>
      </c>
      <c r="G1023" t="s">
        <v>23</v>
      </c>
      <c r="H1023">
        <v>18</v>
      </c>
      <c r="I1023">
        <v>41461</v>
      </c>
      <c r="J1023" t="s">
        <v>64</v>
      </c>
      <c r="K1023" t="s">
        <v>38</v>
      </c>
      <c r="L1023" t="s">
        <v>32</v>
      </c>
      <c r="M1023">
        <v>1</v>
      </c>
      <c r="N1023">
        <v>546.09</v>
      </c>
      <c r="O1023">
        <v>781.22</v>
      </c>
      <c r="P1023">
        <v>78.12</v>
      </c>
      <c r="Q1023">
        <v>78.12</v>
      </c>
      <c r="R1023" t="s">
        <v>30</v>
      </c>
      <c r="S1023">
        <v>29</v>
      </c>
      <c r="T1023">
        <v>1</v>
      </c>
      <c r="U1023">
        <v>3</v>
      </c>
      <c r="V1023">
        <v>703.1</v>
      </c>
      <c r="W1023">
        <v>13130001021</v>
      </c>
    </row>
    <row r="1024" spans="1:23" x14ac:dyDescent="0.2">
      <c r="A1024" s="1">
        <v>44791</v>
      </c>
      <c r="B1024" s="2">
        <v>0.40011574074074069</v>
      </c>
      <c r="C1024">
        <v>2022</v>
      </c>
      <c r="D1024">
        <v>13002561</v>
      </c>
      <c r="E1024">
        <v>13</v>
      </c>
      <c r="F1024">
        <v>22589</v>
      </c>
      <c r="G1024" t="s">
        <v>23</v>
      </c>
      <c r="H1024">
        <v>18</v>
      </c>
      <c r="I1024">
        <v>72678</v>
      </c>
      <c r="J1024" t="s">
        <v>81</v>
      </c>
      <c r="K1024" t="s">
        <v>28</v>
      </c>
      <c r="L1024" t="s">
        <v>34</v>
      </c>
      <c r="M1024">
        <v>2</v>
      </c>
      <c r="N1024">
        <v>154.97</v>
      </c>
      <c r="O1024">
        <v>198.66</v>
      </c>
      <c r="P1024">
        <v>19.87</v>
      </c>
      <c r="Q1024">
        <v>19.87</v>
      </c>
      <c r="R1024" t="s">
        <v>30</v>
      </c>
      <c r="S1024">
        <v>29</v>
      </c>
      <c r="T1024">
        <v>1</v>
      </c>
      <c r="U1024">
        <v>6</v>
      </c>
      <c r="V1024">
        <v>178.79</v>
      </c>
      <c r="W1024">
        <v>13130001022</v>
      </c>
    </row>
    <row r="1025" spans="1:23" x14ac:dyDescent="0.2">
      <c r="A1025" s="1">
        <v>44778</v>
      </c>
      <c r="B1025" s="2">
        <v>0.83148148148148149</v>
      </c>
      <c r="C1025">
        <v>2023</v>
      </c>
      <c r="D1025">
        <v>13002561</v>
      </c>
      <c r="E1025">
        <v>13</v>
      </c>
      <c r="F1025">
        <v>22589</v>
      </c>
      <c r="G1025" t="s">
        <v>23</v>
      </c>
      <c r="H1025">
        <v>18</v>
      </c>
      <c r="I1025">
        <v>30272</v>
      </c>
      <c r="J1025" t="s">
        <v>71</v>
      </c>
      <c r="K1025" t="s">
        <v>28</v>
      </c>
      <c r="L1025" t="s">
        <v>32</v>
      </c>
      <c r="M1025">
        <v>1</v>
      </c>
      <c r="N1025">
        <v>542.71</v>
      </c>
      <c r="O1025">
        <v>835.65</v>
      </c>
      <c r="P1025">
        <v>0</v>
      </c>
      <c r="Q1025">
        <v>0</v>
      </c>
      <c r="S1025">
        <v>29</v>
      </c>
      <c r="T1025">
        <v>1</v>
      </c>
      <c r="U1025">
        <v>4</v>
      </c>
      <c r="V1025">
        <v>835.65</v>
      </c>
      <c r="W1025">
        <v>13130001023</v>
      </c>
    </row>
    <row r="1026" spans="1:23" x14ac:dyDescent="0.2">
      <c r="A1026" s="1">
        <v>44791</v>
      </c>
      <c r="B1026" s="2">
        <v>0.85038194444444448</v>
      </c>
      <c r="C1026">
        <v>2024</v>
      </c>
      <c r="D1026">
        <v>13002561</v>
      </c>
      <c r="E1026">
        <v>13</v>
      </c>
      <c r="F1026">
        <v>22589</v>
      </c>
      <c r="G1026" t="s">
        <v>23</v>
      </c>
      <c r="H1026">
        <v>15</v>
      </c>
      <c r="I1026">
        <v>52630</v>
      </c>
      <c r="J1026" t="s">
        <v>86</v>
      </c>
      <c r="K1026" t="s">
        <v>28</v>
      </c>
      <c r="L1026" t="s">
        <v>26</v>
      </c>
      <c r="M1026">
        <v>1</v>
      </c>
      <c r="N1026">
        <v>306.06</v>
      </c>
      <c r="O1026">
        <v>463.58</v>
      </c>
      <c r="P1026">
        <v>23.18</v>
      </c>
      <c r="Q1026">
        <v>23.18</v>
      </c>
      <c r="R1026" t="s">
        <v>30</v>
      </c>
      <c r="S1026">
        <v>29</v>
      </c>
      <c r="T1026">
        <v>1</v>
      </c>
      <c r="U1026">
        <v>3</v>
      </c>
      <c r="V1026">
        <v>440.4</v>
      </c>
      <c r="W1026">
        <v>13130001024</v>
      </c>
    </row>
    <row r="1027" spans="1:23" x14ac:dyDescent="0.2">
      <c r="A1027" s="1">
        <v>44782</v>
      </c>
      <c r="B1027" s="2">
        <v>0.93332175925925931</v>
      </c>
      <c r="C1027">
        <v>2025</v>
      </c>
      <c r="D1027">
        <v>13002561</v>
      </c>
      <c r="E1027">
        <v>13</v>
      </c>
      <c r="F1027">
        <v>22589</v>
      </c>
      <c r="G1027" t="s">
        <v>23</v>
      </c>
      <c r="H1027">
        <v>15</v>
      </c>
      <c r="I1027">
        <v>57812</v>
      </c>
      <c r="J1027" t="s">
        <v>98</v>
      </c>
      <c r="K1027" t="s">
        <v>60</v>
      </c>
      <c r="L1027" t="s">
        <v>26</v>
      </c>
      <c r="M1027">
        <v>3</v>
      </c>
      <c r="N1027">
        <v>239.17</v>
      </c>
      <c r="O1027">
        <v>309.08</v>
      </c>
      <c r="P1027">
        <v>15.45</v>
      </c>
      <c r="Q1027">
        <v>15.45</v>
      </c>
      <c r="R1027" t="s">
        <v>30</v>
      </c>
      <c r="S1027">
        <v>29</v>
      </c>
      <c r="T1027">
        <v>1</v>
      </c>
      <c r="U1027">
        <v>4</v>
      </c>
      <c r="V1027">
        <v>293.63</v>
      </c>
      <c r="W1027">
        <v>13130001025</v>
      </c>
    </row>
    <row r="1028" spans="1:23" x14ac:dyDescent="0.2">
      <c r="A1028" s="1">
        <v>44800</v>
      </c>
      <c r="B1028" s="2">
        <v>0.64951388888888884</v>
      </c>
      <c r="C1028">
        <v>2026</v>
      </c>
      <c r="D1028">
        <v>13002561</v>
      </c>
      <c r="E1028">
        <v>13</v>
      </c>
      <c r="F1028">
        <v>22589</v>
      </c>
      <c r="G1028" t="s">
        <v>23</v>
      </c>
      <c r="H1028">
        <v>15</v>
      </c>
      <c r="I1028">
        <v>89899</v>
      </c>
      <c r="J1028" t="s">
        <v>66</v>
      </c>
      <c r="K1028" t="s">
        <v>44</v>
      </c>
      <c r="L1028" t="s">
        <v>39</v>
      </c>
      <c r="M1028">
        <v>3</v>
      </c>
      <c r="N1028">
        <v>258</v>
      </c>
      <c r="O1028">
        <v>355.5</v>
      </c>
      <c r="P1028">
        <v>0</v>
      </c>
      <c r="Q1028">
        <v>0</v>
      </c>
      <c r="S1028">
        <v>29</v>
      </c>
      <c r="T1028">
        <v>1</v>
      </c>
      <c r="U1028">
        <v>5</v>
      </c>
      <c r="V1028">
        <v>355.5</v>
      </c>
      <c r="W1028">
        <v>13130001026</v>
      </c>
    </row>
    <row r="1029" spans="1:23" x14ac:dyDescent="0.2">
      <c r="A1029" s="1">
        <v>44798</v>
      </c>
      <c r="B1029" s="2">
        <v>0.56292824074074077</v>
      </c>
      <c r="C1029">
        <v>2027</v>
      </c>
      <c r="D1029">
        <v>13002561</v>
      </c>
      <c r="E1029">
        <v>13</v>
      </c>
      <c r="F1029">
        <v>22589</v>
      </c>
      <c r="G1029" t="s">
        <v>23</v>
      </c>
      <c r="H1029">
        <v>18</v>
      </c>
      <c r="I1029">
        <v>88577</v>
      </c>
      <c r="J1029" t="s">
        <v>89</v>
      </c>
      <c r="K1029" t="s">
        <v>60</v>
      </c>
      <c r="L1029" t="s">
        <v>34</v>
      </c>
      <c r="M1029">
        <v>2</v>
      </c>
      <c r="N1029">
        <v>36.89</v>
      </c>
      <c r="O1029">
        <v>46.34</v>
      </c>
      <c r="P1029">
        <v>4.63</v>
      </c>
      <c r="Q1029">
        <v>4.63</v>
      </c>
      <c r="R1029" t="s">
        <v>30</v>
      </c>
      <c r="S1029">
        <v>29</v>
      </c>
      <c r="T1029">
        <v>1</v>
      </c>
      <c r="U1029">
        <v>1</v>
      </c>
      <c r="V1029">
        <v>41.71</v>
      </c>
      <c r="W1029">
        <v>13130001027</v>
      </c>
    </row>
    <row r="1030" spans="1:23" x14ac:dyDescent="0.2">
      <c r="A1030" s="1">
        <v>44785</v>
      </c>
      <c r="B1030" s="2">
        <v>0.43898148148148147</v>
      </c>
      <c r="C1030">
        <v>2028</v>
      </c>
      <c r="D1030">
        <v>13002561</v>
      </c>
      <c r="E1030">
        <v>13</v>
      </c>
      <c r="F1030">
        <v>22589</v>
      </c>
      <c r="G1030" t="s">
        <v>23</v>
      </c>
      <c r="H1030">
        <v>18</v>
      </c>
      <c r="I1030">
        <v>16307</v>
      </c>
      <c r="J1030" t="s">
        <v>88</v>
      </c>
      <c r="K1030" t="s">
        <v>28</v>
      </c>
      <c r="L1030" t="s">
        <v>47</v>
      </c>
      <c r="M1030">
        <v>1</v>
      </c>
      <c r="N1030">
        <v>531.61</v>
      </c>
      <c r="O1030">
        <v>703.24</v>
      </c>
      <c r="P1030">
        <v>35.159999999999997</v>
      </c>
      <c r="Q1030">
        <v>35.159999999999997</v>
      </c>
      <c r="R1030" t="s">
        <v>30</v>
      </c>
      <c r="S1030">
        <v>29</v>
      </c>
      <c r="T1030">
        <v>1</v>
      </c>
      <c r="U1030">
        <v>3</v>
      </c>
      <c r="V1030">
        <v>668.08</v>
      </c>
      <c r="W1030">
        <v>13130001028</v>
      </c>
    </row>
    <row r="1031" spans="1:23" x14ac:dyDescent="0.2">
      <c r="A1031" s="1">
        <v>44800</v>
      </c>
      <c r="B1031" s="2">
        <v>0.55126157407407406</v>
      </c>
      <c r="C1031">
        <v>2029</v>
      </c>
      <c r="D1031">
        <v>13002561</v>
      </c>
      <c r="E1031">
        <v>13</v>
      </c>
      <c r="F1031">
        <v>22589</v>
      </c>
      <c r="G1031" t="s">
        <v>23</v>
      </c>
      <c r="H1031">
        <v>18</v>
      </c>
      <c r="I1031">
        <v>71005</v>
      </c>
      <c r="J1031" t="s">
        <v>54</v>
      </c>
      <c r="K1031" t="s">
        <v>44</v>
      </c>
      <c r="L1031" t="s">
        <v>26</v>
      </c>
      <c r="M1031">
        <v>1</v>
      </c>
      <c r="N1031">
        <v>183.12</v>
      </c>
      <c r="O1031">
        <v>268.16000000000003</v>
      </c>
      <c r="P1031">
        <v>0</v>
      </c>
      <c r="Q1031">
        <v>0</v>
      </c>
      <c r="S1031">
        <v>29</v>
      </c>
      <c r="T1031">
        <v>1</v>
      </c>
      <c r="U1031">
        <v>4</v>
      </c>
      <c r="V1031">
        <v>268.16000000000003</v>
      </c>
      <c r="W1031">
        <v>13130001029</v>
      </c>
    </row>
    <row r="1032" spans="1:23" x14ac:dyDescent="0.2">
      <c r="A1032" s="1">
        <v>44791</v>
      </c>
      <c r="B1032" s="2">
        <v>0.69674768518518515</v>
      </c>
      <c r="C1032">
        <v>2030</v>
      </c>
      <c r="D1032">
        <v>13002561</v>
      </c>
      <c r="E1032">
        <v>13</v>
      </c>
      <c r="F1032">
        <v>22589</v>
      </c>
      <c r="G1032" t="s">
        <v>23</v>
      </c>
      <c r="H1032">
        <v>18</v>
      </c>
      <c r="I1032">
        <v>95324</v>
      </c>
      <c r="J1032" t="s">
        <v>115</v>
      </c>
      <c r="K1032" t="s">
        <v>45</v>
      </c>
      <c r="L1032" t="s">
        <v>51</v>
      </c>
      <c r="M1032">
        <v>1</v>
      </c>
      <c r="N1032">
        <v>373.16</v>
      </c>
      <c r="O1032">
        <v>605.94000000000005</v>
      </c>
      <c r="P1032">
        <v>0</v>
      </c>
      <c r="Q1032">
        <v>0</v>
      </c>
      <c r="S1032">
        <v>29</v>
      </c>
      <c r="T1032">
        <v>1</v>
      </c>
      <c r="U1032">
        <v>4</v>
      </c>
      <c r="V1032">
        <v>605.94000000000005</v>
      </c>
      <c r="W1032">
        <v>13130001030</v>
      </c>
    </row>
    <row r="1033" spans="1:23" x14ac:dyDescent="0.2">
      <c r="A1033" s="1">
        <v>44800</v>
      </c>
      <c r="B1033" s="2">
        <v>0.71177083333333335</v>
      </c>
      <c r="C1033">
        <v>2031</v>
      </c>
      <c r="D1033">
        <v>13002561</v>
      </c>
      <c r="E1033">
        <v>13</v>
      </c>
      <c r="F1033">
        <v>22589</v>
      </c>
      <c r="G1033" t="s">
        <v>23</v>
      </c>
      <c r="H1033">
        <v>15</v>
      </c>
      <c r="I1033">
        <v>10936</v>
      </c>
      <c r="J1033" t="s">
        <v>111</v>
      </c>
      <c r="K1033" t="s">
        <v>38</v>
      </c>
      <c r="L1033" t="s">
        <v>32</v>
      </c>
      <c r="M1033">
        <v>3</v>
      </c>
      <c r="N1033">
        <v>488.56</v>
      </c>
      <c r="O1033">
        <v>804.5</v>
      </c>
      <c r="P1033">
        <v>0</v>
      </c>
      <c r="Q1033">
        <v>0</v>
      </c>
      <c r="S1033">
        <v>29</v>
      </c>
      <c r="T1033">
        <v>1</v>
      </c>
      <c r="U1033">
        <v>4</v>
      </c>
      <c r="V1033">
        <v>804.5</v>
      </c>
      <c r="W1033">
        <v>13130001031</v>
      </c>
    </row>
    <row r="1034" spans="1:23" x14ac:dyDescent="0.2">
      <c r="A1034" s="1">
        <v>44801</v>
      </c>
      <c r="B1034" s="2">
        <v>0.57126157407407407</v>
      </c>
      <c r="C1034">
        <v>2032</v>
      </c>
      <c r="D1034">
        <v>13002561</v>
      </c>
      <c r="E1034">
        <v>13</v>
      </c>
      <c r="F1034">
        <v>22589</v>
      </c>
      <c r="G1034" t="s">
        <v>23</v>
      </c>
      <c r="H1034">
        <v>15</v>
      </c>
      <c r="I1034">
        <v>65205</v>
      </c>
      <c r="J1034" t="s">
        <v>119</v>
      </c>
      <c r="K1034" t="s">
        <v>25</v>
      </c>
      <c r="L1034" t="s">
        <v>26</v>
      </c>
      <c r="M1034">
        <v>3</v>
      </c>
      <c r="N1034">
        <v>503.94</v>
      </c>
      <c r="O1034">
        <v>759.71</v>
      </c>
      <c r="P1034">
        <v>0</v>
      </c>
      <c r="Q1034">
        <v>0</v>
      </c>
      <c r="S1034">
        <v>29</v>
      </c>
      <c r="T1034">
        <v>1</v>
      </c>
      <c r="U1034">
        <v>4</v>
      </c>
      <c r="V1034">
        <v>759.71</v>
      </c>
      <c r="W1034">
        <v>13130001032</v>
      </c>
    </row>
    <row r="1035" spans="1:23" x14ac:dyDescent="0.2">
      <c r="A1035" s="1">
        <v>44796</v>
      </c>
      <c r="B1035" s="2">
        <v>0.47871527777777778</v>
      </c>
      <c r="C1035">
        <v>2033</v>
      </c>
      <c r="D1035">
        <v>13002561</v>
      </c>
      <c r="E1035">
        <v>13</v>
      </c>
      <c r="F1035">
        <v>22589</v>
      </c>
      <c r="G1035" t="s">
        <v>23</v>
      </c>
      <c r="H1035">
        <v>18</v>
      </c>
      <c r="I1035">
        <v>40653</v>
      </c>
      <c r="J1035" t="s">
        <v>56</v>
      </c>
      <c r="K1035" t="s">
        <v>60</v>
      </c>
      <c r="L1035" t="s">
        <v>39</v>
      </c>
      <c r="M1035">
        <v>2</v>
      </c>
      <c r="N1035">
        <v>124.58</v>
      </c>
      <c r="O1035">
        <v>161.12</v>
      </c>
      <c r="P1035">
        <v>8.06</v>
      </c>
      <c r="Q1035">
        <v>8.06</v>
      </c>
      <c r="R1035" t="s">
        <v>30</v>
      </c>
      <c r="S1035">
        <v>29</v>
      </c>
      <c r="T1035">
        <v>1</v>
      </c>
      <c r="U1035">
        <v>1</v>
      </c>
      <c r="V1035">
        <v>153.06</v>
      </c>
      <c r="W1035">
        <v>13130001033</v>
      </c>
    </row>
    <row r="1036" spans="1:23" x14ac:dyDescent="0.2">
      <c r="A1036" s="1">
        <v>44804</v>
      </c>
      <c r="B1036" s="2">
        <v>0.67032407407407413</v>
      </c>
      <c r="C1036">
        <v>2034</v>
      </c>
      <c r="D1036">
        <v>13002561</v>
      </c>
      <c r="E1036">
        <v>13</v>
      </c>
      <c r="F1036">
        <v>22589</v>
      </c>
      <c r="G1036" t="s">
        <v>23</v>
      </c>
      <c r="H1036">
        <v>15</v>
      </c>
      <c r="I1036">
        <v>95270</v>
      </c>
      <c r="J1036" t="s">
        <v>112</v>
      </c>
      <c r="K1036" t="s">
        <v>28</v>
      </c>
      <c r="L1036" t="s">
        <v>29</v>
      </c>
      <c r="M1036">
        <v>1</v>
      </c>
      <c r="N1036">
        <v>416.21</v>
      </c>
      <c r="O1036">
        <v>561.4</v>
      </c>
      <c r="P1036">
        <v>56.14</v>
      </c>
      <c r="Q1036">
        <v>56.14</v>
      </c>
      <c r="R1036" t="s">
        <v>30</v>
      </c>
      <c r="S1036">
        <v>29</v>
      </c>
      <c r="T1036">
        <v>1</v>
      </c>
      <c r="U1036">
        <v>5</v>
      </c>
      <c r="V1036">
        <v>505.26</v>
      </c>
      <c r="W1036">
        <v>13130001034</v>
      </c>
    </row>
    <row r="1037" spans="1:23" x14ac:dyDescent="0.2">
      <c r="A1037" s="1">
        <v>44779</v>
      </c>
      <c r="B1037" s="2">
        <v>0.76555555555555554</v>
      </c>
      <c r="C1037">
        <v>2035</v>
      </c>
      <c r="D1037">
        <v>13002561</v>
      </c>
      <c r="E1037">
        <v>13</v>
      </c>
      <c r="F1037">
        <v>22589</v>
      </c>
      <c r="G1037" t="s">
        <v>23</v>
      </c>
      <c r="H1037">
        <v>15</v>
      </c>
      <c r="I1037">
        <v>71809</v>
      </c>
      <c r="J1037" t="s">
        <v>54</v>
      </c>
      <c r="K1037" t="s">
        <v>44</v>
      </c>
      <c r="L1037" t="s">
        <v>51</v>
      </c>
      <c r="M1037">
        <v>3</v>
      </c>
      <c r="N1037">
        <v>65.81</v>
      </c>
      <c r="O1037">
        <v>98.8</v>
      </c>
      <c r="P1037">
        <v>4.9400000000000004</v>
      </c>
      <c r="Q1037">
        <v>4.9400000000000004</v>
      </c>
      <c r="R1037" t="s">
        <v>30</v>
      </c>
      <c r="S1037">
        <v>29</v>
      </c>
      <c r="T1037">
        <v>1</v>
      </c>
      <c r="U1037">
        <v>4</v>
      </c>
      <c r="V1037">
        <v>93.86</v>
      </c>
      <c r="W1037">
        <v>13130001035</v>
      </c>
    </row>
    <row r="1038" spans="1:23" x14ac:dyDescent="0.2">
      <c r="A1038" s="1">
        <v>44782</v>
      </c>
      <c r="B1038" s="2">
        <v>0.77711805555555558</v>
      </c>
      <c r="C1038">
        <v>2036</v>
      </c>
      <c r="D1038">
        <v>13002561</v>
      </c>
      <c r="E1038">
        <v>13</v>
      </c>
      <c r="F1038">
        <v>22589</v>
      </c>
      <c r="G1038" t="s">
        <v>23</v>
      </c>
      <c r="H1038">
        <v>15</v>
      </c>
      <c r="I1038">
        <v>58605</v>
      </c>
      <c r="J1038" t="s">
        <v>92</v>
      </c>
      <c r="K1038" t="s">
        <v>38</v>
      </c>
      <c r="L1038" t="s">
        <v>47</v>
      </c>
      <c r="M1038">
        <v>1</v>
      </c>
      <c r="N1038">
        <v>280.73</v>
      </c>
      <c r="O1038">
        <v>367.8</v>
      </c>
      <c r="P1038">
        <v>0</v>
      </c>
      <c r="Q1038">
        <v>0</v>
      </c>
      <c r="S1038">
        <v>29</v>
      </c>
      <c r="T1038">
        <v>1</v>
      </c>
      <c r="U1038">
        <v>2</v>
      </c>
      <c r="V1038">
        <v>367.8</v>
      </c>
      <c r="W1038">
        <v>13130001036</v>
      </c>
    </row>
    <row r="1039" spans="1:23" x14ac:dyDescent="0.2">
      <c r="A1039" s="1">
        <v>44780</v>
      </c>
      <c r="B1039" s="2">
        <v>0.76866898148148144</v>
      </c>
      <c r="C1039">
        <v>2037</v>
      </c>
      <c r="D1039">
        <v>13002561</v>
      </c>
      <c r="E1039">
        <v>13</v>
      </c>
      <c r="F1039">
        <v>22589</v>
      </c>
      <c r="G1039" t="s">
        <v>23</v>
      </c>
      <c r="H1039">
        <v>15</v>
      </c>
      <c r="I1039">
        <v>41819</v>
      </c>
      <c r="J1039" t="s">
        <v>72</v>
      </c>
      <c r="K1039" t="s">
        <v>38</v>
      </c>
      <c r="L1039" t="s">
        <v>34</v>
      </c>
      <c r="M1039">
        <v>1</v>
      </c>
      <c r="N1039">
        <v>349.13</v>
      </c>
      <c r="O1039">
        <v>480.95</v>
      </c>
      <c r="P1039">
        <v>24.05</v>
      </c>
      <c r="Q1039">
        <v>24.05</v>
      </c>
      <c r="R1039" t="s">
        <v>30</v>
      </c>
      <c r="S1039">
        <v>29</v>
      </c>
      <c r="T1039">
        <v>1</v>
      </c>
      <c r="U1039">
        <v>2</v>
      </c>
      <c r="V1039">
        <v>456.9</v>
      </c>
      <c r="W1039">
        <v>13130001037</v>
      </c>
    </row>
    <row r="1040" spans="1:23" x14ac:dyDescent="0.2">
      <c r="A1040" s="1">
        <v>44804</v>
      </c>
      <c r="B1040" s="2">
        <v>0.65762731481481485</v>
      </c>
      <c r="C1040">
        <v>2038</v>
      </c>
      <c r="D1040">
        <v>13002561</v>
      </c>
      <c r="E1040">
        <v>13</v>
      </c>
      <c r="F1040">
        <v>22589</v>
      </c>
      <c r="G1040" t="s">
        <v>23</v>
      </c>
      <c r="H1040">
        <v>18</v>
      </c>
      <c r="I1040">
        <v>65617</v>
      </c>
      <c r="J1040" t="s">
        <v>71</v>
      </c>
      <c r="K1040" t="s">
        <v>60</v>
      </c>
      <c r="L1040" t="s">
        <v>26</v>
      </c>
      <c r="M1040">
        <v>3</v>
      </c>
      <c r="N1040">
        <v>270.31</v>
      </c>
      <c r="O1040">
        <v>382.66</v>
      </c>
      <c r="P1040">
        <v>0</v>
      </c>
      <c r="Q1040">
        <v>0</v>
      </c>
      <c r="S1040">
        <v>29</v>
      </c>
      <c r="T1040">
        <v>1</v>
      </c>
      <c r="U1040">
        <v>4</v>
      </c>
      <c r="V1040">
        <v>382.66</v>
      </c>
      <c r="W1040">
        <v>13130001038</v>
      </c>
    </row>
    <row r="1041" spans="1:23" x14ac:dyDescent="0.2">
      <c r="A1041" s="1">
        <v>44785</v>
      </c>
      <c r="B1041" s="2">
        <v>0.89055555555555554</v>
      </c>
      <c r="C1041">
        <v>2039</v>
      </c>
      <c r="D1041">
        <v>13002561</v>
      </c>
      <c r="E1041">
        <v>13</v>
      </c>
      <c r="F1041">
        <v>22589</v>
      </c>
      <c r="G1041" t="s">
        <v>23</v>
      </c>
      <c r="H1041">
        <v>18</v>
      </c>
      <c r="I1041">
        <v>38610</v>
      </c>
      <c r="J1041" t="s">
        <v>113</v>
      </c>
      <c r="K1041" t="s">
        <v>38</v>
      </c>
      <c r="L1041" t="s">
        <v>51</v>
      </c>
      <c r="M1041">
        <v>2</v>
      </c>
      <c r="N1041">
        <v>22.61</v>
      </c>
      <c r="O1041">
        <v>30.82</v>
      </c>
      <c r="P1041">
        <v>1.54</v>
      </c>
      <c r="Q1041">
        <v>1.54</v>
      </c>
      <c r="R1041" t="s">
        <v>30</v>
      </c>
      <c r="S1041">
        <v>29</v>
      </c>
      <c r="T1041">
        <v>1</v>
      </c>
      <c r="U1041">
        <v>1</v>
      </c>
      <c r="V1041">
        <v>29.28</v>
      </c>
      <c r="W1041">
        <v>13130001039</v>
      </c>
    </row>
    <row r="1042" spans="1:23" x14ac:dyDescent="0.2">
      <c r="A1042" s="1">
        <v>44781</v>
      </c>
      <c r="B1042" s="2">
        <v>0.48797453703703703</v>
      </c>
      <c r="C1042">
        <v>2040</v>
      </c>
      <c r="D1042">
        <v>13002561</v>
      </c>
      <c r="E1042">
        <v>13</v>
      </c>
      <c r="F1042">
        <v>22589</v>
      </c>
      <c r="G1042" t="s">
        <v>23</v>
      </c>
      <c r="H1042">
        <v>15</v>
      </c>
      <c r="I1042">
        <v>21063</v>
      </c>
      <c r="J1042" t="s">
        <v>53</v>
      </c>
      <c r="K1042" t="s">
        <v>60</v>
      </c>
      <c r="L1042" t="s">
        <v>39</v>
      </c>
      <c r="M1042">
        <v>2</v>
      </c>
      <c r="N1042">
        <v>382.9</v>
      </c>
      <c r="O1042">
        <v>590.05999999999995</v>
      </c>
      <c r="P1042">
        <v>59.01</v>
      </c>
      <c r="Q1042">
        <v>59.01</v>
      </c>
      <c r="R1042" t="s">
        <v>30</v>
      </c>
      <c r="S1042">
        <v>29</v>
      </c>
      <c r="T1042">
        <v>1</v>
      </c>
      <c r="U1042">
        <v>5</v>
      </c>
      <c r="V1042">
        <v>531.04999999999995</v>
      </c>
      <c r="W1042">
        <v>13130001040</v>
      </c>
    </row>
    <row r="1043" spans="1:23" x14ac:dyDescent="0.2">
      <c r="A1043" s="1">
        <v>44804</v>
      </c>
      <c r="B1043" s="2">
        <v>0.71403935185185186</v>
      </c>
      <c r="C1043">
        <v>2041</v>
      </c>
      <c r="D1043">
        <v>13002561</v>
      </c>
      <c r="E1043">
        <v>13</v>
      </c>
      <c r="F1043">
        <v>22589</v>
      </c>
      <c r="G1043" t="s">
        <v>23</v>
      </c>
      <c r="H1043">
        <v>15</v>
      </c>
      <c r="I1043">
        <v>15449</v>
      </c>
      <c r="J1043" t="s">
        <v>102</v>
      </c>
      <c r="K1043" t="s">
        <v>60</v>
      </c>
      <c r="L1043" t="s">
        <v>36</v>
      </c>
      <c r="M1043">
        <v>1</v>
      </c>
      <c r="N1043">
        <v>130.43</v>
      </c>
      <c r="O1043">
        <v>211.11</v>
      </c>
      <c r="P1043">
        <v>10.56</v>
      </c>
      <c r="Q1043">
        <v>10.56</v>
      </c>
      <c r="R1043" t="s">
        <v>30</v>
      </c>
      <c r="S1043">
        <v>29</v>
      </c>
      <c r="T1043">
        <v>1</v>
      </c>
      <c r="U1043">
        <v>2</v>
      </c>
      <c r="V1043">
        <v>200.55</v>
      </c>
      <c r="W1043">
        <v>13130001041</v>
      </c>
    </row>
    <row r="1044" spans="1:23" x14ac:dyDescent="0.2">
      <c r="A1044" s="1">
        <v>44785</v>
      </c>
      <c r="B1044" s="2">
        <v>0.68921296296296297</v>
      </c>
      <c r="C1044">
        <v>2042</v>
      </c>
      <c r="D1044">
        <v>13002561</v>
      </c>
      <c r="E1044">
        <v>13</v>
      </c>
      <c r="F1044">
        <v>22589</v>
      </c>
      <c r="G1044" t="s">
        <v>23</v>
      </c>
      <c r="H1044">
        <v>15</v>
      </c>
      <c r="I1044">
        <v>11274</v>
      </c>
      <c r="J1044" t="s">
        <v>103</v>
      </c>
      <c r="K1044" t="s">
        <v>45</v>
      </c>
      <c r="L1044" t="s">
        <v>36</v>
      </c>
      <c r="M1044">
        <v>1</v>
      </c>
      <c r="N1044">
        <v>432.03</v>
      </c>
      <c r="O1044">
        <v>634.87</v>
      </c>
      <c r="P1044">
        <v>63.49</v>
      </c>
      <c r="Q1044">
        <v>63.49</v>
      </c>
      <c r="R1044" t="s">
        <v>30</v>
      </c>
      <c r="S1044">
        <v>29</v>
      </c>
      <c r="T1044">
        <v>1</v>
      </c>
      <c r="U1044">
        <v>2</v>
      </c>
      <c r="V1044">
        <v>571.38</v>
      </c>
      <c r="W1044">
        <v>13130001042</v>
      </c>
    </row>
    <row r="1045" spans="1:23" x14ac:dyDescent="0.2">
      <c r="A1045" s="1">
        <v>44776</v>
      </c>
      <c r="B1045" s="2">
        <v>0.94380787037037039</v>
      </c>
      <c r="C1045">
        <v>2043</v>
      </c>
      <c r="D1045">
        <v>13002561</v>
      </c>
      <c r="E1045">
        <v>13</v>
      </c>
      <c r="F1045">
        <v>22589</v>
      </c>
      <c r="G1045" t="s">
        <v>23</v>
      </c>
      <c r="H1045">
        <v>15</v>
      </c>
      <c r="I1045">
        <v>45477</v>
      </c>
      <c r="J1045" t="s">
        <v>106</v>
      </c>
      <c r="K1045" t="s">
        <v>60</v>
      </c>
      <c r="L1045" t="s">
        <v>36</v>
      </c>
      <c r="M1045">
        <v>2</v>
      </c>
      <c r="N1045">
        <v>341.21</v>
      </c>
      <c r="O1045">
        <v>544.80999999999995</v>
      </c>
      <c r="P1045">
        <v>54.48</v>
      </c>
      <c r="Q1045">
        <v>54.48</v>
      </c>
      <c r="R1045" t="s">
        <v>30</v>
      </c>
      <c r="S1045">
        <v>29</v>
      </c>
      <c r="T1045">
        <v>1</v>
      </c>
      <c r="U1045">
        <v>5</v>
      </c>
      <c r="V1045">
        <v>490.33</v>
      </c>
      <c r="W1045">
        <v>13130001043</v>
      </c>
    </row>
    <row r="1046" spans="1:23" x14ac:dyDescent="0.2">
      <c r="A1046" s="1">
        <v>44780</v>
      </c>
      <c r="B1046" s="2">
        <v>0.47796296296296298</v>
      </c>
      <c r="C1046">
        <v>2044</v>
      </c>
      <c r="D1046">
        <v>13002561</v>
      </c>
      <c r="E1046">
        <v>13</v>
      </c>
      <c r="F1046">
        <v>22589</v>
      </c>
      <c r="G1046" t="s">
        <v>23</v>
      </c>
      <c r="H1046">
        <v>18</v>
      </c>
      <c r="I1046">
        <v>81298</v>
      </c>
      <c r="J1046" t="s">
        <v>102</v>
      </c>
      <c r="K1046" t="s">
        <v>60</v>
      </c>
      <c r="L1046" t="s">
        <v>47</v>
      </c>
      <c r="M1046">
        <v>2</v>
      </c>
      <c r="N1046">
        <v>80.87</v>
      </c>
      <c r="O1046">
        <v>114.95</v>
      </c>
      <c r="P1046">
        <v>0</v>
      </c>
      <c r="Q1046">
        <v>0</v>
      </c>
      <c r="S1046">
        <v>29</v>
      </c>
      <c r="T1046">
        <v>1</v>
      </c>
      <c r="U1046">
        <v>1</v>
      </c>
      <c r="V1046">
        <v>114.95</v>
      </c>
      <c r="W1046">
        <v>13130001044</v>
      </c>
    </row>
    <row r="1047" spans="1:23" x14ac:dyDescent="0.2">
      <c r="A1047" s="1">
        <v>44801</v>
      </c>
      <c r="B1047" s="2">
        <v>0.44914351851851853</v>
      </c>
      <c r="C1047">
        <v>2045</v>
      </c>
      <c r="D1047">
        <v>13002561</v>
      </c>
      <c r="E1047">
        <v>13</v>
      </c>
      <c r="F1047">
        <v>22589</v>
      </c>
      <c r="G1047" t="s">
        <v>23</v>
      </c>
      <c r="H1047">
        <v>15</v>
      </c>
      <c r="I1047">
        <v>87121</v>
      </c>
      <c r="J1047" t="s">
        <v>124</v>
      </c>
      <c r="K1047" t="s">
        <v>60</v>
      </c>
      <c r="L1047" t="s">
        <v>36</v>
      </c>
      <c r="M1047">
        <v>2</v>
      </c>
      <c r="N1047">
        <v>9.41</v>
      </c>
      <c r="O1047">
        <v>14.42</v>
      </c>
      <c r="P1047">
        <v>1.44</v>
      </c>
      <c r="Q1047">
        <v>1.44</v>
      </c>
      <c r="R1047" t="s">
        <v>30</v>
      </c>
      <c r="S1047">
        <v>29</v>
      </c>
      <c r="T1047">
        <v>1</v>
      </c>
      <c r="U1047">
        <v>6</v>
      </c>
      <c r="V1047">
        <v>12.98</v>
      </c>
      <c r="W1047">
        <v>13130001045</v>
      </c>
    </row>
    <row r="1048" spans="1:23" x14ac:dyDescent="0.2">
      <c r="A1048" s="1">
        <v>44778</v>
      </c>
      <c r="B1048" s="2">
        <v>0.33666666666666673</v>
      </c>
      <c r="C1048">
        <v>2046</v>
      </c>
      <c r="D1048">
        <v>13002561</v>
      </c>
      <c r="E1048">
        <v>13</v>
      </c>
      <c r="F1048">
        <v>22589</v>
      </c>
      <c r="G1048" t="s">
        <v>23</v>
      </c>
      <c r="H1048">
        <v>18</v>
      </c>
      <c r="I1048">
        <v>96725</v>
      </c>
      <c r="J1048" t="s">
        <v>111</v>
      </c>
      <c r="K1048" t="s">
        <v>38</v>
      </c>
      <c r="L1048" t="s">
        <v>47</v>
      </c>
      <c r="M1048">
        <v>2</v>
      </c>
      <c r="N1048">
        <v>244.02</v>
      </c>
      <c r="O1048">
        <v>306.63</v>
      </c>
      <c r="P1048">
        <v>15.33</v>
      </c>
      <c r="Q1048">
        <v>15.33</v>
      </c>
      <c r="R1048" t="s">
        <v>30</v>
      </c>
      <c r="S1048">
        <v>29</v>
      </c>
      <c r="T1048">
        <v>1</v>
      </c>
      <c r="U1048">
        <v>2</v>
      </c>
      <c r="V1048">
        <v>291.3</v>
      </c>
      <c r="W1048">
        <v>13130001046</v>
      </c>
    </row>
    <row r="1049" spans="1:23" x14ac:dyDescent="0.2">
      <c r="A1049" s="1">
        <v>44776</v>
      </c>
      <c r="B1049" s="2">
        <v>0.85628472222222218</v>
      </c>
      <c r="C1049">
        <v>2047</v>
      </c>
      <c r="D1049">
        <v>13002561</v>
      </c>
      <c r="E1049">
        <v>13</v>
      </c>
      <c r="F1049">
        <v>22589</v>
      </c>
      <c r="G1049" t="s">
        <v>23</v>
      </c>
      <c r="H1049">
        <v>15</v>
      </c>
      <c r="I1049">
        <v>96039</v>
      </c>
      <c r="J1049" t="s">
        <v>111</v>
      </c>
      <c r="K1049" t="s">
        <v>38</v>
      </c>
      <c r="L1049" t="s">
        <v>32</v>
      </c>
      <c r="M1049">
        <v>3</v>
      </c>
      <c r="N1049">
        <v>12.58</v>
      </c>
      <c r="O1049">
        <v>20.21</v>
      </c>
      <c r="P1049">
        <v>1.01</v>
      </c>
      <c r="Q1049">
        <v>1.01</v>
      </c>
      <c r="R1049" t="s">
        <v>30</v>
      </c>
      <c r="S1049">
        <v>29</v>
      </c>
      <c r="T1049">
        <v>1</v>
      </c>
      <c r="U1049">
        <v>5</v>
      </c>
      <c r="V1049">
        <v>19.2</v>
      </c>
      <c r="W1049">
        <v>13130001047</v>
      </c>
    </row>
    <row r="1050" spans="1:23" x14ac:dyDescent="0.2">
      <c r="A1050" s="1">
        <v>44779</v>
      </c>
      <c r="B1050" s="2">
        <v>0.94487268518518519</v>
      </c>
      <c r="C1050">
        <v>2048</v>
      </c>
      <c r="D1050">
        <v>13002561</v>
      </c>
      <c r="E1050">
        <v>13</v>
      </c>
      <c r="F1050">
        <v>22589</v>
      </c>
      <c r="G1050" t="s">
        <v>23</v>
      </c>
      <c r="H1050">
        <v>15</v>
      </c>
      <c r="I1050">
        <v>62464</v>
      </c>
      <c r="J1050" t="s">
        <v>40</v>
      </c>
      <c r="K1050" t="s">
        <v>25</v>
      </c>
      <c r="L1050" t="s">
        <v>32</v>
      </c>
      <c r="M1050">
        <v>1</v>
      </c>
      <c r="N1050">
        <v>281.97000000000003</v>
      </c>
      <c r="O1050">
        <v>478.73</v>
      </c>
      <c r="P1050">
        <v>0</v>
      </c>
      <c r="Q1050">
        <v>0</v>
      </c>
      <c r="S1050">
        <v>29</v>
      </c>
      <c r="T1050">
        <v>1</v>
      </c>
      <c r="U1050">
        <v>4</v>
      </c>
      <c r="V1050">
        <v>478.73</v>
      </c>
      <c r="W1050">
        <v>13130001048</v>
      </c>
    </row>
    <row r="1051" spans="1:23" x14ac:dyDescent="0.2">
      <c r="A1051" s="1">
        <v>44798</v>
      </c>
      <c r="B1051" s="2">
        <v>0.53178240740740745</v>
      </c>
      <c r="C1051">
        <v>2049</v>
      </c>
      <c r="D1051">
        <v>13002561</v>
      </c>
      <c r="E1051">
        <v>13</v>
      </c>
      <c r="F1051">
        <v>22589</v>
      </c>
      <c r="G1051" t="s">
        <v>23</v>
      </c>
      <c r="H1051">
        <v>15</v>
      </c>
      <c r="I1051">
        <v>72914</v>
      </c>
      <c r="J1051" t="s">
        <v>75</v>
      </c>
      <c r="K1051" t="s">
        <v>44</v>
      </c>
      <c r="L1051" t="s">
        <v>34</v>
      </c>
      <c r="M1051">
        <v>2</v>
      </c>
      <c r="N1051">
        <v>265.37</v>
      </c>
      <c r="O1051">
        <v>421.38</v>
      </c>
      <c r="P1051">
        <v>42.14</v>
      </c>
      <c r="Q1051">
        <v>42.14</v>
      </c>
      <c r="R1051" t="s">
        <v>30</v>
      </c>
      <c r="S1051">
        <v>29</v>
      </c>
      <c r="T1051">
        <v>1</v>
      </c>
      <c r="U1051">
        <v>3</v>
      </c>
      <c r="V1051">
        <v>379.24</v>
      </c>
      <c r="W1051">
        <v>13130001049</v>
      </c>
    </row>
    <row r="1052" spans="1:23" x14ac:dyDescent="0.2">
      <c r="A1052" s="1">
        <v>44778</v>
      </c>
      <c r="B1052" s="2">
        <v>0.72761574074074076</v>
      </c>
      <c r="C1052">
        <v>2050</v>
      </c>
      <c r="D1052">
        <v>13002561</v>
      </c>
      <c r="E1052">
        <v>13</v>
      </c>
      <c r="F1052">
        <v>22589</v>
      </c>
      <c r="G1052" t="s">
        <v>23</v>
      </c>
      <c r="H1052">
        <v>18</v>
      </c>
      <c r="I1052">
        <v>85161</v>
      </c>
      <c r="J1052" t="s">
        <v>89</v>
      </c>
      <c r="K1052" t="s">
        <v>28</v>
      </c>
      <c r="L1052" t="s">
        <v>29</v>
      </c>
      <c r="M1052">
        <v>1</v>
      </c>
      <c r="N1052">
        <v>105.6</v>
      </c>
      <c r="O1052">
        <v>170.69</v>
      </c>
      <c r="P1052">
        <v>8.5299999999999994</v>
      </c>
      <c r="Q1052">
        <v>8.5299999999999994</v>
      </c>
      <c r="R1052" t="s">
        <v>30</v>
      </c>
      <c r="S1052">
        <v>29</v>
      </c>
      <c r="T1052">
        <v>1</v>
      </c>
      <c r="U1052">
        <v>4</v>
      </c>
      <c r="V1052">
        <v>162.16</v>
      </c>
      <c r="W1052">
        <v>13130001050</v>
      </c>
    </row>
    <row r="1053" spans="1:23" x14ac:dyDescent="0.2">
      <c r="A1053" s="1">
        <v>44794</v>
      </c>
      <c r="B1053" s="2">
        <v>0.36648148148148152</v>
      </c>
      <c r="C1053">
        <v>2051</v>
      </c>
      <c r="D1053">
        <v>13002561</v>
      </c>
      <c r="E1053">
        <v>13</v>
      </c>
      <c r="F1053">
        <v>22589</v>
      </c>
      <c r="G1053" t="s">
        <v>23</v>
      </c>
      <c r="H1053">
        <v>15</v>
      </c>
      <c r="I1053">
        <v>17946</v>
      </c>
      <c r="J1053" t="s">
        <v>109</v>
      </c>
      <c r="K1053" t="s">
        <v>28</v>
      </c>
      <c r="L1053" t="s">
        <v>34</v>
      </c>
      <c r="M1053">
        <v>1</v>
      </c>
      <c r="N1053">
        <v>71.89</v>
      </c>
      <c r="O1053">
        <v>119.77</v>
      </c>
      <c r="P1053">
        <v>0</v>
      </c>
      <c r="Q1053">
        <v>0</v>
      </c>
      <c r="S1053">
        <v>29</v>
      </c>
      <c r="T1053">
        <v>1</v>
      </c>
      <c r="U1053">
        <v>5</v>
      </c>
      <c r="V1053">
        <v>119.77</v>
      </c>
      <c r="W1053">
        <v>13130001051</v>
      </c>
    </row>
    <row r="1054" spans="1:23" x14ac:dyDescent="0.2">
      <c r="A1054" s="1">
        <v>44789</v>
      </c>
      <c r="B1054" s="2">
        <v>0.74944444444444447</v>
      </c>
      <c r="C1054">
        <v>2052</v>
      </c>
      <c r="D1054">
        <v>13002561</v>
      </c>
      <c r="E1054">
        <v>13</v>
      </c>
      <c r="F1054">
        <v>22589</v>
      </c>
      <c r="G1054" t="s">
        <v>23</v>
      </c>
      <c r="H1054">
        <v>18</v>
      </c>
      <c r="I1054">
        <v>43788</v>
      </c>
      <c r="J1054" t="s">
        <v>123</v>
      </c>
      <c r="K1054" t="s">
        <v>45</v>
      </c>
      <c r="L1054" t="s">
        <v>36</v>
      </c>
      <c r="M1054">
        <v>3</v>
      </c>
      <c r="N1054">
        <v>243.7</v>
      </c>
      <c r="O1054">
        <v>375.56</v>
      </c>
      <c r="P1054">
        <v>37.56</v>
      </c>
      <c r="Q1054">
        <v>37.56</v>
      </c>
      <c r="R1054" t="s">
        <v>30</v>
      </c>
      <c r="S1054">
        <v>29</v>
      </c>
      <c r="T1054">
        <v>1</v>
      </c>
      <c r="U1054">
        <v>5</v>
      </c>
      <c r="V1054">
        <v>338</v>
      </c>
      <c r="W1054">
        <v>13130001052</v>
      </c>
    </row>
    <row r="1055" spans="1:23" x14ac:dyDescent="0.2">
      <c r="A1055" s="1">
        <v>44778</v>
      </c>
      <c r="B1055" s="2">
        <v>0.52711805555555558</v>
      </c>
      <c r="C1055">
        <v>2053</v>
      </c>
      <c r="D1055">
        <v>13002561</v>
      </c>
      <c r="E1055">
        <v>13</v>
      </c>
      <c r="F1055">
        <v>22589</v>
      </c>
      <c r="G1055" t="s">
        <v>23</v>
      </c>
      <c r="H1055">
        <v>18</v>
      </c>
      <c r="I1055">
        <v>56214</v>
      </c>
      <c r="J1055" t="s">
        <v>121</v>
      </c>
      <c r="K1055" t="s">
        <v>38</v>
      </c>
      <c r="L1055" t="s">
        <v>51</v>
      </c>
      <c r="M1055">
        <v>2</v>
      </c>
      <c r="N1055">
        <v>282.19</v>
      </c>
      <c r="O1055">
        <v>384.69</v>
      </c>
      <c r="P1055">
        <v>0</v>
      </c>
      <c r="Q1055">
        <v>0</v>
      </c>
      <c r="S1055">
        <v>29</v>
      </c>
      <c r="T1055">
        <v>1</v>
      </c>
      <c r="U1055">
        <v>5</v>
      </c>
      <c r="V1055">
        <v>384.69</v>
      </c>
      <c r="W1055">
        <v>13130001053</v>
      </c>
    </row>
    <row r="1056" spans="1:23" x14ac:dyDescent="0.2">
      <c r="A1056" s="1">
        <v>44784</v>
      </c>
      <c r="B1056" s="2">
        <v>0.86831018518518521</v>
      </c>
      <c r="C1056">
        <v>2054</v>
      </c>
      <c r="D1056">
        <v>13002561</v>
      </c>
      <c r="E1056">
        <v>13</v>
      </c>
      <c r="F1056">
        <v>22589</v>
      </c>
      <c r="G1056" t="s">
        <v>23</v>
      </c>
      <c r="H1056">
        <v>15</v>
      </c>
      <c r="I1056">
        <v>78505</v>
      </c>
      <c r="J1056" t="s">
        <v>78</v>
      </c>
      <c r="K1056" t="s">
        <v>45</v>
      </c>
      <c r="L1056" t="s">
        <v>34</v>
      </c>
      <c r="M1056">
        <v>3</v>
      </c>
      <c r="N1056">
        <v>442.57</v>
      </c>
      <c r="O1056">
        <v>705.28</v>
      </c>
      <c r="P1056">
        <v>70.53</v>
      </c>
      <c r="Q1056">
        <v>70.53</v>
      </c>
      <c r="R1056" t="s">
        <v>30</v>
      </c>
      <c r="S1056">
        <v>29</v>
      </c>
      <c r="T1056">
        <v>1</v>
      </c>
      <c r="U1056">
        <v>1</v>
      </c>
      <c r="V1056">
        <v>634.75</v>
      </c>
      <c r="W1056">
        <v>13130001054</v>
      </c>
    </row>
    <row r="1057" spans="1:23" x14ac:dyDescent="0.2">
      <c r="A1057" s="1">
        <v>44795</v>
      </c>
      <c r="B1057" s="2">
        <v>0.40074074074074068</v>
      </c>
      <c r="C1057">
        <v>2055</v>
      </c>
      <c r="D1057">
        <v>13002561</v>
      </c>
      <c r="E1057">
        <v>13</v>
      </c>
      <c r="F1057">
        <v>22589</v>
      </c>
      <c r="G1057" t="s">
        <v>23</v>
      </c>
      <c r="H1057">
        <v>15</v>
      </c>
      <c r="I1057">
        <v>11357</v>
      </c>
      <c r="J1057" t="s">
        <v>127</v>
      </c>
      <c r="K1057" t="s">
        <v>45</v>
      </c>
      <c r="L1057" t="s">
        <v>51</v>
      </c>
      <c r="M1057">
        <v>1</v>
      </c>
      <c r="N1057">
        <v>230.15</v>
      </c>
      <c r="O1057">
        <v>358.8</v>
      </c>
      <c r="P1057">
        <v>0</v>
      </c>
      <c r="Q1057">
        <v>0</v>
      </c>
      <c r="S1057">
        <v>29</v>
      </c>
      <c r="T1057">
        <v>1</v>
      </c>
      <c r="U1057">
        <v>6</v>
      </c>
      <c r="V1057">
        <v>358.8</v>
      </c>
      <c r="W1057">
        <v>13130001055</v>
      </c>
    </row>
    <row r="1058" spans="1:23" x14ac:dyDescent="0.2">
      <c r="A1058" s="1">
        <v>44801</v>
      </c>
      <c r="B1058" s="2">
        <v>0.68086805555555552</v>
      </c>
      <c r="C1058">
        <v>2056</v>
      </c>
      <c r="D1058">
        <v>13002561</v>
      </c>
      <c r="E1058">
        <v>13</v>
      </c>
      <c r="F1058">
        <v>22589</v>
      </c>
      <c r="G1058" t="s">
        <v>23</v>
      </c>
      <c r="H1058">
        <v>18</v>
      </c>
      <c r="I1058">
        <v>40824</v>
      </c>
      <c r="J1058" t="s">
        <v>109</v>
      </c>
      <c r="K1058" t="s">
        <v>44</v>
      </c>
      <c r="L1058" t="s">
        <v>36</v>
      </c>
      <c r="M1058">
        <v>1</v>
      </c>
      <c r="N1058">
        <v>317.58999999999997</v>
      </c>
      <c r="O1058">
        <v>516.5</v>
      </c>
      <c r="P1058">
        <v>0</v>
      </c>
      <c r="Q1058">
        <v>0</v>
      </c>
      <c r="S1058">
        <v>29</v>
      </c>
      <c r="T1058">
        <v>1</v>
      </c>
      <c r="U1058">
        <v>4</v>
      </c>
      <c r="V1058">
        <v>516.5</v>
      </c>
      <c r="W1058">
        <v>13130001056</v>
      </c>
    </row>
    <row r="1059" spans="1:23" x14ac:dyDescent="0.2">
      <c r="A1059" s="1">
        <v>44783</v>
      </c>
      <c r="B1059" s="2">
        <v>0.4740625</v>
      </c>
      <c r="C1059">
        <v>2057</v>
      </c>
      <c r="D1059">
        <v>13002561</v>
      </c>
      <c r="E1059">
        <v>13</v>
      </c>
      <c r="F1059">
        <v>22589</v>
      </c>
      <c r="G1059" t="s">
        <v>23</v>
      </c>
      <c r="H1059">
        <v>15</v>
      </c>
      <c r="I1059">
        <v>86563</v>
      </c>
      <c r="J1059" t="s">
        <v>31</v>
      </c>
      <c r="K1059" t="s">
        <v>38</v>
      </c>
      <c r="L1059" t="s">
        <v>51</v>
      </c>
      <c r="M1059">
        <v>2</v>
      </c>
      <c r="N1059">
        <v>489.5</v>
      </c>
      <c r="O1059">
        <v>743.09</v>
      </c>
      <c r="P1059">
        <v>37.15</v>
      </c>
      <c r="Q1059">
        <v>37.15</v>
      </c>
      <c r="R1059" t="s">
        <v>30</v>
      </c>
      <c r="S1059">
        <v>29</v>
      </c>
      <c r="T1059">
        <v>1</v>
      </c>
      <c r="U1059">
        <v>2</v>
      </c>
      <c r="V1059">
        <v>705.94</v>
      </c>
      <c r="W1059">
        <v>13130001057</v>
      </c>
    </row>
    <row r="1060" spans="1:23" x14ac:dyDescent="0.2">
      <c r="A1060" s="1">
        <v>44802</v>
      </c>
      <c r="B1060" s="2">
        <v>0.80561342592592589</v>
      </c>
      <c r="C1060">
        <v>2058</v>
      </c>
      <c r="D1060">
        <v>13002561</v>
      </c>
      <c r="E1060">
        <v>13</v>
      </c>
      <c r="F1060">
        <v>22589</v>
      </c>
      <c r="G1060" t="s">
        <v>23</v>
      </c>
      <c r="H1060">
        <v>15</v>
      </c>
      <c r="I1060">
        <v>24963</v>
      </c>
      <c r="J1060" t="s">
        <v>83</v>
      </c>
      <c r="K1060" t="s">
        <v>25</v>
      </c>
      <c r="L1060" t="s">
        <v>34</v>
      </c>
      <c r="M1060">
        <v>3</v>
      </c>
      <c r="N1060">
        <v>545.76</v>
      </c>
      <c r="O1060">
        <v>925.99</v>
      </c>
      <c r="P1060">
        <v>0</v>
      </c>
      <c r="Q1060">
        <v>0</v>
      </c>
      <c r="S1060">
        <v>29</v>
      </c>
      <c r="T1060">
        <v>1</v>
      </c>
      <c r="U1060">
        <v>2</v>
      </c>
      <c r="V1060">
        <v>925.99</v>
      </c>
      <c r="W1060">
        <v>13130001058</v>
      </c>
    </row>
    <row r="1061" spans="1:23" x14ac:dyDescent="0.2">
      <c r="A1061" s="1">
        <v>44785</v>
      </c>
      <c r="B1061" s="2">
        <v>0.78244212962962967</v>
      </c>
      <c r="C1061">
        <v>2059</v>
      </c>
      <c r="D1061">
        <v>13002561</v>
      </c>
      <c r="E1061">
        <v>13</v>
      </c>
      <c r="F1061">
        <v>22589</v>
      </c>
      <c r="G1061" t="s">
        <v>23</v>
      </c>
      <c r="H1061">
        <v>15</v>
      </c>
      <c r="I1061">
        <v>12695</v>
      </c>
      <c r="J1061" t="s">
        <v>93</v>
      </c>
      <c r="K1061" t="s">
        <v>45</v>
      </c>
      <c r="L1061" t="s">
        <v>26</v>
      </c>
      <c r="M1061">
        <v>1</v>
      </c>
      <c r="N1061">
        <v>75.52</v>
      </c>
      <c r="O1061">
        <v>96.51</v>
      </c>
      <c r="P1061">
        <v>0</v>
      </c>
      <c r="Q1061">
        <v>0</v>
      </c>
      <c r="S1061">
        <v>29</v>
      </c>
      <c r="T1061">
        <v>1</v>
      </c>
      <c r="U1061">
        <v>2</v>
      </c>
      <c r="V1061">
        <v>96.51</v>
      </c>
      <c r="W1061">
        <v>13130001059</v>
      </c>
    </row>
    <row r="1062" spans="1:23" x14ac:dyDescent="0.2">
      <c r="A1062" s="1">
        <v>44783</v>
      </c>
      <c r="B1062" s="2">
        <v>0.55078703703703702</v>
      </c>
      <c r="C1062">
        <v>2060</v>
      </c>
      <c r="D1062">
        <v>13002561</v>
      </c>
      <c r="E1062">
        <v>13</v>
      </c>
      <c r="F1062">
        <v>22589</v>
      </c>
      <c r="G1062" t="s">
        <v>23</v>
      </c>
      <c r="H1062">
        <v>15</v>
      </c>
      <c r="I1062">
        <v>23368</v>
      </c>
      <c r="J1062" t="s">
        <v>123</v>
      </c>
      <c r="K1062" t="s">
        <v>44</v>
      </c>
      <c r="L1062" t="s">
        <v>36</v>
      </c>
      <c r="M1062">
        <v>2</v>
      </c>
      <c r="N1062">
        <v>466.28</v>
      </c>
      <c r="O1062">
        <v>694.28</v>
      </c>
      <c r="P1062">
        <v>69.430000000000007</v>
      </c>
      <c r="Q1062">
        <v>69.430000000000007</v>
      </c>
      <c r="R1062" t="s">
        <v>30</v>
      </c>
      <c r="S1062">
        <v>29</v>
      </c>
      <c r="T1062">
        <v>1</v>
      </c>
      <c r="U1062">
        <v>4</v>
      </c>
      <c r="V1062">
        <v>624.85</v>
      </c>
      <c r="W1062">
        <v>13130001060</v>
      </c>
    </row>
    <row r="1063" spans="1:23" x14ac:dyDescent="0.2">
      <c r="A1063" s="1">
        <v>44796</v>
      </c>
      <c r="B1063" s="2">
        <v>0.64726851851851852</v>
      </c>
      <c r="C1063">
        <v>2061</v>
      </c>
      <c r="D1063">
        <v>13002561</v>
      </c>
      <c r="E1063">
        <v>13</v>
      </c>
      <c r="F1063">
        <v>22589</v>
      </c>
      <c r="G1063" t="s">
        <v>23</v>
      </c>
      <c r="H1063">
        <v>15</v>
      </c>
      <c r="I1063">
        <v>10941</v>
      </c>
      <c r="J1063" t="s">
        <v>101</v>
      </c>
      <c r="K1063" t="s">
        <v>38</v>
      </c>
      <c r="L1063" t="s">
        <v>32</v>
      </c>
      <c r="M1063">
        <v>3</v>
      </c>
      <c r="N1063">
        <v>151.13</v>
      </c>
      <c r="O1063">
        <v>223.29</v>
      </c>
      <c r="P1063">
        <v>22.33</v>
      </c>
      <c r="Q1063">
        <v>22.33</v>
      </c>
      <c r="R1063" t="s">
        <v>30</v>
      </c>
      <c r="S1063">
        <v>29</v>
      </c>
      <c r="T1063">
        <v>1</v>
      </c>
      <c r="U1063">
        <v>1</v>
      </c>
      <c r="V1063">
        <v>200.96</v>
      </c>
      <c r="W1063">
        <v>13130001061</v>
      </c>
    </row>
    <row r="1064" spans="1:23" x14ac:dyDescent="0.2">
      <c r="A1064" s="1">
        <v>44784</v>
      </c>
      <c r="B1064" s="2">
        <v>0.81284722222222228</v>
      </c>
      <c r="C1064">
        <v>2062</v>
      </c>
      <c r="D1064">
        <v>13002561</v>
      </c>
      <c r="E1064">
        <v>13</v>
      </c>
      <c r="F1064">
        <v>22589</v>
      </c>
      <c r="G1064" t="s">
        <v>23</v>
      </c>
      <c r="H1064">
        <v>15</v>
      </c>
      <c r="I1064">
        <v>64867</v>
      </c>
      <c r="J1064" t="s">
        <v>104</v>
      </c>
      <c r="K1064" t="s">
        <v>38</v>
      </c>
      <c r="L1064" t="s">
        <v>47</v>
      </c>
      <c r="M1064">
        <v>2</v>
      </c>
      <c r="N1064">
        <v>486.43</v>
      </c>
      <c r="O1064">
        <v>781.53</v>
      </c>
      <c r="P1064">
        <v>78.150000000000006</v>
      </c>
      <c r="Q1064">
        <v>78.150000000000006</v>
      </c>
      <c r="R1064" t="s">
        <v>30</v>
      </c>
      <c r="S1064">
        <v>29</v>
      </c>
      <c r="T1064">
        <v>1</v>
      </c>
      <c r="U1064">
        <v>6</v>
      </c>
      <c r="V1064">
        <v>703.38</v>
      </c>
      <c r="W1064">
        <v>13130001062</v>
      </c>
    </row>
    <row r="1065" spans="1:23" x14ac:dyDescent="0.2">
      <c r="A1065" s="1">
        <v>44799</v>
      </c>
      <c r="B1065" s="2">
        <v>0.88348379629629625</v>
      </c>
      <c r="C1065">
        <v>2063</v>
      </c>
      <c r="D1065">
        <v>13002561</v>
      </c>
      <c r="E1065">
        <v>13</v>
      </c>
      <c r="F1065">
        <v>22589</v>
      </c>
      <c r="G1065" t="s">
        <v>23</v>
      </c>
      <c r="H1065">
        <v>18</v>
      </c>
      <c r="I1065">
        <v>47851</v>
      </c>
      <c r="J1065" t="s">
        <v>40</v>
      </c>
      <c r="K1065" t="s">
        <v>28</v>
      </c>
      <c r="L1065" t="s">
        <v>39</v>
      </c>
      <c r="M1065">
        <v>3</v>
      </c>
      <c r="N1065">
        <v>395.41</v>
      </c>
      <c r="O1065">
        <v>593.27</v>
      </c>
      <c r="P1065">
        <v>29.66</v>
      </c>
      <c r="Q1065">
        <v>29.66</v>
      </c>
      <c r="R1065" t="s">
        <v>30</v>
      </c>
      <c r="S1065">
        <v>29</v>
      </c>
      <c r="T1065">
        <v>1</v>
      </c>
      <c r="U1065">
        <v>2</v>
      </c>
      <c r="V1065">
        <v>563.61</v>
      </c>
      <c r="W1065">
        <v>13130001063</v>
      </c>
    </row>
    <row r="1066" spans="1:23" x14ac:dyDescent="0.2">
      <c r="A1066" s="1">
        <v>44795</v>
      </c>
      <c r="B1066" s="2">
        <v>0.53612268518518513</v>
      </c>
      <c r="C1066">
        <v>2064</v>
      </c>
      <c r="D1066">
        <v>13002561</v>
      </c>
      <c r="E1066">
        <v>13</v>
      </c>
      <c r="F1066">
        <v>22589</v>
      </c>
      <c r="G1066" t="s">
        <v>23</v>
      </c>
      <c r="H1066">
        <v>18</v>
      </c>
      <c r="I1066">
        <v>97183</v>
      </c>
      <c r="J1066" t="s">
        <v>75</v>
      </c>
      <c r="K1066" t="s">
        <v>45</v>
      </c>
      <c r="L1066" t="s">
        <v>47</v>
      </c>
      <c r="M1066">
        <v>1</v>
      </c>
      <c r="N1066">
        <v>27.75</v>
      </c>
      <c r="O1066">
        <v>37.950000000000003</v>
      </c>
      <c r="P1066">
        <v>3.8</v>
      </c>
      <c r="Q1066">
        <v>3.8</v>
      </c>
      <c r="R1066" t="s">
        <v>30</v>
      </c>
      <c r="S1066">
        <v>29</v>
      </c>
      <c r="T1066">
        <v>1</v>
      </c>
      <c r="U1066">
        <v>1</v>
      </c>
      <c r="V1066">
        <v>34.15</v>
      </c>
      <c r="W1066">
        <v>13130001064</v>
      </c>
    </row>
    <row r="1067" spans="1:23" x14ac:dyDescent="0.2">
      <c r="A1067" s="1">
        <v>44778</v>
      </c>
      <c r="B1067" s="2">
        <v>0.74449074074074073</v>
      </c>
      <c r="C1067">
        <v>2065</v>
      </c>
      <c r="D1067">
        <v>13002561</v>
      </c>
      <c r="E1067">
        <v>13</v>
      </c>
      <c r="F1067">
        <v>22589</v>
      </c>
      <c r="G1067" t="s">
        <v>23</v>
      </c>
      <c r="H1067">
        <v>15</v>
      </c>
      <c r="I1067">
        <v>89598</v>
      </c>
      <c r="J1067" t="s">
        <v>35</v>
      </c>
      <c r="K1067" t="s">
        <v>44</v>
      </c>
      <c r="L1067" t="s">
        <v>39</v>
      </c>
      <c r="M1067">
        <v>2</v>
      </c>
      <c r="N1067">
        <v>536.62</v>
      </c>
      <c r="O1067">
        <v>902.86</v>
      </c>
      <c r="P1067">
        <v>90.29</v>
      </c>
      <c r="Q1067">
        <v>90.29</v>
      </c>
      <c r="R1067" t="s">
        <v>30</v>
      </c>
      <c r="S1067">
        <v>29</v>
      </c>
      <c r="T1067">
        <v>1</v>
      </c>
      <c r="U1067">
        <v>4</v>
      </c>
      <c r="V1067">
        <v>812.57</v>
      </c>
      <c r="W1067">
        <v>13130001065</v>
      </c>
    </row>
    <row r="1068" spans="1:23" x14ac:dyDescent="0.2">
      <c r="A1068" s="1">
        <v>44801</v>
      </c>
      <c r="B1068" s="2">
        <v>0.62620370370370371</v>
      </c>
      <c r="C1068">
        <v>2066</v>
      </c>
      <c r="D1068">
        <v>13002561</v>
      </c>
      <c r="E1068">
        <v>13</v>
      </c>
      <c r="F1068">
        <v>22589</v>
      </c>
      <c r="G1068" t="s">
        <v>23</v>
      </c>
      <c r="H1068">
        <v>15</v>
      </c>
      <c r="I1068">
        <v>47418</v>
      </c>
      <c r="J1068" t="s">
        <v>71</v>
      </c>
      <c r="K1068" t="s">
        <v>28</v>
      </c>
      <c r="L1068" t="s">
        <v>36</v>
      </c>
      <c r="M1068">
        <v>3</v>
      </c>
      <c r="N1068">
        <v>356.7</v>
      </c>
      <c r="O1068">
        <v>497.86</v>
      </c>
      <c r="P1068">
        <v>49.79</v>
      </c>
      <c r="Q1068">
        <v>49.79</v>
      </c>
      <c r="R1068" t="s">
        <v>30</v>
      </c>
      <c r="S1068">
        <v>29</v>
      </c>
      <c r="T1068">
        <v>1</v>
      </c>
      <c r="U1068">
        <v>2</v>
      </c>
      <c r="V1068">
        <v>448.07</v>
      </c>
      <c r="W1068">
        <v>13130001066</v>
      </c>
    </row>
    <row r="1069" spans="1:23" x14ac:dyDescent="0.2">
      <c r="A1069" s="1">
        <v>44776</v>
      </c>
      <c r="B1069" s="2">
        <v>0.54269675925925931</v>
      </c>
      <c r="C1069">
        <v>2067</v>
      </c>
      <c r="D1069">
        <v>13002561</v>
      </c>
      <c r="E1069">
        <v>13</v>
      </c>
      <c r="F1069">
        <v>22589</v>
      </c>
      <c r="G1069" t="s">
        <v>23</v>
      </c>
      <c r="H1069">
        <v>15</v>
      </c>
      <c r="I1069">
        <v>66181</v>
      </c>
      <c r="J1069" t="s">
        <v>97</v>
      </c>
      <c r="K1069" t="s">
        <v>28</v>
      </c>
      <c r="L1069" t="s">
        <v>32</v>
      </c>
      <c r="M1069">
        <v>2</v>
      </c>
      <c r="N1069">
        <v>527.01</v>
      </c>
      <c r="O1069">
        <v>695.86</v>
      </c>
      <c r="P1069">
        <v>69.59</v>
      </c>
      <c r="Q1069">
        <v>69.59</v>
      </c>
      <c r="R1069" t="s">
        <v>30</v>
      </c>
      <c r="S1069">
        <v>29</v>
      </c>
      <c r="T1069">
        <v>1</v>
      </c>
      <c r="U1069">
        <v>2</v>
      </c>
      <c r="V1069">
        <v>626.27</v>
      </c>
      <c r="W1069">
        <v>13130001067</v>
      </c>
    </row>
    <row r="1070" spans="1:23" x14ac:dyDescent="0.2">
      <c r="A1070" s="1">
        <v>44777</v>
      </c>
      <c r="B1070" s="2">
        <v>0.45413194444444438</v>
      </c>
      <c r="C1070">
        <v>2068</v>
      </c>
      <c r="D1070">
        <v>13002561</v>
      </c>
      <c r="E1070">
        <v>13</v>
      </c>
      <c r="F1070">
        <v>22589</v>
      </c>
      <c r="G1070" t="s">
        <v>23</v>
      </c>
      <c r="H1070">
        <v>15</v>
      </c>
      <c r="I1070">
        <v>52841</v>
      </c>
      <c r="J1070" t="s">
        <v>92</v>
      </c>
      <c r="K1070" t="s">
        <v>28</v>
      </c>
      <c r="L1070" t="s">
        <v>36</v>
      </c>
      <c r="M1070">
        <v>2</v>
      </c>
      <c r="N1070">
        <v>248.97</v>
      </c>
      <c r="O1070">
        <v>337.95</v>
      </c>
      <c r="P1070">
        <v>16.899999999999999</v>
      </c>
      <c r="Q1070">
        <v>16.899999999999999</v>
      </c>
      <c r="R1070" t="s">
        <v>30</v>
      </c>
      <c r="S1070">
        <v>29</v>
      </c>
      <c r="T1070">
        <v>1</v>
      </c>
      <c r="U1070">
        <v>3</v>
      </c>
      <c r="V1070">
        <v>321.05</v>
      </c>
      <c r="W1070">
        <v>13130001068</v>
      </c>
    </row>
    <row r="1071" spans="1:23" x14ac:dyDescent="0.2">
      <c r="A1071" s="1">
        <v>44787</v>
      </c>
      <c r="B1071" s="2">
        <v>0.94740740740740736</v>
      </c>
      <c r="C1071">
        <v>2069</v>
      </c>
      <c r="D1071">
        <v>13002561</v>
      </c>
      <c r="E1071">
        <v>13</v>
      </c>
      <c r="F1071">
        <v>22589</v>
      </c>
      <c r="G1071" t="s">
        <v>23</v>
      </c>
      <c r="H1071">
        <v>15</v>
      </c>
      <c r="I1071">
        <v>73324</v>
      </c>
      <c r="J1071" t="s">
        <v>77</v>
      </c>
      <c r="K1071" t="s">
        <v>38</v>
      </c>
      <c r="L1071" t="s">
        <v>36</v>
      </c>
      <c r="M1071">
        <v>3</v>
      </c>
      <c r="N1071">
        <v>189.32</v>
      </c>
      <c r="O1071">
        <v>256.35000000000002</v>
      </c>
      <c r="P1071">
        <v>25.64</v>
      </c>
      <c r="Q1071">
        <v>25.64</v>
      </c>
      <c r="R1071" t="s">
        <v>30</v>
      </c>
      <c r="S1071">
        <v>29</v>
      </c>
      <c r="T1071">
        <v>1</v>
      </c>
      <c r="U1071">
        <v>2</v>
      </c>
      <c r="V1071">
        <v>230.71</v>
      </c>
      <c r="W1071">
        <v>13130001069</v>
      </c>
    </row>
    <row r="1072" spans="1:23" x14ac:dyDescent="0.2">
      <c r="A1072" s="1">
        <v>44802</v>
      </c>
      <c r="B1072" s="2">
        <v>0.57828703703703699</v>
      </c>
      <c r="C1072">
        <v>2070</v>
      </c>
      <c r="D1072">
        <v>13002561</v>
      </c>
      <c r="E1072">
        <v>13</v>
      </c>
      <c r="F1072">
        <v>22589</v>
      </c>
      <c r="G1072" t="s">
        <v>23</v>
      </c>
      <c r="H1072">
        <v>18</v>
      </c>
      <c r="I1072">
        <v>92720</v>
      </c>
      <c r="J1072" t="s">
        <v>31</v>
      </c>
      <c r="K1072" t="s">
        <v>25</v>
      </c>
      <c r="L1072" t="s">
        <v>47</v>
      </c>
      <c r="M1072">
        <v>1</v>
      </c>
      <c r="N1072">
        <v>95.82</v>
      </c>
      <c r="O1072">
        <v>145.77000000000001</v>
      </c>
      <c r="P1072">
        <v>7.29</v>
      </c>
      <c r="Q1072">
        <v>7.29</v>
      </c>
      <c r="R1072" t="s">
        <v>30</v>
      </c>
      <c r="S1072">
        <v>29</v>
      </c>
      <c r="T1072">
        <v>1</v>
      </c>
      <c r="U1072">
        <v>4</v>
      </c>
      <c r="V1072">
        <v>138.47999999999999</v>
      </c>
      <c r="W1072">
        <v>13130001070</v>
      </c>
    </row>
    <row r="1073" spans="1:23" x14ac:dyDescent="0.2">
      <c r="A1073" s="1">
        <v>44777</v>
      </c>
      <c r="B1073" s="2">
        <v>0.83339120370370368</v>
      </c>
      <c r="C1073">
        <v>2071</v>
      </c>
      <c r="D1073">
        <v>13002561</v>
      </c>
      <c r="E1073">
        <v>13</v>
      </c>
      <c r="F1073">
        <v>22589</v>
      </c>
      <c r="G1073" t="s">
        <v>23</v>
      </c>
      <c r="H1073">
        <v>15</v>
      </c>
      <c r="I1073">
        <v>63767</v>
      </c>
      <c r="J1073" t="s">
        <v>52</v>
      </c>
      <c r="K1073" t="s">
        <v>28</v>
      </c>
      <c r="L1073" t="s">
        <v>29</v>
      </c>
      <c r="M1073">
        <v>1</v>
      </c>
      <c r="N1073">
        <v>352.14</v>
      </c>
      <c r="O1073">
        <v>463.34</v>
      </c>
      <c r="P1073">
        <v>46.33</v>
      </c>
      <c r="Q1073">
        <v>46.33</v>
      </c>
      <c r="R1073" t="s">
        <v>30</v>
      </c>
      <c r="S1073">
        <v>29</v>
      </c>
      <c r="T1073">
        <v>1</v>
      </c>
      <c r="U1073">
        <v>4</v>
      </c>
      <c r="V1073">
        <v>417.01</v>
      </c>
      <c r="W1073">
        <v>13130001071</v>
      </c>
    </row>
    <row r="1074" spans="1:23" x14ac:dyDescent="0.2">
      <c r="A1074" s="1">
        <v>44776</v>
      </c>
      <c r="B1074" s="2">
        <v>0.45292824074074067</v>
      </c>
      <c r="C1074">
        <v>2072</v>
      </c>
      <c r="D1074">
        <v>13002561</v>
      </c>
      <c r="E1074">
        <v>13</v>
      </c>
      <c r="F1074">
        <v>22589</v>
      </c>
      <c r="G1074" t="s">
        <v>23</v>
      </c>
      <c r="H1074">
        <v>15</v>
      </c>
      <c r="I1074">
        <v>58206</v>
      </c>
      <c r="J1074" t="s">
        <v>94</v>
      </c>
      <c r="K1074" t="s">
        <v>45</v>
      </c>
      <c r="L1074" t="s">
        <v>34</v>
      </c>
      <c r="M1074">
        <v>1</v>
      </c>
      <c r="N1074">
        <v>269.23</v>
      </c>
      <c r="O1074">
        <v>392.96</v>
      </c>
      <c r="P1074">
        <v>39.299999999999997</v>
      </c>
      <c r="Q1074">
        <v>39.299999999999997</v>
      </c>
      <c r="R1074" t="s">
        <v>30</v>
      </c>
      <c r="S1074">
        <v>29</v>
      </c>
      <c r="T1074">
        <v>1</v>
      </c>
      <c r="U1074">
        <v>2</v>
      </c>
      <c r="V1074">
        <v>353.66</v>
      </c>
      <c r="W1074">
        <v>13130001072</v>
      </c>
    </row>
    <row r="1075" spans="1:23" x14ac:dyDescent="0.2">
      <c r="A1075" s="1">
        <v>44795</v>
      </c>
      <c r="B1075" s="2">
        <v>0.7097106481481481</v>
      </c>
      <c r="C1075">
        <v>2073</v>
      </c>
      <c r="D1075">
        <v>13002561</v>
      </c>
      <c r="E1075">
        <v>13</v>
      </c>
      <c r="F1075">
        <v>22589</v>
      </c>
      <c r="G1075" t="s">
        <v>23</v>
      </c>
      <c r="H1075">
        <v>15</v>
      </c>
      <c r="I1075">
        <v>94274</v>
      </c>
      <c r="J1075" t="s">
        <v>128</v>
      </c>
      <c r="K1075" t="s">
        <v>25</v>
      </c>
      <c r="L1075" t="s">
        <v>39</v>
      </c>
      <c r="M1075">
        <v>3</v>
      </c>
      <c r="N1075">
        <v>573.13</v>
      </c>
      <c r="O1075">
        <v>905.28</v>
      </c>
      <c r="P1075">
        <v>45.26</v>
      </c>
      <c r="Q1075">
        <v>45.26</v>
      </c>
      <c r="R1075" t="s">
        <v>30</v>
      </c>
      <c r="S1075">
        <v>29</v>
      </c>
      <c r="T1075">
        <v>1</v>
      </c>
      <c r="U1075">
        <v>6</v>
      </c>
      <c r="V1075">
        <v>860.02</v>
      </c>
      <c r="W1075">
        <v>13130001073</v>
      </c>
    </row>
    <row r="1076" spans="1:23" x14ac:dyDescent="0.2">
      <c r="A1076" s="1">
        <v>44787</v>
      </c>
      <c r="B1076" s="2">
        <v>0.90333333333333332</v>
      </c>
      <c r="C1076">
        <v>2074</v>
      </c>
      <c r="D1076">
        <v>13002561</v>
      </c>
      <c r="E1076">
        <v>13</v>
      </c>
      <c r="F1076">
        <v>22589</v>
      </c>
      <c r="G1076" t="s">
        <v>23</v>
      </c>
      <c r="H1076">
        <v>15</v>
      </c>
      <c r="I1076">
        <v>43537</v>
      </c>
      <c r="J1076" t="s">
        <v>69</v>
      </c>
      <c r="K1076" t="s">
        <v>25</v>
      </c>
      <c r="L1076" t="s">
        <v>34</v>
      </c>
      <c r="M1076">
        <v>1</v>
      </c>
      <c r="N1076">
        <v>513.11</v>
      </c>
      <c r="O1076">
        <v>854.56</v>
      </c>
      <c r="P1076">
        <v>85.46</v>
      </c>
      <c r="Q1076">
        <v>85.46</v>
      </c>
      <c r="R1076" t="s">
        <v>30</v>
      </c>
      <c r="S1076">
        <v>29</v>
      </c>
      <c r="T1076">
        <v>1</v>
      </c>
      <c r="U1076">
        <v>1</v>
      </c>
      <c r="V1076">
        <v>769.1</v>
      </c>
      <c r="W1076">
        <v>13130001074</v>
      </c>
    </row>
    <row r="1077" spans="1:23" x14ac:dyDescent="0.2">
      <c r="A1077" s="1">
        <v>44797</v>
      </c>
      <c r="B1077" s="2">
        <v>0.77784722222222225</v>
      </c>
      <c r="C1077">
        <v>2075</v>
      </c>
      <c r="D1077">
        <v>13002561</v>
      </c>
      <c r="E1077">
        <v>13</v>
      </c>
      <c r="F1077">
        <v>22589</v>
      </c>
      <c r="G1077" t="s">
        <v>23</v>
      </c>
      <c r="H1077">
        <v>15</v>
      </c>
      <c r="I1077">
        <v>82636</v>
      </c>
      <c r="J1077" t="s">
        <v>66</v>
      </c>
      <c r="K1077" t="s">
        <v>25</v>
      </c>
      <c r="L1077" t="s">
        <v>34</v>
      </c>
      <c r="M1077">
        <v>2</v>
      </c>
      <c r="N1077">
        <v>69.63</v>
      </c>
      <c r="O1077">
        <v>113.7</v>
      </c>
      <c r="P1077">
        <v>0</v>
      </c>
      <c r="Q1077">
        <v>0</v>
      </c>
      <c r="S1077">
        <v>29</v>
      </c>
      <c r="T1077">
        <v>1</v>
      </c>
      <c r="U1077">
        <v>2</v>
      </c>
      <c r="V1077">
        <v>113.7</v>
      </c>
      <c r="W1077">
        <v>13130001075</v>
      </c>
    </row>
    <row r="1078" spans="1:23" x14ac:dyDescent="0.2">
      <c r="A1078" s="1">
        <v>44780</v>
      </c>
      <c r="B1078" s="2">
        <v>0.73498842592592595</v>
      </c>
      <c r="C1078">
        <v>2076</v>
      </c>
      <c r="D1078">
        <v>13002561</v>
      </c>
      <c r="E1078">
        <v>13</v>
      </c>
      <c r="F1078">
        <v>22589</v>
      </c>
      <c r="G1078" t="s">
        <v>23</v>
      </c>
      <c r="H1078">
        <v>15</v>
      </c>
      <c r="I1078">
        <v>93958</v>
      </c>
      <c r="J1078" t="s">
        <v>46</v>
      </c>
      <c r="K1078" t="s">
        <v>38</v>
      </c>
      <c r="L1078" t="s">
        <v>29</v>
      </c>
      <c r="M1078">
        <v>3</v>
      </c>
      <c r="N1078">
        <v>121.76</v>
      </c>
      <c r="O1078">
        <v>167.01</v>
      </c>
      <c r="P1078">
        <v>0</v>
      </c>
      <c r="Q1078">
        <v>0</v>
      </c>
      <c r="S1078">
        <v>29</v>
      </c>
      <c r="T1078">
        <v>1</v>
      </c>
      <c r="U1078">
        <v>1</v>
      </c>
      <c r="V1078">
        <v>167.01</v>
      </c>
      <c r="W1078">
        <v>13130001076</v>
      </c>
    </row>
    <row r="1079" spans="1:23" x14ac:dyDescent="0.2">
      <c r="A1079" s="1">
        <v>44791</v>
      </c>
      <c r="B1079" s="2">
        <v>0.51209490740740737</v>
      </c>
      <c r="C1079">
        <v>2077</v>
      </c>
      <c r="D1079">
        <v>13002561</v>
      </c>
      <c r="E1079">
        <v>13</v>
      </c>
      <c r="F1079">
        <v>22589</v>
      </c>
      <c r="G1079" t="s">
        <v>23</v>
      </c>
      <c r="H1079">
        <v>15</v>
      </c>
      <c r="I1079">
        <v>71674</v>
      </c>
      <c r="J1079" t="s">
        <v>114</v>
      </c>
      <c r="K1079" t="s">
        <v>60</v>
      </c>
      <c r="L1079" t="s">
        <v>47</v>
      </c>
      <c r="M1079">
        <v>1</v>
      </c>
      <c r="N1079">
        <v>65.78</v>
      </c>
      <c r="O1079">
        <v>92.26</v>
      </c>
      <c r="P1079">
        <v>4.6100000000000003</v>
      </c>
      <c r="Q1079">
        <v>4.6100000000000003</v>
      </c>
      <c r="R1079" t="s">
        <v>30</v>
      </c>
      <c r="S1079">
        <v>29</v>
      </c>
      <c r="T1079">
        <v>1</v>
      </c>
      <c r="U1079">
        <v>1</v>
      </c>
      <c r="V1079">
        <v>87.65</v>
      </c>
      <c r="W1079">
        <v>13130001077</v>
      </c>
    </row>
    <row r="1080" spans="1:23" x14ac:dyDescent="0.2">
      <c r="A1080" s="1">
        <v>44778</v>
      </c>
      <c r="B1080" s="2">
        <v>0.90043981481481483</v>
      </c>
      <c r="C1080">
        <v>2078</v>
      </c>
      <c r="D1080">
        <v>13002561</v>
      </c>
      <c r="E1080">
        <v>13</v>
      </c>
      <c r="F1080">
        <v>22589</v>
      </c>
      <c r="G1080" t="s">
        <v>23</v>
      </c>
      <c r="H1080">
        <v>18</v>
      </c>
      <c r="I1080">
        <v>13308</v>
      </c>
      <c r="J1080" t="s">
        <v>88</v>
      </c>
      <c r="K1080" t="s">
        <v>25</v>
      </c>
      <c r="L1080" t="s">
        <v>26</v>
      </c>
      <c r="M1080">
        <v>3</v>
      </c>
      <c r="N1080">
        <v>212.86</v>
      </c>
      <c r="O1080">
        <v>343.81</v>
      </c>
      <c r="P1080">
        <v>34.380000000000003</v>
      </c>
      <c r="Q1080">
        <v>34.380000000000003</v>
      </c>
      <c r="R1080" t="s">
        <v>30</v>
      </c>
      <c r="S1080">
        <v>29</v>
      </c>
      <c r="T1080">
        <v>1</v>
      </c>
      <c r="U1080">
        <v>4</v>
      </c>
      <c r="V1080">
        <v>309.43</v>
      </c>
      <c r="W1080">
        <v>13130001078</v>
      </c>
    </row>
    <row r="1081" spans="1:23" x14ac:dyDescent="0.2">
      <c r="A1081" s="1">
        <v>44797</v>
      </c>
      <c r="B1081" s="2">
        <v>0.86432870370370374</v>
      </c>
      <c r="C1081">
        <v>2079</v>
      </c>
      <c r="D1081">
        <v>13002561</v>
      </c>
      <c r="E1081">
        <v>13</v>
      </c>
      <c r="F1081">
        <v>22589</v>
      </c>
      <c r="G1081" t="s">
        <v>23</v>
      </c>
      <c r="H1081">
        <v>15</v>
      </c>
      <c r="I1081">
        <v>98350</v>
      </c>
      <c r="J1081" t="s">
        <v>24</v>
      </c>
      <c r="K1081" t="s">
        <v>28</v>
      </c>
      <c r="L1081" t="s">
        <v>32</v>
      </c>
      <c r="M1081">
        <v>2</v>
      </c>
      <c r="N1081">
        <v>242.62</v>
      </c>
      <c r="O1081">
        <v>360.34</v>
      </c>
      <c r="P1081">
        <v>18.02</v>
      </c>
      <c r="Q1081">
        <v>18.02</v>
      </c>
      <c r="R1081" t="s">
        <v>30</v>
      </c>
      <c r="S1081">
        <v>29</v>
      </c>
      <c r="T1081">
        <v>1</v>
      </c>
      <c r="U1081">
        <v>2</v>
      </c>
      <c r="V1081">
        <v>342.32</v>
      </c>
      <c r="W1081">
        <v>13130001079</v>
      </c>
    </row>
    <row r="1082" spans="1:23" x14ac:dyDescent="0.2">
      <c r="A1082" s="1">
        <v>44785</v>
      </c>
      <c r="B1082" s="2">
        <v>0.65031249999999996</v>
      </c>
      <c r="C1082">
        <v>2080</v>
      </c>
      <c r="D1082">
        <v>13002561</v>
      </c>
      <c r="E1082">
        <v>13</v>
      </c>
      <c r="F1082">
        <v>22589</v>
      </c>
      <c r="G1082" t="s">
        <v>23</v>
      </c>
      <c r="H1082">
        <v>18</v>
      </c>
      <c r="I1082">
        <v>86317</v>
      </c>
      <c r="J1082" t="s">
        <v>37</v>
      </c>
      <c r="K1082" t="s">
        <v>28</v>
      </c>
      <c r="L1082" t="s">
        <v>32</v>
      </c>
      <c r="M1082">
        <v>1</v>
      </c>
      <c r="N1082">
        <v>276.62</v>
      </c>
      <c r="O1082">
        <v>377.21</v>
      </c>
      <c r="P1082">
        <v>0</v>
      </c>
      <c r="Q1082">
        <v>0</v>
      </c>
      <c r="S1082">
        <v>29</v>
      </c>
      <c r="T1082">
        <v>1</v>
      </c>
      <c r="U1082">
        <v>3</v>
      </c>
      <c r="V1082">
        <v>377.21</v>
      </c>
      <c r="W1082">
        <v>13130001080</v>
      </c>
    </row>
    <row r="1083" spans="1:23" x14ac:dyDescent="0.2">
      <c r="A1083" s="1">
        <v>44785</v>
      </c>
      <c r="B1083" s="2">
        <v>0.83553240740740742</v>
      </c>
      <c r="C1083">
        <v>2081</v>
      </c>
      <c r="D1083">
        <v>13002561</v>
      </c>
      <c r="E1083">
        <v>13</v>
      </c>
      <c r="F1083">
        <v>22589</v>
      </c>
      <c r="G1083" t="s">
        <v>23</v>
      </c>
      <c r="H1083">
        <v>15</v>
      </c>
      <c r="I1083">
        <v>50155</v>
      </c>
      <c r="J1083" t="s">
        <v>83</v>
      </c>
      <c r="K1083" t="s">
        <v>25</v>
      </c>
      <c r="L1083" t="s">
        <v>51</v>
      </c>
      <c r="M1083">
        <v>3</v>
      </c>
      <c r="N1083">
        <v>73.75</v>
      </c>
      <c r="O1083">
        <v>101.83</v>
      </c>
      <c r="P1083">
        <v>0</v>
      </c>
      <c r="Q1083">
        <v>0</v>
      </c>
      <c r="S1083">
        <v>29</v>
      </c>
      <c r="T1083">
        <v>1</v>
      </c>
      <c r="U1083">
        <v>1</v>
      </c>
      <c r="V1083">
        <v>101.83</v>
      </c>
      <c r="W1083">
        <v>13130001081</v>
      </c>
    </row>
    <row r="1084" spans="1:23" x14ac:dyDescent="0.2">
      <c r="A1084" s="1">
        <v>44775</v>
      </c>
      <c r="B1084" s="2">
        <v>0.47423611111111108</v>
      </c>
      <c r="C1084">
        <v>2082</v>
      </c>
      <c r="D1084">
        <v>13002561</v>
      </c>
      <c r="E1084">
        <v>13</v>
      </c>
      <c r="F1084">
        <v>22589</v>
      </c>
      <c r="G1084" t="s">
        <v>23</v>
      </c>
      <c r="H1084">
        <v>18</v>
      </c>
      <c r="I1084">
        <v>23109</v>
      </c>
      <c r="J1084" t="s">
        <v>80</v>
      </c>
      <c r="K1084" t="s">
        <v>28</v>
      </c>
      <c r="L1084" t="s">
        <v>36</v>
      </c>
      <c r="M1084">
        <v>1</v>
      </c>
      <c r="N1084">
        <v>194.15</v>
      </c>
      <c r="O1084">
        <v>322.93</v>
      </c>
      <c r="P1084">
        <v>16.149999999999999</v>
      </c>
      <c r="Q1084">
        <v>16.149999999999999</v>
      </c>
      <c r="R1084" t="s">
        <v>30</v>
      </c>
      <c r="S1084">
        <v>29</v>
      </c>
      <c r="T1084">
        <v>1</v>
      </c>
      <c r="U1084">
        <v>5</v>
      </c>
      <c r="V1084">
        <v>306.77999999999997</v>
      </c>
      <c r="W1084">
        <v>13130001082</v>
      </c>
    </row>
    <row r="1085" spans="1:23" x14ac:dyDescent="0.2">
      <c r="A1085" s="1">
        <v>44791</v>
      </c>
      <c r="B1085" s="2">
        <v>0.54798611111111106</v>
      </c>
      <c r="C1085">
        <v>2083</v>
      </c>
      <c r="D1085">
        <v>13002561</v>
      </c>
      <c r="E1085">
        <v>13</v>
      </c>
      <c r="F1085">
        <v>22589</v>
      </c>
      <c r="G1085" t="s">
        <v>23</v>
      </c>
      <c r="H1085">
        <v>15</v>
      </c>
      <c r="I1085">
        <v>65148</v>
      </c>
      <c r="J1085" t="s">
        <v>48</v>
      </c>
      <c r="K1085" t="s">
        <v>28</v>
      </c>
      <c r="L1085" t="s">
        <v>47</v>
      </c>
      <c r="M1085">
        <v>3</v>
      </c>
      <c r="N1085">
        <v>489.31</v>
      </c>
      <c r="O1085">
        <v>623.61</v>
      </c>
      <c r="P1085">
        <v>62.36</v>
      </c>
      <c r="Q1085">
        <v>62.36</v>
      </c>
      <c r="R1085" t="s">
        <v>30</v>
      </c>
      <c r="S1085">
        <v>29</v>
      </c>
      <c r="T1085">
        <v>1</v>
      </c>
      <c r="U1085">
        <v>2</v>
      </c>
      <c r="V1085">
        <v>561.25</v>
      </c>
      <c r="W1085">
        <v>13130001083</v>
      </c>
    </row>
    <row r="1086" spans="1:23" x14ac:dyDescent="0.2">
      <c r="A1086" s="1">
        <v>44782</v>
      </c>
      <c r="B1086" s="2">
        <v>0.41356481481481477</v>
      </c>
      <c r="C1086">
        <v>2084</v>
      </c>
      <c r="D1086">
        <v>13002561</v>
      </c>
      <c r="E1086">
        <v>13</v>
      </c>
      <c r="F1086">
        <v>22589</v>
      </c>
      <c r="G1086" t="s">
        <v>23</v>
      </c>
      <c r="H1086">
        <v>15</v>
      </c>
      <c r="I1086">
        <v>47687</v>
      </c>
      <c r="J1086" t="s">
        <v>66</v>
      </c>
      <c r="K1086" t="s">
        <v>28</v>
      </c>
      <c r="L1086" t="s">
        <v>39</v>
      </c>
      <c r="M1086">
        <v>3</v>
      </c>
      <c r="N1086">
        <v>560.02</v>
      </c>
      <c r="O1086">
        <v>831.06</v>
      </c>
      <c r="P1086">
        <v>41.55</v>
      </c>
      <c r="Q1086">
        <v>41.55</v>
      </c>
      <c r="R1086" t="s">
        <v>30</v>
      </c>
      <c r="S1086">
        <v>29</v>
      </c>
      <c r="T1086">
        <v>1</v>
      </c>
      <c r="U1086">
        <v>3</v>
      </c>
      <c r="V1086">
        <v>789.51</v>
      </c>
      <c r="W1086">
        <v>13130001084</v>
      </c>
    </row>
    <row r="1087" spans="1:23" x14ac:dyDescent="0.2">
      <c r="A1087" s="1">
        <v>44802</v>
      </c>
      <c r="B1087" s="2">
        <v>0.73298611111111112</v>
      </c>
      <c r="C1087">
        <v>2085</v>
      </c>
      <c r="D1087">
        <v>13002561</v>
      </c>
      <c r="E1087">
        <v>13</v>
      </c>
      <c r="F1087">
        <v>22589</v>
      </c>
      <c r="G1087" t="s">
        <v>23</v>
      </c>
      <c r="H1087">
        <v>18</v>
      </c>
      <c r="I1087">
        <v>98947</v>
      </c>
      <c r="J1087" t="s">
        <v>31</v>
      </c>
      <c r="K1087" t="s">
        <v>38</v>
      </c>
      <c r="L1087" t="s">
        <v>39</v>
      </c>
      <c r="M1087">
        <v>2</v>
      </c>
      <c r="N1087">
        <v>31.76</v>
      </c>
      <c r="O1087">
        <v>42.12</v>
      </c>
      <c r="P1087">
        <v>4.21</v>
      </c>
      <c r="Q1087">
        <v>4.21</v>
      </c>
      <c r="R1087" t="s">
        <v>30</v>
      </c>
      <c r="S1087">
        <v>29</v>
      </c>
      <c r="T1087">
        <v>1</v>
      </c>
      <c r="U1087">
        <v>1</v>
      </c>
      <c r="V1087">
        <v>37.909999999999997</v>
      </c>
      <c r="W1087">
        <v>13130001085</v>
      </c>
    </row>
    <row r="1088" spans="1:23" x14ac:dyDescent="0.2">
      <c r="A1088" s="1">
        <v>44784</v>
      </c>
      <c r="B1088" s="2">
        <v>0.80170138888888887</v>
      </c>
      <c r="C1088">
        <v>2086</v>
      </c>
      <c r="D1088">
        <v>13002561</v>
      </c>
      <c r="E1088">
        <v>13</v>
      </c>
      <c r="F1088">
        <v>22589</v>
      </c>
      <c r="G1088" t="s">
        <v>23</v>
      </c>
      <c r="H1088">
        <v>15</v>
      </c>
      <c r="I1088">
        <v>57216</v>
      </c>
      <c r="J1088" t="s">
        <v>114</v>
      </c>
      <c r="K1088" t="s">
        <v>45</v>
      </c>
      <c r="L1088" t="s">
        <v>47</v>
      </c>
      <c r="M1088">
        <v>1</v>
      </c>
      <c r="N1088">
        <v>31.94</v>
      </c>
      <c r="O1088">
        <v>48.85</v>
      </c>
      <c r="P1088">
        <v>2.44</v>
      </c>
      <c r="Q1088">
        <v>2.44</v>
      </c>
      <c r="R1088" t="s">
        <v>30</v>
      </c>
      <c r="S1088">
        <v>29</v>
      </c>
      <c r="T1088">
        <v>1</v>
      </c>
      <c r="U1088">
        <v>6</v>
      </c>
      <c r="V1088">
        <v>46.41</v>
      </c>
      <c r="W1088">
        <v>13130001086</v>
      </c>
    </row>
    <row r="1089" spans="1:23" x14ac:dyDescent="0.2">
      <c r="A1089" s="1">
        <v>44789</v>
      </c>
      <c r="B1089" s="2">
        <v>0.50047453703703704</v>
      </c>
      <c r="C1089">
        <v>2087</v>
      </c>
      <c r="D1089">
        <v>13002561</v>
      </c>
      <c r="E1089">
        <v>13</v>
      </c>
      <c r="F1089">
        <v>22589</v>
      </c>
      <c r="G1089" t="s">
        <v>23</v>
      </c>
      <c r="H1089">
        <v>15</v>
      </c>
      <c r="I1089">
        <v>58281</v>
      </c>
      <c r="J1089" t="s">
        <v>78</v>
      </c>
      <c r="K1089" t="s">
        <v>45</v>
      </c>
      <c r="L1089" t="s">
        <v>26</v>
      </c>
      <c r="M1089">
        <v>2</v>
      </c>
      <c r="N1089">
        <v>29.39</v>
      </c>
      <c r="O1089">
        <v>48.6</v>
      </c>
      <c r="P1089">
        <v>2.4300000000000002</v>
      </c>
      <c r="Q1089">
        <v>2.4300000000000002</v>
      </c>
      <c r="R1089" t="s">
        <v>30</v>
      </c>
      <c r="S1089">
        <v>29</v>
      </c>
      <c r="T1089">
        <v>1</v>
      </c>
      <c r="U1089">
        <v>3</v>
      </c>
      <c r="V1089">
        <v>46.17</v>
      </c>
      <c r="W1089">
        <v>13130001087</v>
      </c>
    </row>
    <row r="1090" spans="1:23" x14ac:dyDescent="0.2">
      <c r="A1090" s="1">
        <v>44792</v>
      </c>
      <c r="B1090" s="2">
        <v>0.5150231481481482</v>
      </c>
      <c r="C1090">
        <v>2088</v>
      </c>
      <c r="D1090">
        <v>13002561</v>
      </c>
      <c r="E1090">
        <v>13</v>
      </c>
      <c r="F1090">
        <v>22589</v>
      </c>
      <c r="G1090" t="s">
        <v>23</v>
      </c>
      <c r="H1090">
        <v>18</v>
      </c>
      <c r="I1090">
        <v>32607</v>
      </c>
      <c r="J1090" t="s">
        <v>35</v>
      </c>
      <c r="K1090" t="s">
        <v>45</v>
      </c>
      <c r="L1090" t="s">
        <v>47</v>
      </c>
      <c r="M1090">
        <v>2</v>
      </c>
      <c r="N1090">
        <v>35.380000000000003</v>
      </c>
      <c r="O1090">
        <v>45.29</v>
      </c>
      <c r="P1090">
        <v>2.2599999999999998</v>
      </c>
      <c r="Q1090">
        <v>2.2599999999999998</v>
      </c>
      <c r="R1090" t="s">
        <v>30</v>
      </c>
      <c r="S1090">
        <v>29</v>
      </c>
      <c r="T1090">
        <v>1</v>
      </c>
      <c r="U1090">
        <v>2</v>
      </c>
      <c r="V1090">
        <v>43.03</v>
      </c>
      <c r="W1090">
        <v>13130001088</v>
      </c>
    </row>
    <row r="1091" spans="1:23" x14ac:dyDescent="0.2">
      <c r="A1091" s="1">
        <v>44804</v>
      </c>
      <c r="B1091" s="2">
        <v>0.75167824074074074</v>
      </c>
      <c r="C1091">
        <v>2089</v>
      </c>
      <c r="D1091">
        <v>13002561</v>
      </c>
      <c r="E1091">
        <v>13</v>
      </c>
      <c r="F1091">
        <v>22589</v>
      </c>
      <c r="G1091" t="s">
        <v>23</v>
      </c>
      <c r="H1091">
        <v>15</v>
      </c>
      <c r="I1091">
        <v>36812</v>
      </c>
      <c r="J1091" t="s">
        <v>125</v>
      </c>
      <c r="K1091" t="s">
        <v>28</v>
      </c>
      <c r="L1091" t="s">
        <v>39</v>
      </c>
      <c r="M1091">
        <v>1</v>
      </c>
      <c r="N1091">
        <v>212.73</v>
      </c>
      <c r="O1091">
        <v>333.22</v>
      </c>
      <c r="P1091">
        <v>16.66</v>
      </c>
      <c r="Q1091">
        <v>16.66</v>
      </c>
      <c r="R1091" t="s">
        <v>30</v>
      </c>
      <c r="S1091">
        <v>29</v>
      </c>
      <c r="T1091">
        <v>1</v>
      </c>
      <c r="U1091">
        <v>5</v>
      </c>
      <c r="V1091">
        <v>316.56</v>
      </c>
      <c r="W1091">
        <v>13130001089</v>
      </c>
    </row>
    <row r="1092" spans="1:23" x14ac:dyDescent="0.2">
      <c r="A1092" s="1">
        <v>44783</v>
      </c>
      <c r="B1092" s="2">
        <v>0.61424768518518513</v>
      </c>
      <c r="C1092">
        <v>2090</v>
      </c>
      <c r="D1092">
        <v>13002561</v>
      </c>
      <c r="E1092">
        <v>13</v>
      </c>
      <c r="F1092">
        <v>22589</v>
      </c>
      <c r="G1092" t="s">
        <v>23</v>
      </c>
      <c r="H1092">
        <v>18</v>
      </c>
      <c r="I1092">
        <v>95966</v>
      </c>
      <c r="J1092" t="s">
        <v>99</v>
      </c>
      <c r="K1092" t="s">
        <v>25</v>
      </c>
      <c r="L1092" t="s">
        <v>47</v>
      </c>
      <c r="M1092">
        <v>1</v>
      </c>
      <c r="N1092">
        <v>103.17</v>
      </c>
      <c r="O1092">
        <v>138.86000000000001</v>
      </c>
      <c r="P1092">
        <v>0</v>
      </c>
      <c r="Q1092">
        <v>0</v>
      </c>
      <c r="S1092">
        <v>29</v>
      </c>
      <c r="T1092">
        <v>1</v>
      </c>
      <c r="U1092">
        <v>6</v>
      </c>
      <c r="V1092">
        <v>138.86000000000001</v>
      </c>
      <c r="W1092">
        <v>13130001090</v>
      </c>
    </row>
    <row r="1093" spans="1:23" x14ac:dyDescent="0.2">
      <c r="A1093" s="1">
        <v>44784</v>
      </c>
      <c r="B1093" s="2">
        <v>0.5141782407407407</v>
      </c>
      <c r="C1093">
        <v>2091</v>
      </c>
      <c r="D1093">
        <v>13002561</v>
      </c>
      <c r="E1093">
        <v>13</v>
      </c>
      <c r="F1093">
        <v>22589</v>
      </c>
      <c r="G1093" t="s">
        <v>23</v>
      </c>
      <c r="H1093">
        <v>18</v>
      </c>
      <c r="I1093">
        <v>41839</v>
      </c>
      <c r="J1093" t="s">
        <v>97</v>
      </c>
      <c r="K1093" t="s">
        <v>38</v>
      </c>
      <c r="L1093" t="s">
        <v>47</v>
      </c>
      <c r="M1093">
        <v>2</v>
      </c>
      <c r="N1093">
        <v>381.7</v>
      </c>
      <c r="O1093">
        <v>632.45000000000005</v>
      </c>
      <c r="P1093">
        <v>0</v>
      </c>
      <c r="Q1093">
        <v>0</v>
      </c>
      <c r="S1093">
        <v>29</v>
      </c>
      <c r="T1093">
        <v>1</v>
      </c>
      <c r="U1093">
        <v>5</v>
      </c>
      <c r="V1093">
        <v>632.45000000000005</v>
      </c>
      <c r="W1093">
        <v>13130001091</v>
      </c>
    </row>
    <row r="1094" spans="1:23" x14ac:dyDescent="0.2">
      <c r="A1094" s="1">
        <v>44777</v>
      </c>
      <c r="B1094" s="2">
        <v>0.80966435185185182</v>
      </c>
      <c r="C1094">
        <v>2092</v>
      </c>
      <c r="D1094">
        <v>13002561</v>
      </c>
      <c r="E1094">
        <v>13</v>
      </c>
      <c r="F1094">
        <v>22589</v>
      </c>
      <c r="G1094" t="s">
        <v>23</v>
      </c>
      <c r="H1094">
        <v>18</v>
      </c>
      <c r="I1094">
        <v>44704</v>
      </c>
      <c r="J1094" t="s">
        <v>101</v>
      </c>
      <c r="K1094" t="s">
        <v>45</v>
      </c>
      <c r="L1094" t="s">
        <v>26</v>
      </c>
      <c r="M1094">
        <v>1</v>
      </c>
      <c r="N1094">
        <v>149.41999999999999</v>
      </c>
      <c r="O1094">
        <v>211.07</v>
      </c>
      <c r="P1094">
        <v>21.11</v>
      </c>
      <c r="Q1094">
        <v>21.11</v>
      </c>
      <c r="R1094" t="s">
        <v>30</v>
      </c>
      <c r="S1094">
        <v>29</v>
      </c>
      <c r="T1094">
        <v>1</v>
      </c>
      <c r="U1094">
        <v>1</v>
      </c>
      <c r="V1094">
        <v>189.96</v>
      </c>
      <c r="W1094">
        <v>13130001092</v>
      </c>
    </row>
    <row r="1095" spans="1:23" x14ac:dyDescent="0.2">
      <c r="A1095" s="1">
        <v>44796</v>
      </c>
      <c r="B1095" s="2">
        <v>0.57158564814814816</v>
      </c>
      <c r="C1095">
        <v>2093</v>
      </c>
      <c r="D1095">
        <v>13002561</v>
      </c>
      <c r="E1095">
        <v>13</v>
      </c>
      <c r="F1095">
        <v>22589</v>
      </c>
      <c r="G1095" t="s">
        <v>23</v>
      </c>
      <c r="H1095">
        <v>15</v>
      </c>
      <c r="I1095">
        <v>88467</v>
      </c>
      <c r="J1095" t="s">
        <v>50</v>
      </c>
      <c r="K1095" t="s">
        <v>28</v>
      </c>
      <c r="L1095" t="s">
        <v>34</v>
      </c>
      <c r="M1095">
        <v>1</v>
      </c>
      <c r="N1095">
        <v>279.77999999999997</v>
      </c>
      <c r="O1095">
        <v>363.16</v>
      </c>
      <c r="P1095">
        <v>18.16</v>
      </c>
      <c r="Q1095">
        <v>18.16</v>
      </c>
      <c r="R1095" t="s">
        <v>30</v>
      </c>
      <c r="S1095">
        <v>29</v>
      </c>
      <c r="T1095">
        <v>1</v>
      </c>
      <c r="U1095">
        <v>4</v>
      </c>
      <c r="V1095">
        <v>345</v>
      </c>
      <c r="W1095">
        <v>13130001093</v>
      </c>
    </row>
    <row r="1096" spans="1:23" x14ac:dyDescent="0.2">
      <c r="A1096" s="1">
        <v>44780</v>
      </c>
      <c r="B1096" s="2">
        <v>0.55863425925925925</v>
      </c>
      <c r="C1096">
        <v>2094</v>
      </c>
      <c r="D1096">
        <v>13002561</v>
      </c>
      <c r="E1096">
        <v>13</v>
      </c>
      <c r="F1096">
        <v>22589</v>
      </c>
      <c r="G1096" t="s">
        <v>23</v>
      </c>
      <c r="H1096">
        <v>15</v>
      </c>
      <c r="I1096">
        <v>53205</v>
      </c>
      <c r="J1096" t="s">
        <v>64</v>
      </c>
      <c r="K1096" t="s">
        <v>38</v>
      </c>
      <c r="L1096" t="s">
        <v>34</v>
      </c>
      <c r="M1096">
        <v>3</v>
      </c>
      <c r="N1096">
        <v>595.6</v>
      </c>
      <c r="O1096">
        <v>859.56</v>
      </c>
      <c r="P1096">
        <v>85.96</v>
      </c>
      <c r="Q1096">
        <v>85.96</v>
      </c>
      <c r="R1096" t="s">
        <v>30</v>
      </c>
      <c r="S1096">
        <v>29</v>
      </c>
      <c r="T1096">
        <v>1</v>
      </c>
      <c r="U1096">
        <v>6</v>
      </c>
      <c r="V1096">
        <v>773.6</v>
      </c>
      <c r="W1096">
        <v>13130001094</v>
      </c>
    </row>
    <row r="1097" spans="1:23" x14ac:dyDescent="0.2">
      <c r="A1097" s="1">
        <v>44801</v>
      </c>
      <c r="B1097" s="2">
        <v>0.76452546296296298</v>
      </c>
      <c r="C1097">
        <v>2095</v>
      </c>
      <c r="D1097">
        <v>13002561</v>
      </c>
      <c r="E1097">
        <v>13</v>
      </c>
      <c r="F1097">
        <v>22589</v>
      </c>
      <c r="G1097" t="s">
        <v>23</v>
      </c>
      <c r="H1097">
        <v>15</v>
      </c>
      <c r="I1097">
        <v>82947</v>
      </c>
      <c r="J1097" t="s">
        <v>110</v>
      </c>
      <c r="K1097" t="s">
        <v>60</v>
      </c>
      <c r="L1097" t="s">
        <v>39</v>
      </c>
      <c r="M1097">
        <v>2</v>
      </c>
      <c r="N1097">
        <v>30.17</v>
      </c>
      <c r="O1097">
        <v>47.91</v>
      </c>
      <c r="P1097">
        <v>2.4</v>
      </c>
      <c r="Q1097">
        <v>2.4</v>
      </c>
      <c r="R1097" t="s">
        <v>30</v>
      </c>
      <c r="S1097">
        <v>29</v>
      </c>
      <c r="T1097">
        <v>1</v>
      </c>
      <c r="U1097">
        <v>1</v>
      </c>
      <c r="V1097">
        <v>45.51</v>
      </c>
      <c r="W1097">
        <v>13130001095</v>
      </c>
    </row>
    <row r="1098" spans="1:23" x14ac:dyDescent="0.2">
      <c r="A1098" s="1">
        <v>44782</v>
      </c>
      <c r="B1098" s="2">
        <v>0.33502314814814821</v>
      </c>
      <c r="C1098">
        <v>2096</v>
      </c>
      <c r="D1098">
        <v>13002561</v>
      </c>
      <c r="E1098">
        <v>13</v>
      </c>
      <c r="F1098">
        <v>22589</v>
      </c>
      <c r="G1098" t="s">
        <v>23</v>
      </c>
      <c r="H1098">
        <v>18</v>
      </c>
      <c r="I1098">
        <v>19811</v>
      </c>
      <c r="J1098" t="s">
        <v>63</v>
      </c>
      <c r="K1098" t="s">
        <v>45</v>
      </c>
      <c r="L1098" t="s">
        <v>47</v>
      </c>
      <c r="M1098">
        <v>1</v>
      </c>
      <c r="N1098">
        <v>128.94999999999999</v>
      </c>
      <c r="O1098">
        <v>216.71</v>
      </c>
      <c r="P1098">
        <v>10.84</v>
      </c>
      <c r="Q1098">
        <v>10.84</v>
      </c>
      <c r="R1098" t="s">
        <v>30</v>
      </c>
      <c r="S1098">
        <v>29</v>
      </c>
      <c r="T1098">
        <v>1</v>
      </c>
      <c r="U1098">
        <v>3</v>
      </c>
      <c r="V1098">
        <v>205.87</v>
      </c>
      <c r="W1098">
        <v>13130001096</v>
      </c>
    </row>
    <row r="1099" spans="1:23" x14ac:dyDescent="0.2">
      <c r="A1099" s="1">
        <v>44796</v>
      </c>
      <c r="B1099" s="2">
        <v>0.46423611111111113</v>
      </c>
      <c r="C1099">
        <v>2097</v>
      </c>
      <c r="D1099">
        <v>13002561</v>
      </c>
      <c r="E1099">
        <v>13</v>
      </c>
      <c r="F1099">
        <v>22589</v>
      </c>
      <c r="G1099" t="s">
        <v>23</v>
      </c>
      <c r="H1099">
        <v>18</v>
      </c>
      <c r="I1099">
        <v>72272</v>
      </c>
      <c r="J1099" t="s">
        <v>100</v>
      </c>
      <c r="K1099" t="s">
        <v>28</v>
      </c>
      <c r="L1099" t="s">
        <v>34</v>
      </c>
      <c r="M1099">
        <v>3</v>
      </c>
      <c r="N1099">
        <v>450.41</v>
      </c>
      <c r="O1099">
        <v>692.52</v>
      </c>
      <c r="P1099">
        <v>0</v>
      </c>
      <c r="Q1099">
        <v>0</v>
      </c>
      <c r="S1099">
        <v>29</v>
      </c>
      <c r="T1099">
        <v>1</v>
      </c>
      <c r="U1099">
        <v>2</v>
      </c>
      <c r="V1099">
        <v>692.52</v>
      </c>
      <c r="W1099">
        <v>13130001097</v>
      </c>
    </row>
    <row r="1100" spans="1:23" x14ac:dyDescent="0.2">
      <c r="A1100" s="1">
        <v>44776</v>
      </c>
      <c r="B1100" s="2">
        <v>0.53105324074074078</v>
      </c>
      <c r="C1100">
        <v>2098</v>
      </c>
      <c r="D1100">
        <v>13002561</v>
      </c>
      <c r="E1100">
        <v>13</v>
      </c>
      <c r="F1100">
        <v>22589</v>
      </c>
      <c r="G1100" t="s">
        <v>23</v>
      </c>
      <c r="H1100">
        <v>15</v>
      </c>
      <c r="I1100">
        <v>12925</v>
      </c>
      <c r="J1100" t="s">
        <v>117</v>
      </c>
      <c r="K1100" t="s">
        <v>25</v>
      </c>
      <c r="L1100" t="s">
        <v>51</v>
      </c>
      <c r="M1100">
        <v>1</v>
      </c>
      <c r="N1100">
        <v>55.19</v>
      </c>
      <c r="O1100">
        <v>80.599999999999994</v>
      </c>
      <c r="P1100">
        <v>8.06</v>
      </c>
      <c r="Q1100">
        <v>8.06</v>
      </c>
      <c r="R1100" t="s">
        <v>30</v>
      </c>
      <c r="S1100">
        <v>29</v>
      </c>
      <c r="T1100">
        <v>1</v>
      </c>
      <c r="U1100">
        <v>3</v>
      </c>
      <c r="V1100">
        <v>72.540000000000006</v>
      </c>
      <c r="W1100">
        <v>13130001098</v>
      </c>
    </row>
    <row r="1101" spans="1:23" x14ac:dyDescent="0.2">
      <c r="A1101" s="1">
        <v>44799</v>
      </c>
      <c r="B1101" s="2">
        <v>0.64209490740740738</v>
      </c>
      <c r="C1101">
        <v>2099</v>
      </c>
      <c r="D1101">
        <v>13002561</v>
      </c>
      <c r="E1101">
        <v>13</v>
      </c>
      <c r="F1101">
        <v>22589</v>
      </c>
      <c r="G1101" t="s">
        <v>23</v>
      </c>
      <c r="H1101">
        <v>15</v>
      </c>
      <c r="I1101">
        <v>92416</v>
      </c>
      <c r="J1101" t="s">
        <v>68</v>
      </c>
      <c r="K1101" t="s">
        <v>44</v>
      </c>
      <c r="L1101" t="s">
        <v>26</v>
      </c>
      <c r="M1101">
        <v>2</v>
      </c>
      <c r="N1101">
        <v>420.45</v>
      </c>
      <c r="O1101">
        <v>644</v>
      </c>
      <c r="P1101">
        <v>32.200000000000003</v>
      </c>
      <c r="Q1101">
        <v>32.200000000000003</v>
      </c>
      <c r="R1101" t="s">
        <v>30</v>
      </c>
      <c r="S1101">
        <v>29</v>
      </c>
      <c r="T1101">
        <v>1</v>
      </c>
      <c r="U1101">
        <v>4</v>
      </c>
      <c r="V1101">
        <v>611.79999999999995</v>
      </c>
      <c r="W1101">
        <v>13130001099</v>
      </c>
    </row>
    <row r="1102" spans="1:23" x14ac:dyDescent="0.2">
      <c r="A1102" s="1">
        <v>44787</v>
      </c>
      <c r="B1102" s="2">
        <v>0.88596064814814812</v>
      </c>
      <c r="C1102">
        <v>2100</v>
      </c>
      <c r="D1102">
        <v>13002561</v>
      </c>
      <c r="E1102">
        <v>13</v>
      </c>
      <c r="F1102">
        <v>22589</v>
      </c>
      <c r="G1102" t="s">
        <v>23</v>
      </c>
      <c r="H1102">
        <v>18</v>
      </c>
      <c r="I1102">
        <v>41994</v>
      </c>
      <c r="J1102" t="s">
        <v>85</v>
      </c>
      <c r="K1102" t="s">
        <v>38</v>
      </c>
      <c r="L1102" t="s">
        <v>39</v>
      </c>
      <c r="M1102">
        <v>1</v>
      </c>
      <c r="N1102">
        <v>312.64999999999998</v>
      </c>
      <c r="O1102">
        <v>403.94</v>
      </c>
      <c r="P1102">
        <v>20.2</v>
      </c>
      <c r="Q1102">
        <v>20.2</v>
      </c>
      <c r="R1102" t="s">
        <v>30</v>
      </c>
      <c r="S1102">
        <v>29</v>
      </c>
      <c r="T1102">
        <v>1</v>
      </c>
      <c r="U1102">
        <v>1</v>
      </c>
      <c r="V1102">
        <v>383.74</v>
      </c>
      <c r="W1102">
        <v>13130001100</v>
      </c>
    </row>
    <row r="1103" spans="1:23" x14ac:dyDescent="0.2">
      <c r="A1103" s="1">
        <v>44777</v>
      </c>
      <c r="B1103" s="2">
        <v>0.4390162037037037</v>
      </c>
      <c r="C1103">
        <v>2101</v>
      </c>
      <c r="D1103">
        <v>13002561</v>
      </c>
      <c r="E1103">
        <v>13</v>
      </c>
      <c r="F1103">
        <v>22589</v>
      </c>
      <c r="G1103" t="s">
        <v>23</v>
      </c>
      <c r="H1103">
        <v>18</v>
      </c>
      <c r="I1103">
        <v>55489</v>
      </c>
      <c r="J1103" t="s">
        <v>124</v>
      </c>
      <c r="K1103" t="s">
        <v>25</v>
      </c>
      <c r="L1103" t="s">
        <v>39</v>
      </c>
      <c r="M1103">
        <v>3</v>
      </c>
      <c r="N1103">
        <v>490.69</v>
      </c>
      <c r="O1103">
        <v>690.07</v>
      </c>
      <c r="P1103">
        <v>0</v>
      </c>
      <c r="Q1103">
        <v>0</v>
      </c>
      <c r="S1103">
        <v>29</v>
      </c>
      <c r="T1103">
        <v>1</v>
      </c>
      <c r="U1103">
        <v>1</v>
      </c>
      <c r="V1103">
        <v>690.07</v>
      </c>
      <c r="W1103">
        <v>13130001101</v>
      </c>
    </row>
    <row r="1104" spans="1:23" x14ac:dyDescent="0.2">
      <c r="A1104" s="1">
        <v>44793</v>
      </c>
      <c r="B1104" s="2">
        <v>0.87736111111111115</v>
      </c>
      <c r="C1104">
        <v>2102</v>
      </c>
      <c r="D1104">
        <v>13002561</v>
      </c>
      <c r="E1104">
        <v>13</v>
      </c>
      <c r="F1104">
        <v>22589</v>
      </c>
      <c r="G1104" t="s">
        <v>23</v>
      </c>
      <c r="H1104">
        <v>18</v>
      </c>
      <c r="I1104">
        <v>64858</v>
      </c>
      <c r="J1104" t="s">
        <v>102</v>
      </c>
      <c r="K1104" t="s">
        <v>44</v>
      </c>
      <c r="L1104" t="s">
        <v>29</v>
      </c>
      <c r="M1104">
        <v>3</v>
      </c>
      <c r="N1104">
        <v>517.59</v>
      </c>
      <c r="O1104">
        <v>763.48</v>
      </c>
      <c r="P1104">
        <v>0</v>
      </c>
      <c r="Q1104">
        <v>0</v>
      </c>
      <c r="S1104">
        <v>29</v>
      </c>
      <c r="T1104">
        <v>1</v>
      </c>
      <c r="U1104">
        <v>4</v>
      </c>
      <c r="V1104">
        <v>763.48</v>
      </c>
      <c r="W1104">
        <v>13130001102</v>
      </c>
    </row>
    <row r="1105" spans="1:23" x14ac:dyDescent="0.2">
      <c r="A1105" s="1">
        <v>44796</v>
      </c>
      <c r="B1105" s="2">
        <v>0.54263888888888889</v>
      </c>
      <c r="C1105">
        <v>2103</v>
      </c>
      <c r="D1105">
        <v>13002561</v>
      </c>
      <c r="E1105">
        <v>13</v>
      </c>
      <c r="F1105">
        <v>22589</v>
      </c>
      <c r="G1105" t="s">
        <v>23</v>
      </c>
      <c r="H1105">
        <v>15</v>
      </c>
      <c r="I1105">
        <v>66166</v>
      </c>
      <c r="J1105" t="s">
        <v>86</v>
      </c>
      <c r="K1105" t="s">
        <v>28</v>
      </c>
      <c r="L1105" t="s">
        <v>26</v>
      </c>
      <c r="M1105">
        <v>3</v>
      </c>
      <c r="N1105">
        <v>579.41999999999996</v>
      </c>
      <c r="O1105">
        <v>895.39</v>
      </c>
      <c r="P1105">
        <v>44.77</v>
      </c>
      <c r="Q1105">
        <v>44.77</v>
      </c>
      <c r="R1105" t="s">
        <v>30</v>
      </c>
      <c r="S1105">
        <v>29</v>
      </c>
      <c r="T1105">
        <v>1</v>
      </c>
      <c r="U1105">
        <v>2</v>
      </c>
      <c r="V1105">
        <v>850.62</v>
      </c>
      <c r="W1105">
        <v>13130001103</v>
      </c>
    </row>
    <row r="1106" spans="1:23" x14ac:dyDescent="0.2">
      <c r="A1106" s="1">
        <v>44779</v>
      </c>
      <c r="B1106" s="2">
        <v>0.51342592592592595</v>
      </c>
      <c r="C1106">
        <v>2104</v>
      </c>
      <c r="D1106">
        <v>13002561</v>
      </c>
      <c r="E1106">
        <v>13</v>
      </c>
      <c r="F1106">
        <v>22589</v>
      </c>
      <c r="G1106" t="s">
        <v>23</v>
      </c>
      <c r="H1106">
        <v>15</v>
      </c>
      <c r="I1106">
        <v>12631</v>
      </c>
      <c r="J1106" t="s">
        <v>81</v>
      </c>
      <c r="K1106" t="s">
        <v>45</v>
      </c>
      <c r="L1106" t="s">
        <v>29</v>
      </c>
      <c r="M1106">
        <v>1</v>
      </c>
      <c r="N1106">
        <v>333.6</v>
      </c>
      <c r="O1106">
        <v>471.97</v>
      </c>
      <c r="P1106">
        <v>47.2</v>
      </c>
      <c r="Q1106">
        <v>47.2</v>
      </c>
      <c r="R1106" t="s">
        <v>30</v>
      </c>
      <c r="S1106">
        <v>29</v>
      </c>
      <c r="T1106">
        <v>1</v>
      </c>
      <c r="U1106">
        <v>5</v>
      </c>
      <c r="V1106">
        <v>424.77</v>
      </c>
      <c r="W1106">
        <v>13130001104</v>
      </c>
    </row>
    <row r="1107" spans="1:23" x14ac:dyDescent="0.2">
      <c r="A1107" s="1">
        <v>44798</v>
      </c>
      <c r="B1107" s="2">
        <v>0.53459490740740745</v>
      </c>
      <c r="C1107">
        <v>2105</v>
      </c>
      <c r="D1107">
        <v>13002561</v>
      </c>
      <c r="E1107">
        <v>13</v>
      </c>
      <c r="F1107">
        <v>22589</v>
      </c>
      <c r="G1107" t="s">
        <v>23</v>
      </c>
      <c r="H1107">
        <v>15</v>
      </c>
      <c r="I1107">
        <v>67276</v>
      </c>
      <c r="J1107" t="s">
        <v>98</v>
      </c>
      <c r="K1107" t="s">
        <v>60</v>
      </c>
      <c r="L1107" t="s">
        <v>47</v>
      </c>
      <c r="M1107">
        <v>2</v>
      </c>
      <c r="N1107">
        <v>231.37</v>
      </c>
      <c r="O1107">
        <v>365.25</v>
      </c>
      <c r="P1107">
        <v>0</v>
      </c>
      <c r="Q1107">
        <v>0</v>
      </c>
      <c r="S1107">
        <v>29</v>
      </c>
      <c r="T1107">
        <v>1</v>
      </c>
      <c r="U1107">
        <v>3</v>
      </c>
      <c r="V1107">
        <v>365.25</v>
      </c>
      <c r="W1107">
        <v>13130001105</v>
      </c>
    </row>
    <row r="1108" spans="1:23" x14ac:dyDescent="0.2">
      <c r="A1108" s="1">
        <v>44778</v>
      </c>
      <c r="B1108" s="2">
        <v>0.66484953703703709</v>
      </c>
      <c r="C1108">
        <v>2106</v>
      </c>
      <c r="D1108">
        <v>13002561</v>
      </c>
      <c r="E1108">
        <v>13</v>
      </c>
      <c r="F1108">
        <v>22589</v>
      </c>
      <c r="G1108" t="s">
        <v>23</v>
      </c>
      <c r="H1108">
        <v>15</v>
      </c>
      <c r="I1108">
        <v>25570</v>
      </c>
      <c r="J1108" t="s">
        <v>27</v>
      </c>
      <c r="K1108" t="s">
        <v>25</v>
      </c>
      <c r="L1108" t="s">
        <v>29</v>
      </c>
      <c r="M1108">
        <v>3</v>
      </c>
      <c r="N1108">
        <v>114.84</v>
      </c>
      <c r="O1108">
        <v>168.64</v>
      </c>
      <c r="P1108">
        <v>8.43</v>
      </c>
      <c r="Q1108">
        <v>8.43</v>
      </c>
      <c r="R1108" t="s">
        <v>30</v>
      </c>
      <c r="S1108">
        <v>29</v>
      </c>
      <c r="T1108">
        <v>1</v>
      </c>
      <c r="U1108">
        <v>1</v>
      </c>
      <c r="V1108">
        <v>160.21</v>
      </c>
      <c r="W1108">
        <v>13130001106</v>
      </c>
    </row>
    <row r="1109" spans="1:23" x14ac:dyDescent="0.2">
      <c r="A1109" s="1">
        <v>44784</v>
      </c>
      <c r="B1109" s="2">
        <v>0.51718750000000002</v>
      </c>
      <c r="C1109">
        <v>2107</v>
      </c>
      <c r="D1109">
        <v>13002561</v>
      </c>
      <c r="E1109">
        <v>13</v>
      </c>
      <c r="F1109">
        <v>22589</v>
      </c>
      <c r="G1109" t="s">
        <v>23</v>
      </c>
      <c r="H1109">
        <v>15</v>
      </c>
      <c r="I1109">
        <v>32357</v>
      </c>
      <c r="J1109" t="s">
        <v>67</v>
      </c>
      <c r="K1109" t="s">
        <v>45</v>
      </c>
      <c r="L1109" t="s">
        <v>39</v>
      </c>
      <c r="M1109">
        <v>1</v>
      </c>
      <c r="N1109">
        <v>576.32000000000005</v>
      </c>
      <c r="O1109">
        <v>863.05</v>
      </c>
      <c r="P1109">
        <v>0</v>
      </c>
      <c r="Q1109">
        <v>0</v>
      </c>
      <c r="S1109">
        <v>29</v>
      </c>
      <c r="T1109">
        <v>1</v>
      </c>
      <c r="U1109">
        <v>3</v>
      </c>
      <c r="V1109">
        <v>863.05</v>
      </c>
      <c r="W1109">
        <v>13130001107</v>
      </c>
    </row>
    <row r="1110" spans="1:23" x14ac:dyDescent="0.2">
      <c r="A1110" s="1">
        <v>44796</v>
      </c>
      <c r="B1110" s="2">
        <v>0.47915509259259259</v>
      </c>
      <c r="C1110">
        <v>2108</v>
      </c>
      <c r="D1110">
        <v>13002561</v>
      </c>
      <c r="E1110">
        <v>13</v>
      </c>
      <c r="F1110">
        <v>22589</v>
      </c>
      <c r="G1110" t="s">
        <v>23</v>
      </c>
      <c r="H1110">
        <v>15</v>
      </c>
      <c r="I1110">
        <v>96491</v>
      </c>
      <c r="J1110" t="s">
        <v>82</v>
      </c>
      <c r="K1110" t="s">
        <v>60</v>
      </c>
      <c r="L1110" t="s">
        <v>26</v>
      </c>
      <c r="M1110">
        <v>2</v>
      </c>
      <c r="N1110">
        <v>483.24</v>
      </c>
      <c r="O1110">
        <v>651.25</v>
      </c>
      <c r="P1110">
        <v>32.56</v>
      </c>
      <c r="Q1110">
        <v>32.56</v>
      </c>
      <c r="R1110" t="s">
        <v>30</v>
      </c>
      <c r="S1110">
        <v>29</v>
      </c>
      <c r="T1110">
        <v>1</v>
      </c>
      <c r="U1110">
        <v>1</v>
      </c>
      <c r="V1110">
        <v>618.69000000000005</v>
      </c>
      <c r="W1110">
        <v>13130001108</v>
      </c>
    </row>
    <row r="1111" spans="1:23" x14ac:dyDescent="0.2">
      <c r="A1111" s="1">
        <v>44779</v>
      </c>
      <c r="B1111" s="2">
        <v>0.40236111111111111</v>
      </c>
      <c r="C1111">
        <v>2109</v>
      </c>
      <c r="D1111">
        <v>13002561</v>
      </c>
      <c r="E1111">
        <v>13</v>
      </c>
      <c r="F1111">
        <v>22589</v>
      </c>
      <c r="G1111" t="s">
        <v>23</v>
      </c>
      <c r="H1111">
        <v>15</v>
      </c>
      <c r="I1111">
        <v>99099</v>
      </c>
      <c r="J1111" t="s">
        <v>64</v>
      </c>
      <c r="K1111" t="s">
        <v>44</v>
      </c>
      <c r="L1111" t="s">
        <v>47</v>
      </c>
      <c r="M1111">
        <v>2</v>
      </c>
      <c r="N1111">
        <v>259.8</v>
      </c>
      <c r="O1111">
        <v>399.71</v>
      </c>
      <c r="P1111">
        <v>0</v>
      </c>
      <c r="Q1111">
        <v>0</v>
      </c>
      <c r="S1111">
        <v>29</v>
      </c>
      <c r="T1111">
        <v>1</v>
      </c>
      <c r="U1111">
        <v>6</v>
      </c>
      <c r="V1111">
        <v>399.71</v>
      </c>
      <c r="W1111">
        <v>13130001109</v>
      </c>
    </row>
    <row r="1112" spans="1:23" x14ac:dyDescent="0.2">
      <c r="A1112" s="1">
        <v>44789</v>
      </c>
      <c r="B1112" s="2">
        <v>0.38946759259259262</v>
      </c>
      <c r="C1112">
        <v>2110</v>
      </c>
      <c r="D1112">
        <v>13002561</v>
      </c>
      <c r="E1112">
        <v>13</v>
      </c>
      <c r="F1112">
        <v>22589</v>
      </c>
      <c r="G1112" t="s">
        <v>23</v>
      </c>
      <c r="H1112">
        <v>15</v>
      </c>
      <c r="I1112">
        <v>20281</v>
      </c>
      <c r="J1112" t="s">
        <v>57</v>
      </c>
      <c r="K1112" t="s">
        <v>60</v>
      </c>
      <c r="L1112" t="s">
        <v>51</v>
      </c>
      <c r="M1112">
        <v>3</v>
      </c>
      <c r="N1112">
        <v>303.06</v>
      </c>
      <c r="O1112">
        <v>504.6</v>
      </c>
      <c r="P1112">
        <v>25.23</v>
      </c>
      <c r="Q1112">
        <v>25.23</v>
      </c>
      <c r="R1112" t="s">
        <v>30</v>
      </c>
      <c r="S1112">
        <v>29</v>
      </c>
      <c r="T1112">
        <v>1</v>
      </c>
      <c r="U1112">
        <v>6</v>
      </c>
      <c r="V1112">
        <v>479.37</v>
      </c>
      <c r="W1112">
        <v>13130001110</v>
      </c>
    </row>
    <row r="1113" spans="1:23" x14ac:dyDescent="0.2">
      <c r="A1113" s="1">
        <v>44799</v>
      </c>
      <c r="B1113" s="2">
        <v>0.75745370370370368</v>
      </c>
      <c r="C1113">
        <v>2111</v>
      </c>
      <c r="D1113">
        <v>13002561</v>
      </c>
      <c r="E1113">
        <v>13</v>
      </c>
      <c r="F1113">
        <v>22589</v>
      </c>
      <c r="G1113" t="s">
        <v>23</v>
      </c>
      <c r="H1113">
        <v>18</v>
      </c>
      <c r="I1113">
        <v>62502</v>
      </c>
      <c r="J1113" t="s">
        <v>57</v>
      </c>
      <c r="K1113" t="s">
        <v>60</v>
      </c>
      <c r="L1113" t="s">
        <v>29</v>
      </c>
      <c r="M1113">
        <v>3</v>
      </c>
      <c r="N1113">
        <v>247.76</v>
      </c>
      <c r="O1113">
        <v>347.95</v>
      </c>
      <c r="P1113">
        <v>34.799999999999997</v>
      </c>
      <c r="Q1113">
        <v>34.799999999999997</v>
      </c>
      <c r="R1113" t="s">
        <v>30</v>
      </c>
      <c r="S1113">
        <v>29</v>
      </c>
      <c r="T1113">
        <v>1</v>
      </c>
      <c r="U1113">
        <v>5</v>
      </c>
      <c r="V1113">
        <v>313.14999999999998</v>
      </c>
      <c r="W1113">
        <v>13130001111</v>
      </c>
    </row>
    <row r="1114" spans="1:23" x14ac:dyDescent="0.2">
      <c r="A1114" s="1">
        <v>44801</v>
      </c>
      <c r="B1114" s="2">
        <v>0.88401620370370371</v>
      </c>
      <c r="C1114">
        <v>2112</v>
      </c>
      <c r="D1114">
        <v>13002561</v>
      </c>
      <c r="E1114">
        <v>13</v>
      </c>
      <c r="F1114">
        <v>22589</v>
      </c>
      <c r="G1114" t="s">
        <v>23</v>
      </c>
      <c r="H1114">
        <v>15</v>
      </c>
      <c r="I1114">
        <v>29856</v>
      </c>
      <c r="J1114" t="s">
        <v>126</v>
      </c>
      <c r="K1114" t="s">
        <v>25</v>
      </c>
      <c r="L1114" t="s">
        <v>29</v>
      </c>
      <c r="M1114">
        <v>1</v>
      </c>
      <c r="N1114">
        <v>581.5</v>
      </c>
      <c r="O1114">
        <v>797.04</v>
      </c>
      <c r="P1114">
        <v>0</v>
      </c>
      <c r="Q1114">
        <v>0</v>
      </c>
      <c r="S1114">
        <v>29</v>
      </c>
      <c r="T1114">
        <v>1</v>
      </c>
      <c r="U1114">
        <v>1</v>
      </c>
      <c r="V1114">
        <v>797.04</v>
      </c>
      <c r="W1114">
        <v>13130001112</v>
      </c>
    </row>
    <row r="1115" spans="1:23" x14ac:dyDescent="0.2">
      <c r="A1115" s="1">
        <v>44803</v>
      </c>
      <c r="B1115" s="2">
        <v>0.47082175925925918</v>
      </c>
      <c r="C1115">
        <v>2113</v>
      </c>
      <c r="D1115">
        <v>13002561</v>
      </c>
      <c r="E1115">
        <v>13</v>
      </c>
      <c r="F1115">
        <v>22589</v>
      </c>
      <c r="G1115" t="s">
        <v>23</v>
      </c>
      <c r="H1115">
        <v>15</v>
      </c>
      <c r="I1115">
        <v>22228</v>
      </c>
      <c r="J1115" t="s">
        <v>106</v>
      </c>
      <c r="K1115" t="s">
        <v>25</v>
      </c>
      <c r="L1115" t="s">
        <v>26</v>
      </c>
      <c r="M1115">
        <v>1</v>
      </c>
      <c r="N1115">
        <v>317.75</v>
      </c>
      <c r="O1115">
        <v>530.01</v>
      </c>
      <c r="P1115">
        <v>53</v>
      </c>
      <c r="Q1115">
        <v>53</v>
      </c>
      <c r="R1115" t="s">
        <v>30</v>
      </c>
      <c r="S1115">
        <v>29</v>
      </c>
      <c r="T1115">
        <v>1</v>
      </c>
      <c r="U1115">
        <v>6</v>
      </c>
      <c r="V1115">
        <v>477.01</v>
      </c>
      <c r="W1115">
        <v>13130001113</v>
      </c>
    </row>
    <row r="1116" spans="1:23" x14ac:dyDescent="0.2">
      <c r="A1116" s="1">
        <v>44801</v>
      </c>
      <c r="B1116" s="2">
        <v>0.95761574074074074</v>
      </c>
      <c r="C1116">
        <v>2114</v>
      </c>
      <c r="D1116">
        <v>13002561</v>
      </c>
      <c r="E1116">
        <v>13</v>
      </c>
      <c r="F1116">
        <v>22589</v>
      </c>
      <c r="G1116" t="s">
        <v>23</v>
      </c>
      <c r="H1116">
        <v>18</v>
      </c>
      <c r="I1116">
        <v>30813</v>
      </c>
      <c r="J1116" t="s">
        <v>86</v>
      </c>
      <c r="K1116" t="s">
        <v>60</v>
      </c>
      <c r="L1116" t="s">
        <v>29</v>
      </c>
      <c r="M1116">
        <v>3</v>
      </c>
      <c r="N1116">
        <v>593.41</v>
      </c>
      <c r="O1116">
        <v>751.55</v>
      </c>
      <c r="P1116">
        <v>75.16</v>
      </c>
      <c r="Q1116">
        <v>75.16</v>
      </c>
      <c r="R1116" t="s">
        <v>30</v>
      </c>
      <c r="S1116">
        <v>29</v>
      </c>
      <c r="T1116">
        <v>1</v>
      </c>
      <c r="U1116">
        <v>2</v>
      </c>
      <c r="V1116">
        <v>676.39</v>
      </c>
      <c r="W1116">
        <v>13130001114</v>
      </c>
    </row>
    <row r="1117" spans="1:23" x14ac:dyDescent="0.2">
      <c r="A1117" s="1">
        <v>44802</v>
      </c>
      <c r="B1117" s="2">
        <v>0.42767361111111107</v>
      </c>
      <c r="C1117">
        <v>2115</v>
      </c>
      <c r="D1117">
        <v>13002561</v>
      </c>
      <c r="E1117">
        <v>13</v>
      </c>
      <c r="F1117">
        <v>22589</v>
      </c>
      <c r="G1117" t="s">
        <v>23</v>
      </c>
      <c r="H1117">
        <v>15</v>
      </c>
      <c r="I1117">
        <v>82163</v>
      </c>
      <c r="J1117" t="s">
        <v>65</v>
      </c>
      <c r="K1117" t="s">
        <v>25</v>
      </c>
      <c r="L1117" t="s">
        <v>29</v>
      </c>
      <c r="M1117">
        <v>1</v>
      </c>
      <c r="N1117">
        <v>443.41</v>
      </c>
      <c r="O1117">
        <v>672.23</v>
      </c>
      <c r="P1117">
        <v>0</v>
      </c>
      <c r="Q1117">
        <v>0</v>
      </c>
      <c r="S1117">
        <v>29</v>
      </c>
      <c r="T1117">
        <v>1</v>
      </c>
      <c r="U1117">
        <v>2</v>
      </c>
      <c r="V1117">
        <v>672.23</v>
      </c>
      <c r="W1117">
        <v>13130001115</v>
      </c>
    </row>
    <row r="1118" spans="1:23" x14ac:dyDescent="0.2">
      <c r="A1118" s="1">
        <v>44774</v>
      </c>
      <c r="B1118" s="2">
        <v>0.74079861111111112</v>
      </c>
      <c r="C1118">
        <v>2116</v>
      </c>
      <c r="D1118">
        <v>13002561</v>
      </c>
      <c r="E1118">
        <v>13</v>
      </c>
      <c r="F1118">
        <v>22589</v>
      </c>
      <c r="G1118" t="s">
        <v>23</v>
      </c>
      <c r="H1118">
        <v>15</v>
      </c>
      <c r="I1118">
        <v>30750</v>
      </c>
      <c r="J1118" t="s">
        <v>100</v>
      </c>
      <c r="K1118" t="s">
        <v>25</v>
      </c>
      <c r="L1118" t="s">
        <v>36</v>
      </c>
      <c r="M1118">
        <v>3</v>
      </c>
      <c r="N1118">
        <v>75.14</v>
      </c>
      <c r="O1118">
        <v>106.05</v>
      </c>
      <c r="P1118">
        <v>10.61</v>
      </c>
      <c r="Q1118">
        <v>10.61</v>
      </c>
      <c r="R1118" t="s">
        <v>30</v>
      </c>
      <c r="S1118">
        <v>29</v>
      </c>
      <c r="T1118">
        <v>1</v>
      </c>
      <c r="U1118">
        <v>4</v>
      </c>
      <c r="V1118">
        <v>95.44</v>
      </c>
      <c r="W1118">
        <v>13130001116</v>
      </c>
    </row>
    <row r="1119" spans="1:23" x14ac:dyDescent="0.2">
      <c r="A1119" s="1">
        <v>44774</v>
      </c>
      <c r="B1119" s="2">
        <v>0.34608796296296301</v>
      </c>
      <c r="C1119">
        <v>2117</v>
      </c>
      <c r="D1119">
        <v>13002561</v>
      </c>
      <c r="E1119">
        <v>13</v>
      </c>
      <c r="F1119">
        <v>22589</v>
      </c>
      <c r="G1119" t="s">
        <v>23</v>
      </c>
      <c r="H1119">
        <v>15</v>
      </c>
      <c r="I1119">
        <v>21978</v>
      </c>
      <c r="J1119" t="s">
        <v>107</v>
      </c>
      <c r="K1119" t="s">
        <v>45</v>
      </c>
      <c r="L1119" t="s">
        <v>34</v>
      </c>
      <c r="M1119">
        <v>3</v>
      </c>
      <c r="N1119">
        <v>70.53</v>
      </c>
      <c r="O1119">
        <v>115.16</v>
      </c>
      <c r="P1119">
        <v>5.76</v>
      </c>
      <c r="Q1119">
        <v>5.76</v>
      </c>
      <c r="R1119" t="s">
        <v>30</v>
      </c>
      <c r="S1119">
        <v>29</v>
      </c>
      <c r="T1119">
        <v>1</v>
      </c>
      <c r="U1119">
        <v>2</v>
      </c>
      <c r="V1119">
        <v>109.4</v>
      </c>
      <c r="W1119">
        <v>13130001117</v>
      </c>
    </row>
    <row r="1120" spans="1:23" x14ac:dyDescent="0.2">
      <c r="A1120" s="1">
        <v>44782</v>
      </c>
      <c r="B1120" s="2">
        <v>0.89105324074074077</v>
      </c>
      <c r="C1120">
        <v>2118</v>
      </c>
      <c r="D1120">
        <v>13002561</v>
      </c>
      <c r="E1120">
        <v>13</v>
      </c>
      <c r="F1120">
        <v>22589</v>
      </c>
      <c r="G1120" t="s">
        <v>23</v>
      </c>
      <c r="H1120">
        <v>18</v>
      </c>
      <c r="I1120">
        <v>10278</v>
      </c>
      <c r="J1120" t="s">
        <v>57</v>
      </c>
      <c r="K1120" t="s">
        <v>44</v>
      </c>
      <c r="L1120" t="s">
        <v>36</v>
      </c>
      <c r="M1120">
        <v>3</v>
      </c>
      <c r="N1120">
        <v>458.45</v>
      </c>
      <c r="O1120">
        <v>684.55</v>
      </c>
      <c r="P1120">
        <v>34.229999999999997</v>
      </c>
      <c r="Q1120">
        <v>34.229999999999997</v>
      </c>
      <c r="R1120" t="s">
        <v>30</v>
      </c>
      <c r="S1120">
        <v>29</v>
      </c>
      <c r="T1120">
        <v>1</v>
      </c>
      <c r="U1120">
        <v>2</v>
      </c>
      <c r="V1120">
        <v>650.32000000000005</v>
      </c>
      <c r="W1120">
        <v>13130001118</v>
      </c>
    </row>
    <row r="1121" spans="1:23" x14ac:dyDescent="0.2">
      <c r="A1121" s="1">
        <v>44803</v>
      </c>
      <c r="B1121" s="2">
        <v>0.89995370370370376</v>
      </c>
      <c r="C1121">
        <v>2119</v>
      </c>
      <c r="D1121">
        <v>13002561</v>
      </c>
      <c r="E1121">
        <v>13</v>
      </c>
      <c r="F1121">
        <v>22589</v>
      </c>
      <c r="G1121" t="s">
        <v>23</v>
      </c>
      <c r="H1121">
        <v>15</v>
      </c>
      <c r="I1121">
        <v>74999</v>
      </c>
      <c r="J1121" t="s">
        <v>54</v>
      </c>
      <c r="K1121" t="s">
        <v>60</v>
      </c>
      <c r="L1121" t="s">
        <v>47</v>
      </c>
      <c r="M1121">
        <v>3</v>
      </c>
      <c r="N1121">
        <v>442.67</v>
      </c>
      <c r="O1121">
        <v>596.48</v>
      </c>
      <c r="P1121">
        <v>59.65</v>
      </c>
      <c r="Q1121">
        <v>59.65</v>
      </c>
      <c r="R1121" t="s">
        <v>30</v>
      </c>
      <c r="S1121">
        <v>29</v>
      </c>
      <c r="T1121">
        <v>1</v>
      </c>
      <c r="U1121">
        <v>3</v>
      </c>
      <c r="V1121">
        <v>536.83000000000004</v>
      </c>
      <c r="W1121">
        <v>13130001119</v>
      </c>
    </row>
    <row r="1122" spans="1:23" x14ac:dyDescent="0.2">
      <c r="A1122" s="1">
        <v>44788</v>
      </c>
      <c r="B1122" s="2">
        <v>0.46783564814814821</v>
      </c>
      <c r="C1122">
        <v>2120</v>
      </c>
      <c r="D1122">
        <v>13002561</v>
      </c>
      <c r="E1122">
        <v>13</v>
      </c>
      <c r="F1122">
        <v>22589</v>
      </c>
      <c r="G1122" t="s">
        <v>23</v>
      </c>
      <c r="H1122">
        <v>15</v>
      </c>
      <c r="I1122">
        <v>17402</v>
      </c>
      <c r="J1122" t="s">
        <v>80</v>
      </c>
      <c r="K1122" t="s">
        <v>38</v>
      </c>
      <c r="L1122" t="s">
        <v>26</v>
      </c>
      <c r="M1122">
        <v>1</v>
      </c>
      <c r="N1122">
        <v>496.07</v>
      </c>
      <c r="O1122">
        <v>776.72</v>
      </c>
      <c r="P1122">
        <v>0</v>
      </c>
      <c r="Q1122">
        <v>0</v>
      </c>
      <c r="S1122">
        <v>29</v>
      </c>
      <c r="T1122">
        <v>1</v>
      </c>
      <c r="U1122">
        <v>2</v>
      </c>
      <c r="V1122">
        <v>776.72</v>
      </c>
      <c r="W1122">
        <v>13130001120</v>
      </c>
    </row>
    <row r="1123" spans="1:23" x14ac:dyDescent="0.2">
      <c r="A1123" s="1">
        <v>44782</v>
      </c>
      <c r="B1123" s="2">
        <v>0.74457175925925922</v>
      </c>
      <c r="C1123">
        <v>2121</v>
      </c>
      <c r="D1123">
        <v>13002561</v>
      </c>
      <c r="E1123">
        <v>13</v>
      </c>
      <c r="F1123">
        <v>22589</v>
      </c>
      <c r="G1123" t="s">
        <v>23</v>
      </c>
      <c r="H1123">
        <v>18</v>
      </c>
      <c r="I1123">
        <v>21309</v>
      </c>
      <c r="J1123" t="s">
        <v>64</v>
      </c>
      <c r="K1123" t="s">
        <v>45</v>
      </c>
      <c r="L1123" t="s">
        <v>51</v>
      </c>
      <c r="M1123">
        <v>2</v>
      </c>
      <c r="N1123">
        <v>521.36</v>
      </c>
      <c r="O1123">
        <v>849.81</v>
      </c>
      <c r="P1123">
        <v>42.49</v>
      </c>
      <c r="Q1123">
        <v>42.49</v>
      </c>
      <c r="R1123" t="s">
        <v>30</v>
      </c>
      <c r="S1123">
        <v>29</v>
      </c>
      <c r="T1123">
        <v>1</v>
      </c>
      <c r="U1123">
        <v>3</v>
      </c>
      <c r="V1123">
        <v>807.32</v>
      </c>
      <c r="W1123">
        <v>13130001121</v>
      </c>
    </row>
    <row r="1124" spans="1:23" x14ac:dyDescent="0.2">
      <c r="A1124" s="1">
        <v>44801</v>
      </c>
      <c r="B1124" s="2">
        <v>0.89256944444444442</v>
      </c>
      <c r="C1124">
        <v>2122</v>
      </c>
      <c r="D1124">
        <v>13002561</v>
      </c>
      <c r="E1124">
        <v>13</v>
      </c>
      <c r="F1124">
        <v>22589</v>
      </c>
      <c r="G1124" t="s">
        <v>23</v>
      </c>
      <c r="H1124">
        <v>18</v>
      </c>
      <c r="I1124">
        <v>25759</v>
      </c>
      <c r="J1124" t="s">
        <v>31</v>
      </c>
      <c r="K1124" t="s">
        <v>44</v>
      </c>
      <c r="L1124" t="s">
        <v>34</v>
      </c>
      <c r="M1124">
        <v>3</v>
      </c>
      <c r="N1124">
        <v>209.1</v>
      </c>
      <c r="O1124">
        <v>313.56</v>
      </c>
      <c r="P1124">
        <v>15.68</v>
      </c>
      <c r="Q1124">
        <v>15.68</v>
      </c>
      <c r="R1124" t="s">
        <v>30</v>
      </c>
      <c r="S1124">
        <v>29</v>
      </c>
      <c r="T1124">
        <v>1</v>
      </c>
      <c r="U1124">
        <v>6</v>
      </c>
      <c r="V1124">
        <v>297.88</v>
      </c>
      <c r="W1124">
        <v>13130001122</v>
      </c>
    </row>
    <row r="1125" spans="1:23" x14ac:dyDescent="0.2">
      <c r="A1125" s="1">
        <v>44802</v>
      </c>
      <c r="B1125" s="2">
        <v>0.81545138888888891</v>
      </c>
      <c r="C1125">
        <v>2123</v>
      </c>
      <c r="D1125">
        <v>13002561</v>
      </c>
      <c r="E1125">
        <v>13</v>
      </c>
      <c r="F1125">
        <v>22589</v>
      </c>
      <c r="G1125" t="s">
        <v>23</v>
      </c>
      <c r="H1125">
        <v>18</v>
      </c>
      <c r="I1125">
        <v>81334</v>
      </c>
      <c r="J1125" t="s">
        <v>70</v>
      </c>
      <c r="K1125" t="s">
        <v>45</v>
      </c>
      <c r="L1125" t="s">
        <v>36</v>
      </c>
      <c r="M1125">
        <v>1</v>
      </c>
      <c r="N1125">
        <v>558.4</v>
      </c>
      <c r="O1125">
        <v>909.37</v>
      </c>
      <c r="P1125">
        <v>45.47</v>
      </c>
      <c r="Q1125">
        <v>45.47</v>
      </c>
      <c r="R1125" t="s">
        <v>30</v>
      </c>
      <c r="S1125">
        <v>29</v>
      </c>
      <c r="T1125">
        <v>1</v>
      </c>
      <c r="U1125">
        <v>2</v>
      </c>
      <c r="V1125">
        <v>863.9</v>
      </c>
      <c r="W1125">
        <v>13130001123</v>
      </c>
    </row>
    <row r="1126" spans="1:23" x14ac:dyDescent="0.2">
      <c r="A1126" s="1">
        <v>44783</v>
      </c>
      <c r="B1126" s="2">
        <v>0.46937499999999999</v>
      </c>
      <c r="C1126">
        <v>2124</v>
      </c>
      <c r="D1126">
        <v>13002561</v>
      </c>
      <c r="E1126">
        <v>13</v>
      </c>
      <c r="F1126">
        <v>22589</v>
      </c>
      <c r="G1126" t="s">
        <v>23</v>
      </c>
      <c r="H1126">
        <v>18</v>
      </c>
      <c r="I1126">
        <v>22547</v>
      </c>
      <c r="J1126" t="s">
        <v>97</v>
      </c>
      <c r="K1126" t="s">
        <v>44</v>
      </c>
      <c r="L1126" t="s">
        <v>51</v>
      </c>
      <c r="M1126">
        <v>2</v>
      </c>
      <c r="N1126">
        <v>528.9</v>
      </c>
      <c r="O1126">
        <v>712.76</v>
      </c>
      <c r="P1126">
        <v>0</v>
      </c>
      <c r="Q1126">
        <v>0</v>
      </c>
      <c r="S1126">
        <v>29</v>
      </c>
      <c r="T1126">
        <v>1</v>
      </c>
      <c r="U1126">
        <v>3</v>
      </c>
      <c r="V1126">
        <v>712.76</v>
      </c>
      <c r="W1126">
        <v>13130001124</v>
      </c>
    </row>
    <row r="1127" spans="1:23" x14ac:dyDescent="0.2">
      <c r="A1127" s="1">
        <v>44786</v>
      </c>
      <c r="B1127" s="2">
        <v>0.89840277777777777</v>
      </c>
      <c r="C1127">
        <v>2125</v>
      </c>
      <c r="D1127">
        <v>13002561</v>
      </c>
      <c r="E1127">
        <v>13</v>
      </c>
      <c r="F1127">
        <v>22589</v>
      </c>
      <c r="G1127" t="s">
        <v>23</v>
      </c>
      <c r="H1127">
        <v>18</v>
      </c>
      <c r="I1127">
        <v>26837</v>
      </c>
      <c r="J1127" t="s">
        <v>87</v>
      </c>
      <c r="K1127" t="s">
        <v>25</v>
      </c>
      <c r="L1127" t="s">
        <v>36</v>
      </c>
      <c r="M1127">
        <v>2</v>
      </c>
      <c r="N1127">
        <v>123.59</v>
      </c>
      <c r="O1127">
        <v>178.33</v>
      </c>
      <c r="P1127">
        <v>8.92</v>
      </c>
      <c r="Q1127">
        <v>8.92</v>
      </c>
      <c r="R1127" t="s">
        <v>30</v>
      </c>
      <c r="S1127">
        <v>29</v>
      </c>
      <c r="T1127">
        <v>1</v>
      </c>
      <c r="U1127">
        <v>5</v>
      </c>
      <c r="V1127">
        <v>169.41</v>
      </c>
      <c r="W1127">
        <v>13130001125</v>
      </c>
    </row>
    <row r="1128" spans="1:23" x14ac:dyDescent="0.2">
      <c r="A1128" s="1">
        <v>44782</v>
      </c>
      <c r="B1128" s="2">
        <v>0.63278935185185181</v>
      </c>
      <c r="C1128">
        <v>2126</v>
      </c>
      <c r="D1128">
        <v>13002561</v>
      </c>
      <c r="E1128">
        <v>13</v>
      </c>
      <c r="F1128">
        <v>22589</v>
      </c>
      <c r="G1128" t="s">
        <v>23</v>
      </c>
      <c r="H1128">
        <v>15</v>
      </c>
      <c r="I1128">
        <v>48529</v>
      </c>
      <c r="J1128" t="s">
        <v>31</v>
      </c>
      <c r="K1128" t="s">
        <v>28</v>
      </c>
      <c r="L1128" t="s">
        <v>34</v>
      </c>
      <c r="M1128">
        <v>3</v>
      </c>
      <c r="N1128">
        <v>585.41999999999996</v>
      </c>
      <c r="O1128">
        <v>851.7</v>
      </c>
      <c r="P1128">
        <v>42.59</v>
      </c>
      <c r="Q1128">
        <v>42.59</v>
      </c>
      <c r="R1128" t="s">
        <v>30</v>
      </c>
      <c r="S1128">
        <v>29</v>
      </c>
      <c r="T1128">
        <v>1</v>
      </c>
      <c r="U1128">
        <v>1</v>
      </c>
      <c r="V1128">
        <v>809.11</v>
      </c>
      <c r="W1128">
        <v>13130001126</v>
      </c>
    </row>
    <row r="1129" spans="1:23" x14ac:dyDescent="0.2">
      <c r="A1129" s="1">
        <v>44778</v>
      </c>
      <c r="B1129" s="2">
        <v>0.4667013888888889</v>
      </c>
      <c r="C1129">
        <v>2127</v>
      </c>
      <c r="D1129">
        <v>13002561</v>
      </c>
      <c r="E1129">
        <v>13</v>
      </c>
      <c r="F1129">
        <v>22589</v>
      </c>
      <c r="G1129" t="s">
        <v>23</v>
      </c>
      <c r="H1129">
        <v>15</v>
      </c>
      <c r="I1129">
        <v>72625</v>
      </c>
      <c r="J1129" t="s">
        <v>126</v>
      </c>
      <c r="K1129" t="s">
        <v>44</v>
      </c>
      <c r="L1129" t="s">
        <v>32</v>
      </c>
      <c r="M1129">
        <v>1</v>
      </c>
      <c r="N1129">
        <v>407.52</v>
      </c>
      <c r="O1129">
        <v>613.86</v>
      </c>
      <c r="P1129">
        <v>30.69</v>
      </c>
      <c r="Q1129">
        <v>30.69</v>
      </c>
      <c r="R1129" t="s">
        <v>30</v>
      </c>
      <c r="S1129">
        <v>29</v>
      </c>
      <c r="T1129">
        <v>1</v>
      </c>
      <c r="U1129">
        <v>1</v>
      </c>
      <c r="V1129">
        <v>583.16999999999996</v>
      </c>
      <c r="W1129">
        <v>13130001127</v>
      </c>
    </row>
    <row r="1130" spans="1:23" x14ac:dyDescent="0.2">
      <c r="A1130" s="1">
        <v>44794</v>
      </c>
      <c r="B1130" s="2">
        <v>0.41002314814814822</v>
      </c>
      <c r="C1130">
        <v>2128</v>
      </c>
      <c r="D1130">
        <v>13002561</v>
      </c>
      <c r="E1130">
        <v>13</v>
      </c>
      <c r="F1130">
        <v>22589</v>
      </c>
      <c r="G1130" t="s">
        <v>23</v>
      </c>
      <c r="H1130">
        <v>18</v>
      </c>
      <c r="I1130">
        <v>90788</v>
      </c>
      <c r="J1130" t="s">
        <v>96</v>
      </c>
      <c r="K1130" t="s">
        <v>28</v>
      </c>
      <c r="L1130" t="s">
        <v>51</v>
      </c>
      <c r="M1130">
        <v>2</v>
      </c>
      <c r="N1130">
        <v>190.26</v>
      </c>
      <c r="O1130">
        <v>242.5</v>
      </c>
      <c r="P1130">
        <v>0</v>
      </c>
      <c r="Q1130">
        <v>0</v>
      </c>
      <c r="S1130">
        <v>29</v>
      </c>
      <c r="T1130">
        <v>1</v>
      </c>
      <c r="U1130">
        <v>4</v>
      </c>
      <c r="V1130">
        <v>242.5</v>
      </c>
      <c r="W1130">
        <v>13130001128</v>
      </c>
    </row>
    <row r="1131" spans="1:23" x14ac:dyDescent="0.2">
      <c r="A1131" s="1">
        <v>44776</v>
      </c>
      <c r="B1131" s="2">
        <v>0.66219907407407408</v>
      </c>
      <c r="C1131">
        <v>2129</v>
      </c>
      <c r="D1131">
        <v>13002561</v>
      </c>
      <c r="E1131">
        <v>13</v>
      </c>
      <c r="F1131">
        <v>22589</v>
      </c>
      <c r="G1131" t="s">
        <v>23</v>
      </c>
      <c r="H1131">
        <v>18</v>
      </c>
      <c r="I1131">
        <v>34711</v>
      </c>
      <c r="J1131" t="s">
        <v>110</v>
      </c>
      <c r="K1131" t="s">
        <v>28</v>
      </c>
      <c r="L1131" t="s">
        <v>39</v>
      </c>
      <c r="M1131">
        <v>2</v>
      </c>
      <c r="N1131">
        <v>310.01</v>
      </c>
      <c r="O1131">
        <v>464.55</v>
      </c>
      <c r="P1131">
        <v>46.46</v>
      </c>
      <c r="Q1131">
        <v>46.46</v>
      </c>
      <c r="R1131" t="s">
        <v>30</v>
      </c>
      <c r="S1131">
        <v>29</v>
      </c>
      <c r="T1131">
        <v>1</v>
      </c>
      <c r="U1131">
        <v>6</v>
      </c>
      <c r="V1131">
        <v>418.09</v>
      </c>
      <c r="W1131">
        <v>13130001129</v>
      </c>
    </row>
    <row r="1132" spans="1:23" x14ac:dyDescent="0.2">
      <c r="A1132" s="1">
        <v>44794</v>
      </c>
      <c r="B1132" s="2">
        <v>0.93730324074074078</v>
      </c>
      <c r="C1132">
        <v>2130</v>
      </c>
      <c r="D1132">
        <v>13002561</v>
      </c>
      <c r="E1132">
        <v>13</v>
      </c>
      <c r="F1132">
        <v>22589</v>
      </c>
      <c r="G1132" t="s">
        <v>23</v>
      </c>
      <c r="H1132">
        <v>18</v>
      </c>
      <c r="I1132">
        <v>79244</v>
      </c>
      <c r="J1132" t="s">
        <v>65</v>
      </c>
      <c r="K1132" t="s">
        <v>45</v>
      </c>
      <c r="L1132" t="s">
        <v>51</v>
      </c>
      <c r="M1132">
        <v>2</v>
      </c>
      <c r="N1132">
        <v>314.83</v>
      </c>
      <c r="O1132">
        <v>478.52</v>
      </c>
      <c r="P1132">
        <v>47.85</v>
      </c>
      <c r="Q1132">
        <v>47.85</v>
      </c>
      <c r="R1132" t="s">
        <v>30</v>
      </c>
      <c r="S1132">
        <v>29</v>
      </c>
      <c r="T1132">
        <v>1</v>
      </c>
      <c r="U1132">
        <v>2</v>
      </c>
      <c r="V1132">
        <v>430.67</v>
      </c>
      <c r="W1132">
        <v>13130001130</v>
      </c>
    </row>
    <row r="1133" spans="1:23" x14ac:dyDescent="0.2">
      <c r="A1133" s="1">
        <v>44797</v>
      </c>
      <c r="B1133" s="2">
        <v>0.47835648148148152</v>
      </c>
      <c r="C1133">
        <v>2131</v>
      </c>
      <c r="D1133">
        <v>13002561</v>
      </c>
      <c r="E1133">
        <v>13</v>
      </c>
      <c r="F1133">
        <v>22589</v>
      </c>
      <c r="G1133" t="s">
        <v>23</v>
      </c>
      <c r="H1133">
        <v>18</v>
      </c>
      <c r="I1133">
        <v>57773</v>
      </c>
      <c r="J1133" t="s">
        <v>73</v>
      </c>
      <c r="K1133" t="s">
        <v>44</v>
      </c>
      <c r="L1133" t="s">
        <v>34</v>
      </c>
      <c r="M1133">
        <v>3</v>
      </c>
      <c r="N1133">
        <v>248.55</v>
      </c>
      <c r="O1133">
        <v>386.5</v>
      </c>
      <c r="P1133">
        <v>38.65</v>
      </c>
      <c r="Q1133">
        <v>38.65</v>
      </c>
      <c r="R1133" t="s">
        <v>30</v>
      </c>
      <c r="S1133">
        <v>29</v>
      </c>
      <c r="T1133">
        <v>1</v>
      </c>
      <c r="U1133">
        <v>3</v>
      </c>
      <c r="V1133">
        <v>347.85</v>
      </c>
      <c r="W1133">
        <v>13130001131</v>
      </c>
    </row>
    <row r="1134" spans="1:23" x14ac:dyDescent="0.2">
      <c r="A1134" s="1">
        <v>44793</v>
      </c>
      <c r="B1134" s="2">
        <v>0.66749999999999998</v>
      </c>
      <c r="C1134">
        <v>2132</v>
      </c>
      <c r="D1134">
        <v>13002561</v>
      </c>
      <c r="E1134">
        <v>13</v>
      </c>
      <c r="F1134">
        <v>22589</v>
      </c>
      <c r="G1134" t="s">
        <v>23</v>
      </c>
      <c r="H1134">
        <v>18</v>
      </c>
      <c r="I1134">
        <v>86406</v>
      </c>
      <c r="J1134" t="s">
        <v>27</v>
      </c>
      <c r="K1134" t="s">
        <v>28</v>
      </c>
      <c r="L1134" t="s">
        <v>32</v>
      </c>
      <c r="M1134">
        <v>2</v>
      </c>
      <c r="N1134">
        <v>149.22999999999999</v>
      </c>
      <c r="O1134">
        <v>244.74</v>
      </c>
      <c r="P1134">
        <v>24.47</v>
      </c>
      <c r="Q1134">
        <v>24.47</v>
      </c>
      <c r="R1134" t="s">
        <v>30</v>
      </c>
      <c r="S1134">
        <v>29</v>
      </c>
      <c r="T1134">
        <v>1</v>
      </c>
      <c r="U1134">
        <v>1</v>
      </c>
      <c r="V1134">
        <v>220.27</v>
      </c>
      <c r="W1134">
        <v>13130001132</v>
      </c>
    </row>
    <row r="1135" spans="1:23" x14ac:dyDescent="0.2">
      <c r="A1135" s="1">
        <v>44779</v>
      </c>
      <c r="B1135" s="2">
        <v>0.39636574074074082</v>
      </c>
      <c r="C1135">
        <v>2133</v>
      </c>
      <c r="D1135">
        <v>13002561</v>
      </c>
      <c r="E1135">
        <v>13</v>
      </c>
      <c r="F1135">
        <v>22589</v>
      </c>
      <c r="G1135" t="s">
        <v>23</v>
      </c>
      <c r="H1135">
        <v>15</v>
      </c>
      <c r="I1135">
        <v>53592</v>
      </c>
      <c r="J1135" t="s">
        <v>57</v>
      </c>
      <c r="K1135" t="s">
        <v>25</v>
      </c>
      <c r="L1135" t="s">
        <v>34</v>
      </c>
      <c r="M1135">
        <v>3</v>
      </c>
      <c r="N1135">
        <v>364.22</v>
      </c>
      <c r="O1135">
        <v>491.24</v>
      </c>
      <c r="P1135">
        <v>0</v>
      </c>
      <c r="Q1135">
        <v>0</v>
      </c>
      <c r="S1135">
        <v>29</v>
      </c>
      <c r="T1135">
        <v>1</v>
      </c>
      <c r="U1135">
        <v>1</v>
      </c>
      <c r="V1135">
        <v>491.24</v>
      </c>
      <c r="W1135">
        <v>13130001133</v>
      </c>
    </row>
    <row r="1136" spans="1:23" x14ac:dyDescent="0.2">
      <c r="A1136" s="1">
        <v>44778</v>
      </c>
      <c r="B1136" s="2">
        <v>0.39400462962962962</v>
      </c>
      <c r="C1136">
        <v>2134</v>
      </c>
      <c r="D1136">
        <v>13002561</v>
      </c>
      <c r="E1136">
        <v>13</v>
      </c>
      <c r="F1136">
        <v>22589</v>
      </c>
      <c r="G1136" t="s">
        <v>23</v>
      </c>
      <c r="H1136">
        <v>18</v>
      </c>
      <c r="I1136">
        <v>34970</v>
      </c>
      <c r="J1136" t="s">
        <v>103</v>
      </c>
      <c r="K1136" t="s">
        <v>60</v>
      </c>
      <c r="L1136" t="s">
        <v>51</v>
      </c>
      <c r="M1136">
        <v>2</v>
      </c>
      <c r="N1136">
        <v>174.98</v>
      </c>
      <c r="O1136">
        <v>239.15</v>
      </c>
      <c r="P1136">
        <v>0</v>
      </c>
      <c r="Q1136">
        <v>0</v>
      </c>
      <c r="S1136">
        <v>29</v>
      </c>
      <c r="T1136">
        <v>1</v>
      </c>
      <c r="U1136">
        <v>2</v>
      </c>
      <c r="V1136">
        <v>239.15</v>
      </c>
      <c r="W1136">
        <v>13130001134</v>
      </c>
    </row>
    <row r="1137" spans="1:23" x14ac:dyDescent="0.2">
      <c r="A1137" s="1">
        <v>44776</v>
      </c>
      <c r="B1137" s="2">
        <v>0.70518518518518514</v>
      </c>
      <c r="C1137">
        <v>2135</v>
      </c>
      <c r="D1137">
        <v>13002561</v>
      </c>
      <c r="E1137">
        <v>13</v>
      </c>
      <c r="F1137">
        <v>22589</v>
      </c>
      <c r="G1137" t="s">
        <v>23</v>
      </c>
      <c r="H1137">
        <v>15</v>
      </c>
      <c r="I1137">
        <v>95651</v>
      </c>
      <c r="J1137" t="s">
        <v>110</v>
      </c>
      <c r="K1137" t="s">
        <v>28</v>
      </c>
      <c r="L1137" t="s">
        <v>51</v>
      </c>
      <c r="M1137">
        <v>1</v>
      </c>
      <c r="N1137">
        <v>68.08</v>
      </c>
      <c r="O1137">
        <v>95.76</v>
      </c>
      <c r="P1137">
        <v>9.58</v>
      </c>
      <c r="Q1137">
        <v>9.58</v>
      </c>
      <c r="R1137" t="s">
        <v>30</v>
      </c>
      <c r="S1137">
        <v>29</v>
      </c>
      <c r="T1137">
        <v>1</v>
      </c>
      <c r="U1137">
        <v>1</v>
      </c>
      <c r="V1137">
        <v>86.18</v>
      </c>
      <c r="W1137">
        <v>13130001135</v>
      </c>
    </row>
    <row r="1138" spans="1:23" x14ac:dyDescent="0.2">
      <c r="A1138" s="1">
        <v>44783</v>
      </c>
      <c r="B1138" s="2">
        <v>0.61450231481481477</v>
      </c>
      <c r="C1138">
        <v>2136</v>
      </c>
      <c r="D1138">
        <v>13002561</v>
      </c>
      <c r="E1138">
        <v>13</v>
      </c>
      <c r="F1138">
        <v>22589</v>
      </c>
      <c r="G1138" t="s">
        <v>23</v>
      </c>
      <c r="H1138">
        <v>18</v>
      </c>
      <c r="I1138">
        <v>60350</v>
      </c>
      <c r="J1138" t="s">
        <v>24</v>
      </c>
      <c r="K1138" t="s">
        <v>45</v>
      </c>
      <c r="L1138" t="s">
        <v>32</v>
      </c>
      <c r="M1138">
        <v>1</v>
      </c>
      <c r="N1138">
        <v>546.84</v>
      </c>
      <c r="O1138">
        <v>871.38</v>
      </c>
      <c r="P1138">
        <v>0</v>
      </c>
      <c r="Q1138">
        <v>0</v>
      </c>
      <c r="S1138">
        <v>29</v>
      </c>
      <c r="T1138">
        <v>1</v>
      </c>
      <c r="U1138">
        <v>6</v>
      </c>
      <c r="V1138">
        <v>871.38</v>
      </c>
      <c r="W1138">
        <v>13130001136</v>
      </c>
    </row>
    <row r="1139" spans="1:23" x14ac:dyDescent="0.2">
      <c r="A1139" s="1">
        <v>44775</v>
      </c>
      <c r="B1139" s="2">
        <v>0.94828703703703698</v>
      </c>
      <c r="C1139">
        <v>2137</v>
      </c>
      <c r="D1139">
        <v>13002561</v>
      </c>
      <c r="E1139">
        <v>13</v>
      </c>
      <c r="F1139">
        <v>22589</v>
      </c>
      <c r="G1139" t="s">
        <v>23</v>
      </c>
      <c r="H1139">
        <v>18</v>
      </c>
      <c r="I1139">
        <v>75686</v>
      </c>
      <c r="J1139" t="s">
        <v>114</v>
      </c>
      <c r="K1139" t="s">
        <v>38</v>
      </c>
      <c r="L1139" t="s">
        <v>47</v>
      </c>
      <c r="M1139">
        <v>3</v>
      </c>
      <c r="N1139">
        <v>155.47</v>
      </c>
      <c r="O1139">
        <v>216.99</v>
      </c>
      <c r="P1139">
        <v>0</v>
      </c>
      <c r="Q1139">
        <v>0</v>
      </c>
      <c r="S1139">
        <v>29</v>
      </c>
      <c r="T1139">
        <v>1</v>
      </c>
      <c r="U1139">
        <v>3</v>
      </c>
      <c r="V1139">
        <v>216.99</v>
      </c>
      <c r="W1139">
        <v>13130001137</v>
      </c>
    </row>
    <row r="1140" spans="1:23" x14ac:dyDescent="0.2">
      <c r="A1140" s="1">
        <v>44777</v>
      </c>
      <c r="B1140" s="2">
        <v>0.38862268518518522</v>
      </c>
      <c r="C1140">
        <v>2138</v>
      </c>
      <c r="D1140">
        <v>13002561</v>
      </c>
      <c r="E1140">
        <v>13</v>
      </c>
      <c r="F1140">
        <v>22589</v>
      </c>
      <c r="G1140" t="s">
        <v>23</v>
      </c>
      <c r="H1140">
        <v>18</v>
      </c>
      <c r="I1140">
        <v>63677</v>
      </c>
      <c r="J1140" t="s">
        <v>80</v>
      </c>
      <c r="K1140" t="s">
        <v>25</v>
      </c>
      <c r="L1140" t="s">
        <v>34</v>
      </c>
      <c r="M1140">
        <v>2</v>
      </c>
      <c r="N1140">
        <v>561.92999999999995</v>
      </c>
      <c r="O1140">
        <v>921.85</v>
      </c>
      <c r="P1140">
        <v>0</v>
      </c>
      <c r="Q1140">
        <v>0</v>
      </c>
      <c r="S1140">
        <v>29</v>
      </c>
      <c r="T1140">
        <v>1</v>
      </c>
      <c r="U1140">
        <v>3</v>
      </c>
      <c r="V1140">
        <v>921.85</v>
      </c>
      <c r="W1140">
        <v>13130001138</v>
      </c>
    </row>
    <row r="1141" spans="1:23" x14ac:dyDescent="0.2">
      <c r="A1141" s="1">
        <v>44802</v>
      </c>
      <c r="B1141" s="2">
        <v>0.69930555555555551</v>
      </c>
      <c r="C1141">
        <v>2139</v>
      </c>
      <c r="D1141">
        <v>13002561</v>
      </c>
      <c r="E1141">
        <v>13</v>
      </c>
      <c r="F1141">
        <v>22589</v>
      </c>
      <c r="G1141" t="s">
        <v>23</v>
      </c>
      <c r="H1141">
        <v>15</v>
      </c>
      <c r="I1141">
        <v>70226</v>
      </c>
      <c r="J1141" t="s">
        <v>80</v>
      </c>
      <c r="K1141" t="s">
        <v>38</v>
      </c>
      <c r="L1141" t="s">
        <v>51</v>
      </c>
      <c r="M1141">
        <v>2</v>
      </c>
      <c r="N1141">
        <v>107.49</v>
      </c>
      <c r="O1141">
        <v>139.13999999999999</v>
      </c>
      <c r="P1141">
        <v>6.96</v>
      </c>
      <c r="Q1141">
        <v>6.96</v>
      </c>
      <c r="R1141" t="s">
        <v>30</v>
      </c>
      <c r="S1141">
        <v>29</v>
      </c>
      <c r="T1141">
        <v>1</v>
      </c>
      <c r="U1141">
        <v>2</v>
      </c>
      <c r="V1141">
        <v>132.18</v>
      </c>
      <c r="W1141">
        <v>13130001139</v>
      </c>
    </row>
    <row r="1142" spans="1:23" x14ac:dyDescent="0.2">
      <c r="A1142" s="1">
        <v>44778</v>
      </c>
      <c r="B1142" s="2">
        <v>0.58857638888888886</v>
      </c>
      <c r="C1142">
        <v>2140</v>
      </c>
      <c r="D1142">
        <v>13002561</v>
      </c>
      <c r="E1142">
        <v>13</v>
      </c>
      <c r="F1142">
        <v>22589</v>
      </c>
      <c r="G1142" t="s">
        <v>23</v>
      </c>
      <c r="H1142">
        <v>15</v>
      </c>
      <c r="I1142">
        <v>49677</v>
      </c>
      <c r="J1142" t="s">
        <v>121</v>
      </c>
      <c r="K1142" t="s">
        <v>60</v>
      </c>
      <c r="L1142" t="s">
        <v>32</v>
      </c>
      <c r="M1142">
        <v>2</v>
      </c>
      <c r="N1142">
        <v>263.83999999999997</v>
      </c>
      <c r="O1142">
        <v>420.2</v>
      </c>
      <c r="P1142">
        <v>21.01</v>
      </c>
      <c r="Q1142">
        <v>21.01</v>
      </c>
      <c r="R1142" t="s">
        <v>30</v>
      </c>
      <c r="S1142">
        <v>29</v>
      </c>
      <c r="T1142">
        <v>1</v>
      </c>
      <c r="U1142">
        <v>1</v>
      </c>
      <c r="V1142">
        <v>399.19</v>
      </c>
      <c r="W1142">
        <v>13130001140</v>
      </c>
    </row>
    <row r="1143" spans="1:23" x14ac:dyDescent="0.2">
      <c r="A1143" s="1">
        <v>44780</v>
      </c>
      <c r="B1143" s="2">
        <v>0.79993055555555559</v>
      </c>
      <c r="C1143">
        <v>2141</v>
      </c>
      <c r="D1143">
        <v>13002561</v>
      </c>
      <c r="E1143">
        <v>13</v>
      </c>
      <c r="F1143">
        <v>22589</v>
      </c>
      <c r="G1143" t="s">
        <v>23</v>
      </c>
      <c r="H1143">
        <v>15</v>
      </c>
      <c r="I1143">
        <v>28939</v>
      </c>
      <c r="J1143" t="s">
        <v>80</v>
      </c>
      <c r="K1143" t="s">
        <v>45</v>
      </c>
      <c r="L1143" t="s">
        <v>39</v>
      </c>
      <c r="M1143">
        <v>3</v>
      </c>
      <c r="N1143">
        <v>567.99</v>
      </c>
      <c r="O1143">
        <v>756.51</v>
      </c>
      <c r="P1143">
        <v>0</v>
      </c>
      <c r="Q1143">
        <v>0</v>
      </c>
      <c r="S1143">
        <v>29</v>
      </c>
      <c r="T1143">
        <v>1</v>
      </c>
      <c r="U1143">
        <v>3</v>
      </c>
      <c r="V1143">
        <v>756.51</v>
      </c>
      <c r="W1143">
        <v>13130001141</v>
      </c>
    </row>
    <row r="1144" spans="1:23" x14ac:dyDescent="0.2">
      <c r="A1144" s="1">
        <v>44804</v>
      </c>
      <c r="B1144" s="2">
        <v>0.63769675925925928</v>
      </c>
      <c r="C1144">
        <v>2142</v>
      </c>
      <c r="D1144">
        <v>13002561</v>
      </c>
      <c r="E1144">
        <v>13</v>
      </c>
      <c r="F1144">
        <v>22589</v>
      </c>
      <c r="G1144" t="s">
        <v>23</v>
      </c>
      <c r="H1144">
        <v>15</v>
      </c>
      <c r="I1144">
        <v>46460</v>
      </c>
      <c r="J1144" t="s">
        <v>111</v>
      </c>
      <c r="K1144" t="s">
        <v>38</v>
      </c>
      <c r="L1144" t="s">
        <v>47</v>
      </c>
      <c r="M1144">
        <v>1</v>
      </c>
      <c r="N1144">
        <v>536.79</v>
      </c>
      <c r="O1144">
        <v>877.49</v>
      </c>
      <c r="P1144">
        <v>87.75</v>
      </c>
      <c r="Q1144">
        <v>87.75</v>
      </c>
      <c r="R1144" t="s">
        <v>30</v>
      </c>
      <c r="S1144">
        <v>29</v>
      </c>
      <c r="T1144">
        <v>1</v>
      </c>
      <c r="U1144">
        <v>5</v>
      </c>
      <c r="V1144">
        <v>789.74</v>
      </c>
      <c r="W1144">
        <v>13130001142</v>
      </c>
    </row>
    <row r="1145" spans="1:23" x14ac:dyDescent="0.2">
      <c r="A1145" s="1">
        <v>44787</v>
      </c>
      <c r="B1145" s="2">
        <v>0.87650462962962961</v>
      </c>
      <c r="C1145">
        <v>2143</v>
      </c>
      <c r="D1145">
        <v>13002561</v>
      </c>
      <c r="E1145">
        <v>13</v>
      </c>
      <c r="F1145">
        <v>22589</v>
      </c>
      <c r="G1145" t="s">
        <v>23</v>
      </c>
      <c r="H1145">
        <v>15</v>
      </c>
      <c r="I1145">
        <v>86381</v>
      </c>
      <c r="J1145" t="s">
        <v>49</v>
      </c>
      <c r="K1145" t="s">
        <v>25</v>
      </c>
      <c r="L1145" t="s">
        <v>36</v>
      </c>
      <c r="M1145">
        <v>1</v>
      </c>
      <c r="N1145">
        <v>156.29</v>
      </c>
      <c r="O1145">
        <v>217.13</v>
      </c>
      <c r="P1145">
        <v>21.71</v>
      </c>
      <c r="Q1145">
        <v>21.71</v>
      </c>
      <c r="R1145" t="s">
        <v>30</v>
      </c>
      <c r="S1145">
        <v>29</v>
      </c>
      <c r="T1145">
        <v>1</v>
      </c>
      <c r="U1145">
        <v>4</v>
      </c>
      <c r="V1145">
        <v>195.42</v>
      </c>
      <c r="W1145">
        <v>13130001143</v>
      </c>
    </row>
    <row r="1146" spans="1:23" x14ac:dyDescent="0.2">
      <c r="A1146" s="1">
        <v>44774</v>
      </c>
      <c r="B1146" s="2">
        <v>0.64295138888888892</v>
      </c>
      <c r="C1146">
        <v>2144</v>
      </c>
      <c r="D1146">
        <v>13002561</v>
      </c>
      <c r="E1146">
        <v>13</v>
      </c>
      <c r="F1146">
        <v>22589</v>
      </c>
      <c r="G1146" t="s">
        <v>23</v>
      </c>
      <c r="H1146">
        <v>18</v>
      </c>
      <c r="I1146">
        <v>28047</v>
      </c>
      <c r="J1146" t="s">
        <v>43</v>
      </c>
      <c r="K1146" t="s">
        <v>45</v>
      </c>
      <c r="L1146" t="s">
        <v>32</v>
      </c>
      <c r="M1146">
        <v>3</v>
      </c>
      <c r="N1146">
        <v>433.96</v>
      </c>
      <c r="O1146">
        <v>678.95</v>
      </c>
      <c r="P1146">
        <v>67.900000000000006</v>
      </c>
      <c r="Q1146">
        <v>67.900000000000006</v>
      </c>
      <c r="R1146" t="s">
        <v>30</v>
      </c>
      <c r="S1146">
        <v>29</v>
      </c>
      <c r="T1146">
        <v>1</v>
      </c>
      <c r="U1146">
        <v>4</v>
      </c>
      <c r="V1146">
        <v>611.04999999999995</v>
      </c>
      <c r="W1146">
        <v>13130001144</v>
      </c>
    </row>
    <row r="1147" spans="1:23" x14ac:dyDescent="0.2">
      <c r="A1147" s="1">
        <v>44797</v>
      </c>
      <c r="B1147" s="2">
        <v>0.53741898148148148</v>
      </c>
      <c r="C1147">
        <v>2145</v>
      </c>
      <c r="D1147">
        <v>13002561</v>
      </c>
      <c r="E1147">
        <v>13</v>
      </c>
      <c r="F1147">
        <v>22589</v>
      </c>
      <c r="G1147" t="s">
        <v>23</v>
      </c>
      <c r="H1147">
        <v>15</v>
      </c>
      <c r="I1147">
        <v>86683</v>
      </c>
      <c r="J1147" t="s">
        <v>58</v>
      </c>
      <c r="K1147" t="s">
        <v>45</v>
      </c>
      <c r="L1147" t="s">
        <v>32</v>
      </c>
      <c r="M1147">
        <v>2</v>
      </c>
      <c r="N1147">
        <v>245.34</v>
      </c>
      <c r="O1147">
        <v>383.82</v>
      </c>
      <c r="P1147">
        <v>38.380000000000003</v>
      </c>
      <c r="Q1147">
        <v>38.380000000000003</v>
      </c>
      <c r="R1147" t="s">
        <v>30</v>
      </c>
      <c r="S1147">
        <v>29</v>
      </c>
      <c r="T1147">
        <v>1</v>
      </c>
      <c r="U1147">
        <v>4</v>
      </c>
      <c r="V1147">
        <v>345.44</v>
      </c>
      <c r="W1147">
        <v>13130001145</v>
      </c>
    </row>
    <row r="1148" spans="1:23" x14ac:dyDescent="0.2">
      <c r="A1148" s="1">
        <v>44780</v>
      </c>
      <c r="B1148" s="2">
        <v>0.67767361111111113</v>
      </c>
      <c r="C1148">
        <v>2146</v>
      </c>
      <c r="D1148">
        <v>13002561</v>
      </c>
      <c r="E1148">
        <v>13</v>
      </c>
      <c r="F1148">
        <v>22589</v>
      </c>
      <c r="G1148" t="s">
        <v>23</v>
      </c>
      <c r="H1148">
        <v>18</v>
      </c>
      <c r="I1148">
        <v>34185</v>
      </c>
      <c r="J1148" t="s">
        <v>88</v>
      </c>
      <c r="K1148" t="s">
        <v>45</v>
      </c>
      <c r="L1148" t="s">
        <v>39</v>
      </c>
      <c r="M1148">
        <v>2</v>
      </c>
      <c r="N1148">
        <v>401.14</v>
      </c>
      <c r="O1148">
        <v>558.1</v>
      </c>
      <c r="P1148">
        <v>55.81</v>
      </c>
      <c r="Q1148">
        <v>55.81</v>
      </c>
      <c r="R1148" t="s">
        <v>30</v>
      </c>
      <c r="S1148">
        <v>29</v>
      </c>
      <c r="T1148">
        <v>1</v>
      </c>
      <c r="U1148">
        <v>1</v>
      </c>
      <c r="V1148">
        <v>502.29</v>
      </c>
      <c r="W1148">
        <v>13130001146</v>
      </c>
    </row>
    <row r="1149" spans="1:23" x14ac:dyDescent="0.2">
      <c r="A1149" s="1">
        <v>44776</v>
      </c>
      <c r="B1149" s="2">
        <v>0.66540509259259262</v>
      </c>
      <c r="C1149">
        <v>2147</v>
      </c>
      <c r="D1149">
        <v>13002561</v>
      </c>
      <c r="E1149">
        <v>13</v>
      </c>
      <c r="F1149">
        <v>22589</v>
      </c>
      <c r="G1149" t="s">
        <v>23</v>
      </c>
      <c r="H1149">
        <v>18</v>
      </c>
      <c r="I1149">
        <v>85671</v>
      </c>
      <c r="J1149" t="s">
        <v>94</v>
      </c>
      <c r="K1149" t="s">
        <v>28</v>
      </c>
      <c r="L1149" t="s">
        <v>51</v>
      </c>
      <c r="M1149">
        <v>3</v>
      </c>
      <c r="N1149">
        <v>218.4</v>
      </c>
      <c r="O1149">
        <v>336.93</v>
      </c>
      <c r="P1149">
        <v>33.69</v>
      </c>
      <c r="Q1149">
        <v>33.69</v>
      </c>
      <c r="R1149" t="s">
        <v>30</v>
      </c>
      <c r="S1149">
        <v>29</v>
      </c>
      <c r="T1149">
        <v>1</v>
      </c>
      <c r="U1149">
        <v>4</v>
      </c>
      <c r="V1149">
        <v>303.24</v>
      </c>
      <c r="W1149">
        <v>13130001147</v>
      </c>
    </row>
    <row r="1150" spans="1:23" x14ac:dyDescent="0.2">
      <c r="A1150" s="1">
        <v>44802</v>
      </c>
      <c r="B1150" s="2">
        <v>0.42649305555555561</v>
      </c>
      <c r="C1150">
        <v>2148</v>
      </c>
      <c r="D1150">
        <v>13002561</v>
      </c>
      <c r="E1150">
        <v>13</v>
      </c>
      <c r="F1150">
        <v>22589</v>
      </c>
      <c r="G1150" t="s">
        <v>23</v>
      </c>
      <c r="H1150">
        <v>18</v>
      </c>
      <c r="I1150">
        <v>90641</v>
      </c>
      <c r="J1150" t="s">
        <v>97</v>
      </c>
      <c r="K1150" t="s">
        <v>25</v>
      </c>
      <c r="L1150" t="s">
        <v>32</v>
      </c>
      <c r="M1150">
        <v>3</v>
      </c>
      <c r="N1150">
        <v>128.21</v>
      </c>
      <c r="O1150">
        <v>173.78</v>
      </c>
      <c r="P1150">
        <v>8.69</v>
      </c>
      <c r="Q1150">
        <v>8.69</v>
      </c>
      <c r="R1150" t="s">
        <v>30</v>
      </c>
      <c r="S1150">
        <v>29</v>
      </c>
      <c r="T1150">
        <v>1</v>
      </c>
      <c r="U1150">
        <v>3</v>
      </c>
      <c r="V1150">
        <v>165.09</v>
      </c>
      <c r="W1150">
        <v>13130001148</v>
      </c>
    </row>
    <row r="1151" spans="1:23" x14ac:dyDescent="0.2">
      <c r="A1151" s="1">
        <v>44774</v>
      </c>
      <c r="B1151" s="2">
        <v>0.51954861111111106</v>
      </c>
      <c r="C1151">
        <v>2149</v>
      </c>
      <c r="D1151">
        <v>13002561</v>
      </c>
      <c r="E1151">
        <v>13</v>
      </c>
      <c r="F1151">
        <v>22589</v>
      </c>
      <c r="G1151" t="s">
        <v>23</v>
      </c>
      <c r="H1151">
        <v>18</v>
      </c>
      <c r="I1151">
        <v>52677</v>
      </c>
      <c r="J1151" t="s">
        <v>106</v>
      </c>
      <c r="K1151" t="s">
        <v>25</v>
      </c>
      <c r="L1151" t="s">
        <v>26</v>
      </c>
      <c r="M1151">
        <v>1</v>
      </c>
      <c r="N1151">
        <v>57.43</v>
      </c>
      <c r="O1151">
        <v>80.12</v>
      </c>
      <c r="P1151">
        <v>0</v>
      </c>
      <c r="Q1151">
        <v>0</v>
      </c>
      <c r="S1151">
        <v>29</v>
      </c>
      <c r="T1151">
        <v>1</v>
      </c>
      <c r="U1151">
        <v>1</v>
      </c>
      <c r="V1151">
        <v>80.12</v>
      </c>
      <c r="W1151">
        <v>13130001149</v>
      </c>
    </row>
    <row r="1152" spans="1:23" x14ac:dyDescent="0.2">
      <c r="A1152" s="1">
        <v>44797</v>
      </c>
      <c r="B1152" s="2">
        <v>0.42929398148148151</v>
      </c>
      <c r="C1152">
        <v>2150</v>
      </c>
      <c r="D1152">
        <v>13002561</v>
      </c>
      <c r="E1152">
        <v>13</v>
      </c>
      <c r="F1152">
        <v>22589</v>
      </c>
      <c r="G1152" t="s">
        <v>23</v>
      </c>
      <c r="H1152">
        <v>18</v>
      </c>
      <c r="I1152">
        <v>88495</v>
      </c>
      <c r="J1152" t="s">
        <v>76</v>
      </c>
      <c r="K1152" t="s">
        <v>38</v>
      </c>
      <c r="L1152" t="s">
        <v>39</v>
      </c>
      <c r="M1152">
        <v>2</v>
      </c>
      <c r="N1152">
        <v>568.54</v>
      </c>
      <c r="O1152">
        <v>875.86</v>
      </c>
      <c r="P1152">
        <v>87.59</v>
      </c>
      <c r="Q1152">
        <v>87.59</v>
      </c>
      <c r="R1152" t="s">
        <v>30</v>
      </c>
      <c r="S1152">
        <v>29</v>
      </c>
      <c r="T1152">
        <v>1</v>
      </c>
      <c r="U1152">
        <v>5</v>
      </c>
      <c r="V1152">
        <v>788.27</v>
      </c>
      <c r="W1152">
        <v>13130001150</v>
      </c>
    </row>
    <row r="1153" spans="1:23" x14ac:dyDescent="0.2">
      <c r="A1153" s="1">
        <v>44790</v>
      </c>
      <c r="B1153" s="2">
        <v>0.55540509259259263</v>
      </c>
      <c r="C1153">
        <v>2151</v>
      </c>
      <c r="D1153">
        <v>13002561</v>
      </c>
      <c r="E1153">
        <v>13</v>
      </c>
      <c r="F1153">
        <v>22589</v>
      </c>
      <c r="G1153" t="s">
        <v>23</v>
      </c>
      <c r="H1153">
        <v>15</v>
      </c>
      <c r="I1153">
        <v>96361</v>
      </c>
      <c r="J1153" t="s">
        <v>115</v>
      </c>
      <c r="K1153" t="s">
        <v>38</v>
      </c>
      <c r="L1153" t="s">
        <v>39</v>
      </c>
      <c r="M1153">
        <v>1</v>
      </c>
      <c r="N1153">
        <v>50.45</v>
      </c>
      <c r="O1153">
        <v>63.76</v>
      </c>
      <c r="P1153">
        <v>0</v>
      </c>
      <c r="Q1153">
        <v>0</v>
      </c>
      <c r="S1153">
        <v>29</v>
      </c>
      <c r="T1153">
        <v>1</v>
      </c>
      <c r="U1153">
        <v>1</v>
      </c>
      <c r="V1153">
        <v>63.76</v>
      </c>
      <c r="W1153">
        <v>13130001151</v>
      </c>
    </row>
    <row r="1154" spans="1:23" x14ac:dyDescent="0.2">
      <c r="A1154" s="1">
        <v>44784</v>
      </c>
      <c r="B1154" s="2">
        <v>0.68607638888888889</v>
      </c>
      <c r="C1154">
        <v>2152</v>
      </c>
      <c r="D1154">
        <v>13002561</v>
      </c>
      <c r="E1154">
        <v>13</v>
      </c>
      <c r="F1154">
        <v>22589</v>
      </c>
      <c r="G1154" t="s">
        <v>23</v>
      </c>
      <c r="H1154">
        <v>15</v>
      </c>
      <c r="I1154">
        <v>34620</v>
      </c>
      <c r="J1154" t="s">
        <v>123</v>
      </c>
      <c r="K1154" t="s">
        <v>25</v>
      </c>
      <c r="L1154" t="s">
        <v>34</v>
      </c>
      <c r="M1154">
        <v>1</v>
      </c>
      <c r="N1154">
        <v>166.26</v>
      </c>
      <c r="O1154">
        <v>224.89</v>
      </c>
      <c r="P1154">
        <v>11.24</v>
      </c>
      <c r="Q1154">
        <v>11.24</v>
      </c>
      <c r="R1154" t="s">
        <v>30</v>
      </c>
      <c r="S1154">
        <v>29</v>
      </c>
      <c r="T1154">
        <v>1</v>
      </c>
      <c r="U1154">
        <v>3</v>
      </c>
      <c r="V1154">
        <v>213.65</v>
      </c>
      <c r="W1154">
        <v>13130001152</v>
      </c>
    </row>
    <row r="1155" spans="1:23" x14ac:dyDescent="0.2">
      <c r="A1155" s="1">
        <v>44780</v>
      </c>
      <c r="B1155" s="2">
        <v>0.72467592592592589</v>
      </c>
      <c r="C1155">
        <v>2153</v>
      </c>
      <c r="D1155">
        <v>13002561</v>
      </c>
      <c r="E1155">
        <v>13</v>
      </c>
      <c r="F1155">
        <v>22589</v>
      </c>
      <c r="G1155" t="s">
        <v>23</v>
      </c>
      <c r="H1155">
        <v>15</v>
      </c>
      <c r="I1155">
        <v>38330</v>
      </c>
      <c r="J1155" t="s">
        <v>37</v>
      </c>
      <c r="K1155" t="s">
        <v>60</v>
      </c>
      <c r="L1155" t="s">
        <v>47</v>
      </c>
      <c r="M1155">
        <v>3</v>
      </c>
      <c r="N1155">
        <v>99.38</v>
      </c>
      <c r="O1155">
        <v>147.78</v>
      </c>
      <c r="P1155">
        <v>7.39</v>
      </c>
      <c r="Q1155">
        <v>7.39</v>
      </c>
      <c r="R1155" t="s">
        <v>30</v>
      </c>
      <c r="S1155">
        <v>29</v>
      </c>
      <c r="T1155">
        <v>1</v>
      </c>
      <c r="U1155">
        <v>5</v>
      </c>
      <c r="V1155">
        <v>140.38999999999999</v>
      </c>
      <c r="W1155">
        <v>13130001153</v>
      </c>
    </row>
    <row r="1156" spans="1:23" x14ac:dyDescent="0.2">
      <c r="A1156" s="1">
        <v>44801</v>
      </c>
      <c r="B1156" s="2">
        <v>0.84375</v>
      </c>
      <c r="C1156">
        <v>2154</v>
      </c>
      <c r="D1156">
        <v>13002561</v>
      </c>
      <c r="E1156">
        <v>13</v>
      </c>
      <c r="F1156">
        <v>22589</v>
      </c>
      <c r="G1156" t="s">
        <v>23</v>
      </c>
      <c r="H1156">
        <v>15</v>
      </c>
      <c r="I1156">
        <v>68607</v>
      </c>
      <c r="J1156" t="s">
        <v>105</v>
      </c>
      <c r="K1156" t="s">
        <v>60</v>
      </c>
      <c r="L1156" t="s">
        <v>29</v>
      </c>
      <c r="M1156">
        <v>3</v>
      </c>
      <c r="N1156">
        <v>312.51</v>
      </c>
      <c r="O1156">
        <v>393.14</v>
      </c>
      <c r="P1156">
        <v>39.31</v>
      </c>
      <c r="Q1156">
        <v>39.31</v>
      </c>
      <c r="R1156" t="s">
        <v>30</v>
      </c>
      <c r="S1156">
        <v>29</v>
      </c>
      <c r="T1156">
        <v>1</v>
      </c>
      <c r="U1156">
        <v>1</v>
      </c>
      <c r="V1156">
        <v>353.83</v>
      </c>
      <c r="W1156">
        <v>13130001154</v>
      </c>
    </row>
    <row r="1157" spans="1:23" x14ac:dyDescent="0.2">
      <c r="A1157" s="1">
        <v>44788</v>
      </c>
      <c r="B1157" s="2">
        <v>0.7750231481481481</v>
      </c>
      <c r="C1157">
        <v>2155</v>
      </c>
      <c r="D1157">
        <v>13002561</v>
      </c>
      <c r="E1157">
        <v>13</v>
      </c>
      <c r="F1157">
        <v>22589</v>
      </c>
      <c r="G1157" t="s">
        <v>23</v>
      </c>
      <c r="H1157">
        <v>18</v>
      </c>
      <c r="I1157">
        <v>13042</v>
      </c>
      <c r="J1157" t="s">
        <v>100</v>
      </c>
      <c r="K1157" t="s">
        <v>38</v>
      </c>
      <c r="L1157" t="s">
        <v>29</v>
      </c>
      <c r="M1157">
        <v>3</v>
      </c>
      <c r="N1157">
        <v>533.32000000000005</v>
      </c>
      <c r="O1157">
        <v>825.39</v>
      </c>
      <c r="P1157">
        <v>41.27</v>
      </c>
      <c r="Q1157">
        <v>41.27</v>
      </c>
      <c r="R1157" t="s">
        <v>30</v>
      </c>
      <c r="S1157">
        <v>29</v>
      </c>
      <c r="T1157">
        <v>1</v>
      </c>
      <c r="U1157">
        <v>6</v>
      </c>
      <c r="V1157">
        <v>784.12</v>
      </c>
      <c r="W1157">
        <v>13130001155</v>
      </c>
    </row>
    <row r="1158" spans="1:23" x14ac:dyDescent="0.2">
      <c r="A1158" s="1">
        <v>44780</v>
      </c>
      <c r="B1158" s="2">
        <v>0.69223379629629633</v>
      </c>
      <c r="C1158">
        <v>2156</v>
      </c>
      <c r="D1158">
        <v>13002561</v>
      </c>
      <c r="E1158">
        <v>13</v>
      </c>
      <c r="F1158">
        <v>22589</v>
      </c>
      <c r="G1158" t="s">
        <v>23</v>
      </c>
      <c r="H1158">
        <v>15</v>
      </c>
      <c r="I1158">
        <v>96439</v>
      </c>
      <c r="J1158" t="s">
        <v>79</v>
      </c>
      <c r="K1158" t="s">
        <v>28</v>
      </c>
      <c r="L1158" t="s">
        <v>26</v>
      </c>
      <c r="M1158">
        <v>1</v>
      </c>
      <c r="N1158">
        <v>538.33000000000004</v>
      </c>
      <c r="O1158">
        <v>708.06</v>
      </c>
      <c r="P1158">
        <v>0</v>
      </c>
      <c r="Q1158">
        <v>0</v>
      </c>
      <c r="S1158">
        <v>29</v>
      </c>
      <c r="T1158">
        <v>1</v>
      </c>
      <c r="U1158">
        <v>2</v>
      </c>
      <c r="V1158">
        <v>708.06</v>
      </c>
      <c r="W1158">
        <v>13130001156</v>
      </c>
    </row>
    <row r="1159" spans="1:23" x14ac:dyDescent="0.2">
      <c r="A1159" s="1">
        <v>44794</v>
      </c>
      <c r="B1159" s="2">
        <v>0.42879629629629629</v>
      </c>
      <c r="C1159">
        <v>2157</v>
      </c>
      <c r="D1159">
        <v>13002561</v>
      </c>
      <c r="E1159">
        <v>13</v>
      </c>
      <c r="F1159">
        <v>22589</v>
      </c>
      <c r="G1159" t="s">
        <v>23</v>
      </c>
      <c r="H1159">
        <v>18</v>
      </c>
      <c r="I1159">
        <v>45887</v>
      </c>
      <c r="J1159" t="s">
        <v>66</v>
      </c>
      <c r="K1159" t="s">
        <v>44</v>
      </c>
      <c r="L1159" t="s">
        <v>51</v>
      </c>
      <c r="M1159">
        <v>1</v>
      </c>
      <c r="N1159">
        <v>429.97</v>
      </c>
      <c r="O1159">
        <v>583.49</v>
      </c>
      <c r="P1159">
        <v>29.17</v>
      </c>
      <c r="Q1159">
        <v>29.17</v>
      </c>
      <c r="R1159" t="s">
        <v>30</v>
      </c>
      <c r="S1159">
        <v>29</v>
      </c>
      <c r="T1159">
        <v>1</v>
      </c>
      <c r="U1159">
        <v>2</v>
      </c>
      <c r="V1159">
        <v>554.32000000000005</v>
      </c>
      <c r="W1159">
        <v>13130001157</v>
      </c>
    </row>
    <row r="1160" spans="1:23" x14ac:dyDescent="0.2">
      <c r="A1160" s="1">
        <v>44803</v>
      </c>
      <c r="B1160" s="2">
        <v>0.56331018518518516</v>
      </c>
      <c r="C1160">
        <v>2158</v>
      </c>
      <c r="D1160">
        <v>13002561</v>
      </c>
      <c r="E1160">
        <v>13</v>
      </c>
      <c r="F1160">
        <v>22589</v>
      </c>
      <c r="G1160" t="s">
        <v>23</v>
      </c>
      <c r="H1160">
        <v>15</v>
      </c>
      <c r="I1160">
        <v>82418</v>
      </c>
      <c r="J1160" t="s">
        <v>102</v>
      </c>
      <c r="K1160" t="s">
        <v>44</v>
      </c>
      <c r="L1160" t="s">
        <v>34</v>
      </c>
      <c r="M1160">
        <v>2</v>
      </c>
      <c r="N1160">
        <v>364.51</v>
      </c>
      <c r="O1160">
        <v>492.16</v>
      </c>
      <c r="P1160">
        <v>49.22</v>
      </c>
      <c r="Q1160">
        <v>49.22</v>
      </c>
      <c r="R1160" t="s">
        <v>30</v>
      </c>
      <c r="S1160">
        <v>29</v>
      </c>
      <c r="T1160">
        <v>1</v>
      </c>
      <c r="U1160">
        <v>5</v>
      </c>
      <c r="V1160">
        <v>442.94</v>
      </c>
      <c r="W1160">
        <v>13130001158</v>
      </c>
    </row>
    <row r="1161" spans="1:23" x14ac:dyDescent="0.2">
      <c r="A1161" s="1">
        <v>44794</v>
      </c>
      <c r="B1161" s="2">
        <v>0.50858796296296294</v>
      </c>
      <c r="C1161">
        <v>2159</v>
      </c>
      <c r="D1161">
        <v>13002561</v>
      </c>
      <c r="E1161">
        <v>13</v>
      </c>
      <c r="F1161">
        <v>22589</v>
      </c>
      <c r="G1161" t="s">
        <v>23</v>
      </c>
      <c r="H1161">
        <v>18</v>
      </c>
      <c r="I1161">
        <v>28554</v>
      </c>
      <c r="J1161" t="s">
        <v>94</v>
      </c>
      <c r="K1161" t="s">
        <v>28</v>
      </c>
      <c r="L1161" t="s">
        <v>26</v>
      </c>
      <c r="M1161">
        <v>2</v>
      </c>
      <c r="N1161">
        <v>415.6</v>
      </c>
      <c r="O1161">
        <v>536.39</v>
      </c>
      <c r="P1161">
        <v>26.82</v>
      </c>
      <c r="Q1161">
        <v>26.82</v>
      </c>
      <c r="R1161" t="s">
        <v>30</v>
      </c>
      <c r="S1161">
        <v>29</v>
      </c>
      <c r="T1161">
        <v>1</v>
      </c>
      <c r="U1161">
        <v>6</v>
      </c>
      <c r="V1161">
        <v>509.57</v>
      </c>
      <c r="W1161">
        <v>13130001159</v>
      </c>
    </row>
    <row r="1162" spans="1:23" x14ac:dyDescent="0.2">
      <c r="A1162" s="1">
        <v>44797</v>
      </c>
      <c r="B1162" s="2">
        <v>0.35143518518518518</v>
      </c>
      <c r="C1162">
        <v>2160</v>
      </c>
      <c r="D1162">
        <v>13002561</v>
      </c>
      <c r="E1162">
        <v>13</v>
      </c>
      <c r="F1162">
        <v>22589</v>
      </c>
      <c r="G1162" t="s">
        <v>23</v>
      </c>
      <c r="H1162">
        <v>15</v>
      </c>
      <c r="I1162">
        <v>89635</v>
      </c>
      <c r="J1162" t="s">
        <v>76</v>
      </c>
      <c r="K1162" t="s">
        <v>44</v>
      </c>
      <c r="L1162" t="s">
        <v>36</v>
      </c>
      <c r="M1162">
        <v>3</v>
      </c>
      <c r="N1162">
        <v>208.37</v>
      </c>
      <c r="O1162">
        <v>340.18</v>
      </c>
      <c r="P1162">
        <v>17.010000000000002</v>
      </c>
      <c r="Q1162">
        <v>17.010000000000002</v>
      </c>
      <c r="R1162" t="s">
        <v>30</v>
      </c>
      <c r="S1162">
        <v>29</v>
      </c>
      <c r="T1162">
        <v>1</v>
      </c>
      <c r="U1162">
        <v>5</v>
      </c>
      <c r="V1162">
        <v>323.17</v>
      </c>
      <c r="W1162">
        <v>13130001160</v>
      </c>
    </row>
    <row r="1163" spans="1:23" x14ac:dyDescent="0.2">
      <c r="A1163" s="1">
        <v>44784</v>
      </c>
      <c r="B1163" s="2">
        <v>0.58813657407407405</v>
      </c>
      <c r="C1163">
        <v>2161</v>
      </c>
      <c r="D1163">
        <v>13002561</v>
      </c>
      <c r="E1163">
        <v>13</v>
      </c>
      <c r="F1163">
        <v>22589</v>
      </c>
      <c r="G1163" t="s">
        <v>23</v>
      </c>
      <c r="H1163">
        <v>15</v>
      </c>
      <c r="I1163">
        <v>27711</v>
      </c>
      <c r="J1163" t="s">
        <v>46</v>
      </c>
      <c r="K1163" t="s">
        <v>44</v>
      </c>
      <c r="L1163" t="s">
        <v>36</v>
      </c>
      <c r="M1163">
        <v>2</v>
      </c>
      <c r="N1163">
        <v>139.19999999999999</v>
      </c>
      <c r="O1163">
        <v>191.57</v>
      </c>
      <c r="P1163">
        <v>9.58</v>
      </c>
      <c r="Q1163">
        <v>9.58</v>
      </c>
      <c r="R1163" t="s">
        <v>30</v>
      </c>
      <c r="S1163">
        <v>29</v>
      </c>
      <c r="T1163">
        <v>1</v>
      </c>
      <c r="U1163">
        <v>1</v>
      </c>
      <c r="V1163">
        <v>181.99</v>
      </c>
      <c r="W1163">
        <v>13130001161</v>
      </c>
    </row>
    <row r="1164" spans="1:23" x14ac:dyDescent="0.2">
      <c r="A1164" s="1">
        <v>44780</v>
      </c>
      <c r="B1164" s="2">
        <v>0.89940972222222226</v>
      </c>
      <c r="C1164">
        <v>2162</v>
      </c>
      <c r="D1164">
        <v>13002561</v>
      </c>
      <c r="E1164">
        <v>13</v>
      </c>
      <c r="F1164">
        <v>22589</v>
      </c>
      <c r="G1164" t="s">
        <v>23</v>
      </c>
      <c r="H1164">
        <v>18</v>
      </c>
      <c r="I1164">
        <v>87412</v>
      </c>
      <c r="J1164" t="s">
        <v>50</v>
      </c>
      <c r="K1164" t="s">
        <v>45</v>
      </c>
      <c r="L1164" t="s">
        <v>34</v>
      </c>
      <c r="M1164">
        <v>1</v>
      </c>
      <c r="N1164">
        <v>85.78</v>
      </c>
      <c r="O1164">
        <v>120.04</v>
      </c>
      <c r="P1164">
        <v>6</v>
      </c>
      <c r="Q1164">
        <v>6</v>
      </c>
      <c r="R1164" t="s">
        <v>30</v>
      </c>
      <c r="S1164">
        <v>29</v>
      </c>
      <c r="T1164">
        <v>1</v>
      </c>
      <c r="U1164">
        <v>1</v>
      </c>
      <c r="V1164">
        <v>114.04</v>
      </c>
      <c r="W1164">
        <v>13130001162</v>
      </c>
    </row>
    <row r="1165" spans="1:23" x14ac:dyDescent="0.2">
      <c r="A1165" s="1">
        <v>44775</v>
      </c>
      <c r="B1165" s="2">
        <v>0.60850694444444442</v>
      </c>
      <c r="C1165">
        <v>2163</v>
      </c>
      <c r="D1165">
        <v>13002561</v>
      </c>
      <c r="E1165">
        <v>13</v>
      </c>
      <c r="F1165">
        <v>22589</v>
      </c>
      <c r="G1165" t="s">
        <v>23</v>
      </c>
      <c r="H1165">
        <v>18</v>
      </c>
      <c r="I1165">
        <v>85239</v>
      </c>
      <c r="J1165" t="s">
        <v>111</v>
      </c>
      <c r="K1165" t="s">
        <v>28</v>
      </c>
      <c r="L1165" t="s">
        <v>29</v>
      </c>
      <c r="M1165">
        <v>1</v>
      </c>
      <c r="N1165">
        <v>53</v>
      </c>
      <c r="O1165">
        <v>70.81</v>
      </c>
      <c r="P1165">
        <v>7.08</v>
      </c>
      <c r="Q1165">
        <v>7.08</v>
      </c>
      <c r="R1165" t="s">
        <v>30</v>
      </c>
      <c r="S1165">
        <v>29</v>
      </c>
      <c r="T1165">
        <v>1</v>
      </c>
      <c r="U1165">
        <v>4</v>
      </c>
      <c r="V1165">
        <v>63.73</v>
      </c>
      <c r="W1165">
        <v>13130001163</v>
      </c>
    </row>
    <row r="1166" spans="1:23" x14ac:dyDescent="0.2">
      <c r="A1166" s="1">
        <v>44776</v>
      </c>
      <c r="B1166" s="2">
        <v>0.87520833333333337</v>
      </c>
      <c r="C1166">
        <v>2164</v>
      </c>
      <c r="D1166">
        <v>13002561</v>
      </c>
      <c r="E1166">
        <v>13</v>
      </c>
      <c r="F1166">
        <v>22589</v>
      </c>
      <c r="G1166" t="s">
        <v>23</v>
      </c>
      <c r="H1166">
        <v>15</v>
      </c>
      <c r="I1166">
        <v>27465</v>
      </c>
      <c r="J1166" t="s">
        <v>120</v>
      </c>
      <c r="K1166" t="s">
        <v>25</v>
      </c>
      <c r="L1166" t="s">
        <v>36</v>
      </c>
      <c r="M1166">
        <v>3</v>
      </c>
      <c r="N1166">
        <v>520.85</v>
      </c>
      <c r="O1166">
        <v>701.84</v>
      </c>
      <c r="P1166">
        <v>35.090000000000003</v>
      </c>
      <c r="Q1166">
        <v>35.090000000000003</v>
      </c>
      <c r="R1166" t="s">
        <v>30</v>
      </c>
      <c r="S1166">
        <v>29</v>
      </c>
      <c r="T1166">
        <v>1</v>
      </c>
      <c r="U1166">
        <v>2</v>
      </c>
      <c r="V1166">
        <v>666.75</v>
      </c>
      <c r="W1166">
        <v>13130001164</v>
      </c>
    </row>
    <row r="1167" spans="1:23" x14ac:dyDescent="0.2">
      <c r="A1167" s="1">
        <v>44797</v>
      </c>
      <c r="B1167" s="2">
        <v>0.73518518518518516</v>
      </c>
      <c r="C1167">
        <v>2165</v>
      </c>
      <c r="D1167">
        <v>13002561</v>
      </c>
      <c r="E1167">
        <v>13</v>
      </c>
      <c r="F1167">
        <v>22589</v>
      </c>
      <c r="G1167" t="s">
        <v>23</v>
      </c>
      <c r="H1167">
        <v>18</v>
      </c>
      <c r="I1167">
        <v>23550</v>
      </c>
      <c r="J1167" t="s">
        <v>121</v>
      </c>
      <c r="K1167" t="s">
        <v>44</v>
      </c>
      <c r="L1167" t="s">
        <v>51</v>
      </c>
      <c r="M1167">
        <v>3</v>
      </c>
      <c r="N1167">
        <v>127.32</v>
      </c>
      <c r="O1167">
        <v>182.25</v>
      </c>
      <c r="P1167">
        <v>18.23</v>
      </c>
      <c r="Q1167">
        <v>18.23</v>
      </c>
      <c r="R1167" t="s">
        <v>30</v>
      </c>
      <c r="S1167">
        <v>29</v>
      </c>
      <c r="T1167">
        <v>1</v>
      </c>
      <c r="U1167">
        <v>1</v>
      </c>
      <c r="V1167">
        <v>164.02</v>
      </c>
      <c r="W1167">
        <v>13130001165</v>
      </c>
    </row>
    <row r="1168" spans="1:23" x14ac:dyDescent="0.2">
      <c r="A1168" s="1">
        <v>44795</v>
      </c>
      <c r="B1168" s="2">
        <v>0.66886574074074079</v>
      </c>
      <c r="C1168">
        <v>2166</v>
      </c>
      <c r="D1168">
        <v>13002561</v>
      </c>
      <c r="E1168">
        <v>13</v>
      </c>
      <c r="F1168">
        <v>22589</v>
      </c>
      <c r="G1168" t="s">
        <v>23</v>
      </c>
      <c r="H1168">
        <v>15</v>
      </c>
      <c r="I1168">
        <v>74461</v>
      </c>
      <c r="J1168" t="s">
        <v>86</v>
      </c>
      <c r="K1168" t="s">
        <v>45</v>
      </c>
      <c r="L1168" t="s">
        <v>29</v>
      </c>
      <c r="M1168">
        <v>3</v>
      </c>
      <c r="N1168">
        <v>348.49</v>
      </c>
      <c r="O1168">
        <v>455.13</v>
      </c>
      <c r="P1168">
        <v>22.76</v>
      </c>
      <c r="Q1168">
        <v>22.76</v>
      </c>
      <c r="R1168" t="s">
        <v>30</v>
      </c>
      <c r="S1168">
        <v>29</v>
      </c>
      <c r="T1168">
        <v>1</v>
      </c>
      <c r="U1168">
        <v>4</v>
      </c>
      <c r="V1168">
        <v>432.37</v>
      </c>
      <c r="W1168">
        <v>13130001166</v>
      </c>
    </row>
    <row r="1169" spans="1:23" x14ac:dyDescent="0.2">
      <c r="A1169" s="1">
        <v>44788</v>
      </c>
      <c r="B1169" s="2">
        <v>0.43274305555555548</v>
      </c>
      <c r="C1169">
        <v>2167</v>
      </c>
      <c r="D1169">
        <v>13002561</v>
      </c>
      <c r="E1169">
        <v>13</v>
      </c>
      <c r="F1169">
        <v>22589</v>
      </c>
      <c r="G1169" t="s">
        <v>23</v>
      </c>
      <c r="H1169">
        <v>18</v>
      </c>
      <c r="I1169">
        <v>15851</v>
      </c>
      <c r="J1169" t="s">
        <v>58</v>
      </c>
      <c r="K1169" t="s">
        <v>44</v>
      </c>
      <c r="L1169" t="s">
        <v>39</v>
      </c>
      <c r="M1169">
        <v>2</v>
      </c>
      <c r="N1169">
        <v>237.24</v>
      </c>
      <c r="O1169">
        <v>398.94</v>
      </c>
      <c r="P1169">
        <v>19.95</v>
      </c>
      <c r="Q1169">
        <v>19.95</v>
      </c>
      <c r="R1169" t="s">
        <v>30</v>
      </c>
      <c r="S1169">
        <v>29</v>
      </c>
      <c r="T1169">
        <v>1</v>
      </c>
      <c r="U1169">
        <v>5</v>
      </c>
      <c r="V1169">
        <v>378.99</v>
      </c>
      <c r="W1169">
        <v>13130001167</v>
      </c>
    </row>
    <row r="1170" spans="1:23" x14ac:dyDescent="0.2">
      <c r="A1170" s="1">
        <v>44804</v>
      </c>
      <c r="B1170" s="2">
        <v>0.62326388888888884</v>
      </c>
      <c r="C1170">
        <v>2168</v>
      </c>
      <c r="D1170">
        <v>13002561</v>
      </c>
      <c r="E1170">
        <v>13</v>
      </c>
      <c r="F1170">
        <v>22589</v>
      </c>
      <c r="G1170" t="s">
        <v>23</v>
      </c>
      <c r="H1170">
        <v>15</v>
      </c>
      <c r="I1170">
        <v>30334</v>
      </c>
      <c r="J1170" t="s">
        <v>80</v>
      </c>
      <c r="K1170" t="s">
        <v>44</v>
      </c>
      <c r="L1170" t="s">
        <v>32</v>
      </c>
      <c r="M1170">
        <v>1</v>
      </c>
      <c r="N1170">
        <v>233.78</v>
      </c>
      <c r="O1170">
        <v>379.17</v>
      </c>
      <c r="P1170">
        <v>37.92</v>
      </c>
      <c r="Q1170">
        <v>37.92</v>
      </c>
      <c r="R1170" t="s">
        <v>30</v>
      </c>
      <c r="S1170">
        <v>29</v>
      </c>
      <c r="T1170">
        <v>1</v>
      </c>
      <c r="U1170">
        <v>5</v>
      </c>
      <c r="V1170">
        <v>341.25</v>
      </c>
      <c r="W1170">
        <v>13130001168</v>
      </c>
    </row>
    <row r="1171" spans="1:23" x14ac:dyDescent="0.2">
      <c r="A1171" s="1">
        <v>44780</v>
      </c>
      <c r="B1171" s="2">
        <v>0.39802083333333332</v>
      </c>
      <c r="C1171">
        <v>2169</v>
      </c>
      <c r="D1171">
        <v>13002561</v>
      </c>
      <c r="E1171">
        <v>13</v>
      </c>
      <c r="F1171">
        <v>22589</v>
      </c>
      <c r="G1171" t="s">
        <v>23</v>
      </c>
      <c r="H1171">
        <v>15</v>
      </c>
      <c r="I1171">
        <v>36528</v>
      </c>
      <c r="J1171" t="s">
        <v>54</v>
      </c>
      <c r="K1171" t="s">
        <v>44</v>
      </c>
      <c r="L1171" t="s">
        <v>26</v>
      </c>
      <c r="M1171">
        <v>1</v>
      </c>
      <c r="N1171">
        <v>412.34</v>
      </c>
      <c r="O1171">
        <v>614.77</v>
      </c>
      <c r="P1171">
        <v>30.74</v>
      </c>
      <c r="Q1171">
        <v>30.74</v>
      </c>
      <c r="R1171" t="s">
        <v>30</v>
      </c>
      <c r="S1171">
        <v>29</v>
      </c>
      <c r="T1171">
        <v>1</v>
      </c>
      <c r="U1171">
        <v>4</v>
      </c>
      <c r="V1171">
        <v>584.03</v>
      </c>
      <c r="W1171">
        <v>13130001169</v>
      </c>
    </row>
    <row r="1172" spans="1:23" x14ac:dyDescent="0.2">
      <c r="A1172" s="1">
        <v>44777</v>
      </c>
      <c r="B1172" s="2">
        <v>0.52760416666666665</v>
      </c>
      <c r="C1172">
        <v>2170</v>
      </c>
      <c r="D1172">
        <v>13002561</v>
      </c>
      <c r="E1172">
        <v>13</v>
      </c>
      <c r="F1172">
        <v>22589</v>
      </c>
      <c r="G1172" t="s">
        <v>23</v>
      </c>
      <c r="H1172">
        <v>18</v>
      </c>
      <c r="I1172">
        <v>98548</v>
      </c>
      <c r="J1172" t="s">
        <v>125</v>
      </c>
      <c r="K1172" t="s">
        <v>60</v>
      </c>
      <c r="L1172" t="s">
        <v>32</v>
      </c>
      <c r="M1172">
        <v>3</v>
      </c>
      <c r="N1172">
        <v>131.58000000000001</v>
      </c>
      <c r="O1172">
        <v>209.08</v>
      </c>
      <c r="P1172">
        <v>10.45</v>
      </c>
      <c r="Q1172">
        <v>10.45</v>
      </c>
      <c r="R1172" t="s">
        <v>30</v>
      </c>
      <c r="S1172">
        <v>29</v>
      </c>
      <c r="T1172">
        <v>1</v>
      </c>
      <c r="U1172">
        <v>4</v>
      </c>
      <c r="V1172">
        <v>198.63</v>
      </c>
      <c r="W1172">
        <v>13130001170</v>
      </c>
    </row>
    <row r="1173" spans="1:23" x14ac:dyDescent="0.2">
      <c r="A1173" s="1">
        <v>44799</v>
      </c>
      <c r="B1173" s="2">
        <v>0.92799768518518522</v>
      </c>
      <c r="C1173">
        <v>2171</v>
      </c>
      <c r="D1173">
        <v>13002561</v>
      </c>
      <c r="E1173">
        <v>13</v>
      </c>
      <c r="F1173">
        <v>22589</v>
      </c>
      <c r="G1173" t="s">
        <v>23</v>
      </c>
      <c r="H1173">
        <v>15</v>
      </c>
      <c r="I1173">
        <v>68867</v>
      </c>
      <c r="J1173" t="s">
        <v>31</v>
      </c>
      <c r="K1173" t="s">
        <v>44</v>
      </c>
      <c r="L1173" t="s">
        <v>39</v>
      </c>
      <c r="M1173">
        <v>1</v>
      </c>
      <c r="N1173">
        <v>569.27</v>
      </c>
      <c r="O1173">
        <v>724.17</v>
      </c>
      <c r="P1173">
        <v>36.21</v>
      </c>
      <c r="Q1173">
        <v>36.21</v>
      </c>
      <c r="R1173" t="s">
        <v>30</v>
      </c>
      <c r="S1173">
        <v>29</v>
      </c>
      <c r="T1173">
        <v>1</v>
      </c>
      <c r="U1173">
        <v>3</v>
      </c>
      <c r="V1173">
        <v>687.96</v>
      </c>
      <c r="W1173">
        <v>13130001171</v>
      </c>
    </row>
    <row r="1174" spans="1:23" x14ac:dyDescent="0.2">
      <c r="A1174" s="1">
        <v>44797</v>
      </c>
      <c r="B1174" s="2">
        <v>0.6724768518518518</v>
      </c>
      <c r="C1174">
        <v>2172</v>
      </c>
      <c r="D1174">
        <v>13002561</v>
      </c>
      <c r="E1174">
        <v>13</v>
      </c>
      <c r="F1174">
        <v>22589</v>
      </c>
      <c r="G1174" t="s">
        <v>23</v>
      </c>
      <c r="H1174">
        <v>15</v>
      </c>
      <c r="I1174">
        <v>26398</v>
      </c>
      <c r="J1174" t="s">
        <v>74</v>
      </c>
      <c r="K1174" t="s">
        <v>38</v>
      </c>
      <c r="L1174" t="s">
        <v>51</v>
      </c>
      <c r="M1174">
        <v>3</v>
      </c>
      <c r="N1174">
        <v>193.02</v>
      </c>
      <c r="O1174">
        <v>290.3</v>
      </c>
      <c r="P1174">
        <v>0</v>
      </c>
      <c r="Q1174">
        <v>0</v>
      </c>
      <c r="S1174">
        <v>29</v>
      </c>
      <c r="T1174">
        <v>1</v>
      </c>
      <c r="U1174">
        <v>2</v>
      </c>
      <c r="V1174">
        <v>290.3</v>
      </c>
      <c r="W1174">
        <v>13130001172</v>
      </c>
    </row>
    <row r="1175" spans="1:23" x14ac:dyDescent="0.2">
      <c r="A1175" s="1">
        <v>44775</v>
      </c>
      <c r="B1175" s="2">
        <v>0.94557870370370367</v>
      </c>
      <c r="C1175">
        <v>2173</v>
      </c>
      <c r="D1175">
        <v>13002561</v>
      </c>
      <c r="E1175">
        <v>13</v>
      </c>
      <c r="F1175">
        <v>22589</v>
      </c>
      <c r="G1175" t="s">
        <v>23</v>
      </c>
      <c r="H1175">
        <v>18</v>
      </c>
      <c r="I1175">
        <v>12564</v>
      </c>
      <c r="J1175" t="s">
        <v>41</v>
      </c>
      <c r="K1175" t="s">
        <v>60</v>
      </c>
      <c r="L1175" t="s">
        <v>51</v>
      </c>
      <c r="M1175">
        <v>2</v>
      </c>
      <c r="N1175">
        <v>266.66000000000003</v>
      </c>
      <c r="O1175">
        <v>399.5</v>
      </c>
      <c r="P1175">
        <v>19.98</v>
      </c>
      <c r="Q1175">
        <v>19.98</v>
      </c>
      <c r="R1175" t="s">
        <v>30</v>
      </c>
      <c r="S1175">
        <v>29</v>
      </c>
      <c r="T1175">
        <v>1</v>
      </c>
      <c r="U1175">
        <v>5</v>
      </c>
      <c r="V1175">
        <v>379.52</v>
      </c>
      <c r="W1175">
        <v>13130001173</v>
      </c>
    </row>
    <row r="1176" spans="1:23" x14ac:dyDescent="0.2">
      <c r="A1176" s="1">
        <v>44779</v>
      </c>
      <c r="B1176" s="2">
        <v>0.78726851851851853</v>
      </c>
      <c r="C1176">
        <v>2174</v>
      </c>
      <c r="D1176">
        <v>13002561</v>
      </c>
      <c r="E1176">
        <v>13</v>
      </c>
      <c r="F1176">
        <v>22589</v>
      </c>
      <c r="G1176" t="s">
        <v>23</v>
      </c>
      <c r="H1176">
        <v>15</v>
      </c>
      <c r="I1176">
        <v>90206</v>
      </c>
      <c r="J1176" t="s">
        <v>108</v>
      </c>
      <c r="K1176" t="s">
        <v>28</v>
      </c>
      <c r="L1176" t="s">
        <v>29</v>
      </c>
      <c r="M1176">
        <v>3</v>
      </c>
      <c r="N1176">
        <v>386.91</v>
      </c>
      <c r="O1176">
        <v>591.54999999999995</v>
      </c>
      <c r="P1176">
        <v>59.16</v>
      </c>
      <c r="Q1176">
        <v>59.16</v>
      </c>
      <c r="R1176" t="s">
        <v>30</v>
      </c>
      <c r="S1176">
        <v>29</v>
      </c>
      <c r="T1176">
        <v>1</v>
      </c>
      <c r="U1176">
        <v>5</v>
      </c>
      <c r="V1176">
        <v>532.39</v>
      </c>
      <c r="W1176">
        <v>13130001174</v>
      </c>
    </row>
    <row r="1177" spans="1:23" x14ac:dyDescent="0.2">
      <c r="A1177" s="1">
        <v>44788</v>
      </c>
      <c r="B1177" s="2">
        <v>0.62951388888888893</v>
      </c>
      <c r="C1177">
        <v>2175</v>
      </c>
      <c r="D1177">
        <v>13002561</v>
      </c>
      <c r="E1177">
        <v>13</v>
      </c>
      <c r="F1177">
        <v>22589</v>
      </c>
      <c r="G1177" t="s">
        <v>23</v>
      </c>
      <c r="H1177">
        <v>15</v>
      </c>
      <c r="I1177">
        <v>81456</v>
      </c>
      <c r="J1177" t="s">
        <v>41</v>
      </c>
      <c r="K1177" t="s">
        <v>45</v>
      </c>
      <c r="L1177" t="s">
        <v>36</v>
      </c>
      <c r="M1177">
        <v>3</v>
      </c>
      <c r="N1177">
        <v>366</v>
      </c>
      <c r="O1177">
        <v>510.85</v>
      </c>
      <c r="P1177">
        <v>0</v>
      </c>
      <c r="Q1177">
        <v>0</v>
      </c>
      <c r="S1177">
        <v>29</v>
      </c>
      <c r="T1177">
        <v>1</v>
      </c>
      <c r="U1177">
        <v>4</v>
      </c>
      <c r="V1177">
        <v>510.85</v>
      </c>
      <c r="W1177">
        <v>13130001175</v>
      </c>
    </row>
    <row r="1178" spans="1:23" x14ac:dyDescent="0.2">
      <c r="A1178" s="1">
        <v>44792</v>
      </c>
      <c r="B1178" s="2">
        <v>0.59232638888888889</v>
      </c>
      <c r="C1178">
        <v>2176</v>
      </c>
      <c r="D1178">
        <v>13002561</v>
      </c>
      <c r="E1178">
        <v>13</v>
      </c>
      <c r="F1178">
        <v>22589</v>
      </c>
      <c r="G1178" t="s">
        <v>23</v>
      </c>
      <c r="H1178">
        <v>15</v>
      </c>
      <c r="I1178">
        <v>67530</v>
      </c>
      <c r="J1178" t="s">
        <v>99</v>
      </c>
      <c r="K1178" t="s">
        <v>44</v>
      </c>
      <c r="L1178" t="s">
        <v>32</v>
      </c>
      <c r="M1178">
        <v>1</v>
      </c>
      <c r="N1178">
        <v>338.89</v>
      </c>
      <c r="O1178">
        <v>546.54999999999995</v>
      </c>
      <c r="P1178">
        <v>54.66</v>
      </c>
      <c r="Q1178">
        <v>54.66</v>
      </c>
      <c r="R1178" t="s">
        <v>30</v>
      </c>
      <c r="S1178">
        <v>29</v>
      </c>
      <c r="T1178">
        <v>1</v>
      </c>
      <c r="U1178">
        <v>4</v>
      </c>
      <c r="V1178">
        <v>491.89</v>
      </c>
      <c r="W1178">
        <v>13130001176</v>
      </c>
    </row>
    <row r="1179" spans="1:23" x14ac:dyDescent="0.2">
      <c r="A1179" s="1">
        <v>44790</v>
      </c>
      <c r="B1179" s="2">
        <v>0.9544907407407407</v>
      </c>
      <c r="C1179">
        <v>2177</v>
      </c>
      <c r="D1179">
        <v>13002561</v>
      </c>
      <c r="E1179">
        <v>13</v>
      </c>
      <c r="F1179">
        <v>22589</v>
      </c>
      <c r="G1179" t="s">
        <v>23</v>
      </c>
      <c r="H1179">
        <v>15</v>
      </c>
      <c r="I1179">
        <v>56133</v>
      </c>
      <c r="J1179" t="s">
        <v>55</v>
      </c>
      <c r="K1179" t="s">
        <v>38</v>
      </c>
      <c r="L1179" t="s">
        <v>34</v>
      </c>
      <c r="M1179">
        <v>1</v>
      </c>
      <c r="N1179">
        <v>363.12</v>
      </c>
      <c r="O1179">
        <v>518.63</v>
      </c>
      <c r="P1179">
        <v>0</v>
      </c>
      <c r="Q1179">
        <v>0</v>
      </c>
      <c r="S1179">
        <v>29</v>
      </c>
      <c r="T1179">
        <v>1</v>
      </c>
      <c r="U1179">
        <v>2</v>
      </c>
      <c r="V1179">
        <v>518.63</v>
      </c>
      <c r="W1179">
        <v>13130001177</v>
      </c>
    </row>
    <row r="1180" spans="1:23" x14ac:dyDescent="0.2">
      <c r="A1180" s="1">
        <v>44791</v>
      </c>
      <c r="B1180" s="2">
        <v>0.83119212962962963</v>
      </c>
      <c r="C1180">
        <v>2178</v>
      </c>
      <c r="D1180">
        <v>13002561</v>
      </c>
      <c r="E1180">
        <v>13</v>
      </c>
      <c r="F1180">
        <v>22589</v>
      </c>
      <c r="G1180" t="s">
        <v>23</v>
      </c>
      <c r="H1180">
        <v>15</v>
      </c>
      <c r="I1180">
        <v>18385</v>
      </c>
      <c r="J1180" t="s">
        <v>53</v>
      </c>
      <c r="K1180" t="s">
        <v>44</v>
      </c>
      <c r="L1180" t="s">
        <v>36</v>
      </c>
      <c r="M1180">
        <v>2</v>
      </c>
      <c r="N1180">
        <v>312.68</v>
      </c>
      <c r="O1180">
        <v>459.61</v>
      </c>
      <c r="P1180">
        <v>0</v>
      </c>
      <c r="Q1180">
        <v>0</v>
      </c>
      <c r="S1180">
        <v>29</v>
      </c>
      <c r="T1180">
        <v>1</v>
      </c>
      <c r="U1180">
        <v>2</v>
      </c>
      <c r="V1180">
        <v>459.61</v>
      </c>
      <c r="W1180">
        <v>13130001178</v>
      </c>
    </row>
    <row r="1181" spans="1:23" x14ac:dyDescent="0.2">
      <c r="A1181" s="1">
        <v>44777</v>
      </c>
      <c r="B1181" s="2">
        <v>0.7016782407407407</v>
      </c>
      <c r="C1181">
        <v>2179</v>
      </c>
      <c r="D1181">
        <v>13002561</v>
      </c>
      <c r="E1181">
        <v>13</v>
      </c>
      <c r="F1181">
        <v>22589</v>
      </c>
      <c r="G1181" t="s">
        <v>23</v>
      </c>
      <c r="H1181">
        <v>15</v>
      </c>
      <c r="I1181">
        <v>50603</v>
      </c>
      <c r="J1181" t="s">
        <v>31</v>
      </c>
      <c r="K1181" t="s">
        <v>45</v>
      </c>
      <c r="L1181" t="s">
        <v>26</v>
      </c>
      <c r="M1181">
        <v>2</v>
      </c>
      <c r="N1181">
        <v>341.69</v>
      </c>
      <c r="O1181">
        <v>562.21</v>
      </c>
      <c r="P1181">
        <v>28.11</v>
      </c>
      <c r="Q1181">
        <v>28.11</v>
      </c>
      <c r="R1181" t="s">
        <v>30</v>
      </c>
      <c r="S1181">
        <v>29</v>
      </c>
      <c r="T1181">
        <v>1</v>
      </c>
      <c r="U1181">
        <v>6</v>
      </c>
      <c r="V1181">
        <v>534.1</v>
      </c>
      <c r="W1181">
        <v>13130001179</v>
      </c>
    </row>
    <row r="1182" spans="1:23" x14ac:dyDescent="0.2">
      <c r="A1182" s="1">
        <v>44791</v>
      </c>
      <c r="B1182" s="2">
        <v>0.55792824074074077</v>
      </c>
      <c r="C1182">
        <v>2180</v>
      </c>
      <c r="D1182">
        <v>13002561</v>
      </c>
      <c r="E1182">
        <v>13</v>
      </c>
      <c r="F1182">
        <v>22589</v>
      </c>
      <c r="G1182" t="s">
        <v>23</v>
      </c>
      <c r="H1182">
        <v>15</v>
      </c>
      <c r="I1182">
        <v>13286</v>
      </c>
      <c r="J1182" t="s">
        <v>65</v>
      </c>
      <c r="K1182" t="s">
        <v>60</v>
      </c>
      <c r="L1182" t="s">
        <v>26</v>
      </c>
      <c r="M1182">
        <v>3</v>
      </c>
      <c r="N1182">
        <v>310.83999999999997</v>
      </c>
      <c r="O1182">
        <v>500.7</v>
      </c>
      <c r="P1182">
        <v>25.04</v>
      </c>
      <c r="Q1182">
        <v>25.04</v>
      </c>
      <c r="R1182" t="s">
        <v>30</v>
      </c>
      <c r="S1182">
        <v>29</v>
      </c>
      <c r="T1182">
        <v>1</v>
      </c>
      <c r="U1182">
        <v>6</v>
      </c>
      <c r="V1182">
        <v>475.66</v>
      </c>
      <c r="W1182">
        <v>13130001180</v>
      </c>
    </row>
    <row r="1183" spans="1:23" x14ac:dyDescent="0.2">
      <c r="A1183" s="1">
        <v>44780</v>
      </c>
      <c r="B1183" s="2">
        <v>0.89361111111111113</v>
      </c>
      <c r="C1183">
        <v>2181</v>
      </c>
      <c r="D1183">
        <v>13002561</v>
      </c>
      <c r="E1183">
        <v>13</v>
      </c>
      <c r="F1183">
        <v>22589</v>
      </c>
      <c r="G1183" t="s">
        <v>23</v>
      </c>
      <c r="H1183">
        <v>18</v>
      </c>
      <c r="I1183">
        <v>99044</v>
      </c>
      <c r="J1183" t="s">
        <v>92</v>
      </c>
      <c r="K1183" t="s">
        <v>25</v>
      </c>
      <c r="L1183" t="s">
        <v>51</v>
      </c>
      <c r="M1183">
        <v>3</v>
      </c>
      <c r="N1183">
        <v>540.49</v>
      </c>
      <c r="O1183">
        <v>770.37</v>
      </c>
      <c r="P1183">
        <v>77.040000000000006</v>
      </c>
      <c r="Q1183">
        <v>77.040000000000006</v>
      </c>
      <c r="R1183" t="s">
        <v>30</v>
      </c>
      <c r="S1183">
        <v>29</v>
      </c>
      <c r="T1183">
        <v>1</v>
      </c>
      <c r="U1183">
        <v>2</v>
      </c>
      <c r="V1183">
        <v>693.33</v>
      </c>
      <c r="W1183">
        <v>13130001181</v>
      </c>
    </row>
    <row r="1184" spans="1:23" x14ac:dyDescent="0.2">
      <c r="A1184" s="1">
        <v>44799</v>
      </c>
      <c r="B1184" s="2">
        <v>0.74375000000000002</v>
      </c>
      <c r="C1184">
        <v>2182</v>
      </c>
      <c r="D1184">
        <v>13002561</v>
      </c>
      <c r="E1184">
        <v>13</v>
      </c>
      <c r="F1184">
        <v>22589</v>
      </c>
      <c r="G1184" t="s">
        <v>23</v>
      </c>
      <c r="H1184">
        <v>18</v>
      </c>
      <c r="I1184">
        <v>37484</v>
      </c>
      <c r="J1184" t="s">
        <v>71</v>
      </c>
      <c r="K1184" t="s">
        <v>25</v>
      </c>
      <c r="L1184" t="s">
        <v>39</v>
      </c>
      <c r="M1184">
        <v>1</v>
      </c>
      <c r="N1184">
        <v>546.98</v>
      </c>
      <c r="O1184">
        <v>890.75</v>
      </c>
      <c r="P1184">
        <v>44.54</v>
      </c>
      <c r="Q1184">
        <v>44.54</v>
      </c>
      <c r="R1184" t="s">
        <v>30</v>
      </c>
      <c r="S1184">
        <v>29</v>
      </c>
      <c r="T1184">
        <v>1</v>
      </c>
      <c r="U1184">
        <v>1</v>
      </c>
      <c r="V1184">
        <v>846.21</v>
      </c>
      <c r="W1184">
        <v>13130001182</v>
      </c>
    </row>
    <row r="1185" spans="1:23" x14ac:dyDescent="0.2">
      <c r="A1185" s="1">
        <v>44795</v>
      </c>
      <c r="B1185" s="2">
        <v>0.4402314814814815</v>
      </c>
      <c r="C1185">
        <v>2183</v>
      </c>
      <c r="D1185">
        <v>13002561</v>
      </c>
      <c r="E1185">
        <v>13</v>
      </c>
      <c r="F1185">
        <v>22589</v>
      </c>
      <c r="G1185" t="s">
        <v>23</v>
      </c>
      <c r="H1185">
        <v>18</v>
      </c>
      <c r="I1185">
        <v>37566</v>
      </c>
      <c r="J1185" t="s">
        <v>92</v>
      </c>
      <c r="K1185" t="s">
        <v>25</v>
      </c>
      <c r="L1185" t="s">
        <v>39</v>
      </c>
      <c r="M1185">
        <v>1</v>
      </c>
      <c r="N1185">
        <v>511.25</v>
      </c>
      <c r="O1185">
        <v>700.62</v>
      </c>
      <c r="P1185">
        <v>0</v>
      </c>
      <c r="Q1185">
        <v>0</v>
      </c>
      <c r="S1185">
        <v>29</v>
      </c>
      <c r="T1185">
        <v>1</v>
      </c>
      <c r="U1185">
        <v>6</v>
      </c>
      <c r="V1185">
        <v>700.62</v>
      </c>
      <c r="W1185">
        <v>13130001183</v>
      </c>
    </row>
    <row r="1186" spans="1:23" x14ac:dyDescent="0.2">
      <c r="A1186" s="1">
        <v>44782</v>
      </c>
      <c r="B1186" s="2">
        <v>0.60597222222222225</v>
      </c>
      <c r="C1186">
        <v>2184</v>
      </c>
      <c r="D1186">
        <v>13002561</v>
      </c>
      <c r="E1186">
        <v>13</v>
      </c>
      <c r="F1186">
        <v>22589</v>
      </c>
      <c r="G1186" t="s">
        <v>23</v>
      </c>
      <c r="H1186">
        <v>15</v>
      </c>
      <c r="I1186">
        <v>35575</v>
      </c>
      <c r="J1186" t="s">
        <v>72</v>
      </c>
      <c r="K1186" t="s">
        <v>25</v>
      </c>
      <c r="L1186" t="s">
        <v>36</v>
      </c>
      <c r="M1186">
        <v>2</v>
      </c>
      <c r="N1186">
        <v>321.27999999999997</v>
      </c>
      <c r="O1186">
        <v>444.8</v>
      </c>
      <c r="P1186">
        <v>22.24</v>
      </c>
      <c r="Q1186">
        <v>22.24</v>
      </c>
      <c r="R1186" t="s">
        <v>30</v>
      </c>
      <c r="S1186">
        <v>29</v>
      </c>
      <c r="T1186">
        <v>1</v>
      </c>
      <c r="U1186">
        <v>1</v>
      </c>
      <c r="V1186">
        <v>422.56</v>
      </c>
      <c r="W1186">
        <v>13130001184</v>
      </c>
    </row>
    <row r="1187" spans="1:23" x14ac:dyDescent="0.2">
      <c r="A1187" s="1">
        <v>44783</v>
      </c>
      <c r="B1187" s="2">
        <v>0.79228009259259258</v>
      </c>
      <c r="C1187">
        <v>2185</v>
      </c>
      <c r="D1187">
        <v>13002561</v>
      </c>
      <c r="E1187">
        <v>13</v>
      </c>
      <c r="F1187">
        <v>22589</v>
      </c>
      <c r="G1187" t="s">
        <v>23</v>
      </c>
      <c r="H1187">
        <v>18</v>
      </c>
      <c r="I1187">
        <v>92253</v>
      </c>
      <c r="J1187" t="s">
        <v>101</v>
      </c>
      <c r="K1187" t="s">
        <v>28</v>
      </c>
      <c r="L1187" t="s">
        <v>39</v>
      </c>
      <c r="M1187">
        <v>3</v>
      </c>
      <c r="N1187">
        <v>494.16</v>
      </c>
      <c r="O1187">
        <v>822.9</v>
      </c>
      <c r="P1187">
        <v>82.29</v>
      </c>
      <c r="Q1187">
        <v>82.29</v>
      </c>
      <c r="R1187" t="s">
        <v>30</v>
      </c>
      <c r="S1187">
        <v>29</v>
      </c>
      <c r="T1187">
        <v>1</v>
      </c>
      <c r="U1187">
        <v>1</v>
      </c>
      <c r="V1187">
        <v>740.61</v>
      </c>
      <c r="W1187">
        <v>13130001185</v>
      </c>
    </row>
    <row r="1188" spans="1:23" x14ac:dyDescent="0.2">
      <c r="A1188" s="1">
        <v>44804</v>
      </c>
      <c r="B1188" s="2">
        <v>0.38229166666666659</v>
      </c>
      <c r="C1188">
        <v>2186</v>
      </c>
      <c r="D1188">
        <v>13002561</v>
      </c>
      <c r="E1188">
        <v>13</v>
      </c>
      <c r="F1188">
        <v>22589</v>
      </c>
      <c r="G1188" t="s">
        <v>23</v>
      </c>
      <c r="H1188">
        <v>15</v>
      </c>
      <c r="I1188">
        <v>31919</v>
      </c>
      <c r="J1188" t="s">
        <v>95</v>
      </c>
      <c r="K1188" t="s">
        <v>45</v>
      </c>
      <c r="L1188" t="s">
        <v>29</v>
      </c>
      <c r="M1188">
        <v>3</v>
      </c>
      <c r="N1188">
        <v>99.89</v>
      </c>
      <c r="O1188">
        <v>163</v>
      </c>
      <c r="P1188">
        <v>8.15</v>
      </c>
      <c r="Q1188">
        <v>8.15</v>
      </c>
      <c r="R1188" t="s">
        <v>30</v>
      </c>
      <c r="S1188">
        <v>29</v>
      </c>
      <c r="T1188">
        <v>1</v>
      </c>
      <c r="U1188">
        <v>4</v>
      </c>
      <c r="V1188">
        <v>154.85</v>
      </c>
      <c r="W1188">
        <v>13130001186</v>
      </c>
    </row>
    <row r="1189" spans="1:23" x14ac:dyDescent="0.2">
      <c r="A1189" s="1">
        <v>44790</v>
      </c>
      <c r="B1189" s="2">
        <v>0.95319444444444446</v>
      </c>
      <c r="C1189">
        <v>2187</v>
      </c>
      <c r="D1189">
        <v>13002561</v>
      </c>
      <c r="E1189">
        <v>13</v>
      </c>
      <c r="F1189">
        <v>22589</v>
      </c>
      <c r="G1189" t="s">
        <v>23</v>
      </c>
      <c r="H1189">
        <v>18</v>
      </c>
      <c r="I1189">
        <v>19010</v>
      </c>
      <c r="J1189" t="s">
        <v>71</v>
      </c>
      <c r="K1189" t="s">
        <v>45</v>
      </c>
      <c r="L1189" t="s">
        <v>34</v>
      </c>
      <c r="M1189">
        <v>2</v>
      </c>
      <c r="N1189">
        <v>402.23</v>
      </c>
      <c r="O1189">
        <v>516.69000000000005</v>
      </c>
      <c r="P1189">
        <v>25.83</v>
      </c>
      <c r="Q1189">
        <v>25.83</v>
      </c>
      <c r="R1189" t="s">
        <v>30</v>
      </c>
      <c r="S1189">
        <v>29</v>
      </c>
      <c r="T1189">
        <v>1</v>
      </c>
      <c r="U1189">
        <v>4</v>
      </c>
      <c r="V1189">
        <v>490.86</v>
      </c>
      <c r="W1189">
        <v>13130001187</v>
      </c>
    </row>
    <row r="1190" spans="1:23" x14ac:dyDescent="0.2">
      <c r="A1190" s="1">
        <v>44780</v>
      </c>
      <c r="B1190" s="2">
        <v>0.82151620370370371</v>
      </c>
      <c r="C1190">
        <v>2188</v>
      </c>
      <c r="D1190">
        <v>13002561</v>
      </c>
      <c r="E1190">
        <v>13</v>
      </c>
      <c r="F1190">
        <v>22589</v>
      </c>
      <c r="G1190" t="s">
        <v>23</v>
      </c>
      <c r="H1190">
        <v>18</v>
      </c>
      <c r="I1190">
        <v>10902</v>
      </c>
      <c r="J1190" t="s">
        <v>40</v>
      </c>
      <c r="K1190" t="s">
        <v>60</v>
      </c>
      <c r="L1190" t="s">
        <v>26</v>
      </c>
      <c r="M1190">
        <v>2</v>
      </c>
      <c r="N1190">
        <v>53.53</v>
      </c>
      <c r="O1190">
        <v>88.48</v>
      </c>
      <c r="P1190">
        <v>8.85</v>
      </c>
      <c r="Q1190">
        <v>8.85</v>
      </c>
      <c r="R1190" t="s">
        <v>30</v>
      </c>
      <c r="S1190">
        <v>29</v>
      </c>
      <c r="T1190">
        <v>1</v>
      </c>
      <c r="U1190">
        <v>2</v>
      </c>
      <c r="V1190">
        <v>79.63</v>
      </c>
      <c r="W1190">
        <v>13130001188</v>
      </c>
    </row>
    <row r="1191" spans="1:23" x14ac:dyDescent="0.2">
      <c r="A1191" s="1">
        <v>44790</v>
      </c>
      <c r="B1191" s="2">
        <v>0.9538888888888889</v>
      </c>
      <c r="C1191">
        <v>2189</v>
      </c>
      <c r="D1191">
        <v>13002561</v>
      </c>
      <c r="E1191">
        <v>13</v>
      </c>
      <c r="F1191">
        <v>22589</v>
      </c>
      <c r="G1191" t="s">
        <v>23</v>
      </c>
      <c r="H1191">
        <v>18</v>
      </c>
      <c r="I1191">
        <v>33773</v>
      </c>
      <c r="J1191" t="s">
        <v>65</v>
      </c>
      <c r="K1191" t="s">
        <v>25</v>
      </c>
      <c r="L1191" t="s">
        <v>29</v>
      </c>
      <c r="M1191">
        <v>3</v>
      </c>
      <c r="N1191">
        <v>585.88</v>
      </c>
      <c r="O1191">
        <v>991.98</v>
      </c>
      <c r="P1191">
        <v>0</v>
      </c>
      <c r="Q1191">
        <v>0</v>
      </c>
      <c r="S1191">
        <v>29</v>
      </c>
      <c r="T1191">
        <v>1</v>
      </c>
      <c r="U1191">
        <v>5</v>
      </c>
      <c r="V1191">
        <v>991.98</v>
      </c>
      <c r="W1191">
        <v>13130001189</v>
      </c>
    </row>
    <row r="1192" spans="1:23" x14ac:dyDescent="0.2">
      <c r="A1192" s="1">
        <v>44801</v>
      </c>
      <c r="B1192" s="2">
        <v>0.8743981481481482</v>
      </c>
      <c r="C1192">
        <v>2190</v>
      </c>
      <c r="D1192">
        <v>13002561</v>
      </c>
      <c r="E1192">
        <v>13</v>
      </c>
      <c r="F1192">
        <v>22589</v>
      </c>
      <c r="G1192" t="s">
        <v>23</v>
      </c>
      <c r="H1192">
        <v>15</v>
      </c>
      <c r="I1192">
        <v>69843</v>
      </c>
      <c r="J1192" t="s">
        <v>66</v>
      </c>
      <c r="K1192" t="s">
        <v>45</v>
      </c>
      <c r="L1192" t="s">
        <v>36</v>
      </c>
      <c r="M1192">
        <v>3</v>
      </c>
      <c r="N1192">
        <v>130.56</v>
      </c>
      <c r="O1192">
        <v>185.41</v>
      </c>
      <c r="P1192">
        <v>0</v>
      </c>
      <c r="Q1192">
        <v>0</v>
      </c>
      <c r="S1192">
        <v>29</v>
      </c>
      <c r="T1192">
        <v>1</v>
      </c>
      <c r="U1192">
        <v>1</v>
      </c>
      <c r="V1192">
        <v>185.41</v>
      </c>
      <c r="W1192">
        <v>13130001190</v>
      </c>
    </row>
    <row r="1193" spans="1:23" x14ac:dyDescent="0.2">
      <c r="A1193" s="1">
        <v>44796</v>
      </c>
      <c r="B1193" s="2">
        <v>0.39458333333333329</v>
      </c>
      <c r="C1193">
        <v>2191</v>
      </c>
      <c r="D1193">
        <v>13002561</v>
      </c>
      <c r="E1193">
        <v>13</v>
      </c>
      <c r="F1193">
        <v>22589</v>
      </c>
      <c r="G1193" t="s">
        <v>23</v>
      </c>
      <c r="H1193">
        <v>15</v>
      </c>
      <c r="I1193">
        <v>91094</v>
      </c>
      <c r="J1193" t="s">
        <v>98</v>
      </c>
      <c r="K1193" t="s">
        <v>44</v>
      </c>
      <c r="L1193" t="s">
        <v>34</v>
      </c>
      <c r="M1193">
        <v>1</v>
      </c>
      <c r="N1193">
        <v>16.12</v>
      </c>
      <c r="O1193">
        <v>23.79</v>
      </c>
      <c r="P1193">
        <v>2.38</v>
      </c>
      <c r="Q1193">
        <v>2.38</v>
      </c>
      <c r="R1193" t="s">
        <v>30</v>
      </c>
      <c r="S1193">
        <v>29</v>
      </c>
      <c r="T1193">
        <v>1</v>
      </c>
      <c r="U1193">
        <v>5</v>
      </c>
      <c r="V1193">
        <v>21.41</v>
      </c>
      <c r="W1193">
        <v>13130001191</v>
      </c>
    </row>
    <row r="1194" spans="1:23" x14ac:dyDescent="0.2">
      <c r="A1194" s="1">
        <v>44791</v>
      </c>
      <c r="B1194" s="2">
        <v>0.38314814814814813</v>
      </c>
      <c r="C1194">
        <v>2192</v>
      </c>
      <c r="D1194">
        <v>13002561</v>
      </c>
      <c r="E1194">
        <v>13</v>
      </c>
      <c r="F1194">
        <v>22589</v>
      </c>
      <c r="G1194" t="s">
        <v>23</v>
      </c>
      <c r="H1194">
        <v>15</v>
      </c>
      <c r="I1194">
        <v>93657</v>
      </c>
      <c r="J1194" t="s">
        <v>54</v>
      </c>
      <c r="K1194" t="s">
        <v>38</v>
      </c>
      <c r="L1194" t="s">
        <v>26</v>
      </c>
      <c r="M1194">
        <v>2</v>
      </c>
      <c r="N1194">
        <v>455.34</v>
      </c>
      <c r="O1194">
        <v>698.99</v>
      </c>
      <c r="P1194">
        <v>34.950000000000003</v>
      </c>
      <c r="Q1194">
        <v>34.950000000000003</v>
      </c>
      <c r="R1194" t="s">
        <v>30</v>
      </c>
      <c r="S1194">
        <v>29</v>
      </c>
      <c r="T1194">
        <v>1</v>
      </c>
      <c r="U1194">
        <v>6</v>
      </c>
      <c r="V1194">
        <v>664.04</v>
      </c>
      <c r="W1194">
        <v>13130001192</v>
      </c>
    </row>
    <row r="1195" spans="1:23" x14ac:dyDescent="0.2">
      <c r="A1195" s="1">
        <v>44781</v>
      </c>
      <c r="B1195" s="2">
        <v>0.34875</v>
      </c>
      <c r="C1195">
        <v>2193</v>
      </c>
      <c r="D1195">
        <v>13002561</v>
      </c>
      <c r="E1195">
        <v>13</v>
      </c>
      <c r="F1195">
        <v>22589</v>
      </c>
      <c r="G1195" t="s">
        <v>23</v>
      </c>
      <c r="H1195">
        <v>18</v>
      </c>
      <c r="I1195">
        <v>66134</v>
      </c>
      <c r="J1195" t="s">
        <v>124</v>
      </c>
      <c r="K1195" t="s">
        <v>60</v>
      </c>
      <c r="L1195" t="s">
        <v>32</v>
      </c>
      <c r="M1195">
        <v>1</v>
      </c>
      <c r="N1195">
        <v>262.08999999999997</v>
      </c>
      <c r="O1195">
        <v>440.28</v>
      </c>
      <c r="P1195">
        <v>44.03</v>
      </c>
      <c r="Q1195">
        <v>44.03</v>
      </c>
      <c r="R1195" t="s">
        <v>30</v>
      </c>
      <c r="S1195">
        <v>29</v>
      </c>
      <c r="T1195">
        <v>1</v>
      </c>
      <c r="U1195">
        <v>2</v>
      </c>
      <c r="V1195">
        <v>396.25</v>
      </c>
      <c r="W1195">
        <v>13130001193</v>
      </c>
    </row>
    <row r="1196" spans="1:23" x14ac:dyDescent="0.2">
      <c r="A1196" s="1">
        <v>44794</v>
      </c>
      <c r="B1196" s="2">
        <v>0.36335648148148147</v>
      </c>
      <c r="C1196">
        <v>2194</v>
      </c>
      <c r="D1196">
        <v>13002561</v>
      </c>
      <c r="E1196">
        <v>13</v>
      </c>
      <c r="F1196">
        <v>22589</v>
      </c>
      <c r="G1196" t="s">
        <v>23</v>
      </c>
      <c r="H1196">
        <v>15</v>
      </c>
      <c r="I1196">
        <v>79972</v>
      </c>
      <c r="J1196" t="s">
        <v>63</v>
      </c>
      <c r="K1196" t="s">
        <v>28</v>
      </c>
      <c r="L1196" t="s">
        <v>32</v>
      </c>
      <c r="M1196">
        <v>3</v>
      </c>
      <c r="N1196">
        <v>152.30000000000001</v>
      </c>
      <c r="O1196">
        <v>247.36</v>
      </c>
      <c r="P1196">
        <v>24.74</v>
      </c>
      <c r="Q1196">
        <v>24.74</v>
      </c>
      <c r="R1196" t="s">
        <v>30</v>
      </c>
      <c r="S1196">
        <v>29</v>
      </c>
      <c r="T1196">
        <v>1</v>
      </c>
      <c r="U1196">
        <v>5</v>
      </c>
      <c r="V1196">
        <v>222.62</v>
      </c>
      <c r="W1196">
        <v>13130001194</v>
      </c>
    </row>
    <row r="1197" spans="1:23" x14ac:dyDescent="0.2">
      <c r="A1197" s="1">
        <v>44776</v>
      </c>
      <c r="B1197" s="2">
        <v>0.82039351851851849</v>
      </c>
      <c r="C1197">
        <v>2195</v>
      </c>
      <c r="D1197">
        <v>13002561</v>
      </c>
      <c r="E1197">
        <v>13</v>
      </c>
      <c r="F1197">
        <v>22589</v>
      </c>
      <c r="G1197" t="s">
        <v>23</v>
      </c>
      <c r="H1197">
        <v>15</v>
      </c>
      <c r="I1197">
        <v>44994</v>
      </c>
      <c r="J1197" t="s">
        <v>64</v>
      </c>
      <c r="K1197" t="s">
        <v>38</v>
      </c>
      <c r="L1197" t="s">
        <v>29</v>
      </c>
      <c r="M1197">
        <v>3</v>
      </c>
      <c r="N1197">
        <v>470.42</v>
      </c>
      <c r="O1197">
        <v>588.4</v>
      </c>
      <c r="P1197">
        <v>29.42</v>
      </c>
      <c r="Q1197">
        <v>29.42</v>
      </c>
      <c r="R1197" t="s">
        <v>30</v>
      </c>
      <c r="S1197">
        <v>29</v>
      </c>
      <c r="T1197">
        <v>1</v>
      </c>
      <c r="U1197">
        <v>5</v>
      </c>
      <c r="V1197">
        <v>558.98</v>
      </c>
      <c r="W1197">
        <v>13130001195</v>
      </c>
    </row>
    <row r="1198" spans="1:23" x14ac:dyDescent="0.2">
      <c r="A1198" s="1">
        <v>44781</v>
      </c>
      <c r="B1198" s="2">
        <v>0.51600694444444439</v>
      </c>
      <c r="C1198">
        <v>2196</v>
      </c>
      <c r="D1198">
        <v>13002561</v>
      </c>
      <c r="E1198">
        <v>13</v>
      </c>
      <c r="F1198">
        <v>22589</v>
      </c>
      <c r="G1198" t="s">
        <v>23</v>
      </c>
      <c r="H1198">
        <v>15</v>
      </c>
      <c r="I1198">
        <v>24175</v>
      </c>
      <c r="J1198" t="s">
        <v>57</v>
      </c>
      <c r="K1198" t="s">
        <v>60</v>
      </c>
      <c r="L1198" t="s">
        <v>47</v>
      </c>
      <c r="M1198">
        <v>2</v>
      </c>
      <c r="N1198">
        <v>42.22</v>
      </c>
      <c r="O1198">
        <v>55.4</v>
      </c>
      <c r="P1198">
        <v>5.54</v>
      </c>
      <c r="Q1198">
        <v>5.54</v>
      </c>
      <c r="R1198" t="s">
        <v>30</v>
      </c>
      <c r="S1198">
        <v>29</v>
      </c>
      <c r="T1198">
        <v>1</v>
      </c>
      <c r="U1198">
        <v>5</v>
      </c>
      <c r="V1198">
        <v>49.86</v>
      </c>
      <c r="W1198">
        <v>13130001196</v>
      </c>
    </row>
    <row r="1199" spans="1:23" x14ac:dyDescent="0.2">
      <c r="A1199" s="1">
        <v>44797</v>
      </c>
      <c r="B1199" s="2">
        <v>0.69694444444444448</v>
      </c>
      <c r="C1199">
        <v>2197</v>
      </c>
      <c r="D1199">
        <v>13002561</v>
      </c>
      <c r="E1199">
        <v>13</v>
      </c>
      <c r="F1199">
        <v>22589</v>
      </c>
      <c r="G1199" t="s">
        <v>23</v>
      </c>
      <c r="H1199">
        <v>15</v>
      </c>
      <c r="I1199">
        <v>73297</v>
      </c>
      <c r="J1199" t="s">
        <v>52</v>
      </c>
      <c r="K1199" t="s">
        <v>25</v>
      </c>
      <c r="L1199" t="s">
        <v>51</v>
      </c>
      <c r="M1199">
        <v>2</v>
      </c>
      <c r="N1199">
        <v>464.53</v>
      </c>
      <c r="O1199">
        <v>788.73</v>
      </c>
      <c r="P1199">
        <v>39.44</v>
      </c>
      <c r="Q1199">
        <v>39.44</v>
      </c>
      <c r="R1199" t="s">
        <v>30</v>
      </c>
      <c r="S1199">
        <v>29</v>
      </c>
      <c r="T1199">
        <v>1</v>
      </c>
      <c r="U1199">
        <v>5</v>
      </c>
      <c r="V1199">
        <v>749.29</v>
      </c>
      <c r="W1199">
        <v>13130001197</v>
      </c>
    </row>
    <row r="1200" spans="1:23" x14ac:dyDescent="0.2">
      <c r="A1200" s="1">
        <v>44791</v>
      </c>
      <c r="B1200" s="2">
        <v>0.6912962962962963</v>
      </c>
      <c r="C1200">
        <v>2198</v>
      </c>
      <c r="D1200">
        <v>13002561</v>
      </c>
      <c r="E1200">
        <v>13</v>
      </c>
      <c r="F1200">
        <v>22589</v>
      </c>
      <c r="G1200" t="s">
        <v>23</v>
      </c>
      <c r="H1200">
        <v>18</v>
      </c>
      <c r="I1200">
        <v>17939</v>
      </c>
      <c r="J1200" t="s">
        <v>83</v>
      </c>
      <c r="K1200" t="s">
        <v>25</v>
      </c>
      <c r="L1200" t="s">
        <v>26</v>
      </c>
      <c r="M1200">
        <v>1</v>
      </c>
      <c r="N1200">
        <v>188.91</v>
      </c>
      <c r="O1200">
        <v>265.95999999999998</v>
      </c>
      <c r="P1200">
        <v>0</v>
      </c>
      <c r="Q1200">
        <v>0</v>
      </c>
      <c r="S1200">
        <v>29</v>
      </c>
      <c r="T1200">
        <v>1</v>
      </c>
      <c r="U1200">
        <v>4</v>
      </c>
      <c r="V1200">
        <v>265.95999999999998</v>
      </c>
      <c r="W1200">
        <v>13130001198</v>
      </c>
    </row>
    <row r="1201" spans="1:23" x14ac:dyDescent="0.2">
      <c r="A1201" s="1">
        <v>44784</v>
      </c>
      <c r="B1201" s="2">
        <v>0.60651620370370374</v>
      </c>
      <c r="C1201">
        <v>2199</v>
      </c>
      <c r="D1201">
        <v>13002561</v>
      </c>
      <c r="E1201">
        <v>13</v>
      </c>
      <c r="F1201">
        <v>22589</v>
      </c>
      <c r="G1201" t="s">
        <v>23</v>
      </c>
      <c r="H1201">
        <v>15</v>
      </c>
      <c r="I1201">
        <v>53068</v>
      </c>
      <c r="J1201" t="s">
        <v>70</v>
      </c>
      <c r="K1201" t="s">
        <v>28</v>
      </c>
      <c r="L1201" t="s">
        <v>36</v>
      </c>
      <c r="M1201">
        <v>1</v>
      </c>
      <c r="N1201">
        <v>56.99</v>
      </c>
      <c r="O1201">
        <v>85.51</v>
      </c>
      <c r="P1201">
        <v>8.5500000000000007</v>
      </c>
      <c r="Q1201">
        <v>8.5500000000000007</v>
      </c>
      <c r="R1201" t="s">
        <v>30</v>
      </c>
      <c r="S1201">
        <v>29</v>
      </c>
      <c r="T1201">
        <v>1</v>
      </c>
      <c r="U1201">
        <v>1</v>
      </c>
      <c r="V1201">
        <v>76.959999999999994</v>
      </c>
      <c r="W1201">
        <v>13130001199</v>
      </c>
    </row>
    <row r="1202" spans="1:23" x14ac:dyDescent="0.2">
      <c r="A1202" s="1">
        <v>44802</v>
      </c>
      <c r="B1202" s="2">
        <v>0.36278935185185179</v>
      </c>
      <c r="C1202">
        <v>2200</v>
      </c>
      <c r="D1202">
        <v>13002561</v>
      </c>
      <c r="E1202">
        <v>13</v>
      </c>
      <c r="F1202">
        <v>22589</v>
      </c>
      <c r="G1202" t="s">
        <v>23</v>
      </c>
      <c r="H1202">
        <v>15</v>
      </c>
      <c r="I1202">
        <v>30820</v>
      </c>
      <c r="J1202" t="s">
        <v>50</v>
      </c>
      <c r="K1202" t="s">
        <v>28</v>
      </c>
      <c r="L1202" t="s">
        <v>34</v>
      </c>
      <c r="M1202">
        <v>1</v>
      </c>
      <c r="N1202">
        <v>6.19</v>
      </c>
      <c r="O1202">
        <v>8.92</v>
      </c>
      <c r="P1202">
        <v>0.89</v>
      </c>
      <c r="Q1202">
        <v>0.89</v>
      </c>
      <c r="R1202" t="s">
        <v>30</v>
      </c>
      <c r="S1202">
        <v>29</v>
      </c>
      <c r="T1202">
        <v>1</v>
      </c>
      <c r="U1202">
        <v>4</v>
      </c>
      <c r="V1202">
        <v>8.0299999999999994</v>
      </c>
      <c r="W1202">
        <v>13130001200</v>
      </c>
    </row>
    <row r="1203" spans="1:23" x14ac:dyDescent="0.2">
      <c r="A1203" s="1">
        <v>44800</v>
      </c>
      <c r="B1203" s="2">
        <v>0.88738425925925923</v>
      </c>
      <c r="C1203">
        <v>2201</v>
      </c>
      <c r="D1203">
        <v>13002561</v>
      </c>
      <c r="E1203">
        <v>13</v>
      </c>
      <c r="F1203">
        <v>22589</v>
      </c>
      <c r="G1203" t="s">
        <v>23</v>
      </c>
      <c r="H1203">
        <v>15</v>
      </c>
      <c r="I1203">
        <v>41392</v>
      </c>
      <c r="J1203" t="s">
        <v>72</v>
      </c>
      <c r="K1203" t="s">
        <v>38</v>
      </c>
      <c r="L1203" t="s">
        <v>26</v>
      </c>
      <c r="M1203">
        <v>3</v>
      </c>
      <c r="N1203">
        <v>254.63</v>
      </c>
      <c r="O1203">
        <v>427.11</v>
      </c>
      <c r="P1203">
        <v>21.36</v>
      </c>
      <c r="Q1203">
        <v>21.36</v>
      </c>
      <c r="R1203" t="s">
        <v>30</v>
      </c>
      <c r="S1203">
        <v>29</v>
      </c>
      <c r="T1203">
        <v>1</v>
      </c>
      <c r="U1203">
        <v>4</v>
      </c>
      <c r="V1203">
        <v>405.75</v>
      </c>
      <c r="W1203">
        <v>13130001201</v>
      </c>
    </row>
    <row r="1204" spans="1:23" x14ac:dyDescent="0.2">
      <c r="A1204" s="1">
        <v>44781</v>
      </c>
      <c r="B1204" s="2">
        <v>0.56729166666666664</v>
      </c>
      <c r="C1204">
        <v>2202</v>
      </c>
      <c r="D1204">
        <v>13002561</v>
      </c>
      <c r="E1204">
        <v>13</v>
      </c>
      <c r="F1204">
        <v>22589</v>
      </c>
      <c r="G1204" t="s">
        <v>23</v>
      </c>
      <c r="H1204">
        <v>18</v>
      </c>
      <c r="I1204">
        <v>66416</v>
      </c>
      <c r="J1204" t="s">
        <v>64</v>
      </c>
      <c r="K1204" t="s">
        <v>45</v>
      </c>
      <c r="L1204" t="s">
        <v>34</v>
      </c>
      <c r="M1204">
        <v>1</v>
      </c>
      <c r="N1204">
        <v>170.86</v>
      </c>
      <c r="O1204">
        <v>244.01</v>
      </c>
      <c r="P1204">
        <v>24.4</v>
      </c>
      <c r="Q1204">
        <v>24.4</v>
      </c>
      <c r="R1204" t="s">
        <v>30</v>
      </c>
      <c r="S1204">
        <v>29</v>
      </c>
      <c r="T1204">
        <v>1</v>
      </c>
      <c r="U1204">
        <v>4</v>
      </c>
      <c r="V1204">
        <v>219.61</v>
      </c>
      <c r="W1204">
        <v>13130001202</v>
      </c>
    </row>
    <row r="1205" spans="1:23" x14ac:dyDescent="0.2">
      <c r="A1205" s="1">
        <v>44790</v>
      </c>
      <c r="B1205" s="2">
        <v>0.34349537037037042</v>
      </c>
      <c r="C1205">
        <v>2203</v>
      </c>
      <c r="D1205">
        <v>13002561</v>
      </c>
      <c r="E1205">
        <v>13</v>
      </c>
      <c r="F1205">
        <v>22589</v>
      </c>
      <c r="G1205" t="s">
        <v>23</v>
      </c>
      <c r="H1205">
        <v>15</v>
      </c>
      <c r="I1205">
        <v>90499</v>
      </c>
      <c r="J1205" t="s">
        <v>67</v>
      </c>
      <c r="K1205" t="s">
        <v>44</v>
      </c>
      <c r="L1205" t="s">
        <v>51</v>
      </c>
      <c r="M1205">
        <v>3</v>
      </c>
      <c r="N1205">
        <v>187.1</v>
      </c>
      <c r="O1205">
        <v>294.85000000000002</v>
      </c>
      <c r="P1205">
        <v>14.74</v>
      </c>
      <c r="Q1205">
        <v>14.74</v>
      </c>
      <c r="R1205" t="s">
        <v>30</v>
      </c>
      <c r="S1205">
        <v>29</v>
      </c>
      <c r="T1205">
        <v>1</v>
      </c>
      <c r="U1205">
        <v>4</v>
      </c>
      <c r="V1205">
        <v>280.11</v>
      </c>
      <c r="W1205">
        <v>13130001203</v>
      </c>
    </row>
    <row r="1206" spans="1:23" x14ac:dyDescent="0.2">
      <c r="A1206" s="1">
        <v>44794</v>
      </c>
      <c r="B1206" s="2">
        <v>0.91422453703703699</v>
      </c>
      <c r="C1206">
        <v>2204</v>
      </c>
      <c r="D1206">
        <v>13002561</v>
      </c>
      <c r="E1206">
        <v>13</v>
      </c>
      <c r="F1206">
        <v>22589</v>
      </c>
      <c r="G1206" t="s">
        <v>23</v>
      </c>
      <c r="H1206">
        <v>18</v>
      </c>
      <c r="I1206">
        <v>96804</v>
      </c>
      <c r="J1206" t="s">
        <v>99</v>
      </c>
      <c r="K1206" t="s">
        <v>28</v>
      </c>
      <c r="L1206" t="s">
        <v>51</v>
      </c>
      <c r="M1206">
        <v>2</v>
      </c>
      <c r="N1206">
        <v>463.02</v>
      </c>
      <c r="O1206">
        <v>667.38</v>
      </c>
      <c r="P1206">
        <v>66.739999999999995</v>
      </c>
      <c r="Q1206">
        <v>66.739999999999995</v>
      </c>
      <c r="R1206" t="s">
        <v>30</v>
      </c>
      <c r="S1206">
        <v>29</v>
      </c>
      <c r="T1206">
        <v>1</v>
      </c>
      <c r="U1206">
        <v>2</v>
      </c>
      <c r="V1206">
        <v>600.64</v>
      </c>
      <c r="W1206">
        <v>13130001204</v>
      </c>
    </row>
    <row r="1207" spans="1:23" x14ac:dyDescent="0.2">
      <c r="A1207" s="1">
        <v>44794</v>
      </c>
      <c r="B1207" s="2">
        <v>0.81885416666666666</v>
      </c>
      <c r="C1207">
        <v>2205</v>
      </c>
      <c r="D1207">
        <v>13002561</v>
      </c>
      <c r="E1207">
        <v>13</v>
      </c>
      <c r="F1207">
        <v>22589</v>
      </c>
      <c r="G1207" t="s">
        <v>23</v>
      </c>
      <c r="H1207">
        <v>15</v>
      </c>
      <c r="I1207">
        <v>16577</v>
      </c>
      <c r="J1207" t="s">
        <v>90</v>
      </c>
      <c r="K1207" t="s">
        <v>44</v>
      </c>
      <c r="L1207" t="s">
        <v>32</v>
      </c>
      <c r="M1207">
        <v>2</v>
      </c>
      <c r="N1207">
        <v>347.02</v>
      </c>
      <c r="O1207">
        <v>459.61</v>
      </c>
      <c r="P1207">
        <v>45.96</v>
      </c>
      <c r="Q1207">
        <v>45.96</v>
      </c>
      <c r="R1207" t="s">
        <v>30</v>
      </c>
      <c r="S1207">
        <v>29</v>
      </c>
      <c r="T1207">
        <v>1</v>
      </c>
      <c r="U1207">
        <v>6</v>
      </c>
      <c r="V1207">
        <v>413.65</v>
      </c>
      <c r="W1207">
        <v>13130001205</v>
      </c>
    </row>
    <row r="1208" spans="1:23" x14ac:dyDescent="0.2">
      <c r="A1208" s="1">
        <v>44803</v>
      </c>
      <c r="B1208" s="2">
        <v>0.95276620370370368</v>
      </c>
      <c r="C1208">
        <v>2206</v>
      </c>
      <c r="D1208">
        <v>13002561</v>
      </c>
      <c r="E1208">
        <v>13</v>
      </c>
      <c r="F1208">
        <v>22589</v>
      </c>
      <c r="G1208" t="s">
        <v>23</v>
      </c>
      <c r="H1208">
        <v>18</v>
      </c>
      <c r="I1208">
        <v>73756</v>
      </c>
      <c r="J1208" t="s">
        <v>91</v>
      </c>
      <c r="K1208" t="s">
        <v>28</v>
      </c>
      <c r="L1208" t="s">
        <v>29</v>
      </c>
      <c r="M1208">
        <v>3</v>
      </c>
      <c r="N1208">
        <v>328.45</v>
      </c>
      <c r="O1208">
        <v>556.42999999999995</v>
      </c>
      <c r="P1208">
        <v>55.64</v>
      </c>
      <c r="Q1208">
        <v>55.64</v>
      </c>
      <c r="R1208" t="s">
        <v>30</v>
      </c>
      <c r="S1208">
        <v>29</v>
      </c>
      <c r="T1208">
        <v>1</v>
      </c>
      <c r="U1208">
        <v>6</v>
      </c>
      <c r="V1208">
        <v>500.79</v>
      </c>
      <c r="W1208">
        <v>13130001206</v>
      </c>
    </row>
    <row r="1209" spans="1:23" x14ac:dyDescent="0.2">
      <c r="A1209" s="1">
        <v>44803</v>
      </c>
      <c r="B1209" s="2">
        <v>0.72498842592592594</v>
      </c>
      <c r="C1209">
        <v>2207</v>
      </c>
      <c r="D1209">
        <v>13002561</v>
      </c>
      <c r="E1209">
        <v>13</v>
      </c>
      <c r="F1209">
        <v>22589</v>
      </c>
      <c r="G1209" t="s">
        <v>23</v>
      </c>
      <c r="H1209">
        <v>15</v>
      </c>
      <c r="I1209">
        <v>31374</v>
      </c>
      <c r="J1209" t="s">
        <v>76</v>
      </c>
      <c r="K1209" t="s">
        <v>60</v>
      </c>
      <c r="L1209" t="s">
        <v>26</v>
      </c>
      <c r="M1209">
        <v>2</v>
      </c>
      <c r="N1209">
        <v>73.92</v>
      </c>
      <c r="O1209">
        <v>94.22</v>
      </c>
      <c r="P1209">
        <v>0</v>
      </c>
      <c r="Q1209">
        <v>0</v>
      </c>
      <c r="S1209">
        <v>29</v>
      </c>
      <c r="T1209">
        <v>1</v>
      </c>
      <c r="U1209">
        <v>5</v>
      </c>
      <c r="V1209">
        <v>94.22</v>
      </c>
      <c r="W1209">
        <v>13130001207</v>
      </c>
    </row>
    <row r="1210" spans="1:23" x14ac:dyDescent="0.2">
      <c r="A1210" s="1">
        <v>44775</v>
      </c>
      <c r="B1210" s="2">
        <v>0.42868055555555562</v>
      </c>
      <c r="C1210">
        <v>2208</v>
      </c>
      <c r="D1210">
        <v>13002561</v>
      </c>
      <c r="E1210">
        <v>13</v>
      </c>
      <c r="F1210">
        <v>22589</v>
      </c>
      <c r="G1210" t="s">
        <v>23</v>
      </c>
      <c r="H1210">
        <v>18</v>
      </c>
      <c r="I1210">
        <v>38525</v>
      </c>
      <c r="J1210" t="s">
        <v>114</v>
      </c>
      <c r="K1210" t="s">
        <v>38</v>
      </c>
      <c r="L1210" t="s">
        <v>51</v>
      </c>
      <c r="M1210">
        <v>3</v>
      </c>
      <c r="N1210">
        <v>278.86</v>
      </c>
      <c r="O1210">
        <v>473.68</v>
      </c>
      <c r="P1210">
        <v>0</v>
      </c>
      <c r="Q1210">
        <v>0</v>
      </c>
      <c r="S1210">
        <v>29</v>
      </c>
      <c r="T1210">
        <v>1</v>
      </c>
      <c r="U1210">
        <v>2</v>
      </c>
      <c r="V1210">
        <v>473.68</v>
      </c>
      <c r="W1210">
        <v>13130001208</v>
      </c>
    </row>
    <row r="1211" spans="1:23" x14ac:dyDescent="0.2">
      <c r="A1211" s="1">
        <v>44793</v>
      </c>
      <c r="B1211" s="2">
        <v>0.40540509259259261</v>
      </c>
      <c r="C1211">
        <v>2209</v>
      </c>
      <c r="D1211">
        <v>13002561</v>
      </c>
      <c r="E1211">
        <v>13</v>
      </c>
      <c r="F1211">
        <v>22589</v>
      </c>
      <c r="G1211" t="s">
        <v>23</v>
      </c>
      <c r="H1211">
        <v>15</v>
      </c>
      <c r="I1211">
        <v>78141</v>
      </c>
      <c r="J1211" t="s">
        <v>55</v>
      </c>
      <c r="K1211" t="s">
        <v>28</v>
      </c>
      <c r="L1211" t="s">
        <v>34</v>
      </c>
      <c r="M1211">
        <v>2</v>
      </c>
      <c r="N1211">
        <v>578.64</v>
      </c>
      <c r="O1211">
        <v>744.64</v>
      </c>
      <c r="P1211">
        <v>0</v>
      </c>
      <c r="Q1211">
        <v>0</v>
      </c>
      <c r="S1211">
        <v>29</v>
      </c>
      <c r="T1211">
        <v>1</v>
      </c>
      <c r="U1211">
        <v>2</v>
      </c>
      <c r="V1211">
        <v>744.64</v>
      </c>
      <c r="W1211">
        <v>13130001209</v>
      </c>
    </row>
    <row r="1212" spans="1:23" x14ac:dyDescent="0.2">
      <c r="A1212" s="1">
        <v>44786</v>
      </c>
      <c r="B1212" s="2">
        <v>0.78489583333333335</v>
      </c>
      <c r="C1212">
        <v>2210</v>
      </c>
      <c r="D1212">
        <v>13002561</v>
      </c>
      <c r="E1212">
        <v>13</v>
      </c>
      <c r="F1212">
        <v>22589</v>
      </c>
      <c r="G1212" t="s">
        <v>23</v>
      </c>
      <c r="H1212">
        <v>18</v>
      </c>
      <c r="I1212">
        <v>71332</v>
      </c>
      <c r="J1212" t="s">
        <v>74</v>
      </c>
      <c r="K1212" t="s">
        <v>45</v>
      </c>
      <c r="L1212" t="s">
        <v>34</v>
      </c>
      <c r="M1212">
        <v>3</v>
      </c>
      <c r="N1212">
        <v>414.3</v>
      </c>
      <c r="O1212">
        <v>553</v>
      </c>
      <c r="P1212">
        <v>0</v>
      </c>
      <c r="Q1212">
        <v>0</v>
      </c>
      <c r="S1212">
        <v>29</v>
      </c>
      <c r="T1212">
        <v>1</v>
      </c>
      <c r="U1212">
        <v>1</v>
      </c>
      <c r="V1212">
        <v>553</v>
      </c>
      <c r="W1212">
        <v>13130001210</v>
      </c>
    </row>
    <row r="1213" spans="1:23" x14ac:dyDescent="0.2">
      <c r="A1213" s="1">
        <v>44777</v>
      </c>
      <c r="B1213" s="2">
        <v>0.70271990740740742</v>
      </c>
      <c r="C1213">
        <v>2211</v>
      </c>
      <c r="D1213">
        <v>13002561</v>
      </c>
      <c r="E1213">
        <v>13</v>
      </c>
      <c r="F1213">
        <v>22589</v>
      </c>
      <c r="G1213" t="s">
        <v>23</v>
      </c>
      <c r="H1213">
        <v>18</v>
      </c>
      <c r="I1213">
        <v>58442</v>
      </c>
      <c r="J1213" t="s">
        <v>125</v>
      </c>
      <c r="K1213" t="s">
        <v>25</v>
      </c>
      <c r="L1213" t="s">
        <v>26</v>
      </c>
      <c r="M1213">
        <v>1</v>
      </c>
      <c r="N1213">
        <v>503.82</v>
      </c>
      <c r="O1213">
        <v>754.79</v>
      </c>
      <c r="P1213">
        <v>75.48</v>
      </c>
      <c r="Q1213">
        <v>75.48</v>
      </c>
      <c r="R1213" t="s">
        <v>30</v>
      </c>
      <c r="S1213">
        <v>29</v>
      </c>
      <c r="T1213">
        <v>1</v>
      </c>
      <c r="U1213">
        <v>2</v>
      </c>
      <c r="V1213">
        <v>679.31</v>
      </c>
      <c r="W1213">
        <v>13130001211</v>
      </c>
    </row>
    <row r="1214" spans="1:23" x14ac:dyDescent="0.2">
      <c r="A1214" s="1">
        <v>44781</v>
      </c>
      <c r="B1214" s="2">
        <v>0.64049768518518524</v>
      </c>
      <c r="C1214">
        <v>2212</v>
      </c>
      <c r="D1214">
        <v>13002561</v>
      </c>
      <c r="E1214">
        <v>13</v>
      </c>
      <c r="F1214">
        <v>22589</v>
      </c>
      <c r="G1214" t="s">
        <v>23</v>
      </c>
      <c r="H1214">
        <v>18</v>
      </c>
      <c r="I1214">
        <v>58698</v>
      </c>
      <c r="J1214" t="s">
        <v>86</v>
      </c>
      <c r="K1214" t="s">
        <v>38</v>
      </c>
      <c r="L1214" t="s">
        <v>39</v>
      </c>
      <c r="M1214">
        <v>1</v>
      </c>
      <c r="N1214">
        <v>258.95999999999998</v>
      </c>
      <c r="O1214">
        <v>327.62</v>
      </c>
      <c r="P1214">
        <v>0</v>
      </c>
      <c r="Q1214">
        <v>0</v>
      </c>
      <c r="S1214">
        <v>29</v>
      </c>
      <c r="T1214">
        <v>1</v>
      </c>
      <c r="U1214">
        <v>5</v>
      </c>
      <c r="V1214">
        <v>327.62</v>
      </c>
      <c r="W1214">
        <v>13130001212</v>
      </c>
    </row>
    <row r="1215" spans="1:23" x14ac:dyDescent="0.2">
      <c r="A1215" s="1">
        <v>44785</v>
      </c>
      <c r="B1215" s="2">
        <v>0.38447916666666659</v>
      </c>
      <c r="C1215">
        <v>2213</v>
      </c>
      <c r="D1215">
        <v>13002561</v>
      </c>
      <c r="E1215">
        <v>13</v>
      </c>
      <c r="F1215">
        <v>22589</v>
      </c>
      <c r="G1215" t="s">
        <v>23</v>
      </c>
      <c r="H1215">
        <v>15</v>
      </c>
      <c r="I1215">
        <v>45740</v>
      </c>
      <c r="J1215" t="s">
        <v>102</v>
      </c>
      <c r="K1215" t="s">
        <v>38</v>
      </c>
      <c r="L1215" t="s">
        <v>47</v>
      </c>
      <c r="M1215">
        <v>1</v>
      </c>
      <c r="N1215">
        <v>150.38</v>
      </c>
      <c r="O1215">
        <v>212.26</v>
      </c>
      <c r="P1215">
        <v>0</v>
      </c>
      <c r="Q1215">
        <v>0</v>
      </c>
      <c r="S1215">
        <v>29</v>
      </c>
      <c r="T1215">
        <v>1</v>
      </c>
      <c r="U1215">
        <v>5</v>
      </c>
      <c r="V1215">
        <v>212.26</v>
      </c>
      <c r="W1215">
        <v>13130001213</v>
      </c>
    </row>
    <row r="1216" spans="1:23" x14ac:dyDescent="0.2">
      <c r="A1216" s="1">
        <v>44797</v>
      </c>
      <c r="B1216" s="2">
        <v>0.79226851851851854</v>
      </c>
      <c r="C1216">
        <v>2214</v>
      </c>
      <c r="D1216">
        <v>13002561</v>
      </c>
      <c r="E1216">
        <v>13</v>
      </c>
      <c r="F1216">
        <v>22589</v>
      </c>
      <c r="G1216" t="s">
        <v>23</v>
      </c>
      <c r="H1216">
        <v>18</v>
      </c>
      <c r="I1216">
        <v>41794</v>
      </c>
      <c r="J1216" t="s">
        <v>69</v>
      </c>
      <c r="K1216" t="s">
        <v>28</v>
      </c>
      <c r="L1216" t="s">
        <v>39</v>
      </c>
      <c r="M1216">
        <v>3</v>
      </c>
      <c r="N1216">
        <v>407.82</v>
      </c>
      <c r="O1216">
        <v>633.86</v>
      </c>
      <c r="P1216">
        <v>31.69</v>
      </c>
      <c r="Q1216">
        <v>31.69</v>
      </c>
      <c r="R1216" t="s">
        <v>30</v>
      </c>
      <c r="S1216">
        <v>29</v>
      </c>
      <c r="T1216">
        <v>1</v>
      </c>
      <c r="U1216">
        <v>3</v>
      </c>
      <c r="V1216">
        <v>602.16999999999996</v>
      </c>
      <c r="W1216">
        <v>13130001214</v>
      </c>
    </row>
    <row r="1217" spans="1:23" x14ac:dyDescent="0.2">
      <c r="A1217" s="1">
        <v>44791</v>
      </c>
      <c r="B1217" s="2">
        <v>0.88915509259259262</v>
      </c>
      <c r="C1217">
        <v>2215</v>
      </c>
      <c r="D1217">
        <v>13002561</v>
      </c>
      <c r="E1217">
        <v>13</v>
      </c>
      <c r="F1217">
        <v>22589</v>
      </c>
      <c r="G1217" t="s">
        <v>23</v>
      </c>
      <c r="H1217">
        <v>15</v>
      </c>
      <c r="I1217">
        <v>94680</v>
      </c>
      <c r="J1217" t="s">
        <v>49</v>
      </c>
      <c r="K1217" t="s">
        <v>38</v>
      </c>
      <c r="L1217" t="s">
        <v>32</v>
      </c>
      <c r="M1217">
        <v>3</v>
      </c>
      <c r="N1217">
        <v>61.36</v>
      </c>
      <c r="O1217">
        <v>104.11</v>
      </c>
      <c r="P1217">
        <v>5.21</v>
      </c>
      <c r="Q1217">
        <v>5.21</v>
      </c>
      <c r="R1217" t="s">
        <v>30</v>
      </c>
      <c r="S1217">
        <v>29</v>
      </c>
      <c r="T1217">
        <v>1</v>
      </c>
      <c r="U1217">
        <v>2</v>
      </c>
      <c r="V1217">
        <v>98.9</v>
      </c>
      <c r="W1217">
        <v>13130001215</v>
      </c>
    </row>
    <row r="1218" spans="1:23" x14ac:dyDescent="0.2">
      <c r="A1218" s="1">
        <v>44789</v>
      </c>
      <c r="B1218" s="2">
        <v>0.48751157407407408</v>
      </c>
      <c r="C1218">
        <v>2216</v>
      </c>
      <c r="D1218">
        <v>13002561</v>
      </c>
      <c r="E1218">
        <v>13</v>
      </c>
      <c r="F1218">
        <v>22589</v>
      </c>
      <c r="G1218" t="s">
        <v>23</v>
      </c>
      <c r="H1218">
        <v>15</v>
      </c>
      <c r="I1218">
        <v>22569</v>
      </c>
      <c r="J1218" t="s">
        <v>27</v>
      </c>
      <c r="K1218" t="s">
        <v>38</v>
      </c>
      <c r="L1218" t="s">
        <v>26</v>
      </c>
      <c r="M1218">
        <v>1</v>
      </c>
      <c r="N1218">
        <v>67.599999999999994</v>
      </c>
      <c r="O1218">
        <v>91.81</v>
      </c>
      <c r="P1218">
        <v>0</v>
      </c>
      <c r="Q1218">
        <v>0</v>
      </c>
      <c r="S1218">
        <v>29</v>
      </c>
      <c r="T1218">
        <v>1</v>
      </c>
      <c r="U1218">
        <v>1</v>
      </c>
      <c r="V1218">
        <v>91.81</v>
      </c>
      <c r="W1218">
        <v>13130001216</v>
      </c>
    </row>
    <row r="1219" spans="1:23" x14ac:dyDescent="0.2">
      <c r="A1219" s="1">
        <v>44798</v>
      </c>
      <c r="B1219" s="2">
        <v>0.65462962962962967</v>
      </c>
      <c r="C1219">
        <v>2217</v>
      </c>
      <c r="D1219">
        <v>13002561</v>
      </c>
      <c r="E1219">
        <v>13</v>
      </c>
      <c r="F1219">
        <v>22589</v>
      </c>
      <c r="G1219" t="s">
        <v>23</v>
      </c>
      <c r="H1219">
        <v>18</v>
      </c>
      <c r="I1219">
        <v>69476</v>
      </c>
      <c r="J1219" t="s">
        <v>73</v>
      </c>
      <c r="K1219" t="s">
        <v>25</v>
      </c>
      <c r="L1219" t="s">
        <v>47</v>
      </c>
      <c r="M1219">
        <v>2</v>
      </c>
      <c r="N1219">
        <v>360.46</v>
      </c>
      <c r="O1219">
        <v>550.61</v>
      </c>
      <c r="P1219">
        <v>27.53</v>
      </c>
      <c r="Q1219">
        <v>27.53</v>
      </c>
      <c r="R1219" t="s">
        <v>30</v>
      </c>
      <c r="S1219">
        <v>29</v>
      </c>
      <c r="T1219">
        <v>1</v>
      </c>
      <c r="U1219">
        <v>2</v>
      </c>
      <c r="V1219">
        <v>523.08000000000004</v>
      </c>
      <c r="W1219">
        <v>13130001217</v>
      </c>
    </row>
    <row r="1220" spans="1:23" x14ac:dyDescent="0.2">
      <c r="A1220" s="1">
        <v>44777</v>
      </c>
      <c r="B1220" s="2">
        <v>0.41434027777777782</v>
      </c>
      <c r="C1220">
        <v>2218</v>
      </c>
      <c r="D1220">
        <v>13002561</v>
      </c>
      <c r="E1220">
        <v>13</v>
      </c>
      <c r="F1220">
        <v>22589</v>
      </c>
      <c r="G1220" t="s">
        <v>23</v>
      </c>
      <c r="H1220">
        <v>18</v>
      </c>
      <c r="I1220">
        <v>34985</v>
      </c>
      <c r="J1220" t="s">
        <v>119</v>
      </c>
      <c r="K1220" t="s">
        <v>28</v>
      </c>
      <c r="L1220" t="s">
        <v>47</v>
      </c>
      <c r="M1220">
        <v>2</v>
      </c>
      <c r="N1220">
        <v>543.51</v>
      </c>
      <c r="O1220">
        <v>779.56</v>
      </c>
      <c r="P1220">
        <v>38.979999999999997</v>
      </c>
      <c r="Q1220">
        <v>38.979999999999997</v>
      </c>
      <c r="R1220" t="s">
        <v>30</v>
      </c>
      <c r="S1220">
        <v>29</v>
      </c>
      <c r="T1220">
        <v>1</v>
      </c>
      <c r="U1220">
        <v>5</v>
      </c>
      <c r="V1220">
        <v>740.58</v>
      </c>
      <c r="W1220">
        <v>13130001218</v>
      </c>
    </row>
    <row r="1221" spans="1:23" x14ac:dyDescent="0.2">
      <c r="A1221" s="1">
        <v>44778</v>
      </c>
      <c r="B1221" s="2">
        <v>0.66593749999999996</v>
      </c>
      <c r="C1221">
        <v>2219</v>
      </c>
      <c r="D1221">
        <v>13002561</v>
      </c>
      <c r="E1221">
        <v>13</v>
      </c>
      <c r="F1221">
        <v>22589</v>
      </c>
      <c r="G1221" t="s">
        <v>23</v>
      </c>
      <c r="H1221">
        <v>18</v>
      </c>
      <c r="I1221">
        <v>10156</v>
      </c>
      <c r="J1221" t="s">
        <v>40</v>
      </c>
      <c r="K1221" t="s">
        <v>28</v>
      </c>
      <c r="L1221" t="s">
        <v>47</v>
      </c>
      <c r="M1221">
        <v>2</v>
      </c>
      <c r="N1221">
        <v>355.99</v>
      </c>
      <c r="O1221">
        <v>551.89</v>
      </c>
      <c r="P1221">
        <v>55.19</v>
      </c>
      <c r="Q1221">
        <v>55.19</v>
      </c>
      <c r="R1221" t="s">
        <v>30</v>
      </c>
      <c r="S1221">
        <v>29</v>
      </c>
      <c r="T1221">
        <v>1</v>
      </c>
      <c r="U1221">
        <v>1</v>
      </c>
      <c r="V1221">
        <v>496.7</v>
      </c>
      <c r="W1221">
        <v>13130001219</v>
      </c>
    </row>
    <row r="1222" spans="1:23" x14ac:dyDescent="0.2">
      <c r="A1222" s="1">
        <v>44798</v>
      </c>
      <c r="B1222" s="2">
        <v>0.36797453703703698</v>
      </c>
      <c r="C1222">
        <v>2220</v>
      </c>
      <c r="D1222">
        <v>13002561</v>
      </c>
      <c r="E1222">
        <v>13</v>
      </c>
      <c r="F1222">
        <v>22589</v>
      </c>
      <c r="G1222" t="s">
        <v>23</v>
      </c>
      <c r="H1222">
        <v>15</v>
      </c>
      <c r="I1222">
        <v>18396</v>
      </c>
      <c r="J1222" t="s">
        <v>37</v>
      </c>
      <c r="K1222" t="s">
        <v>38</v>
      </c>
      <c r="L1222" t="s">
        <v>36</v>
      </c>
      <c r="M1222">
        <v>3</v>
      </c>
      <c r="N1222">
        <v>446.62</v>
      </c>
      <c r="O1222">
        <v>641.73</v>
      </c>
      <c r="P1222">
        <v>0</v>
      </c>
      <c r="Q1222">
        <v>0</v>
      </c>
      <c r="S1222">
        <v>29</v>
      </c>
      <c r="T1222">
        <v>1</v>
      </c>
      <c r="U1222">
        <v>6</v>
      </c>
      <c r="V1222">
        <v>641.73</v>
      </c>
      <c r="W1222">
        <v>13130001220</v>
      </c>
    </row>
    <row r="1223" spans="1:23" x14ac:dyDescent="0.2">
      <c r="A1223" s="1">
        <v>44788</v>
      </c>
      <c r="B1223" s="2">
        <v>0.40872685185185192</v>
      </c>
      <c r="C1223">
        <v>2221</v>
      </c>
      <c r="D1223">
        <v>13002561</v>
      </c>
      <c r="E1223">
        <v>13</v>
      </c>
      <c r="F1223">
        <v>22589</v>
      </c>
      <c r="G1223" t="s">
        <v>23</v>
      </c>
      <c r="H1223">
        <v>15</v>
      </c>
      <c r="I1223">
        <v>16741</v>
      </c>
      <c r="J1223" t="s">
        <v>78</v>
      </c>
      <c r="K1223" t="s">
        <v>44</v>
      </c>
      <c r="L1223" t="s">
        <v>26</v>
      </c>
      <c r="M1223">
        <v>3</v>
      </c>
      <c r="N1223">
        <v>69.040000000000006</v>
      </c>
      <c r="O1223">
        <v>86.97</v>
      </c>
      <c r="P1223">
        <v>0</v>
      </c>
      <c r="Q1223">
        <v>0</v>
      </c>
      <c r="S1223">
        <v>29</v>
      </c>
      <c r="T1223">
        <v>1</v>
      </c>
      <c r="U1223">
        <v>6</v>
      </c>
      <c r="V1223">
        <v>86.97</v>
      </c>
      <c r="W1223">
        <v>13130001221</v>
      </c>
    </row>
    <row r="1224" spans="1:23" x14ac:dyDescent="0.2">
      <c r="A1224" s="1">
        <v>44795</v>
      </c>
      <c r="B1224" s="2">
        <v>0.54206018518518517</v>
      </c>
      <c r="C1224">
        <v>2222</v>
      </c>
      <c r="D1224">
        <v>13002561</v>
      </c>
      <c r="E1224">
        <v>13</v>
      </c>
      <c r="F1224">
        <v>22589</v>
      </c>
      <c r="G1224" t="s">
        <v>23</v>
      </c>
      <c r="H1224">
        <v>15</v>
      </c>
      <c r="I1224">
        <v>11917</v>
      </c>
      <c r="J1224" t="s">
        <v>114</v>
      </c>
      <c r="K1224" t="s">
        <v>60</v>
      </c>
      <c r="L1224" t="s">
        <v>39</v>
      </c>
      <c r="M1224">
        <v>3</v>
      </c>
      <c r="N1224">
        <v>161.72999999999999</v>
      </c>
      <c r="O1224">
        <v>251.01</v>
      </c>
      <c r="P1224">
        <v>12.55</v>
      </c>
      <c r="Q1224">
        <v>12.55</v>
      </c>
      <c r="R1224" t="s">
        <v>30</v>
      </c>
      <c r="S1224">
        <v>29</v>
      </c>
      <c r="T1224">
        <v>1</v>
      </c>
      <c r="U1224">
        <v>2</v>
      </c>
      <c r="V1224">
        <v>238.46</v>
      </c>
      <c r="W1224">
        <v>13130001222</v>
      </c>
    </row>
    <row r="1225" spans="1:23" x14ac:dyDescent="0.2">
      <c r="A1225" s="1">
        <v>44780</v>
      </c>
      <c r="B1225" s="2">
        <v>0.88313657407407409</v>
      </c>
      <c r="C1225">
        <v>2223</v>
      </c>
      <c r="D1225">
        <v>13002561</v>
      </c>
      <c r="E1225">
        <v>13</v>
      </c>
      <c r="F1225">
        <v>22589</v>
      </c>
      <c r="G1225" t="s">
        <v>23</v>
      </c>
      <c r="H1225">
        <v>15</v>
      </c>
      <c r="I1225">
        <v>94939</v>
      </c>
      <c r="J1225" t="s">
        <v>66</v>
      </c>
      <c r="K1225" t="s">
        <v>28</v>
      </c>
      <c r="L1225" t="s">
        <v>26</v>
      </c>
      <c r="M1225">
        <v>3</v>
      </c>
      <c r="N1225">
        <v>401.07</v>
      </c>
      <c r="O1225">
        <v>661.27</v>
      </c>
      <c r="P1225">
        <v>66.13</v>
      </c>
      <c r="Q1225">
        <v>66.13</v>
      </c>
      <c r="R1225" t="s">
        <v>30</v>
      </c>
      <c r="S1225">
        <v>29</v>
      </c>
      <c r="T1225">
        <v>1</v>
      </c>
      <c r="U1225">
        <v>2</v>
      </c>
      <c r="V1225">
        <v>595.14</v>
      </c>
      <c r="W1225">
        <v>13130001223</v>
      </c>
    </row>
    <row r="1226" spans="1:23" x14ac:dyDescent="0.2">
      <c r="A1226" s="1">
        <v>44795</v>
      </c>
      <c r="B1226" s="2">
        <v>0.35332175925925918</v>
      </c>
      <c r="C1226">
        <v>2224</v>
      </c>
      <c r="D1226">
        <v>13002561</v>
      </c>
      <c r="E1226">
        <v>13</v>
      </c>
      <c r="F1226">
        <v>22589</v>
      </c>
      <c r="G1226" t="s">
        <v>23</v>
      </c>
      <c r="H1226">
        <v>18</v>
      </c>
      <c r="I1226">
        <v>90498</v>
      </c>
      <c r="J1226" t="s">
        <v>55</v>
      </c>
      <c r="K1226" t="s">
        <v>38</v>
      </c>
      <c r="L1226" t="s">
        <v>51</v>
      </c>
      <c r="M1226">
        <v>1</v>
      </c>
      <c r="N1226">
        <v>97.89</v>
      </c>
      <c r="O1226">
        <v>161.01</v>
      </c>
      <c r="P1226">
        <v>16.100000000000001</v>
      </c>
      <c r="Q1226">
        <v>16.100000000000001</v>
      </c>
      <c r="R1226" t="s">
        <v>30</v>
      </c>
      <c r="S1226">
        <v>29</v>
      </c>
      <c r="T1226">
        <v>1</v>
      </c>
      <c r="U1226">
        <v>2</v>
      </c>
      <c r="V1226">
        <v>144.91</v>
      </c>
      <c r="W1226">
        <v>13130001224</v>
      </c>
    </row>
    <row r="1227" spans="1:23" x14ac:dyDescent="0.2">
      <c r="A1227" s="1">
        <v>44782</v>
      </c>
      <c r="B1227" s="2">
        <v>0.59197916666666661</v>
      </c>
      <c r="C1227">
        <v>2225</v>
      </c>
      <c r="D1227">
        <v>13002561</v>
      </c>
      <c r="E1227">
        <v>13</v>
      </c>
      <c r="F1227">
        <v>22589</v>
      </c>
      <c r="G1227" t="s">
        <v>23</v>
      </c>
      <c r="H1227">
        <v>18</v>
      </c>
      <c r="I1227">
        <v>98380</v>
      </c>
      <c r="J1227" t="s">
        <v>100</v>
      </c>
      <c r="K1227" t="s">
        <v>25</v>
      </c>
      <c r="L1227" t="s">
        <v>39</v>
      </c>
      <c r="M1227">
        <v>2</v>
      </c>
      <c r="N1227">
        <v>580.1</v>
      </c>
      <c r="O1227">
        <v>756.85</v>
      </c>
      <c r="P1227">
        <v>37.840000000000003</v>
      </c>
      <c r="Q1227">
        <v>37.840000000000003</v>
      </c>
      <c r="R1227" t="s">
        <v>30</v>
      </c>
      <c r="S1227">
        <v>29</v>
      </c>
      <c r="T1227">
        <v>1</v>
      </c>
      <c r="U1227">
        <v>5</v>
      </c>
      <c r="V1227">
        <v>719.01</v>
      </c>
      <c r="W1227">
        <v>13130001225</v>
      </c>
    </row>
    <row r="1228" spans="1:23" x14ac:dyDescent="0.2">
      <c r="A1228" s="1">
        <v>44800</v>
      </c>
      <c r="B1228" s="2">
        <v>0.59250000000000003</v>
      </c>
      <c r="C1228">
        <v>2226</v>
      </c>
      <c r="D1228">
        <v>13002561</v>
      </c>
      <c r="E1228">
        <v>13</v>
      </c>
      <c r="F1228">
        <v>22589</v>
      </c>
      <c r="G1228" t="s">
        <v>23</v>
      </c>
      <c r="H1228">
        <v>15</v>
      </c>
      <c r="I1228">
        <v>42400</v>
      </c>
      <c r="J1228" t="s">
        <v>98</v>
      </c>
      <c r="K1228" t="s">
        <v>28</v>
      </c>
      <c r="L1228" t="s">
        <v>51</v>
      </c>
      <c r="M1228">
        <v>3</v>
      </c>
      <c r="N1228">
        <v>74.69</v>
      </c>
      <c r="O1228">
        <v>110.33</v>
      </c>
      <c r="P1228">
        <v>5.52</v>
      </c>
      <c r="Q1228">
        <v>5.52</v>
      </c>
      <c r="R1228" t="s">
        <v>30</v>
      </c>
      <c r="S1228">
        <v>29</v>
      </c>
      <c r="T1228">
        <v>1</v>
      </c>
      <c r="U1228">
        <v>6</v>
      </c>
      <c r="V1228">
        <v>104.81</v>
      </c>
      <c r="W1228">
        <v>13130001226</v>
      </c>
    </row>
    <row r="1229" spans="1:23" x14ac:dyDescent="0.2">
      <c r="A1229" s="1">
        <v>44776</v>
      </c>
      <c r="B1229" s="2">
        <v>0.94163194444444442</v>
      </c>
      <c r="C1229">
        <v>2227</v>
      </c>
      <c r="D1229">
        <v>13002561</v>
      </c>
      <c r="E1229">
        <v>13</v>
      </c>
      <c r="F1229">
        <v>22589</v>
      </c>
      <c r="G1229" t="s">
        <v>23</v>
      </c>
      <c r="H1229">
        <v>15</v>
      </c>
      <c r="I1229">
        <v>64140</v>
      </c>
      <c r="J1229" t="s">
        <v>124</v>
      </c>
      <c r="K1229" t="s">
        <v>28</v>
      </c>
      <c r="L1229" t="s">
        <v>39</v>
      </c>
      <c r="M1229">
        <v>1</v>
      </c>
      <c r="N1229">
        <v>486.53</v>
      </c>
      <c r="O1229">
        <v>683.79</v>
      </c>
      <c r="P1229">
        <v>34.19</v>
      </c>
      <c r="Q1229">
        <v>34.19</v>
      </c>
      <c r="R1229" t="s">
        <v>30</v>
      </c>
      <c r="S1229">
        <v>29</v>
      </c>
      <c r="T1229">
        <v>1</v>
      </c>
      <c r="U1229">
        <v>1</v>
      </c>
      <c r="V1229">
        <v>649.6</v>
      </c>
      <c r="W1229">
        <v>13130001227</v>
      </c>
    </row>
    <row r="1230" spans="1:23" x14ac:dyDescent="0.2">
      <c r="A1230" s="1">
        <v>44781</v>
      </c>
      <c r="B1230" s="2">
        <v>0.46438657407407408</v>
      </c>
      <c r="C1230">
        <v>2228</v>
      </c>
      <c r="D1230">
        <v>13002561</v>
      </c>
      <c r="E1230">
        <v>13</v>
      </c>
      <c r="F1230">
        <v>22589</v>
      </c>
      <c r="G1230" t="s">
        <v>23</v>
      </c>
      <c r="H1230">
        <v>15</v>
      </c>
      <c r="I1230">
        <v>42255</v>
      </c>
      <c r="J1230" t="s">
        <v>95</v>
      </c>
      <c r="K1230" t="s">
        <v>25</v>
      </c>
      <c r="L1230" t="s">
        <v>26</v>
      </c>
      <c r="M1230">
        <v>2</v>
      </c>
      <c r="N1230">
        <v>139.35</v>
      </c>
      <c r="O1230">
        <v>188.81</v>
      </c>
      <c r="P1230">
        <v>0</v>
      </c>
      <c r="Q1230">
        <v>0</v>
      </c>
      <c r="S1230">
        <v>29</v>
      </c>
      <c r="T1230">
        <v>1</v>
      </c>
      <c r="U1230">
        <v>6</v>
      </c>
      <c r="V1230">
        <v>188.81</v>
      </c>
      <c r="W1230">
        <v>13130001228</v>
      </c>
    </row>
    <row r="1231" spans="1:23" x14ac:dyDescent="0.2">
      <c r="A1231" s="1">
        <v>44790</v>
      </c>
      <c r="B1231" s="2">
        <v>0.75924768518518515</v>
      </c>
      <c r="C1231">
        <v>2229</v>
      </c>
      <c r="D1231">
        <v>13002561</v>
      </c>
      <c r="E1231">
        <v>13</v>
      </c>
      <c r="F1231">
        <v>22589</v>
      </c>
      <c r="G1231" t="s">
        <v>23</v>
      </c>
      <c r="H1231">
        <v>18</v>
      </c>
      <c r="I1231">
        <v>44710</v>
      </c>
      <c r="J1231" t="s">
        <v>86</v>
      </c>
      <c r="K1231" t="s">
        <v>44</v>
      </c>
      <c r="L1231" t="s">
        <v>32</v>
      </c>
      <c r="M1231">
        <v>1</v>
      </c>
      <c r="N1231">
        <v>132.41999999999999</v>
      </c>
      <c r="O1231">
        <v>204.27</v>
      </c>
      <c r="P1231">
        <v>10.210000000000001</v>
      </c>
      <c r="Q1231">
        <v>10.210000000000001</v>
      </c>
      <c r="R1231" t="s">
        <v>30</v>
      </c>
      <c r="S1231">
        <v>29</v>
      </c>
      <c r="T1231">
        <v>1</v>
      </c>
      <c r="U1231">
        <v>3</v>
      </c>
      <c r="V1231">
        <v>194.06</v>
      </c>
      <c r="W1231">
        <v>13130001229</v>
      </c>
    </row>
    <row r="1232" spans="1:23" x14ac:dyDescent="0.2">
      <c r="A1232" s="1">
        <v>44795</v>
      </c>
      <c r="B1232" s="2">
        <v>0.76561342592592596</v>
      </c>
      <c r="C1232">
        <v>2230</v>
      </c>
      <c r="D1232">
        <v>13002561</v>
      </c>
      <c r="E1232">
        <v>13</v>
      </c>
      <c r="F1232">
        <v>22589</v>
      </c>
      <c r="G1232" t="s">
        <v>23</v>
      </c>
      <c r="H1232">
        <v>18</v>
      </c>
      <c r="I1232">
        <v>68784</v>
      </c>
      <c r="J1232" t="s">
        <v>118</v>
      </c>
      <c r="K1232" t="s">
        <v>45</v>
      </c>
      <c r="L1232" t="s">
        <v>34</v>
      </c>
      <c r="M1232">
        <v>3</v>
      </c>
      <c r="N1232">
        <v>420.21</v>
      </c>
      <c r="O1232">
        <v>585.64</v>
      </c>
      <c r="P1232">
        <v>58.56</v>
      </c>
      <c r="Q1232">
        <v>58.56</v>
      </c>
      <c r="R1232" t="s">
        <v>30</v>
      </c>
      <c r="S1232">
        <v>29</v>
      </c>
      <c r="T1232">
        <v>1</v>
      </c>
      <c r="U1232">
        <v>6</v>
      </c>
      <c r="V1232">
        <v>527.08000000000004</v>
      </c>
      <c r="W1232">
        <v>13130001230</v>
      </c>
    </row>
    <row r="1233" spans="1:23" x14ac:dyDescent="0.2">
      <c r="A1233" s="1">
        <v>44785</v>
      </c>
      <c r="B1233" s="2">
        <v>0.69541666666666668</v>
      </c>
      <c r="C1233">
        <v>2231</v>
      </c>
      <c r="D1233">
        <v>13002561</v>
      </c>
      <c r="E1233">
        <v>13</v>
      </c>
      <c r="F1233">
        <v>22589</v>
      </c>
      <c r="G1233" t="s">
        <v>23</v>
      </c>
      <c r="H1233">
        <v>18</v>
      </c>
      <c r="I1233">
        <v>60580</v>
      </c>
      <c r="J1233" t="s">
        <v>122</v>
      </c>
      <c r="K1233" t="s">
        <v>45</v>
      </c>
      <c r="L1233" t="s">
        <v>47</v>
      </c>
      <c r="M1233">
        <v>1</v>
      </c>
      <c r="N1233">
        <v>338.53</v>
      </c>
      <c r="O1233">
        <v>549.74</v>
      </c>
      <c r="P1233">
        <v>27.49</v>
      </c>
      <c r="Q1233">
        <v>27.49</v>
      </c>
      <c r="R1233" t="s">
        <v>30</v>
      </c>
      <c r="S1233">
        <v>29</v>
      </c>
      <c r="T1233">
        <v>1</v>
      </c>
      <c r="U1233">
        <v>5</v>
      </c>
      <c r="V1233">
        <v>522.25</v>
      </c>
      <c r="W1233">
        <v>13130001231</v>
      </c>
    </row>
    <row r="1234" spans="1:23" x14ac:dyDescent="0.2">
      <c r="A1234" s="1">
        <v>44789</v>
      </c>
      <c r="B1234" s="2">
        <v>0.48516203703703698</v>
      </c>
      <c r="C1234">
        <v>2232</v>
      </c>
      <c r="D1234">
        <v>13002561</v>
      </c>
      <c r="E1234">
        <v>13</v>
      </c>
      <c r="F1234">
        <v>22589</v>
      </c>
      <c r="G1234" t="s">
        <v>23</v>
      </c>
      <c r="H1234">
        <v>15</v>
      </c>
      <c r="I1234">
        <v>31478</v>
      </c>
      <c r="J1234" t="s">
        <v>126</v>
      </c>
      <c r="K1234" t="s">
        <v>45</v>
      </c>
      <c r="L1234" t="s">
        <v>34</v>
      </c>
      <c r="M1234">
        <v>1</v>
      </c>
      <c r="N1234">
        <v>253.23</v>
      </c>
      <c r="O1234">
        <v>399.85</v>
      </c>
      <c r="P1234">
        <v>39.99</v>
      </c>
      <c r="Q1234">
        <v>39.99</v>
      </c>
      <c r="R1234" t="s">
        <v>30</v>
      </c>
      <c r="S1234">
        <v>29</v>
      </c>
      <c r="T1234">
        <v>1</v>
      </c>
      <c r="U1234">
        <v>2</v>
      </c>
      <c r="V1234">
        <v>359.86</v>
      </c>
      <c r="W1234">
        <v>13130001232</v>
      </c>
    </row>
    <row r="1235" spans="1:23" x14ac:dyDescent="0.2">
      <c r="A1235" s="1">
        <v>44779</v>
      </c>
      <c r="B1235" s="2">
        <v>0.65407407407407403</v>
      </c>
      <c r="C1235">
        <v>2233</v>
      </c>
      <c r="D1235">
        <v>13002561</v>
      </c>
      <c r="E1235">
        <v>13</v>
      </c>
      <c r="F1235">
        <v>22589</v>
      </c>
      <c r="G1235" t="s">
        <v>23</v>
      </c>
      <c r="H1235">
        <v>15</v>
      </c>
      <c r="I1235">
        <v>56186</v>
      </c>
      <c r="J1235" t="s">
        <v>58</v>
      </c>
      <c r="K1235" t="s">
        <v>60</v>
      </c>
      <c r="L1235" t="s">
        <v>47</v>
      </c>
      <c r="M1235">
        <v>3</v>
      </c>
      <c r="N1235">
        <v>434.87</v>
      </c>
      <c r="O1235">
        <v>658</v>
      </c>
      <c r="P1235">
        <v>0</v>
      </c>
      <c r="Q1235">
        <v>0</v>
      </c>
      <c r="S1235">
        <v>29</v>
      </c>
      <c r="T1235">
        <v>1</v>
      </c>
      <c r="U1235">
        <v>6</v>
      </c>
      <c r="V1235">
        <v>658</v>
      </c>
      <c r="W1235">
        <v>13130001233</v>
      </c>
    </row>
    <row r="1236" spans="1:23" x14ac:dyDescent="0.2">
      <c r="A1236" s="1">
        <v>44777</v>
      </c>
      <c r="B1236" s="2">
        <v>0.72664351851851849</v>
      </c>
      <c r="C1236">
        <v>2234</v>
      </c>
      <c r="D1236">
        <v>13002561</v>
      </c>
      <c r="E1236">
        <v>13</v>
      </c>
      <c r="F1236">
        <v>22589</v>
      </c>
      <c r="G1236" t="s">
        <v>23</v>
      </c>
      <c r="H1236">
        <v>15</v>
      </c>
      <c r="I1236">
        <v>87674</v>
      </c>
      <c r="J1236" t="s">
        <v>97</v>
      </c>
      <c r="K1236" t="s">
        <v>25</v>
      </c>
      <c r="L1236" t="s">
        <v>29</v>
      </c>
      <c r="M1236">
        <v>1</v>
      </c>
      <c r="N1236">
        <v>214.72</v>
      </c>
      <c r="O1236">
        <v>270.35000000000002</v>
      </c>
      <c r="P1236">
        <v>27.04</v>
      </c>
      <c r="Q1236">
        <v>27.04</v>
      </c>
      <c r="R1236" t="s">
        <v>30</v>
      </c>
      <c r="S1236">
        <v>29</v>
      </c>
      <c r="T1236">
        <v>1</v>
      </c>
      <c r="U1236">
        <v>6</v>
      </c>
      <c r="V1236">
        <v>243.31</v>
      </c>
      <c r="W1236">
        <v>13130001234</v>
      </c>
    </row>
    <row r="1237" spans="1:23" x14ac:dyDescent="0.2">
      <c r="A1237" s="1">
        <v>44797</v>
      </c>
      <c r="B1237" s="2">
        <v>0.84878472222222223</v>
      </c>
      <c r="C1237">
        <v>2235</v>
      </c>
      <c r="D1237">
        <v>13002561</v>
      </c>
      <c r="E1237">
        <v>13</v>
      </c>
      <c r="F1237">
        <v>22589</v>
      </c>
      <c r="G1237" t="s">
        <v>23</v>
      </c>
      <c r="H1237">
        <v>18</v>
      </c>
      <c r="I1237">
        <v>61566</v>
      </c>
      <c r="J1237" t="s">
        <v>40</v>
      </c>
      <c r="K1237" t="s">
        <v>44</v>
      </c>
      <c r="L1237" t="s">
        <v>47</v>
      </c>
      <c r="M1237">
        <v>1</v>
      </c>
      <c r="N1237">
        <v>191.66</v>
      </c>
      <c r="O1237">
        <v>248.45</v>
      </c>
      <c r="P1237">
        <v>24.84</v>
      </c>
      <c r="Q1237">
        <v>24.84</v>
      </c>
      <c r="R1237" t="s">
        <v>30</v>
      </c>
      <c r="S1237">
        <v>29</v>
      </c>
      <c r="T1237">
        <v>1</v>
      </c>
      <c r="U1237">
        <v>4</v>
      </c>
      <c r="V1237">
        <v>223.61</v>
      </c>
      <c r="W1237">
        <v>13130001235</v>
      </c>
    </row>
    <row r="1238" spans="1:23" x14ac:dyDescent="0.2">
      <c r="A1238" s="1">
        <v>44782</v>
      </c>
      <c r="B1238" s="2">
        <v>0.69026620370370373</v>
      </c>
      <c r="C1238">
        <v>2236</v>
      </c>
      <c r="D1238">
        <v>13002561</v>
      </c>
      <c r="E1238">
        <v>13</v>
      </c>
      <c r="F1238">
        <v>22589</v>
      </c>
      <c r="G1238" t="s">
        <v>23</v>
      </c>
      <c r="H1238">
        <v>15</v>
      </c>
      <c r="I1238">
        <v>98614</v>
      </c>
      <c r="J1238" t="s">
        <v>93</v>
      </c>
      <c r="K1238" t="s">
        <v>60</v>
      </c>
      <c r="L1238" t="s">
        <v>32</v>
      </c>
      <c r="M1238">
        <v>1</v>
      </c>
      <c r="N1238">
        <v>46.46</v>
      </c>
      <c r="O1238">
        <v>64.45</v>
      </c>
      <c r="P1238">
        <v>3.22</v>
      </c>
      <c r="Q1238">
        <v>3.22</v>
      </c>
      <c r="R1238" t="s">
        <v>30</v>
      </c>
      <c r="S1238">
        <v>29</v>
      </c>
      <c r="T1238">
        <v>1</v>
      </c>
      <c r="U1238">
        <v>3</v>
      </c>
      <c r="V1238">
        <v>61.23</v>
      </c>
      <c r="W1238">
        <v>13130001236</v>
      </c>
    </row>
    <row r="1239" spans="1:23" x14ac:dyDescent="0.2">
      <c r="A1239" s="1">
        <v>44800</v>
      </c>
      <c r="B1239" s="2">
        <v>0.93216435185185187</v>
      </c>
      <c r="C1239">
        <v>2237</v>
      </c>
      <c r="D1239">
        <v>13002561</v>
      </c>
      <c r="E1239">
        <v>13</v>
      </c>
      <c r="F1239">
        <v>22589</v>
      </c>
      <c r="G1239" t="s">
        <v>23</v>
      </c>
      <c r="H1239">
        <v>15</v>
      </c>
      <c r="I1239">
        <v>20630</v>
      </c>
      <c r="J1239" t="s">
        <v>105</v>
      </c>
      <c r="K1239" t="s">
        <v>44</v>
      </c>
      <c r="L1239" t="s">
        <v>39</v>
      </c>
      <c r="M1239">
        <v>2</v>
      </c>
      <c r="N1239">
        <v>578.66</v>
      </c>
      <c r="O1239">
        <v>753.12</v>
      </c>
      <c r="P1239">
        <v>37.659999999999997</v>
      </c>
      <c r="Q1239">
        <v>37.659999999999997</v>
      </c>
      <c r="R1239" t="s">
        <v>30</v>
      </c>
      <c r="S1239">
        <v>29</v>
      </c>
      <c r="T1239">
        <v>1</v>
      </c>
      <c r="U1239">
        <v>6</v>
      </c>
      <c r="V1239">
        <v>715.46</v>
      </c>
      <c r="W1239">
        <v>13130001237</v>
      </c>
    </row>
    <row r="1240" spans="1:23" x14ac:dyDescent="0.2">
      <c r="A1240" s="1">
        <v>44796</v>
      </c>
      <c r="B1240" s="2">
        <v>0.73576388888888888</v>
      </c>
      <c r="C1240">
        <v>2238</v>
      </c>
      <c r="D1240">
        <v>13002561</v>
      </c>
      <c r="E1240">
        <v>13</v>
      </c>
      <c r="F1240">
        <v>22589</v>
      </c>
      <c r="G1240" t="s">
        <v>23</v>
      </c>
      <c r="H1240">
        <v>18</v>
      </c>
      <c r="I1240">
        <v>79796</v>
      </c>
      <c r="J1240" t="s">
        <v>103</v>
      </c>
      <c r="K1240" t="s">
        <v>45</v>
      </c>
      <c r="L1240" t="s">
        <v>47</v>
      </c>
      <c r="M1240">
        <v>1</v>
      </c>
      <c r="N1240">
        <v>472.64</v>
      </c>
      <c r="O1240">
        <v>724.31</v>
      </c>
      <c r="P1240">
        <v>72.430000000000007</v>
      </c>
      <c r="Q1240">
        <v>72.430000000000007</v>
      </c>
      <c r="R1240" t="s">
        <v>30</v>
      </c>
      <c r="S1240">
        <v>29</v>
      </c>
      <c r="T1240">
        <v>1</v>
      </c>
      <c r="U1240">
        <v>6</v>
      </c>
      <c r="V1240">
        <v>651.88</v>
      </c>
      <c r="W1240">
        <v>13130001238</v>
      </c>
    </row>
    <row r="1241" spans="1:23" x14ac:dyDescent="0.2">
      <c r="A1241" s="1">
        <v>44799</v>
      </c>
      <c r="B1241" s="2">
        <v>0.67917824074074074</v>
      </c>
      <c r="C1241">
        <v>2239</v>
      </c>
      <c r="D1241">
        <v>13002561</v>
      </c>
      <c r="E1241">
        <v>13</v>
      </c>
      <c r="F1241">
        <v>22589</v>
      </c>
      <c r="G1241" t="s">
        <v>23</v>
      </c>
      <c r="H1241">
        <v>15</v>
      </c>
      <c r="I1241">
        <v>86215</v>
      </c>
      <c r="J1241" t="s">
        <v>122</v>
      </c>
      <c r="K1241" t="s">
        <v>28</v>
      </c>
      <c r="L1241" t="s">
        <v>29</v>
      </c>
      <c r="M1241">
        <v>3</v>
      </c>
      <c r="N1241">
        <v>64.02</v>
      </c>
      <c r="O1241">
        <v>83.82</v>
      </c>
      <c r="P1241">
        <v>8.3800000000000008</v>
      </c>
      <c r="Q1241">
        <v>8.3800000000000008</v>
      </c>
      <c r="R1241" t="s">
        <v>30</v>
      </c>
      <c r="S1241">
        <v>29</v>
      </c>
      <c r="T1241">
        <v>1</v>
      </c>
      <c r="U1241">
        <v>4</v>
      </c>
      <c r="V1241">
        <v>75.44</v>
      </c>
      <c r="W1241">
        <v>13130001239</v>
      </c>
    </row>
    <row r="1242" spans="1:23" x14ac:dyDescent="0.2">
      <c r="A1242" s="1">
        <v>44791</v>
      </c>
      <c r="B1242" s="2">
        <v>0.33892361111111108</v>
      </c>
      <c r="C1242">
        <v>2240</v>
      </c>
      <c r="D1242">
        <v>13002561</v>
      </c>
      <c r="E1242">
        <v>13</v>
      </c>
      <c r="F1242">
        <v>22589</v>
      </c>
      <c r="G1242" t="s">
        <v>23</v>
      </c>
      <c r="H1242">
        <v>18</v>
      </c>
      <c r="I1242">
        <v>41147</v>
      </c>
      <c r="J1242" t="s">
        <v>99</v>
      </c>
      <c r="K1242" t="s">
        <v>60</v>
      </c>
      <c r="L1242" t="s">
        <v>51</v>
      </c>
      <c r="M1242">
        <v>1</v>
      </c>
      <c r="N1242">
        <v>18.72</v>
      </c>
      <c r="O1242">
        <v>28.66</v>
      </c>
      <c r="P1242">
        <v>2.87</v>
      </c>
      <c r="Q1242">
        <v>2.87</v>
      </c>
      <c r="R1242" t="s">
        <v>30</v>
      </c>
      <c r="S1242">
        <v>29</v>
      </c>
      <c r="T1242">
        <v>1</v>
      </c>
      <c r="U1242">
        <v>1</v>
      </c>
      <c r="V1242">
        <v>25.79</v>
      </c>
      <c r="W1242">
        <v>13130001240</v>
      </c>
    </row>
    <row r="1243" spans="1:23" x14ac:dyDescent="0.2">
      <c r="A1243" s="1">
        <v>44799</v>
      </c>
      <c r="B1243" s="2">
        <v>0.50042824074074077</v>
      </c>
      <c r="C1243">
        <v>2241</v>
      </c>
      <c r="D1243">
        <v>13002561</v>
      </c>
      <c r="E1243">
        <v>13</v>
      </c>
      <c r="F1243">
        <v>22589</v>
      </c>
      <c r="G1243" t="s">
        <v>23</v>
      </c>
      <c r="H1243">
        <v>15</v>
      </c>
      <c r="I1243">
        <v>12166</v>
      </c>
      <c r="J1243" t="s">
        <v>85</v>
      </c>
      <c r="K1243" t="s">
        <v>44</v>
      </c>
      <c r="L1243" t="s">
        <v>29</v>
      </c>
      <c r="M1243">
        <v>1</v>
      </c>
      <c r="N1243">
        <v>220.02</v>
      </c>
      <c r="O1243">
        <v>333.67</v>
      </c>
      <c r="P1243">
        <v>33.369999999999997</v>
      </c>
      <c r="Q1243">
        <v>33.369999999999997</v>
      </c>
      <c r="R1243" t="s">
        <v>30</v>
      </c>
      <c r="S1243">
        <v>29</v>
      </c>
      <c r="T1243">
        <v>1</v>
      </c>
      <c r="U1243">
        <v>4</v>
      </c>
      <c r="V1243">
        <v>300.3</v>
      </c>
      <c r="W1243">
        <v>13130001241</v>
      </c>
    </row>
    <row r="1244" spans="1:23" x14ac:dyDescent="0.2">
      <c r="A1244" s="1">
        <v>44798</v>
      </c>
      <c r="B1244" s="2">
        <v>0.82119212962962962</v>
      </c>
      <c r="C1244">
        <v>2242</v>
      </c>
      <c r="D1244">
        <v>13002561</v>
      </c>
      <c r="E1244">
        <v>13</v>
      </c>
      <c r="F1244">
        <v>22589</v>
      </c>
      <c r="G1244" t="s">
        <v>23</v>
      </c>
      <c r="H1244">
        <v>15</v>
      </c>
      <c r="I1244">
        <v>63088</v>
      </c>
      <c r="J1244" t="s">
        <v>127</v>
      </c>
      <c r="K1244" t="s">
        <v>38</v>
      </c>
      <c r="L1244" t="s">
        <v>36</v>
      </c>
      <c r="M1244">
        <v>1</v>
      </c>
      <c r="N1244">
        <v>280.51</v>
      </c>
      <c r="O1244">
        <v>446.29</v>
      </c>
      <c r="P1244">
        <v>22.31</v>
      </c>
      <c r="Q1244">
        <v>22.31</v>
      </c>
      <c r="R1244" t="s">
        <v>30</v>
      </c>
      <c r="S1244">
        <v>29</v>
      </c>
      <c r="T1244">
        <v>1</v>
      </c>
      <c r="U1244">
        <v>6</v>
      </c>
      <c r="V1244">
        <v>423.98</v>
      </c>
      <c r="W1244">
        <v>13130001242</v>
      </c>
    </row>
    <row r="1245" spans="1:23" x14ac:dyDescent="0.2">
      <c r="A1245" s="1">
        <v>44795</v>
      </c>
      <c r="B1245" s="2">
        <v>0.48875000000000002</v>
      </c>
      <c r="C1245">
        <v>2243</v>
      </c>
      <c r="D1245">
        <v>13002561</v>
      </c>
      <c r="E1245">
        <v>13</v>
      </c>
      <c r="F1245">
        <v>22589</v>
      </c>
      <c r="G1245" t="s">
        <v>23</v>
      </c>
      <c r="H1245">
        <v>15</v>
      </c>
      <c r="I1245">
        <v>71916</v>
      </c>
      <c r="J1245" t="s">
        <v>104</v>
      </c>
      <c r="K1245" t="s">
        <v>60</v>
      </c>
      <c r="L1245" t="s">
        <v>47</v>
      </c>
      <c r="M1245">
        <v>1</v>
      </c>
      <c r="N1245">
        <v>232.99</v>
      </c>
      <c r="O1245">
        <v>358.38</v>
      </c>
      <c r="P1245">
        <v>35.840000000000003</v>
      </c>
      <c r="Q1245">
        <v>35.840000000000003</v>
      </c>
      <c r="R1245" t="s">
        <v>30</v>
      </c>
      <c r="S1245">
        <v>29</v>
      </c>
      <c r="T1245">
        <v>1</v>
      </c>
      <c r="U1245">
        <v>6</v>
      </c>
      <c r="V1245">
        <v>322.54000000000002</v>
      </c>
      <c r="W1245">
        <v>13130001243</v>
      </c>
    </row>
    <row r="1246" spans="1:23" x14ac:dyDescent="0.2">
      <c r="A1246" s="1">
        <v>44803</v>
      </c>
      <c r="B1246" s="2">
        <v>0.87974537037037037</v>
      </c>
      <c r="C1246">
        <v>2244</v>
      </c>
      <c r="D1246">
        <v>13002561</v>
      </c>
      <c r="E1246">
        <v>13</v>
      </c>
      <c r="F1246">
        <v>22589</v>
      </c>
      <c r="G1246" t="s">
        <v>23</v>
      </c>
      <c r="H1246">
        <v>18</v>
      </c>
      <c r="I1246">
        <v>82698</v>
      </c>
      <c r="J1246" t="s">
        <v>43</v>
      </c>
      <c r="K1246" t="s">
        <v>28</v>
      </c>
      <c r="L1246" t="s">
        <v>36</v>
      </c>
      <c r="M1246">
        <v>2</v>
      </c>
      <c r="N1246">
        <v>241.74</v>
      </c>
      <c r="O1246">
        <v>350.06</v>
      </c>
      <c r="P1246">
        <v>17.5</v>
      </c>
      <c r="Q1246">
        <v>17.5</v>
      </c>
      <c r="R1246" t="s">
        <v>30</v>
      </c>
      <c r="S1246">
        <v>29</v>
      </c>
      <c r="T1246">
        <v>1</v>
      </c>
      <c r="U1246">
        <v>1</v>
      </c>
      <c r="V1246">
        <v>332.56</v>
      </c>
      <c r="W1246">
        <v>13130001244</v>
      </c>
    </row>
    <row r="1247" spans="1:23" x14ac:dyDescent="0.2">
      <c r="A1247" s="1">
        <v>44784</v>
      </c>
      <c r="B1247" s="2">
        <v>0.74671296296296297</v>
      </c>
      <c r="C1247">
        <v>2245</v>
      </c>
      <c r="D1247">
        <v>13002561</v>
      </c>
      <c r="E1247">
        <v>13</v>
      </c>
      <c r="F1247">
        <v>22589</v>
      </c>
      <c r="G1247" t="s">
        <v>23</v>
      </c>
      <c r="H1247">
        <v>18</v>
      </c>
      <c r="I1247">
        <v>42825</v>
      </c>
      <c r="J1247" t="s">
        <v>73</v>
      </c>
      <c r="K1247" t="s">
        <v>44</v>
      </c>
      <c r="L1247" t="s">
        <v>36</v>
      </c>
      <c r="M1247">
        <v>3</v>
      </c>
      <c r="N1247">
        <v>296.12</v>
      </c>
      <c r="O1247">
        <v>417.96</v>
      </c>
      <c r="P1247">
        <v>20.9</v>
      </c>
      <c r="Q1247">
        <v>20.9</v>
      </c>
      <c r="R1247" t="s">
        <v>30</v>
      </c>
      <c r="S1247">
        <v>29</v>
      </c>
      <c r="T1247">
        <v>1</v>
      </c>
      <c r="U1247">
        <v>3</v>
      </c>
      <c r="V1247">
        <v>397.06</v>
      </c>
      <c r="W1247">
        <v>13130001245</v>
      </c>
    </row>
    <row r="1248" spans="1:23" x14ac:dyDescent="0.2">
      <c r="A1248" s="1">
        <v>44793</v>
      </c>
      <c r="B1248" s="2">
        <v>0.93453703703703705</v>
      </c>
      <c r="C1248">
        <v>2246</v>
      </c>
      <c r="D1248">
        <v>13002561</v>
      </c>
      <c r="E1248">
        <v>13</v>
      </c>
      <c r="F1248">
        <v>22589</v>
      </c>
      <c r="G1248" t="s">
        <v>23</v>
      </c>
      <c r="H1248">
        <v>18</v>
      </c>
      <c r="I1248">
        <v>65143</v>
      </c>
      <c r="J1248" t="s">
        <v>58</v>
      </c>
      <c r="K1248" t="s">
        <v>60</v>
      </c>
      <c r="L1248" t="s">
        <v>47</v>
      </c>
      <c r="M1248">
        <v>1</v>
      </c>
      <c r="N1248">
        <v>573.72</v>
      </c>
      <c r="O1248">
        <v>799.15</v>
      </c>
      <c r="P1248">
        <v>0</v>
      </c>
      <c r="Q1248">
        <v>0</v>
      </c>
      <c r="S1248">
        <v>29</v>
      </c>
      <c r="T1248">
        <v>1</v>
      </c>
      <c r="U1248">
        <v>3</v>
      </c>
      <c r="V1248">
        <v>799.15</v>
      </c>
      <c r="W1248">
        <v>13130001246</v>
      </c>
    </row>
    <row r="1249" spans="1:23" x14ac:dyDescent="0.2">
      <c r="A1249" s="1">
        <v>44782</v>
      </c>
      <c r="B1249" s="2">
        <v>0.36229166666666668</v>
      </c>
      <c r="C1249">
        <v>2247</v>
      </c>
      <c r="D1249">
        <v>13002561</v>
      </c>
      <c r="E1249">
        <v>13</v>
      </c>
      <c r="F1249">
        <v>22589</v>
      </c>
      <c r="G1249" t="s">
        <v>23</v>
      </c>
      <c r="H1249">
        <v>15</v>
      </c>
      <c r="I1249">
        <v>38928</v>
      </c>
      <c r="J1249" t="s">
        <v>87</v>
      </c>
      <c r="K1249" t="s">
        <v>44</v>
      </c>
      <c r="L1249" t="s">
        <v>34</v>
      </c>
      <c r="M1249">
        <v>3</v>
      </c>
      <c r="N1249">
        <v>307.56</v>
      </c>
      <c r="O1249">
        <v>485.42</v>
      </c>
      <c r="P1249">
        <v>0</v>
      </c>
      <c r="Q1249">
        <v>0</v>
      </c>
      <c r="S1249">
        <v>29</v>
      </c>
      <c r="T1249">
        <v>1</v>
      </c>
      <c r="U1249">
        <v>6</v>
      </c>
      <c r="V1249">
        <v>485.42</v>
      </c>
      <c r="W1249">
        <v>13130001247</v>
      </c>
    </row>
    <row r="1250" spans="1:23" x14ac:dyDescent="0.2">
      <c r="A1250" s="1">
        <v>44778</v>
      </c>
      <c r="B1250" s="2">
        <v>0.59225694444444443</v>
      </c>
      <c r="C1250">
        <v>2248</v>
      </c>
      <c r="D1250">
        <v>13002561</v>
      </c>
      <c r="E1250">
        <v>13</v>
      </c>
      <c r="F1250">
        <v>22589</v>
      </c>
      <c r="G1250" t="s">
        <v>23</v>
      </c>
      <c r="H1250">
        <v>18</v>
      </c>
      <c r="I1250">
        <v>71816</v>
      </c>
      <c r="J1250" t="s">
        <v>113</v>
      </c>
      <c r="K1250" t="s">
        <v>45</v>
      </c>
      <c r="L1250" t="s">
        <v>29</v>
      </c>
      <c r="M1250">
        <v>1</v>
      </c>
      <c r="N1250">
        <v>380.02</v>
      </c>
      <c r="O1250">
        <v>479.92</v>
      </c>
      <c r="P1250">
        <v>0</v>
      </c>
      <c r="Q1250">
        <v>0</v>
      </c>
      <c r="S1250">
        <v>29</v>
      </c>
      <c r="T1250">
        <v>1</v>
      </c>
      <c r="U1250">
        <v>6</v>
      </c>
      <c r="V1250">
        <v>479.92</v>
      </c>
      <c r="W1250">
        <v>13130001248</v>
      </c>
    </row>
    <row r="1251" spans="1:23" x14ac:dyDescent="0.2">
      <c r="A1251" s="1">
        <v>44802</v>
      </c>
      <c r="B1251" s="2">
        <v>0.63240740740740742</v>
      </c>
      <c r="C1251">
        <v>2249</v>
      </c>
      <c r="D1251">
        <v>13002561</v>
      </c>
      <c r="E1251">
        <v>13</v>
      </c>
      <c r="F1251">
        <v>22589</v>
      </c>
      <c r="G1251" t="s">
        <v>23</v>
      </c>
      <c r="H1251">
        <v>15</v>
      </c>
      <c r="I1251">
        <v>97391</v>
      </c>
      <c r="J1251" t="s">
        <v>109</v>
      </c>
      <c r="K1251" t="s">
        <v>44</v>
      </c>
      <c r="L1251" t="s">
        <v>51</v>
      </c>
      <c r="M1251">
        <v>3</v>
      </c>
      <c r="N1251">
        <v>330.91</v>
      </c>
      <c r="O1251">
        <v>454.88</v>
      </c>
      <c r="P1251">
        <v>22.74</v>
      </c>
      <c r="Q1251">
        <v>22.74</v>
      </c>
      <c r="R1251" t="s">
        <v>30</v>
      </c>
      <c r="S1251">
        <v>29</v>
      </c>
      <c r="T1251">
        <v>1</v>
      </c>
      <c r="U1251">
        <v>4</v>
      </c>
      <c r="V1251">
        <v>432.14</v>
      </c>
      <c r="W1251">
        <v>13130001249</v>
      </c>
    </row>
    <row r="1252" spans="1:23" x14ac:dyDescent="0.2">
      <c r="A1252" s="1">
        <v>44789</v>
      </c>
      <c r="B1252" s="2">
        <v>0.94312499999999999</v>
      </c>
      <c r="C1252">
        <v>2250</v>
      </c>
      <c r="D1252">
        <v>13002561</v>
      </c>
      <c r="E1252">
        <v>13</v>
      </c>
      <c r="F1252">
        <v>22589</v>
      </c>
      <c r="G1252" t="s">
        <v>23</v>
      </c>
      <c r="H1252">
        <v>18</v>
      </c>
      <c r="I1252">
        <v>87079</v>
      </c>
      <c r="J1252" t="s">
        <v>92</v>
      </c>
      <c r="K1252" t="s">
        <v>28</v>
      </c>
      <c r="L1252" t="s">
        <v>47</v>
      </c>
      <c r="M1252">
        <v>3</v>
      </c>
      <c r="N1252">
        <v>117.46</v>
      </c>
      <c r="O1252">
        <v>198.89</v>
      </c>
      <c r="P1252">
        <v>9.94</v>
      </c>
      <c r="Q1252">
        <v>9.94</v>
      </c>
      <c r="R1252" t="s">
        <v>30</v>
      </c>
      <c r="S1252">
        <v>29</v>
      </c>
      <c r="T1252">
        <v>1</v>
      </c>
      <c r="U1252">
        <v>2</v>
      </c>
      <c r="V1252">
        <v>188.95</v>
      </c>
      <c r="W1252">
        <v>13130001250</v>
      </c>
    </row>
    <row r="1253" spans="1:23" x14ac:dyDescent="0.2">
      <c r="A1253" s="1">
        <v>44787</v>
      </c>
      <c r="B1253" s="2">
        <v>0.64203703703703707</v>
      </c>
      <c r="C1253">
        <v>2251</v>
      </c>
      <c r="D1253">
        <v>13002561</v>
      </c>
      <c r="E1253">
        <v>13</v>
      </c>
      <c r="F1253">
        <v>22589</v>
      </c>
      <c r="G1253" t="s">
        <v>23</v>
      </c>
      <c r="H1253">
        <v>15</v>
      </c>
      <c r="I1253">
        <v>65246</v>
      </c>
      <c r="J1253" t="s">
        <v>33</v>
      </c>
      <c r="K1253" t="s">
        <v>45</v>
      </c>
      <c r="L1253" t="s">
        <v>34</v>
      </c>
      <c r="M1253">
        <v>3</v>
      </c>
      <c r="N1253">
        <v>373.39</v>
      </c>
      <c r="O1253">
        <v>576.79999999999995</v>
      </c>
      <c r="P1253">
        <v>57.68</v>
      </c>
      <c r="Q1253">
        <v>57.68</v>
      </c>
      <c r="R1253" t="s">
        <v>30</v>
      </c>
      <c r="S1253">
        <v>29</v>
      </c>
      <c r="T1253">
        <v>1</v>
      </c>
      <c r="U1253">
        <v>3</v>
      </c>
      <c r="V1253">
        <v>519.12</v>
      </c>
      <c r="W1253">
        <v>13130001251</v>
      </c>
    </row>
    <row r="1254" spans="1:23" x14ac:dyDescent="0.2">
      <c r="A1254" s="1">
        <v>44787</v>
      </c>
      <c r="B1254" s="2">
        <v>0.70649305555555553</v>
      </c>
      <c r="C1254">
        <v>2252</v>
      </c>
      <c r="D1254">
        <v>13002561</v>
      </c>
      <c r="E1254">
        <v>13</v>
      </c>
      <c r="F1254">
        <v>22589</v>
      </c>
      <c r="G1254" t="s">
        <v>23</v>
      </c>
      <c r="H1254">
        <v>15</v>
      </c>
      <c r="I1254">
        <v>91003</v>
      </c>
      <c r="J1254" t="s">
        <v>72</v>
      </c>
      <c r="K1254" t="s">
        <v>28</v>
      </c>
      <c r="L1254" t="s">
        <v>26</v>
      </c>
      <c r="M1254">
        <v>3</v>
      </c>
      <c r="N1254">
        <v>294.66000000000003</v>
      </c>
      <c r="O1254">
        <v>465.38</v>
      </c>
      <c r="P1254">
        <v>23.27</v>
      </c>
      <c r="Q1254">
        <v>23.27</v>
      </c>
      <c r="R1254" t="s">
        <v>30</v>
      </c>
      <c r="S1254">
        <v>29</v>
      </c>
      <c r="T1254">
        <v>1</v>
      </c>
      <c r="U1254">
        <v>6</v>
      </c>
      <c r="V1254">
        <v>442.11</v>
      </c>
      <c r="W1254">
        <v>13130001252</v>
      </c>
    </row>
    <row r="1255" spans="1:23" x14ac:dyDescent="0.2">
      <c r="A1255" s="1">
        <v>44774</v>
      </c>
      <c r="B1255" s="2">
        <v>0.47256944444444438</v>
      </c>
      <c r="C1255">
        <v>2253</v>
      </c>
      <c r="D1255">
        <v>13002561</v>
      </c>
      <c r="E1255">
        <v>13</v>
      </c>
      <c r="F1255">
        <v>22589</v>
      </c>
      <c r="G1255" t="s">
        <v>23</v>
      </c>
      <c r="H1255">
        <v>18</v>
      </c>
      <c r="I1255">
        <v>64013</v>
      </c>
      <c r="J1255" t="s">
        <v>116</v>
      </c>
      <c r="K1255" t="s">
        <v>28</v>
      </c>
      <c r="L1255" t="s">
        <v>47</v>
      </c>
      <c r="M1255">
        <v>1</v>
      </c>
      <c r="N1255">
        <v>174.13</v>
      </c>
      <c r="O1255">
        <v>249.2</v>
      </c>
      <c r="P1255">
        <v>12.46</v>
      </c>
      <c r="Q1255">
        <v>12.46</v>
      </c>
      <c r="R1255" t="s">
        <v>30</v>
      </c>
      <c r="S1255">
        <v>29</v>
      </c>
      <c r="T1255">
        <v>1</v>
      </c>
      <c r="U1255">
        <v>4</v>
      </c>
      <c r="V1255">
        <v>236.74</v>
      </c>
      <c r="W1255">
        <v>13130001253</v>
      </c>
    </row>
    <row r="1256" spans="1:23" x14ac:dyDescent="0.2">
      <c r="A1256" s="1">
        <v>44799</v>
      </c>
      <c r="B1256" s="2">
        <v>0.78490740740740739</v>
      </c>
      <c r="C1256">
        <v>2254</v>
      </c>
      <c r="D1256">
        <v>13002561</v>
      </c>
      <c r="E1256">
        <v>13</v>
      </c>
      <c r="F1256">
        <v>22589</v>
      </c>
      <c r="G1256" t="s">
        <v>23</v>
      </c>
      <c r="H1256">
        <v>15</v>
      </c>
      <c r="I1256">
        <v>95513</v>
      </c>
      <c r="J1256" t="s">
        <v>83</v>
      </c>
      <c r="K1256" t="s">
        <v>44</v>
      </c>
      <c r="L1256" t="s">
        <v>36</v>
      </c>
      <c r="M1256">
        <v>1</v>
      </c>
      <c r="N1256">
        <v>311.94</v>
      </c>
      <c r="O1256">
        <v>450.85</v>
      </c>
      <c r="P1256">
        <v>45.09</v>
      </c>
      <c r="Q1256">
        <v>45.09</v>
      </c>
      <c r="R1256" t="s">
        <v>30</v>
      </c>
      <c r="S1256">
        <v>29</v>
      </c>
      <c r="T1256">
        <v>1</v>
      </c>
      <c r="U1256">
        <v>3</v>
      </c>
      <c r="V1256">
        <v>405.76</v>
      </c>
      <c r="W1256">
        <v>13130001254</v>
      </c>
    </row>
    <row r="1257" spans="1:23" x14ac:dyDescent="0.2">
      <c r="A1257" s="1">
        <v>44774</v>
      </c>
      <c r="B1257" s="2">
        <v>0.67386574074074079</v>
      </c>
      <c r="C1257">
        <v>2255</v>
      </c>
      <c r="D1257">
        <v>13002561</v>
      </c>
      <c r="E1257">
        <v>13</v>
      </c>
      <c r="F1257">
        <v>22589</v>
      </c>
      <c r="G1257" t="s">
        <v>23</v>
      </c>
      <c r="H1257">
        <v>15</v>
      </c>
      <c r="I1257">
        <v>79174</v>
      </c>
      <c r="J1257" t="s">
        <v>100</v>
      </c>
      <c r="K1257" t="s">
        <v>28</v>
      </c>
      <c r="L1257" t="s">
        <v>34</v>
      </c>
      <c r="M1257">
        <v>2</v>
      </c>
      <c r="N1257">
        <v>257.43</v>
      </c>
      <c r="O1257">
        <v>411.46</v>
      </c>
      <c r="P1257">
        <v>0</v>
      </c>
      <c r="Q1257">
        <v>0</v>
      </c>
      <c r="S1257">
        <v>29</v>
      </c>
      <c r="T1257">
        <v>1</v>
      </c>
      <c r="U1257">
        <v>3</v>
      </c>
      <c r="V1257">
        <v>411.46</v>
      </c>
      <c r="W1257">
        <v>13130001255</v>
      </c>
    </row>
    <row r="1258" spans="1:23" x14ac:dyDescent="0.2">
      <c r="A1258" s="1">
        <v>44781</v>
      </c>
      <c r="B1258" s="2">
        <v>0.76340277777777776</v>
      </c>
      <c r="C1258">
        <v>2256</v>
      </c>
      <c r="D1258">
        <v>13002561</v>
      </c>
      <c r="E1258">
        <v>13</v>
      </c>
      <c r="F1258">
        <v>22589</v>
      </c>
      <c r="G1258" t="s">
        <v>23</v>
      </c>
      <c r="H1258">
        <v>18</v>
      </c>
      <c r="I1258">
        <v>98915</v>
      </c>
      <c r="J1258" t="s">
        <v>128</v>
      </c>
      <c r="K1258" t="s">
        <v>28</v>
      </c>
      <c r="L1258" t="s">
        <v>26</v>
      </c>
      <c r="M1258">
        <v>2</v>
      </c>
      <c r="N1258">
        <v>420.71</v>
      </c>
      <c r="O1258">
        <v>586.85</v>
      </c>
      <c r="P1258">
        <v>29.34</v>
      </c>
      <c r="Q1258">
        <v>29.34</v>
      </c>
      <c r="R1258" t="s">
        <v>30</v>
      </c>
      <c r="S1258">
        <v>29</v>
      </c>
      <c r="T1258">
        <v>1</v>
      </c>
      <c r="U1258">
        <v>3</v>
      </c>
      <c r="V1258">
        <v>557.51</v>
      </c>
      <c r="W1258">
        <v>13130001256</v>
      </c>
    </row>
    <row r="1259" spans="1:23" x14ac:dyDescent="0.2">
      <c r="A1259" s="1">
        <v>44795</v>
      </c>
      <c r="B1259" s="2">
        <v>0.37813657407407408</v>
      </c>
      <c r="C1259">
        <v>2257</v>
      </c>
      <c r="D1259">
        <v>13002561</v>
      </c>
      <c r="E1259">
        <v>13</v>
      </c>
      <c r="F1259">
        <v>22589</v>
      </c>
      <c r="G1259" t="s">
        <v>23</v>
      </c>
      <c r="H1259">
        <v>18</v>
      </c>
      <c r="I1259">
        <v>97473</v>
      </c>
      <c r="J1259" t="s">
        <v>64</v>
      </c>
      <c r="K1259" t="s">
        <v>60</v>
      </c>
      <c r="L1259" t="s">
        <v>26</v>
      </c>
      <c r="M1259">
        <v>2</v>
      </c>
      <c r="N1259">
        <v>208.12</v>
      </c>
      <c r="O1259">
        <v>260.85000000000002</v>
      </c>
      <c r="P1259">
        <v>0</v>
      </c>
      <c r="Q1259">
        <v>0</v>
      </c>
      <c r="S1259">
        <v>29</v>
      </c>
      <c r="T1259">
        <v>1</v>
      </c>
      <c r="U1259">
        <v>3</v>
      </c>
      <c r="V1259">
        <v>260.85000000000002</v>
      </c>
      <c r="W1259">
        <v>13130001257</v>
      </c>
    </row>
    <row r="1260" spans="1:23" x14ac:dyDescent="0.2">
      <c r="A1260" s="1">
        <v>44795</v>
      </c>
      <c r="B1260" s="2">
        <v>0.6144560185185185</v>
      </c>
      <c r="C1260">
        <v>2258</v>
      </c>
      <c r="D1260">
        <v>13002561</v>
      </c>
      <c r="E1260">
        <v>13</v>
      </c>
      <c r="F1260">
        <v>22589</v>
      </c>
      <c r="G1260" t="s">
        <v>23</v>
      </c>
      <c r="H1260">
        <v>15</v>
      </c>
      <c r="I1260">
        <v>25965</v>
      </c>
      <c r="J1260" t="s">
        <v>82</v>
      </c>
      <c r="K1260" t="s">
        <v>44</v>
      </c>
      <c r="L1260" t="s">
        <v>47</v>
      </c>
      <c r="M1260">
        <v>1</v>
      </c>
      <c r="N1260">
        <v>556.78</v>
      </c>
      <c r="O1260">
        <v>765.17</v>
      </c>
      <c r="P1260">
        <v>76.52</v>
      </c>
      <c r="Q1260">
        <v>76.52</v>
      </c>
      <c r="R1260" t="s">
        <v>30</v>
      </c>
      <c r="S1260">
        <v>29</v>
      </c>
      <c r="T1260">
        <v>1</v>
      </c>
      <c r="U1260">
        <v>2</v>
      </c>
      <c r="V1260">
        <v>688.65</v>
      </c>
      <c r="W1260">
        <v>13130001258</v>
      </c>
    </row>
    <row r="1261" spans="1:23" x14ac:dyDescent="0.2">
      <c r="A1261" s="1">
        <v>44792</v>
      </c>
      <c r="B1261" s="2">
        <v>0.927337962962963</v>
      </c>
      <c r="C1261">
        <v>2259</v>
      </c>
      <c r="D1261">
        <v>13002561</v>
      </c>
      <c r="E1261">
        <v>13</v>
      </c>
      <c r="F1261">
        <v>22589</v>
      </c>
      <c r="G1261" t="s">
        <v>23</v>
      </c>
      <c r="H1261">
        <v>18</v>
      </c>
      <c r="I1261">
        <v>42338</v>
      </c>
      <c r="J1261" t="s">
        <v>52</v>
      </c>
      <c r="K1261" t="s">
        <v>25</v>
      </c>
      <c r="L1261" t="s">
        <v>39</v>
      </c>
      <c r="M1261">
        <v>2</v>
      </c>
      <c r="N1261">
        <v>85.78</v>
      </c>
      <c r="O1261">
        <v>131.33000000000001</v>
      </c>
      <c r="P1261">
        <v>0</v>
      </c>
      <c r="Q1261">
        <v>0</v>
      </c>
      <c r="S1261">
        <v>29</v>
      </c>
      <c r="T1261">
        <v>1</v>
      </c>
      <c r="U1261">
        <v>2</v>
      </c>
      <c r="V1261">
        <v>131.33000000000001</v>
      </c>
      <c r="W1261">
        <v>13130001259</v>
      </c>
    </row>
    <row r="1262" spans="1:23" x14ac:dyDescent="0.2">
      <c r="A1262" s="1">
        <v>44789</v>
      </c>
      <c r="B1262" s="2">
        <v>0.62072916666666667</v>
      </c>
      <c r="C1262">
        <v>2260</v>
      </c>
      <c r="D1262">
        <v>13002561</v>
      </c>
      <c r="E1262">
        <v>13</v>
      </c>
      <c r="F1262">
        <v>22589</v>
      </c>
      <c r="G1262" t="s">
        <v>23</v>
      </c>
      <c r="H1262">
        <v>18</v>
      </c>
      <c r="I1262">
        <v>38291</v>
      </c>
      <c r="J1262" t="s">
        <v>63</v>
      </c>
      <c r="K1262" t="s">
        <v>25</v>
      </c>
      <c r="L1262" t="s">
        <v>32</v>
      </c>
      <c r="M1262">
        <v>2</v>
      </c>
      <c r="N1262">
        <v>309.07</v>
      </c>
      <c r="O1262">
        <v>453.42</v>
      </c>
      <c r="P1262">
        <v>22.67</v>
      </c>
      <c r="Q1262">
        <v>22.67</v>
      </c>
      <c r="R1262" t="s">
        <v>30</v>
      </c>
      <c r="S1262">
        <v>29</v>
      </c>
      <c r="T1262">
        <v>1</v>
      </c>
      <c r="U1262">
        <v>3</v>
      </c>
      <c r="V1262">
        <v>430.75</v>
      </c>
      <c r="W1262">
        <v>13130001260</v>
      </c>
    </row>
    <row r="1263" spans="1:23" x14ac:dyDescent="0.2">
      <c r="A1263" s="1">
        <v>44795</v>
      </c>
      <c r="B1263" s="2">
        <v>0.45839120370370368</v>
      </c>
      <c r="C1263">
        <v>2261</v>
      </c>
      <c r="D1263">
        <v>13002561</v>
      </c>
      <c r="E1263">
        <v>13</v>
      </c>
      <c r="F1263">
        <v>22589</v>
      </c>
      <c r="G1263" t="s">
        <v>23</v>
      </c>
      <c r="H1263">
        <v>15</v>
      </c>
      <c r="I1263">
        <v>22918</v>
      </c>
      <c r="J1263" t="s">
        <v>74</v>
      </c>
      <c r="K1263" t="s">
        <v>44</v>
      </c>
      <c r="L1263" t="s">
        <v>39</v>
      </c>
      <c r="M1263">
        <v>2</v>
      </c>
      <c r="N1263">
        <v>335.55</v>
      </c>
      <c r="O1263">
        <v>456.62</v>
      </c>
      <c r="P1263">
        <v>22.83</v>
      </c>
      <c r="Q1263">
        <v>22.83</v>
      </c>
      <c r="R1263" t="s">
        <v>30</v>
      </c>
      <c r="S1263">
        <v>29</v>
      </c>
      <c r="T1263">
        <v>1</v>
      </c>
      <c r="U1263">
        <v>5</v>
      </c>
      <c r="V1263">
        <v>433.79</v>
      </c>
      <c r="W1263">
        <v>13130001261</v>
      </c>
    </row>
    <row r="1264" spans="1:23" x14ac:dyDescent="0.2">
      <c r="A1264" s="1">
        <v>44779</v>
      </c>
      <c r="B1264" s="2">
        <v>0.38105324074074082</v>
      </c>
      <c r="C1264">
        <v>2262</v>
      </c>
      <c r="D1264">
        <v>13002561</v>
      </c>
      <c r="E1264">
        <v>13</v>
      </c>
      <c r="F1264">
        <v>22589</v>
      </c>
      <c r="G1264" t="s">
        <v>23</v>
      </c>
      <c r="H1264">
        <v>18</v>
      </c>
      <c r="I1264">
        <v>20010</v>
      </c>
      <c r="J1264" t="s">
        <v>87</v>
      </c>
      <c r="K1264" t="s">
        <v>38</v>
      </c>
      <c r="L1264" t="s">
        <v>36</v>
      </c>
      <c r="M1264">
        <v>1</v>
      </c>
      <c r="N1264">
        <v>98.42</v>
      </c>
      <c r="O1264">
        <v>134.69999999999999</v>
      </c>
      <c r="P1264">
        <v>0</v>
      </c>
      <c r="Q1264">
        <v>0</v>
      </c>
      <c r="S1264">
        <v>29</v>
      </c>
      <c r="T1264">
        <v>1</v>
      </c>
      <c r="U1264">
        <v>6</v>
      </c>
      <c r="V1264">
        <v>134.69999999999999</v>
      </c>
      <c r="W1264">
        <v>13130001262</v>
      </c>
    </row>
    <row r="1265" spans="1:23" x14ac:dyDescent="0.2">
      <c r="A1265" s="1">
        <v>44775</v>
      </c>
      <c r="B1265" s="2">
        <v>0.34659722222222222</v>
      </c>
      <c r="C1265">
        <v>2263</v>
      </c>
      <c r="D1265">
        <v>13002561</v>
      </c>
      <c r="E1265">
        <v>13</v>
      </c>
      <c r="F1265">
        <v>22589</v>
      </c>
      <c r="G1265" t="s">
        <v>23</v>
      </c>
      <c r="H1265">
        <v>15</v>
      </c>
      <c r="I1265">
        <v>83266</v>
      </c>
      <c r="J1265" t="s">
        <v>46</v>
      </c>
      <c r="K1265" t="s">
        <v>28</v>
      </c>
      <c r="L1265" t="s">
        <v>32</v>
      </c>
      <c r="M1265">
        <v>1</v>
      </c>
      <c r="N1265">
        <v>176.83</v>
      </c>
      <c r="O1265">
        <v>222.84</v>
      </c>
      <c r="P1265">
        <v>0</v>
      </c>
      <c r="Q1265">
        <v>0</v>
      </c>
      <c r="S1265">
        <v>29</v>
      </c>
      <c r="T1265">
        <v>1</v>
      </c>
      <c r="U1265">
        <v>2</v>
      </c>
      <c r="V1265">
        <v>222.84</v>
      </c>
      <c r="W1265">
        <v>13130001263</v>
      </c>
    </row>
    <row r="1266" spans="1:23" x14ac:dyDescent="0.2">
      <c r="A1266" s="1">
        <v>44794</v>
      </c>
      <c r="B1266" s="2">
        <v>0.55768518518518517</v>
      </c>
      <c r="C1266">
        <v>2264</v>
      </c>
      <c r="D1266">
        <v>13002561</v>
      </c>
      <c r="E1266">
        <v>13</v>
      </c>
      <c r="F1266">
        <v>22589</v>
      </c>
      <c r="G1266" t="s">
        <v>23</v>
      </c>
      <c r="H1266">
        <v>18</v>
      </c>
      <c r="I1266">
        <v>78441</v>
      </c>
      <c r="J1266" t="s">
        <v>75</v>
      </c>
      <c r="K1266" t="s">
        <v>38</v>
      </c>
      <c r="L1266" t="s">
        <v>51</v>
      </c>
      <c r="M1266">
        <v>2</v>
      </c>
      <c r="N1266">
        <v>478.78</v>
      </c>
      <c r="O1266">
        <v>614.96</v>
      </c>
      <c r="P1266">
        <v>61.5</v>
      </c>
      <c r="Q1266">
        <v>61.5</v>
      </c>
      <c r="R1266" t="s">
        <v>30</v>
      </c>
      <c r="S1266">
        <v>29</v>
      </c>
      <c r="T1266">
        <v>1</v>
      </c>
      <c r="U1266">
        <v>1</v>
      </c>
      <c r="V1266">
        <v>553.46</v>
      </c>
      <c r="W1266">
        <v>13130001264</v>
      </c>
    </row>
    <row r="1267" spans="1:23" x14ac:dyDescent="0.2">
      <c r="A1267" s="1">
        <v>44786</v>
      </c>
      <c r="B1267" s="2">
        <v>0.48375000000000001</v>
      </c>
      <c r="C1267">
        <v>2265</v>
      </c>
      <c r="D1267">
        <v>13002561</v>
      </c>
      <c r="E1267">
        <v>13</v>
      </c>
      <c r="F1267">
        <v>22589</v>
      </c>
      <c r="G1267" t="s">
        <v>23</v>
      </c>
      <c r="H1267">
        <v>18</v>
      </c>
      <c r="I1267">
        <v>34086</v>
      </c>
      <c r="J1267" t="s">
        <v>128</v>
      </c>
      <c r="K1267" t="s">
        <v>45</v>
      </c>
      <c r="L1267" t="s">
        <v>36</v>
      </c>
      <c r="M1267">
        <v>3</v>
      </c>
      <c r="N1267">
        <v>166.25</v>
      </c>
      <c r="O1267">
        <v>225.21</v>
      </c>
      <c r="P1267">
        <v>11.26</v>
      </c>
      <c r="Q1267">
        <v>11.26</v>
      </c>
      <c r="R1267" t="s">
        <v>30</v>
      </c>
      <c r="S1267">
        <v>29</v>
      </c>
      <c r="T1267">
        <v>1</v>
      </c>
      <c r="U1267">
        <v>4</v>
      </c>
      <c r="V1267">
        <v>213.95</v>
      </c>
      <c r="W1267">
        <v>13130001265</v>
      </c>
    </row>
    <row r="1268" spans="1:23" x14ac:dyDescent="0.2">
      <c r="A1268" s="1">
        <v>44799</v>
      </c>
      <c r="B1268" s="2">
        <v>0.78332175925925929</v>
      </c>
      <c r="C1268">
        <v>2266</v>
      </c>
      <c r="D1268">
        <v>13002561</v>
      </c>
      <c r="E1268">
        <v>13</v>
      </c>
      <c r="F1268">
        <v>22589</v>
      </c>
      <c r="G1268" t="s">
        <v>23</v>
      </c>
      <c r="H1268">
        <v>15</v>
      </c>
      <c r="I1268">
        <v>97985</v>
      </c>
      <c r="J1268" t="s">
        <v>62</v>
      </c>
      <c r="K1268" t="s">
        <v>38</v>
      </c>
      <c r="L1268" t="s">
        <v>29</v>
      </c>
      <c r="M1268">
        <v>2</v>
      </c>
      <c r="N1268">
        <v>404.69</v>
      </c>
      <c r="O1268">
        <v>556.80999999999995</v>
      </c>
      <c r="P1268">
        <v>27.84</v>
      </c>
      <c r="Q1268">
        <v>27.84</v>
      </c>
      <c r="R1268" t="s">
        <v>30</v>
      </c>
      <c r="S1268">
        <v>29</v>
      </c>
      <c r="T1268">
        <v>1</v>
      </c>
      <c r="U1268">
        <v>3</v>
      </c>
      <c r="V1268">
        <v>528.97</v>
      </c>
      <c r="W1268">
        <v>13130001266</v>
      </c>
    </row>
    <row r="1269" spans="1:23" x14ac:dyDescent="0.2">
      <c r="A1269" s="1">
        <v>44778</v>
      </c>
      <c r="B1269" s="2">
        <v>0.82409722222222226</v>
      </c>
      <c r="C1269">
        <v>2267</v>
      </c>
      <c r="D1269">
        <v>13002561</v>
      </c>
      <c r="E1269">
        <v>13</v>
      </c>
      <c r="F1269">
        <v>22589</v>
      </c>
      <c r="G1269" t="s">
        <v>23</v>
      </c>
      <c r="H1269">
        <v>18</v>
      </c>
      <c r="I1269">
        <v>50011</v>
      </c>
      <c r="J1269" t="s">
        <v>43</v>
      </c>
      <c r="K1269" t="s">
        <v>44</v>
      </c>
      <c r="L1269" t="s">
        <v>34</v>
      </c>
      <c r="M1269">
        <v>3</v>
      </c>
      <c r="N1269">
        <v>341.56</v>
      </c>
      <c r="O1269">
        <v>466.42</v>
      </c>
      <c r="P1269">
        <v>46.64</v>
      </c>
      <c r="Q1269">
        <v>46.64</v>
      </c>
      <c r="R1269" t="s">
        <v>30</v>
      </c>
      <c r="S1269">
        <v>29</v>
      </c>
      <c r="T1269">
        <v>1</v>
      </c>
      <c r="U1269">
        <v>6</v>
      </c>
      <c r="V1269">
        <v>419.78</v>
      </c>
      <c r="W1269">
        <v>13130001267</v>
      </c>
    </row>
    <row r="1270" spans="1:23" x14ac:dyDescent="0.2">
      <c r="A1270" s="1">
        <v>44782</v>
      </c>
      <c r="B1270" s="2">
        <v>0.82800925925925928</v>
      </c>
      <c r="C1270">
        <v>2268</v>
      </c>
      <c r="D1270">
        <v>13002561</v>
      </c>
      <c r="E1270">
        <v>13</v>
      </c>
      <c r="F1270">
        <v>22589</v>
      </c>
      <c r="G1270" t="s">
        <v>23</v>
      </c>
      <c r="H1270">
        <v>18</v>
      </c>
      <c r="I1270">
        <v>24690</v>
      </c>
      <c r="J1270" t="s">
        <v>76</v>
      </c>
      <c r="K1270" t="s">
        <v>45</v>
      </c>
      <c r="L1270" t="s">
        <v>36</v>
      </c>
      <c r="M1270">
        <v>1</v>
      </c>
      <c r="N1270">
        <v>322.54000000000002</v>
      </c>
      <c r="O1270">
        <v>489.41</v>
      </c>
      <c r="P1270">
        <v>0</v>
      </c>
      <c r="Q1270">
        <v>0</v>
      </c>
      <c r="S1270">
        <v>29</v>
      </c>
      <c r="T1270">
        <v>1</v>
      </c>
      <c r="U1270">
        <v>3</v>
      </c>
      <c r="V1270">
        <v>489.41</v>
      </c>
      <c r="W1270">
        <v>13130001268</v>
      </c>
    </row>
    <row r="1271" spans="1:23" x14ac:dyDescent="0.2">
      <c r="A1271" s="1">
        <v>44802</v>
      </c>
      <c r="B1271" s="2">
        <v>0.62822916666666662</v>
      </c>
      <c r="C1271">
        <v>2269</v>
      </c>
      <c r="D1271">
        <v>13002561</v>
      </c>
      <c r="E1271">
        <v>13</v>
      </c>
      <c r="F1271">
        <v>22589</v>
      </c>
      <c r="G1271" t="s">
        <v>23</v>
      </c>
      <c r="H1271">
        <v>15</v>
      </c>
      <c r="I1271">
        <v>96906</v>
      </c>
      <c r="J1271" t="s">
        <v>42</v>
      </c>
      <c r="K1271" t="s">
        <v>25</v>
      </c>
      <c r="L1271" t="s">
        <v>47</v>
      </c>
      <c r="M1271">
        <v>2</v>
      </c>
      <c r="N1271">
        <v>537.57000000000005</v>
      </c>
      <c r="O1271">
        <v>805.13</v>
      </c>
      <c r="P1271">
        <v>40.26</v>
      </c>
      <c r="Q1271">
        <v>40.26</v>
      </c>
      <c r="R1271" t="s">
        <v>30</v>
      </c>
      <c r="S1271">
        <v>29</v>
      </c>
      <c r="T1271">
        <v>1</v>
      </c>
      <c r="U1271">
        <v>4</v>
      </c>
      <c r="V1271">
        <v>764.87</v>
      </c>
      <c r="W1271">
        <v>13130001269</v>
      </c>
    </row>
    <row r="1272" spans="1:23" x14ac:dyDescent="0.2">
      <c r="A1272" s="1">
        <v>44779</v>
      </c>
      <c r="B1272" s="2">
        <v>0.79484953703703709</v>
      </c>
      <c r="C1272">
        <v>2270</v>
      </c>
      <c r="D1272">
        <v>13002561</v>
      </c>
      <c r="E1272">
        <v>13</v>
      </c>
      <c r="F1272">
        <v>22589</v>
      </c>
      <c r="G1272" t="s">
        <v>23</v>
      </c>
      <c r="H1272">
        <v>18</v>
      </c>
      <c r="I1272">
        <v>10335</v>
      </c>
      <c r="J1272" t="s">
        <v>96</v>
      </c>
      <c r="K1272" t="s">
        <v>60</v>
      </c>
      <c r="L1272" t="s">
        <v>36</v>
      </c>
      <c r="M1272">
        <v>1</v>
      </c>
      <c r="N1272">
        <v>199.04</v>
      </c>
      <c r="O1272">
        <v>287.61</v>
      </c>
      <c r="P1272">
        <v>14.38</v>
      </c>
      <c r="Q1272">
        <v>14.38</v>
      </c>
      <c r="R1272" t="s">
        <v>30</v>
      </c>
      <c r="S1272">
        <v>29</v>
      </c>
      <c r="T1272">
        <v>1</v>
      </c>
      <c r="U1272">
        <v>2</v>
      </c>
      <c r="V1272">
        <v>273.23</v>
      </c>
      <c r="W1272">
        <v>13130001270</v>
      </c>
    </row>
    <row r="1273" spans="1:23" x14ac:dyDescent="0.2">
      <c r="A1273" s="1">
        <v>44803</v>
      </c>
      <c r="B1273" s="2">
        <v>0.37910879629629629</v>
      </c>
      <c r="C1273">
        <v>2271</v>
      </c>
      <c r="D1273">
        <v>13002561</v>
      </c>
      <c r="E1273">
        <v>13</v>
      </c>
      <c r="F1273">
        <v>22589</v>
      </c>
      <c r="G1273" t="s">
        <v>23</v>
      </c>
      <c r="H1273">
        <v>18</v>
      </c>
      <c r="I1273">
        <v>83392</v>
      </c>
      <c r="J1273" t="s">
        <v>92</v>
      </c>
      <c r="K1273" t="s">
        <v>44</v>
      </c>
      <c r="L1273" t="s">
        <v>39</v>
      </c>
      <c r="M1273">
        <v>3</v>
      </c>
      <c r="N1273">
        <v>297.86</v>
      </c>
      <c r="O1273">
        <v>501.57</v>
      </c>
      <c r="P1273">
        <v>50.16</v>
      </c>
      <c r="Q1273">
        <v>50.16</v>
      </c>
      <c r="R1273" t="s">
        <v>30</v>
      </c>
      <c r="S1273">
        <v>29</v>
      </c>
      <c r="T1273">
        <v>1</v>
      </c>
      <c r="U1273">
        <v>5</v>
      </c>
      <c r="V1273">
        <v>451.41</v>
      </c>
      <c r="W1273">
        <v>13130001271</v>
      </c>
    </row>
    <row r="1274" spans="1:23" x14ac:dyDescent="0.2">
      <c r="A1274" s="1">
        <v>44775</v>
      </c>
      <c r="B1274" s="2">
        <v>0.33780092592592592</v>
      </c>
      <c r="C1274">
        <v>2272</v>
      </c>
      <c r="D1274">
        <v>13002561</v>
      </c>
      <c r="E1274">
        <v>13</v>
      </c>
      <c r="F1274">
        <v>22589</v>
      </c>
      <c r="G1274" t="s">
        <v>23</v>
      </c>
      <c r="H1274">
        <v>15</v>
      </c>
      <c r="I1274">
        <v>77445</v>
      </c>
      <c r="J1274" t="s">
        <v>88</v>
      </c>
      <c r="K1274" t="s">
        <v>60</v>
      </c>
      <c r="L1274" t="s">
        <v>29</v>
      </c>
      <c r="M1274">
        <v>2</v>
      </c>
      <c r="N1274">
        <v>66.31</v>
      </c>
      <c r="O1274">
        <v>84.96</v>
      </c>
      <c r="P1274">
        <v>4.25</v>
      </c>
      <c r="Q1274">
        <v>4.25</v>
      </c>
      <c r="R1274" t="s">
        <v>30</v>
      </c>
      <c r="S1274">
        <v>29</v>
      </c>
      <c r="T1274">
        <v>1</v>
      </c>
      <c r="U1274">
        <v>2</v>
      </c>
      <c r="V1274">
        <v>80.709999999999994</v>
      </c>
      <c r="W1274">
        <v>13130001272</v>
      </c>
    </row>
    <row r="1275" spans="1:23" x14ac:dyDescent="0.2">
      <c r="A1275" s="1">
        <v>44802</v>
      </c>
      <c r="B1275" s="2">
        <v>0.35524305555555558</v>
      </c>
      <c r="C1275">
        <v>2273</v>
      </c>
      <c r="D1275">
        <v>13002561</v>
      </c>
      <c r="E1275">
        <v>13</v>
      </c>
      <c r="F1275">
        <v>22589</v>
      </c>
      <c r="G1275" t="s">
        <v>23</v>
      </c>
      <c r="H1275">
        <v>18</v>
      </c>
      <c r="I1275">
        <v>45953</v>
      </c>
      <c r="J1275" t="s">
        <v>69</v>
      </c>
      <c r="K1275" t="s">
        <v>60</v>
      </c>
      <c r="L1275" t="s">
        <v>47</v>
      </c>
      <c r="M1275">
        <v>3</v>
      </c>
      <c r="N1275">
        <v>409.44</v>
      </c>
      <c r="O1275">
        <v>694.34</v>
      </c>
      <c r="P1275">
        <v>34.72</v>
      </c>
      <c r="Q1275">
        <v>34.72</v>
      </c>
      <c r="R1275" t="s">
        <v>30</v>
      </c>
      <c r="S1275">
        <v>29</v>
      </c>
      <c r="T1275">
        <v>1</v>
      </c>
      <c r="U1275">
        <v>6</v>
      </c>
      <c r="V1275">
        <v>659.62</v>
      </c>
      <c r="W1275">
        <v>13130001273</v>
      </c>
    </row>
    <row r="1276" spans="1:23" x14ac:dyDescent="0.2">
      <c r="A1276" s="1">
        <v>44780</v>
      </c>
      <c r="B1276" s="2">
        <v>0.48311342592592588</v>
      </c>
      <c r="C1276">
        <v>2274</v>
      </c>
      <c r="D1276">
        <v>13002561</v>
      </c>
      <c r="E1276">
        <v>13</v>
      </c>
      <c r="F1276">
        <v>22589</v>
      </c>
      <c r="G1276" t="s">
        <v>23</v>
      </c>
      <c r="H1276">
        <v>18</v>
      </c>
      <c r="I1276">
        <v>22692</v>
      </c>
      <c r="J1276" t="s">
        <v>80</v>
      </c>
      <c r="K1276" t="s">
        <v>25</v>
      </c>
      <c r="L1276" t="s">
        <v>29</v>
      </c>
      <c r="M1276">
        <v>2</v>
      </c>
      <c r="N1276">
        <v>245.85</v>
      </c>
      <c r="O1276">
        <v>401.9</v>
      </c>
      <c r="P1276">
        <v>0</v>
      </c>
      <c r="Q1276">
        <v>0</v>
      </c>
      <c r="S1276">
        <v>29</v>
      </c>
      <c r="T1276">
        <v>1</v>
      </c>
      <c r="U1276">
        <v>4</v>
      </c>
      <c r="V1276">
        <v>401.9</v>
      </c>
      <c r="W1276">
        <v>13130001274</v>
      </c>
    </row>
    <row r="1277" spans="1:23" x14ac:dyDescent="0.2">
      <c r="A1277" s="1">
        <v>44780</v>
      </c>
      <c r="B1277" s="2">
        <v>0.86575231481481485</v>
      </c>
      <c r="C1277">
        <v>2275</v>
      </c>
      <c r="D1277">
        <v>13002561</v>
      </c>
      <c r="E1277">
        <v>13</v>
      </c>
      <c r="F1277">
        <v>22589</v>
      </c>
      <c r="G1277" t="s">
        <v>23</v>
      </c>
      <c r="H1277">
        <v>18</v>
      </c>
      <c r="I1277">
        <v>62407</v>
      </c>
      <c r="J1277" t="s">
        <v>42</v>
      </c>
      <c r="K1277" t="s">
        <v>38</v>
      </c>
      <c r="L1277" t="s">
        <v>47</v>
      </c>
      <c r="M1277">
        <v>3</v>
      </c>
      <c r="N1277">
        <v>461.78</v>
      </c>
      <c r="O1277">
        <v>672.9</v>
      </c>
      <c r="P1277">
        <v>33.65</v>
      </c>
      <c r="Q1277">
        <v>33.65</v>
      </c>
      <c r="R1277" t="s">
        <v>30</v>
      </c>
      <c r="S1277">
        <v>29</v>
      </c>
      <c r="T1277">
        <v>1</v>
      </c>
      <c r="U1277">
        <v>2</v>
      </c>
      <c r="V1277">
        <v>639.25</v>
      </c>
      <c r="W1277">
        <v>13130001275</v>
      </c>
    </row>
    <row r="1278" spans="1:23" x14ac:dyDescent="0.2">
      <c r="A1278" s="1">
        <v>44781</v>
      </c>
      <c r="B1278" s="2">
        <v>0.84863425925925928</v>
      </c>
      <c r="C1278">
        <v>2276</v>
      </c>
      <c r="D1278">
        <v>13002561</v>
      </c>
      <c r="E1278">
        <v>13</v>
      </c>
      <c r="F1278">
        <v>22589</v>
      </c>
      <c r="G1278" t="s">
        <v>23</v>
      </c>
      <c r="H1278">
        <v>15</v>
      </c>
      <c r="I1278">
        <v>99011</v>
      </c>
      <c r="J1278" t="s">
        <v>88</v>
      </c>
      <c r="K1278" t="s">
        <v>44</v>
      </c>
      <c r="L1278" t="s">
        <v>51</v>
      </c>
      <c r="M1278">
        <v>3</v>
      </c>
      <c r="N1278">
        <v>272.45</v>
      </c>
      <c r="O1278">
        <v>414.91</v>
      </c>
      <c r="P1278">
        <v>41.49</v>
      </c>
      <c r="Q1278">
        <v>41.49</v>
      </c>
      <c r="R1278" t="s">
        <v>30</v>
      </c>
      <c r="S1278">
        <v>29</v>
      </c>
      <c r="T1278">
        <v>1</v>
      </c>
      <c r="U1278">
        <v>3</v>
      </c>
      <c r="V1278">
        <v>373.42</v>
      </c>
      <c r="W1278">
        <v>13130001276</v>
      </c>
    </row>
    <row r="1279" spans="1:23" x14ac:dyDescent="0.2">
      <c r="A1279" s="1">
        <v>44801</v>
      </c>
      <c r="B1279" s="2">
        <v>0.49435185185185188</v>
      </c>
      <c r="C1279">
        <v>2277</v>
      </c>
      <c r="D1279">
        <v>13002561</v>
      </c>
      <c r="E1279">
        <v>13</v>
      </c>
      <c r="F1279">
        <v>22589</v>
      </c>
      <c r="G1279" t="s">
        <v>23</v>
      </c>
      <c r="H1279">
        <v>18</v>
      </c>
      <c r="I1279">
        <v>75750</v>
      </c>
      <c r="J1279" t="s">
        <v>57</v>
      </c>
      <c r="K1279" t="s">
        <v>60</v>
      </c>
      <c r="L1279" t="s">
        <v>47</v>
      </c>
      <c r="M1279">
        <v>3</v>
      </c>
      <c r="N1279">
        <v>41.16</v>
      </c>
      <c r="O1279">
        <v>61.39</v>
      </c>
      <c r="P1279">
        <v>6.14</v>
      </c>
      <c r="Q1279">
        <v>6.14</v>
      </c>
      <c r="R1279" t="s">
        <v>30</v>
      </c>
      <c r="S1279">
        <v>29</v>
      </c>
      <c r="T1279">
        <v>1</v>
      </c>
      <c r="U1279">
        <v>3</v>
      </c>
      <c r="V1279">
        <v>55.25</v>
      </c>
      <c r="W1279">
        <v>13130001277</v>
      </c>
    </row>
    <row r="1280" spans="1:23" x14ac:dyDescent="0.2">
      <c r="A1280" s="1">
        <v>44787</v>
      </c>
      <c r="B1280" s="2">
        <v>0.52280092592592597</v>
      </c>
      <c r="C1280">
        <v>2278</v>
      </c>
      <c r="D1280">
        <v>13002561</v>
      </c>
      <c r="E1280">
        <v>13</v>
      </c>
      <c r="F1280">
        <v>22589</v>
      </c>
      <c r="G1280" t="s">
        <v>23</v>
      </c>
      <c r="H1280">
        <v>15</v>
      </c>
      <c r="I1280">
        <v>57499</v>
      </c>
      <c r="J1280" t="s">
        <v>50</v>
      </c>
      <c r="K1280" t="s">
        <v>44</v>
      </c>
      <c r="L1280" t="s">
        <v>51</v>
      </c>
      <c r="M1280">
        <v>2</v>
      </c>
      <c r="N1280">
        <v>263.04000000000002</v>
      </c>
      <c r="O1280">
        <v>359.9</v>
      </c>
      <c r="P1280">
        <v>35.99</v>
      </c>
      <c r="Q1280">
        <v>35.99</v>
      </c>
      <c r="R1280" t="s">
        <v>30</v>
      </c>
      <c r="S1280">
        <v>29</v>
      </c>
      <c r="T1280">
        <v>1</v>
      </c>
      <c r="U1280">
        <v>3</v>
      </c>
      <c r="V1280">
        <v>323.91000000000003</v>
      </c>
      <c r="W1280">
        <v>13130001278</v>
      </c>
    </row>
    <row r="1281" spans="1:23" x14ac:dyDescent="0.2">
      <c r="A1281" s="1">
        <v>44779</v>
      </c>
      <c r="B1281" s="2">
        <v>0.4039699074074074</v>
      </c>
      <c r="C1281">
        <v>2279</v>
      </c>
      <c r="D1281">
        <v>13002561</v>
      </c>
      <c r="E1281">
        <v>13</v>
      </c>
      <c r="F1281">
        <v>22589</v>
      </c>
      <c r="G1281" t="s">
        <v>23</v>
      </c>
      <c r="H1281">
        <v>18</v>
      </c>
      <c r="I1281">
        <v>12421</v>
      </c>
      <c r="J1281" t="s">
        <v>61</v>
      </c>
      <c r="K1281" t="s">
        <v>38</v>
      </c>
      <c r="L1281" t="s">
        <v>32</v>
      </c>
      <c r="M1281">
        <v>1</v>
      </c>
      <c r="N1281">
        <v>574.82000000000005</v>
      </c>
      <c r="O1281">
        <v>909.28</v>
      </c>
      <c r="P1281">
        <v>0</v>
      </c>
      <c r="Q1281">
        <v>0</v>
      </c>
      <c r="S1281">
        <v>29</v>
      </c>
      <c r="T1281">
        <v>1</v>
      </c>
      <c r="U1281">
        <v>6</v>
      </c>
      <c r="V1281">
        <v>909.28</v>
      </c>
      <c r="W1281">
        <v>13130001279</v>
      </c>
    </row>
    <row r="1282" spans="1:23" x14ac:dyDescent="0.2">
      <c r="A1282" s="1">
        <v>44776</v>
      </c>
      <c r="B1282" s="2">
        <v>0.95657407407407402</v>
      </c>
      <c r="C1282">
        <v>2280</v>
      </c>
      <c r="D1282">
        <v>13002561</v>
      </c>
      <c r="E1282">
        <v>13</v>
      </c>
      <c r="F1282">
        <v>22589</v>
      </c>
      <c r="G1282" t="s">
        <v>23</v>
      </c>
      <c r="H1282">
        <v>15</v>
      </c>
      <c r="I1282">
        <v>32906</v>
      </c>
      <c r="J1282" t="s">
        <v>123</v>
      </c>
      <c r="K1282" t="s">
        <v>38</v>
      </c>
      <c r="L1282" t="s">
        <v>32</v>
      </c>
      <c r="M1282">
        <v>2</v>
      </c>
      <c r="N1282">
        <v>271.14</v>
      </c>
      <c r="O1282">
        <v>411.7</v>
      </c>
      <c r="P1282">
        <v>20.59</v>
      </c>
      <c r="Q1282">
        <v>20.59</v>
      </c>
      <c r="R1282" t="s">
        <v>30</v>
      </c>
      <c r="S1282">
        <v>29</v>
      </c>
      <c r="T1282">
        <v>1</v>
      </c>
      <c r="U1282">
        <v>5</v>
      </c>
      <c r="V1282">
        <v>391.11</v>
      </c>
      <c r="W1282">
        <v>13130001280</v>
      </c>
    </row>
    <row r="1283" spans="1:23" x14ac:dyDescent="0.2">
      <c r="A1283" s="1">
        <v>44794</v>
      </c>
      <c r="B1283" s="2">
        <v>0.76771990740740736</v>
      </c>
      <c r="C1283">
        <v>2281</v>
      </c>
      <c r="D1283">
        <v>13002561</v>
      </c>
      <c r="E1283">
        <v>13</v>
      </c>
      <c r="F1283">
        <v>22589</v>
      </c>
      <c r="G1283" t="s">
        <v>23</v>
      </c>
      <c r="H1283">
        <v>15</v>
      </c>
      <c r="I1283">
        <v>78854</v>
      </c>
      <c r="J1283" t="s">
        <v>108</v>
      </c>
      <c r="K1283" t="s">
        <v>44</v>
      </c>
      <c r="L1283" t="s">
        <v>34</v>
      </c>
      <c r="M1283">
        <v>3</v>
      </c>
      <c r="N1283">
        <v>101.26</v>
      </c>
      <c r="O1283">
        <v>163.46</v>
      </c>
      <c r="P1283">
        <v>16.350000000000001</v>
      </c>
      <c r="Q1283">
        <v>16.350000000000001</v>
      </c>
      <c r="R1283" t="s">
        <v>30</v>
      </c>
      <c r="S1283">
        <v>29</v>
      </c>
      <c r="T1283">
        <v>1</v>
      </c>
      <c r="U1283">
        <v>6</v>
      </c>
      <c r="V1283">
        <v>147.11000000000001</v>
      </c>
      <c r="W1283">
        <v>13130001281</v>
      </c>
    </row>
    <row r="1284" spans="1:23" x14ac:dyDescent="0.2">
      <c r="A1284" s="1">
        <v>44795</v>
      </c>
      <c r="B1284" s="2">
        <v>0.42910879629629628</v>
      </c>
      <c r="C1284">
        <v>2282</v>
      </c>
      <c r="D1284">
        <v>13002561</v>
      </c>
      <c r="E1284">
        <v>13</v>
      </c>
      <c r="F1284">
        <v>22589</v>
      </c>
      <c r="G1284" t="s">
        <v>23</v>
      </c>
      <c r="H1284">
        <v>18</v>
      </c>
      <c r="I1284">
        <v>44526</v>
      </c>
      <c r="J1284" t="s">
        <v>74</v>
      </c>
      <c r="K1284" t="s">
        <v>45</v>
      </c>
      <c r="L1284" t="s">
        <v>26</v>
      </c>
      <c r="M1284">
        <v>3</v>
      </c>
      <c r="N1284">
        <v>51.56</v>
      </c>
      <c r="O1284">
        <v>72.569999999999993</v>
      </c>
      <c r="P1284">
        <v>3.63</v>
      </c>
      <c r="Q1284">
        <v>3.63</v>
      </c>
      <c r="R1284" t="s">
        <v>30</v>
      </c>
      <c r="S1284">
        <v>29</v>
      </c>
      <c r="T1284">
        <v>1</v>
      </c>
      <c r="U1284">
        <v>6</v>
      </c>
      <c r="V1284">
        <v>68.94</v>
      </c>
      <c r="W1284">
        <v>13130001282</v>
      </c>
    </row>
    <row r="1285" spans="1:23" x14ac:dyDescent="0.2">
      <c r="A1285" s="1">
        <v>44791</v>
      </c>
      <c r="B1285" s="2">
        <v>0.60355324074074079</v>
      </c>
      <c r="C1285">
        <v>2283</v>
      </c>
      <c r="D1285">
        <v>13002561</v>
      </c>
      <c r="E1285">
        <v>13</v>
      </c>
      <c r="F1285">
        <v>22589</v>
      </c>
      <c r="G1285" t="s">
        <v>23</v>
      </c>
      <c r="H1285">
        <v>18</v>
      </c>
      <c r="I1285">
        <v>42197</v>
      </c>
      <c r="J1285" t="s">
        <v>69</v>
      </c>
      <c r="K1285" t="s">
        <v>38</v>
      </c>
      <c r="L1285" t="s">
        <v>47</v>
      </c>
      <c r="M1285">
        <v>1</v>
      </c>
      <c r="N1285">
        <v>32.270000000000003</v>
      </c>
      <c r="O1285">
        <v>46.37</v>
      </c>
      <c r="P1285">
        <v>4.6399999999999997</v>
      </c>
      <c r="Q1285">
        <v>4.6399999999999997</v>
      </c>
      <c r="R1285" t="s">
        <v>30</v>
      </c>
      <c r="S1285">
        <v>29</v>
      </c>
      <c r="T1285">
        <v>1</v>
      </c>
      <c r="U1285">
        <v>6</v>
      </c>
      <c r="V1285">
        <v>41.73</v>
      </c>
      <c r="W1285">
        <v>13130001283</v>
      </c>
    </row>
    <row r="1286" spans="1:23" x14ac:dyDescent="0.2">
      <c r="A1286" s="1">
        <v>44798</v>
      </c>
      <c r="B1286" s="2">
        <v>0.92914351851851851</v>
      </c>
      <c r="C1286">
        <v>2284</v>
      </c>
      <c r="D1286">
        <v>13002561</v>
      </c>
      <c r="E1286">
        <v>13</v>
      </c>
      <c r="F1286">
        <v>22589</v>
      </c>
      <c r="G1286" t="s">
        <v>23</v>
      </c>
      <c r="H1286">
        <v>18</v>
      </c>
      <c r="I1286">
        <v>84410</v>
      </c>
      <c r="J1286" t="s">
        <v>50</v>
      </c>
      <c r="K1286" t="s">
        <v>60</v>
      </c>
      <c r="L1286" t="s">
        <v>51</v>
      </c>
      <c r="M1286">
        <v>3</v>
      </c>
      <c r="N1286">
        <v>184.93</v>
      </c>
      <c r="O1286">
        <v>263.95</v>
      </c>
      <c r="P1286">
        <v>0</v>
      </c>
      <c r="Q1286">
        <v>0</v>
      </c>
      <c r="S1286">
        <v>29</v>
      </c>
      <c r="T1286">
        <v>1</v>
      </c>
      <c r="U1286">
        <v>6</v>
      </c>
      <c r="V1286">
        <v>263.95</v>
      </c>
      <c r="W1286">
        <v>13130001284</v>
      </c>
    </row>
    <row r="1287" spans="1:23" x14ac:dyDescent="0.2">
      <c r="A1287" s="1">
        <v>44783</v>
      </c>
      <c r="B1287" s="2">
        <v>0.77252314814814815</v>
      </c>
      <c r="C1287">
        <v>2285</v>
      </c>
      <c r="D1287">
        <v>13002561</v>
      </c>
      <c r="E1287">
        <v>13</v>
      </c>
      <c r="F1287">
        <v>22589</v>
      </c>
      <c r="G1287" t="s">
        <v>23</v>
      </c>
      <c r="H1287">
        <v>15</v>
      </c>
      <c r="I1287">
        <v>19728</v>
      </c>
      <c r="J1287" t="s">
        <v>68</v>
      </c>
      <c r="K1287" t="s">
        <v>44</v>
      </c>
      <c r="L1287" t="s">
        <v>51</v>
      </c>
      <c r="M1287">
        <v>3</v>
      </c>
      <c r="N1287">
        <v>534.03</v>
      </c>
      <c r="O1287">
        <v>856.2</v>
      </c>
      <c r="P1287">
        <v>85.62</v>
      </c>
      <c r="Q1287">
        <v>85.62</v>
      </c>
      <c r="R1287" t="s">
        <v>30</v>
      </c>
      <c r="S1287">
        <v>29</v>
      </c>
      <c r="T1287">
        <v>1</v>
      </c>
      <c r="U1287">
        <v>1</v>
      </c>
      <c r="V1287">
        <v>770.58</v>
      </c>
      <c r="W1287">
        <v>13130001285</v>
      </c>
    </row>
    <row r="1288" spans="1:23" x14ac:dyDescent="0.2">
      <c r="A1288" s="1">
        <v>44789</v>
      </c>
      <c r="B1288" s="2">
        <v>0.73486111111111108</v>
      </c>
      <c r="C1288">
        <v>2286</v>
      </c>
      <c r="D1288">
        <v>13002561</v>
      </c>
      <c r="E1288">
        <v>13</v>
      </c>
      <c r="F1288">
        <v>22589</v>
      </c>
      <c r="G1288" t="s">
        <v>23</v>
      </c>
      <c r="H1288">
        <v>15</v>
      </c>
      <c r="I1288">
        <v>24569</v>
      </c>
      <c r="J1288" t="s">
        <v>43</v>
      </c>
      <c r="K1288" t="s">
        <v>60</v>
      </c>
      <c r="L1288" t="s">
        <v>32</v>
      </c>
      <c r="M1288">
        <v>2</v>
      </c>
      <c r="N1288">
        <v>334.84</v>
      </c>
      <c r="O1288">
        <v>421.47</v>
      </c>
      <c r="P1288">
        <v>42.15</v>
      </c>
      <c r="Q1288">
        <v>42.15</v>
      </c>
      <c r="R1288" t="s">
        <v>30</v>
      </c>
      <c r="S1288">
        <v>29</v>
      </c>
      <c r="T1288">
        <v>1</v>
      </c>
      <c r="U1288">
        <v>4</v>
      </c>
      <c r="V1288">
        <v>379.32</v>
      </c>
      <c r="W1288">
        <v>13130001286</v>
      </c>
    </row>
    <row r="1289" spans="1:23" x14ac:dyDescent="0.2">
      <c r="A1289" s="1">
        <v>44798</v>
      </c>
      <c r="B1289" s="2">
        <v>0.8696990740740741</v>
      </c>
      <c r="C1289">
        <v>2287</v>
      </c>
      <c r="D1289">
        <v>13002561</v>
      </c>
      <c r="E1289">
        <v>13</v>
      </c>
      <c r="F1289">
        <v>22589</v>
      </c>
      <c r="G1289" t="s">
        <v>23</v>
      </c>
      <c r="H1289">
        <v>18</v>
      </c>
      <c r="I1289">
        <v>43970</v>
      </c>
      <c r="J1289" t="s">
        <v>89</v>
      </c>
      <c r="K1289" t="s">
        <v>25</v>
      </c>
      <c r="L1289" t="s">
        <v>26</v>
      </c>
      <c r="M1289">
        <v>2</v>
      </c>
      <c r="N1289">
        <v>320.26</v>
      </c>
      <c r="O1289">
        <v>441.05</v>
      </c>
      <c r="P1289">
        <v>22.05</v>
      </c>
      <c r="Q1289">
        <v>22.05</v>
      </c>
      <c r="R1289" t="s">
        <v>30</v>
      </c>
      <c r="S1289">
        <v>29</v>
      </c>
      <c r="T1289">
        <v>1</v>
      </c>
      <c r="U1289">
        <v>5</v>
      </c>
      <c r="V1289">
        <v>419</v>
      </c>
      <c r="W1289">
        <v>13130001287</v>
      </c>
    </row>
    <row r="1290" spans="1:23" x14ac:dyDescent="0.2">
      <c r="A1290" s="1">
        <v>44802</v>
      </c>
      <c r="B1290" s="2">
        <v>0.36582175925925919</v>
      </c>
      <c r="C1290">
        <v>2288</v>
      </c>
      <c r="D1290">
        <v>13002561</v>
      </c>
      <c r="E1290">
        <v>13</v>
      </c>
      <c r="F1290">
        <v>22589</v>
      </c>
      <c r="G1290" t="s">
        <v>23</v>
      </c>
      <c r="H1290">
        <v>15</v>
      </c>
      <c r="I1290">
        <v>18502</v>
      </c>
      <c r="J1290" t="s">
        <v>53</v>
      </c>
      <c r="K1290" t="s">
        <v>28</v>
      </c>
      <c r="L1290" t="s">
        <v>39</v>
      </c>
      <c r="M1290">
        <v>2</v>
      </c>
      <c r="N1290">
        <v>599.20000000000005</v>
      </c>
      <c r="O1290">
        <v>896.89</v>
      </c>
      <c r="P1290">
        <v>89.69</v>
      </c>
      <c r="Q1290">
        <v>89.69</v>
      </c>
      <c r="R1290" t="s">
        <v>30</v>
      </c>
      <c r="S1290">
        <v>29</v>
      </c>
      <c r="T1290">
        <v>1</v>
      </c>
      <c r="U1290">
        <v>5</v>
      </c>
      <c r="V1290">
        <v>807.2</v>
      </c>
      <c r="W1290">
        <v>13130001288</v>
      </c>
    </row>
    <row r="1291" spans="1:23" x14ac:dyDescent="0.2">
      <c r="A1291" s="1">
        <v>44786</v>
      </c>
      <c r="B1291" s="2">
        <v>0.66172453703703704</v>
      </c>
      <c r="C1291">
        <v>2289</v>
      </c>
      <c r="D1291">
        <v>13002561</v>
      </c>
      <c r="E1291">
        <v>13</v>
      </c>
      <c r="F1291">
        <v>22589</v>
      </c>
      <c r="G1291" t="s">
        <v>23</v>
      </c>
      <c r="H1291">
        <v>18</v>
      </c>
      <c r="I1291">
        <v>45881</v>
      </c>
      <c r="J1291" t="s">
        <v>126</v>
      </c>
      <c r="K1291" t="s">
        <v>28</v>
      </c>
      <c r="L1291" t="s">
        <v>51</v>
      </c>
      <c r="M1291">
        <v>3</v>
      </c>
      <c r="N1291">
        <v>210.62</v>
      </c>
      <c r="O1291">
        <v>271.07</v>
      </c>
      <c r="P1291">
        <v>0</v>
      </c>
      <c r="Q1291">
        <v>0</v>
      </c>
      <c r="S1291">
        <v>29</v>
      </c>
      <c r="T1291">
        <v>1</v>
      </c>
      <c r="U1291">
        <v>5</v>
      </c>
      <c r="V1291">
        <v>271.07</v>
      </c>
      <c r="W1291">
        <v>13130001289</v>
      </c>
    </row>
    <row r="1292" spans="1:23" x14ac:dyDescent="0.2">
      <c r="A1292" s="1">
        <v>44799</v>
      </c>
      <c r="B1292" s="2">
        <v>0.80712962962962964</v>
      </c>
      <c r="C1292">
        <v>2290</v>
      </c>
      <c r="D1292">
        <v>13002561</v>
      </c>
      <c r="E1292">
        <v>13</v>
      </c>
      <c r="F1292">
        <v>22589</v>
      </c>
      <c r="G1292" t="s">
        <v>23</v>
      </c>
      <c r="H1292">
        <v>18</v>
      </c>
      <c r="I1292">
        <v>47431</v>
      </c>
      <c r="J1292" t="s">
        <v>43</v>
      </c>
      <c r="K1292" t="s">
        <v>25</v>
      </c>
      <c r="L1292" t="s">
        <v>36</v>
      </c>
      <c r="M1292">
        <v>3</v>
      </c>
      <c r="N1292">
        <v>248.49</v>
      </c>
      <c r="O1292">
        <v>409.33</v>
      </c>
      <c r="P1292">
        <v>40.93</v>
      </c>
      <c r="Q1292">
        <v>40.93</v>
      </c>
      <c r="R1292" t="s">
        <v>30</v>
      </c>
      <c r="S1292">
        <v>29</v>
      </c>
      <c r="T1292">
        <v>1</v>
      </c>
      <c r="U1292">
        <v>3</v>
      </c>
      <c r="V1292">
        <v>368.4</v>
      </c>
      <c r="W1292">
        <v>13130001290</v>
      </c>
    </row>
    <row r="1293" spans="1:23" x14ac:dyDescent="0.2">
      <c r="A1293" s="1">
        <v>44782</v>
      </c>
      <c r="B1293" s="2">
        <v>0.55090277777777774</v>
      </c>
      <c r="C1293">
        <v>2291</v>
      </c>
      <c r="D1293">
        <v>13002561</v>
      </c>
      <c r="E1293">
        <v>13</v>
      </c>
      <c r="F1293">
        <v>22589</v>
      </c>
      <c r="G1293" t="s">
        <v>23</v>
      </c>
      <c r="H1293">
        <v>15</v>
      </c>
      <c r="I1293">
        <v>18479</v>
      </c>
      <c r="J1293" t="s">
        <v>57</v>
      </c>
      <c r="K1293" t="s">
        <v>25</v>
      </c>
      <c r="L1293" t="s">
        <v>29</v>
      </c>
      <c r="M1293">
        <v>3</v>
      </c>
      <c r="N1293">
        <v>204.95</v>
      </c>
      <c r="O1293">
        <v>341.26</v>
      </c>
      <c r="P1293">
        <v>0</v>
      </c>
      <c r="Q1293">
        <v>0</v>
      </c>
      <c r="S1293">
        <v>29</v>
      </c>
      <c r="T1293">
        <v>1</v>
      </c>
      <c r="U1293">
        <v>4</v>
      </c>
      <c r="V1293">
        <v>341.26</v>
      </c>
      <c r="W1293">
        <v>13130001291</v>
      </c>
    </row>
    <row r="1294" spans="1:23" x14ac:dyDescent="0.2">
      <c r="A1294" s="1">
        <v>44775</v>
      </c>
      <c r="B1294" s="2">
        <v>0.39256944444444453</v>
      </c>
      <c r="C1294">
        <v>2292</v>
      </c>
      <c r="D1294">
        <v>13002561</v>
      </c>
      <c r="E1294">
        <v>13</v>
      </c>
      <c r="F1294">
        <v>22589</v>
      </c>
      <c r="G1294" t="s">
        <v>23</v>
      </c>
      <c r="H1294">
        <v>18</v>
      </c>
      <c r="I1294">
        <v>43893</v>
      </c>
      <c r="J1294" t="s">
        <v>53</v>
      </c>
      <c r="K1294" t="s">
        <v>44</v>
      </c>
      <c r="L1294" t="s">
        <v>34</v>
      </c>
      <c r="M1294">
        <v>2</v>
      </c>
      <c r="N1294">
        <v>156.38</v>
      </c>
      <c r="O1294">
        <v>261.61</v>
      </c>
      <c r="P1294">
        <v>26.16</v>
      </c>
      <c r="Q1294">
        <v>26.16</v>
      </c>
      <c r="R1294" t="s">
        <v>30</v>
      </c>
      <c r="S1294">
        <v>29</v>
      </c>
      <c r="T1294">
        <v>1</v>
      </c>
      <c r="U1294">
        <v>5</v>
      </c>
      <c r="V1294">
        <v>235.45</v>
      </c>
      <c r="W1294">
        <v>13130001292</v>
      </c>
    </row>
    <row r="1295" spans="1:23" x14ac:dyDescent="0.2">
      <c r="A1295" s="1">
        <v>44798</v>
      </c>
      <c r="B1295" s="2">
        <v>0.70320601851851849</v>
      </c>
      <c r="C1295">
        <v>2293</v>
      </c>
      <c r="D1295">
        <v>13002561</v>
      </c>
      <c r="E1295">
        <v>13</v>
      </c>
      <c r="F1295">
        <v>22589</v>
      </c>
      <c r="G1295" t="s">
        <v>23</v>
      </c>
      <c r="H1295">
        <v>15</v>
      </c>
      <c r="I1295">
        <v>23957</v>
      </c>
      <c r="J1295" t="s">
        <v>35</v>
      </c>
      <c r="K1295" t="s">
        <v>45</v>
      </c>
      <c r="L1295" t="s">
        <v>39</v>
      </c>
      <c r="M1295">
        <v>1</v>
      </c>
      <c r="N1295">
        <v>93.49</v>
      </c>
      <c r="O1295">
        <v>140.38</v>
      </c>
      <c r="P1295">
        <v>7.02</v>
      </c>
      <c r="Q1295">
        <v>7.02</v>
      </c>
      <c r="R1295" t="s">
        <v>30</v>
      </c>
      <c r="S1295">
        <v>29</v>
      </c>
      <c r="T1295">
        <v>1</v>
      </c>
      <c r="U1295">
        <v>2</v>
      </c>
      <c r="V1295">
        <v>133.36000000000001</v>
      </c>
      <c r="W1295">
        <v>13130001293</v>
      </c>
    </row>
    <row r="1296" spans="1:23" x14ac:dyDescent="0.2">
      <c r="A1296" s="1">
        <v>44792</v>
      </c>
      <c r="B1296" s="2">
        <v>0.58964120370370365</v>
      </c>
      <c r="C1296">
        <v>2294</v>
      </c>
      <c r="D1296">
        <v>13002561</v>
      </c>
      <c r="E1296">
        <v>13</v>
      </c>
      <c r="F1296">
        <v>22589</v>
      </c>
      <c r="G1296" t="s">
        <v>23</v>
      </c>
      <c r="H1296">
        <v>18</v>
      </c>
      <c r="I1296">
        <v>64292</v>
      </c>
      <c r="J1296" t="s">
        <v>31</v>
      </c>
      <c r="K1296" t="s">
        <v>25</v>
      </c>
      <c r="L1296" t="s">
        <v>32</v>
      </c>
      <c r="M1296">
        <v>2</v>
      </c>
      <c r="N1296">
        <v>161.91999999999999</v>
      </c>
      <c r="O1296">
        <v>249.47</v>
      </c>
      <c r="P1296">
        <v>0</v>
      </c>
      <c r="Q1296">
        <v>0</v>
      </c>
      <c r="S1296">
        <v>29</v>
      </c>
      <c r="T1296">
        <v>1</v>
      </c>
      <c r="U1296">
        <v>1</v>
      </c>
      <c r="V1296">
        <v>249.47</v>
      </c>
      <c r="W1296">
        <v>13130001294</v>
      </c>
    </row>
    <row r="1297" spans="1:23" x14ac:dyDescent="0.2">
      <c r="A1297" s="1">
        <v>44777</v>
      </c>
      <c r="B1297" s="2">
        <v>0.72608796296296296</v>
      </c>
      <c r="C1297">
        <v>2295</v>
      </c>
      <c r="D1297">
        <v>13002561</v>
      </c>
      <c r="E1297">
        <v>13</v>
      </c>
      <c r="F1297">
        <v>22589</v>
      </c>
      <c r="G1297" t="s">
        <v>23</v>
      </c>
      <c r="H1297">
        <v>15</v>
      </c>
      <c r="I1297">
        <v>30672</v>
      </c>
      <c r="J1297" t="s">
        <v>116</v>
      </c>
      <c r="K1297" t="s">
        <v>44</v>
      </c>
      <c r="L1297" t="s">
        <v>29</v>
      </c>
      <c r="M1297">
        <v>2</v>
      </c>
      <c r="N1297">
        <v>431.96</v>
      </c>
      <c r="O1297">
        <v>550.23</v>
      </c>
      <c r="P1297">
        <v>55.02</v>
      </c>
      <c r="Q1297">
        <v>55.02</v>
      </c>
      <c r="R1297" t="s">
        <v>30</v>
      </c>
      <c r="S1297">
        <v>29</v>
      </c>
      <c r="T1297">
        <v>1</v>
      </c>
      <c r="U1297">
        <v>6</v>
      </c>
      <c r="V1297">
        <v>495.21</v>
      </c>
      <c r="W1297">
        <v>13130001295</v>
      </c>
    </row>
    <row r="1298" spans="1:23" x14ac:dyDescent="0.2">
      <c r="A1298" s="1">
        <v>44778</v>
      </c>
      <c r="B1298" s="2">
        <v>0.51986111111111111</v>
      </c>
      <c r="C1298">
        <v>2296</v>
      </c>
      <c r="D1298">
        <v>13002561</v>
      </c>
      <c r="E1298">
        <v>13</v>
      </c>
      <c r="F1298">
        <v>22589</v>
      </c>
      <c r="G1298" t="s">
        <v>23</v>
      </c>
      <c r="H1298">
        <v>18</v>
      </c>
      <c r="I1298">
        <v>93482</v>
      </c>
      <c r="J1298" t="s">
        <v>97</v>
      </c>
      <c r="K1298" t="s">
        <v>45</v>
      </c>
      <c r="L1298" t="s">
        <v>36</v>
      </c>
      <c r="M1298">
        <v>3</v>
      </c>
      <c r="N1298">
        <v>54.86</v>
      </c>
      <c r="O1298">
        <v>89.47</v>
      </c>
      <c r="P1298">
        <v>0</v>
      </c>
      <c r="Q1298">
        <v>0</v>
      </c>
      <c r="S1298">
        <v>29</v>
      </c>
      <c r="T1298">
        <v>1</v>
      </c>
      <c r="U1298">
        <v>6</v>
      </c>
      <c r="V1298">
        <v>89.47</v>
      </c>
      <c r="W1298">
        <v>13130001296</v>
      </c>
    </row>
    <row r="1299" spans="1:23" x14ac:dyDescent="0.2">
      <c r="A1299" s="1">
        <v>44790</v>
      </c>
      <c r="B1299" s="2">
        <v>0.52625</v>
      </c>
      <c r="C1299">
        <v>2297</v>
      </c>
      <c r="D1299">
        <v>13002561</v>
      </c>
      <c r="E1299">
        <v>13</v>
      </c>
      <c r="F1299">
        <v>22589</v>
      </c>
      <c r="G1299" t="s">
        <v>23</v>
      </c>
      <c r="H1299">
        <v>18</v>
      </c>
      <c r="I1299">
        <v>66967</v>
      </c>
      <c r="J1299" t="s">
        <v>127</v>
      </c>
      <c r="K1299" t="s">
        <v>45</v>
      </c>
      <c r="L1299" t="s">
        <v>29</v>
      </c>
      <c r="M1299">
        <v>2</v>
      </c>
      <c r="N1299">
        <v>400.98</v>
      </c>
      <c r="O1299">
        <v>664.92</v>
      </c>
      <c r="P1299">
        <v>66.489999999999995</v>
      </c>
      <c r="Q1299">
        <v>66.489999999999995</v>
      </c>
      <c r="R1299" t="s">
        <v>30</v>
      </c>
      <c r="S1299">
        <v>29</v>
      </c>
      <c r="T1299">
        <v>1</v>
      </c>
      <c r="U1299">
        <v>1</v>
      </c>
      <c r="V1299">
        <v>598.42999999999995</v>
      </c>
      <c r="W1299">
        <v>13130001297</v>
      </c>
    </row>
    <row r="1300" spans="1:23" x14ac:dyDescent="0.2">
      <c r="A1300" s="1">
        <v>44778</v>
      </c>
      <c r="B1300" s="2">
        <v>0.75214120370370374</v>
      </c>
      <c r="C1300">
        <v>2298</v>
      </c>
      <c r="D1300">
        <v>13002561</v>
      </c>
      <c r="E1300">
        <v>13</v>
      </c>
      <c r="F1300">
        <v>22589</v>
      </c>
      <c r="G1300" t="s">
        <v>23</v>
      </c>
      <c r="H1300">
        <v>15</v>
      </c>
      <c r="I1300">
        <v>42626</v>
      </c>
      <c r="J1300" t="s">
        <v>123</v>
      </c>
      <c r="K1300" t="s">
        <v>60</v>
      </c>
      <c r="L1300" t="s">
        <v>36</v>
      </c>
      <c r="M1300">
        <v>3</v>
      </c>
      <c r="N1300">
        <v>179.99</v>
      </c>
      <c r="O1300">
        <v>266.16000000000003</v>
      </c>
      <c r="P1300">
        <v>0</v>
      </c>
      <c r="Q1300">
        <v>0</v>
      </c>
      <c r="S1300">
        <v>29</v>
      </c>
      <c r="T1300">
        <v>1</v>
      </c>
      <c r="U1300">
        <v>2</v>
      </c>
      <c r="V1300">
        <v>266.16000000000003</v>
      </c>
      <c r="W1300">
        <v>13130001298</v>
      </c>
    </row>
    <row r="1301" spans="1:23" x14ac:dyDescent="0.2">
      <c r="A1301" s="1">
        <v>44780</v>
      </c>
      <c r="B1301" s="2">
        <v>0.39042824074074067</v>
      </c>
      <c r="C1301">
        <v>2299</v>
      </c>
      <c r="D1301">
        <v>13002561</v>
      </c>
      <c r="E1301">
        <v>13</v>
      </c>
      <c r="F1301">
        <v>22589</v>
      </c>
      <c r="G1301" t="s">
        <v>23</v>
      </c>
      <c r="H1301">
        <v>15</v>
      </c>
      <c r="I1301">
        <v>82375</v>
      </c>
      <c r="J1301" t="s">
        <v>93</v>
      </c>
      <c r="K1301" t="s">
        <v>25</v>
      </c>
      <c r="L1301" t="s">
        <v>29</v>
      </c>
      <c r="M1301">
        <v>1</v>
      </c>
      <c r="N1301">
        <v>162.41</v>
      </c>
      <c r="O1301">
        <v>217.32</v>
      </c>
      <c r="P1301">
        <v>0</v>
      </c>
      <c r="Q1301">
        <v>0</v>
      </c>
      <c r="S1301">
        <v>29</v>
      </c>
      <c r="T1301">
        <v>1</v>
      </c>
      <c r="U1301">
        <v>1</v>
      </c>
      <c r="V1301">
        <v>217.32</v>
      </c>
      <c r="W1301">
        <v>13130001299</v>
      </c>
    </row>
    <row r="1302" spans="1:23" x14ac:dyDescent="0.2">
      <c r="A1302" s="1">
        <v>44793</v>
      </c>
      <c r="B1302" s="2">
        <v>0.6613310185185185</v>
      </c>
      <c r="C1302">
        <v>2300</v>
      </c>
      <c r="D1302">
        <v>13002561</v>
      </c>
      <c r="E1302">
        <v>13</v>
      </c>
      <c r="F1302">
        <v>22589</v>
      </c>
      <c r="G1302" t="s">
        <v>23</v>
      </c>
      <c r="H1302">
        <v>18</v>
      </c>
      <c r="I1302">
        <v>92687</v>
      </c>
      <c r="J1302" t="s">
        <v>46</v>
      </c>
      <c r="K1302" t="s">
        <v>28</v>
      </c>
      <c r="L1302" t="s">
        <v>36</v>
      </c>
      <c r="M1302">
        <v>2</v>
      </c>
      <c r="N1302">
        <v>203.36</v>
      </c>
      <c r="O1302">
        <v>282.11</v>
      </c>
      <c r="P1302">
        <v>28.21</v>
      </c>
      <c r="Q1302">
        <v>28.21</v>
      </c>
      <c r="R1302" t="s">
        <v>30</v>
      </c>
      <c r="S1302">
        <v>29</v>
      </c>
      <c r="T1302">
        <v>1</v>
      </c>
      <c r="U1302">
        <v>5</v>
      </c>
      <c r="V1302">
        <v>253.9</v>
      </c>
      <c r="W1302">
        <v>13130001300</v>
      </c>
    </row>
    <row r="1303" spans="1:23" x14ac:dyDescent="0.2">
      <c r="A1303" s="1">
        <v>44796</v>
      </c>
      <c r="B1303" s="2">
        <v>0.53190972222222221</v>
      </c>
      <c r="C1303">
        <v>2301</v>
      </c>
      <c r="D1303">
        <v>13002561</v>
      </c>
      <c r="E1303">
        <v>13</v>
      </c>
      <c r="F1303">
        <v>22589</v>
      </c>
      <c r="G1303" t="s">
        <v>23</v>
      </c>
      <c r="H1303">
        <v>18</v>
      </c>
      <c r="I1303">
        <v>56499</v>
      </c>
      <c r="J1303" t="s">
        <v>109</v>
      </c>
      <c r="K1303" t="s">
        <v>60</v>
      </c>
      <c r="L1303" t="s">
        <v>47</v>
      </c>
      <c r="M1303">
        <v>2</v>
      </c>
      <c r="N1303">
        <v>286.43</v>
      </c>
      <c r="O1303">
        <v>438.67</v>
      </c>
      <c r="P1303">
        <v>0</v>
      </c>
      <c r="Q1303">
        <v>0</v>
      </c>
      <c r="S1303">
        <v>29</v>
      </c>
      <c r="T1303">
        <v>1</v>
      </c>
      <c r="U1303">
        <v>2</v>
      </c>
      <c r="V1303">
        <v>438.67</v>
      </c>
      <c r="W1303">
        <v>13130001301</v>
      </c>
    </row>
    <row r="1304" spans="1:23" x14ac:dyDescent="0.2">
      <c r="A1304" s="1">
        <v>44803</v>
      </c>
      <c r="B1304" s="2">
        <v>0.52776620370370375</v>
      </c>
      <c r="C1304">
        <v>2302</v>
      </c>
      <c r="D1304">
        <v>13002561</v>
      </c>
      <c r="E1304">
        <v>13</v>
      </c>
      <c r="F1304">
        <v>22589</v>
      </c>
      <c r="G1304" t="s">
        <v>23</v>
      </c>
      <c r="H1304">
        <v>15</v>
      </c>
      <c r="I1304">
        <v>57144</v>
      </c>
      <c r="J1304" t="s">
        <v>81</v>
      </c>
      <c r="K1304" t="s">
        <v>28</v>
      </c>
      <c r="L1304" t="s">
        <v>34</v>
      </c>
      <c r="M1304">
        <v>2</v>
      </c>
      <c r="N1304">
        <v>168.02</v>
      </c>
      <c r="O1304">
        <v>240.92</v>
      </c>
      <c r="P1304">
        <v>12.05</v>
      </c>
      <c r="Q1304">
        <v>12.05</v>
      </c>
      <c r="R1304" t="s">
        <v>30</v>
      </c>
      <c r="S1304">
        <v>29</v>
      </c>
      <c r="T1304">
        <v>1</v>
      </c>
      <c r="U1304">
        <v>6</v>
      </c>
      <c r="V1304">
        <v>228.87</v>
      </c>
      <c r="W1304">
        <v>13130001302</v>
      </c>
    </row>
    <row r="1305" spans="1:23" x14ac:dyDescent="0.2">
      <c r="A1305" s="1">
        <v>44785</v>
      </c>
      <c r="B1305" s="2">
        <v>0.9208912037037037</v>
      </c>
      <c r="C1305">
        <v>2303</v>
      </c>
      <c r="D1305">
        <v>13002561</v>
      </c>
      <c r="E1305">
        <v>13</v>
      </c>
      <c r="F1305">
        <v>22589</v>
      </c>
      <c r="G1305" t="s">
        <v>23</v>
      </c>
      <c r="H1305">
        <v>15</v>
      </c>
      <c r="I1305">
        <v>82856</v>
      </c>
      <c r="J1305" t="s">
        <v>69</v>
      </c>
      <c r="K1305" t="s">
        <v>60</v>
      </c>
      <c r="L1305" t="s">
        <v>29</v>
      </c>
      <c r="M1305">
        <v>3</v>
      </c>
      <c r="N1305">
        <v>279.48</v>
      </c>
      <c r="O1305">
        <v>371.59</v>
      </c>
      <c r="P1305">
        <v>37.159999999999997</v>
      </c>
      <c r="Q1305">
        <v>37.159999999999997</v>
      </c>
      <c r="R1305" t="s">
        <v>30</v>
      </c>
      <c r="S1305">
        <v>29</v>
      </c>
      <c r="T1305">
        <v>1</v>
      </c>
      <c r="U1305">
        <v>4</v>
      </c>
      <c r="V1305">
        <v>334.43</v>
      </c>
      <c r="W1305">
        <v>13130001303</v>
      </c>
    </row>
    <row r="1306" spans="1:23" x14ac:dyDescent="0.2">
      <c r="A1306" s="1">
        <v>44792</v>
      </c>
      <c r="B1306" s="2">
        <v>0.81745370370370374</v>
      </c>
      <c r="C1306">
        <v>2304</v>
      </c>
      <c r="D1306">
        <v>13002561</v>
      </c>
      <c r="E1306">
        <v>13</v>
      </c>
      <c r="F1306">
        <v>22589</v>
      </c>
      <c r="G1306" t="s">
        <v>23</v>
      </c>
      <c r="H1306">
        <v>18</v>
      </c>
      <c r="I1306">
        <v>56291</v>
      </c>
      <c r="J1306" t="s">
        <v>68</v>
      </c>
      <c r="K1306" t="s">
        <v>45</v>
      </c>
      <c r="L1306" t="s">
        <v>29</v>
      </c>
      <c r="M1306">
        <v>3</v>
      </c>
      <c r="N1306">
        <v>461.37</v>
      </c>
      <c r="O1306">
        <v>680.84</v>
      </c>
      <c r="P1306">
        <v>34.04</v>
      </c>
      <c r="Q1306">
        <v>34.04</v>
      </c>
      <c r="R1306" t="s">
        <v>30</v>
      </c>
      <c r="S1306">
        <v>29</v>
      </c>
      <c r="T1306">
        <v>1</v>
      </c>
      <c r="U1306">
        <v>6</v>
      </c>
      <c r="V1306">
        <v>646.79999999999995</v>
      </c>
      <c r="W1306">
        <v>13130001304</v>
      </c>
    </row>
    <row r="1307" spans="1:23" x14ac:dyDescent="0.2">
      <c r="A1307" s="1">
        <v>44803</v>
      </c>
      <c r="B1307" s="2">
        <v>0.69349537037037035</v>
      </c>
      <c r="C1307">
        <v>2305</v>
      </c>
      <c r="D1307">
        <v>13002561</v>
      </c>
      <c r="E1307">
        <v>13</v>
      </c>
      <c r="F1307">
        <v>22589</v>
      </c>
      <c r="G1307" t="s">
        <v>23</v>
      </c>
      <c r="H1307">
        <v>18</v>
      </c>
      <c r="I1307">
        <v>80458</v>
      </c>
      <c r="J1307" t="s">
        <v>75</v>
      </c>
      <c r="K1307" t="s">
        <v>28</v>
      </c>
      <c r="L1307" t="s">
        <v>39</v>
      </c>
      <c r="M1307">
        <v>1</v>
      </c>
      <c r="N1307">
        <v>573.66</v>
      </c>
      <c r="O1307">
        <v>809.85</v>
      </c>
      <c r="P1307">
        <v>80.989999999999995</v>
      </c>
      <c r="Q1307">
        <v>80.989999999999995</v>
      </c>
      <c r="R1307" t="s">
        <v>30</v>
      </c>
      <c r="S1307">
        <v>29</v>
      </c>
      <c r="T1307">
        <v>1</v>
      </c>
      <c r="U1307">
        <v>6</v>
      </c>
      <c r="V1307">
        <v>728.86</v>
      </c>
      <c r="W1307">
        <v>13130001305</v>
      </c>
    </row>
    <row r="1308" spans="1:23" x14ac:dyDescent="0.2">
      <c r="A1308" s="1">
        <v>44786</v>
      </c>
      <c r="B1308" s="2">
        <v>0.84182870370370366</v>
      </c>
      <c r="C1308">
        <v>2306</v>
      </c>
      <c r="D1308">
        <v>13002561</v>
      </c>
      <c r="E1308">
        <v>13</v>
      </c>
      <c r="F1308">
        <v>22589</v>
      </c>
      <c r="G1308" t="s">
        <v>23</v>
      </c>
      <c r="H1308">
        <v>15</v>
      </c>
      <c r="I1308">
        <v>18950</v>
      </c>
      <c r="J1308" t="s">
        <v>108</v>
      </c>
      <c r="K1308" t="s">
        <v>44</v>
      </c>
      <c r="L1308" t="s">
        <v>51</v>
      </c>
      <c r="M1308">
        <v>3</v>
      </c>
      <c r="N1308">
        <v>74.150000000000006</v>
      </c>
      <c r="O1308">
        <v>112.85</v>
      </c>
      <c r="P1308">
        <v>0</v>
      </c>
      <c r="Q1308">
        <v>0</v>
      </c>
      <c r="S1308">
        <v>29</v>
      </c>
      <c r="T1308">
        <v>1</v>
      </c>
      <c r="U1308">
        <v>5</v>
      </c>
      <c r="V1308">
        <v>112.85</v>
      </c>
      <c r="W1308">
        <v>13130001306</v>
      </c>
    </row>
    <row r="1309" spans="1:23" x14ac:dyDescent="0.2">
      <c r="A1309" s="1">
        <v>44803</v>
      </c>
      <c r="B1309" s="2">
        <v>0.33788194444444453</v>
      </c>
      <c r="C1309">
        <v>2307</v>
      </c>
      <c r="D1309">
        <v>13002561</v>
      </c>
      <c r="E1309">
        <v>13</v>
      </c>
      <c r="F1309">
        <v>22589</v>
      </c>
      <c r="G1309" t="s">
        <v>23</v>
      </c>
      <c r="H1309">
        <v>18</v>
      </c>
      <c r="I1309">
        <v>89331</v>
      </c>
      <c r="J1309" t="s">
        <v>48</v>
      </c>
      <c r="K1309" t="s">
        <v>28</v>
      </c>
      <c r="L1309" t="s">
        <v>26</v>
      </c>
      <c r="M1309">
        <v>3</v>
      </c>
      <c r="N1309">
        <v>94.74</v>
      </c>
      <c r="O1309">
        <v>159.93</v>
      </c>
      <c r="P1309">
        <v>8</v>
      </c>
      <c r="Q1309">
        <v>8</v>
      </c>
      <c r="R1309" t="s">
        <v>30</v>
      </c>
      <c r="S1309">
        <v>29</v>
      </c>
      <c r="T1309">
        <v>1</v>
      </c>
      <c r="U1309">
        <v>2</v>
      </c>
      <c r="V1309">
        <v>151.93</v>
      </c>
      <c r="W1309">
        <v>13130001307</v>
      </c>
    </row>
    <row r="1310" spans="1:23" x14ac:dyDescent="0.2">
      <c r="A1310" s="1">
        <v>44782</v>
      </c>
      <c r="B1310" s="2">
        <v>0.83484953703703701</v>
      </c>
      <c r="C1310">
        <v>2308</v>
      </c>
      <c r="D1310">
        <v>13002561</v>
      </c>
      <c r="E1310">
        <v>13</v>
      </c>
      <c r="F1310">
        <v>22589</v>
      </c>
      <c r="G1310" t="s">
        <v>23</v>
      </c>
      <c r="H1310">
        <v>18</v>
      </c>
      <c r="I1310">
        <v>70485</v>
      </c>
      <c r="J1310" t="s">
        <v>40</v>
      </c>
      <c r="K1310" t="s">
        <v>44</v>
      </c>
      <c r="L1310" t="s">
        <v>26</v>
      </c>
      <c r="M1310">
        <v>1</v>
      </c>
      <c r="N1310">
        <v>27.32</v>
      </c>
      <c r="O1310">
        <v>45.86</v>
      </c>
      <c r="P1310">
        <v>2.29</v>
      </c>
      <c r="Q1310">
        <v>2.29</v>
      </c>
      <c r="R1310" t="s">
        <v>30</v>
      </c>
      <c r="S1310">
        <v>29</v>
      </c>
      <c r="T1310">
        <v>1</v>
      </c>
      <c r="U1310">
        <v>6</v>
      </c>
      <c r="V1310">
        <v>43.57</v>
      </c>
      <c r="W1310">
        <v>13130001308</v>
      </c>
    </row>
    <row r="1311" spans="1:23" x14ac:dyDescent="0.2">
      <c r="A1311" s="1">
        <v>44797</v>
      </c>
      <c r="B1311" s="2">
        <v>0.93100694444444443</v>
      </c>
      <c r="C1311">
        <v>2309</v>
      </c>
      <c r="D1311">
        <v>13002561</v>
      </c>
      <c r="E1311">
        <v>13</v>
      </c>
      <c r="F1311">
        <v>22589</v>
      </c>
      <c r="G1311" t="s">
        <v>23</v>
      </c>
      <c r="H1311">
        <v>15</v>
      </c>
      <c r="I1311">
        <v>11679</v>
      </c>
      <c r="J1311" t="s">
        <v>61</v>
      </c>
      <c r="K1311" t="s">
        <v>38</v>
      </c>
      <c r="L1311" t="s">
        <v>47</v>
      </c>
      <c r="M1311">
        <v>2</v>
      </c>
      <c r="N1311">
        <v>366.23</v>
      </c>
      <c r="O1311">
        <v>619.16</v>
      </c>
      <c r="P1311">
        <v>61.92</v>
      </c>
      <c r="Q1311">
        <v>61.92</v>
      </c>
      <c r="R1311" t="s">
        <v>30</v>
      </c>
      <c r="S1311">
        <v>29</v>
      </c>
      <c r="T1311">
        <v>1</v>
      </c>
      <c r="U1311">
        <v>3</v>
      </c>
      <c r="V1311">
        <v>557.24</v>
      </c>
      <c r="W1311">
        <v>13130001309</v>
      </c>
    </row>
    <row r="1312" spans="1:23" x14ac:dyDescent="0.2">
      <c r="A1312" s="1">
        <v>44786</v>
      </c>
      <c r="B1312" s="2">
        <v>0.34391203703703699</v>
      </c>
      <c r="C1312">
        <v>2310</v>
      </c>
      <c r="D1312">
        <v>13002561</v>
      </c>
      <c r="E1312">
        <v>13</v>
      </c>
      <c r="F1312">
        <v>22589</v>
      </c>
      <c r="G1312" t="s">
        <v>23</v>
      </c>
      <c r="H1312">
        <v>15</v>
      </c>
      <c r="I1312">
        <v>50878</v>
      </c>
      <c r="J1312" t="s">
        <v>66</v>
      </c>
      <c r="K1312" t="s">
        <v>38</v>
      </c>
      <c r="L1312" t="s">
        <v>34</v>
      </c>
      <c r="M1312">
        <v>2</v>
      </c>
      <c r="N1312">
        <v>302.25</v>
      </c>
      <c r="O1312">
        <v>445.84</v>
      </c>
      <c r="P1312">
        <v>22.29</v>
      </c>
      <c r="Q1312">
        <v>22.29</v>
      </c>
      <c r="R1312" t="s">
        <v>30</v>
      </c>
      <c r="S1312">
        <v>29</v>
      </c>
      <c r="T1312">
        <v>1</v>
      </c>
      <c r="U1312">
        <v>1</v>
      </c>
      <c r="V1312">
        <v>423.55</v>
      </c>
      <c r="W1312">
        <v>13130001310</v>
      </c>
    </row>
    <row r="1313" spans="1:23" x14ac:dyDescent="0.2">
      <c r="A1313" s="1">
        <v>44778</v>
      </c>
      <c r="B1313" s="2">
        <v>0.83142361111111107</v>
      </c>
      <c r="C1313">
        <v>2311</v>
      </c>
      <c r="D1313">
        <v>13002561</v>
      </c>
      <c r="E1313">
        <v>13</v>
      </c>
      <c r="F1313">
        <v>22589</v>
      </c>
      <c r="G1313" t="s">
        <v>23</v>
      </c>
      <c r="H1313">
        <v>15</v>
      </c>
      <c r="I1313">
        <v>90117</v>
      </c>
      <c r="J1313" t="s">
        <v>63</v>
      </c>
      <c r="K1313" t="s">
        <v>45</v>
      </c>
      <c r="L1313" t="s">
        <v>47</v>
      </c>
      <c r="M1313">
        <v>2</v>
      </c>
      <c r="N1313">
        <v>116.88</v>
      </c>
      <c r="O1313">
        <v>171.22</v>
      </c>
      <c r="P1313">
        <v>0</v>
      </c>
      <c r="Q1313">
        <v>0</v>
      </c>
      <c r="S1313">
        <v>29</v>
      </c>
      <c r="T1313">
        <v>1</v>
      </c>
      <c r="U1313">
        <v>3</v>
      </c>
      <c r="V1313">
        <v>171.22</v>
      </c>
      <c r="W1313">
        <v>13130001311</v>
      </c>
    </row>
    <row r="1314" spans="1:23" x14ac:dyDescent="0.2">
      <c r="A1314" s="1">
        <v>44797</v>
      </c>
      <c r="B1314" s="2">
        <v>0.8314583333333333</v>
      </c>
      <c r="C1314">
        <v>2312</v>
      </c>
      <c r="D1314">
        <v>13002561</v>
      </c>
      <c r="E1314">
        <v>13</v>
      </c>
      <c r="F1314">
        <v>22589</v>
      </c>
      <c r="G1314" t="s">
        <v>23</v>
      </c>
      <c r="H1314">
        <v>18</v>
      </c>
      <c r="I1314">
        <v>51281</v>
      </c>
      <c r="J1314" t="s">
        <v>71</v>
      </c>
      <c r="K1314" t="s">
        <v>45</v>
      </c>
      <c r="L1314" t="s">
        <v>51</v>
      </c>
      <c r="M1314">
        <v>3</v>
      </c>
      <c r="N1314">
        <v>557.66</v>
      </c>
      <c r="O1314">
        <v>879.89</v>
      </c>
      <c r="P1314">
        <v>43.99</v>
      </c>
      <c r="Q1314">
        <v>43.99</v>
      </c>
      <c r="R1314" t="s">
        <v>30</v>
      </c>
      <c r="S1314">
        <v>29</v>
      </c>
      <c r="T1314">
        <v>1</v>
      </c>
      <c r="U1314">
        <v>5</v>
      </c>
      <c r="V1314">
        <v>835.9</v>
      </c>
      <c r="W1314">
        <v>13130001312</v>
      </c>
    </row>
    <row r="1315" spans="1:23" x14ac:dyDescent="0.2">
      <c r="A1315" s="1">
        <v>44794</v>
      </c>
      <c r="B1315" s="2">
        <v>0.48832175925925919</v>
      </c>
      <c r="C1315">
        <v>2313</v>
      </c>
      <c r="D1315">
        <v>13002561</v>
      </c>
      <c r="E1315">
        <v>13</v>
      </c>
      <c r="F1315">
        <v>22589</v>
      </c>
      <c r="G1315" t="s">
        <v>23</v>
      </c>
      <c r="H1315">
        <v>15</v>
      </c>
      <c r="I1315">
        <v>65620</v>
      </c>
      <c r="J1315" t="s">
        <v>98</v>
      </c>
      <c r="K1315" t="s">
        <v>38</v>
      </c>
      <c r="L1315" t="s">
        <v>29</v>
      </c>
      <c r="M1315">
        <v>1</v>
      </c>
      <c r="N1315">
        <v>478.55</v>
      </c>
      <c r="O1315">
        <v>790.07</v>
      </c>
      <c r="P1315">
        <v>39.5</v>
      </c>
      <c r="Q1315">
        <v>39.5</v>
      </c>
      <c r="R1315" t="s">
        <v>30</v>
      </c>
      <c r="S1315">
        <v>29</v>
      </c>
      <c r="T1315">
        <v>1</v>
      </c>
      <c r="U1315">
        <v>3</v>
      </c>
      <c r="V1315">
        <v>750.57</v>
      </c>
      <c r="W1315">
        <v>13130001313</v>
      </c>
    </row>
    <row r="1316" spans="1:23" x14ac:dyDescent="0.2">
      <c r="A1316" s="1">
        <v>44789</v>
      </c>
      <c r="B1316" s="2">
        <v>0.92188657407407404</v>
      </c>
      <c r="C1316">
        <v>2314</v>
      </c>
      <c r="D1316">
        <v>13002561</v>
      </c>
      <c r="E1316">
        <v>13</v>
      </c>
      <c r="F1316">
        <v>22589</v>
      </c>
      <c r="G1316" t="s">
        <v>23</v>
      </c>
      <c r="H1316">
        <v>15</v>
      </c>
      <c r="I1316">
        <v>31404</v>
      </c>
      <c r="J1316" t="s">
        <v>123</v>
      </c>
      <c r="K1316" t="s">
        <v>60</v>
      </c>
      <c r="L1316" t="s">
        <v>32</v>
      </c>
      <c r="M1316">
        <v>2</v>
      </c>
      <c r="N1316">
        <v>102.04</v>
      </c>
      <c r="O1316">
        <v>145.56</v>
      </c>
      <c r="P1316">
        <v>7.28</v>
      </c>
      <c r="Q1316">
        <v>7.28</v>
      </c>
      <c r="R1316" t="s">
        <v>30</v>
      </c>
      <c r="S1316">
        <v>29</v>
      </c>
      <c r="T1316">
        <v>1</v>
      </c>
      <c r="U1316">
        <v>4</v>
      </c>
      <c r="V1316">
        <v>138.28</v>
      </c>
      <c r="W1316">
        <v>13130001314</v>
      </c>
    </row>
    <row r="1317" spans="1:23" x14ac:dyDescent="0.2">
      <c r="A1317" s="1">
        <v>44803</v>
      </c>
      <c r="B1317" s="2">
        <v>0.34035879629629628</v>
      </c>
      <c r="C1317">
        <v>2315</v>
      </c>
      <c r="D1317">
        <v>13002561</v>
      </c>
      <c r="E1317">
        <v>13</v>
      </c>
      <c r="F1317">
        <v>22589</v>
      </c>
      <c r="G1317" t="s">
        <v>23</v>
      </c>
      <c r="H1317">
        <v>15</v>
      </c>
      <c r="I1317">
        <v>39325</v>
      </c>
      <c r="J1317" t="s">
        <v>72</v>
      </c>
      <c r="K1317" t="s">
        <v>44</v>
      </c>
      <c r="L1317" t="s">
        <v>32</v>
      </c>
      <c r="M1317">
        <v>2</v>
      </c>
      <c r="N1317">
        <v>5.34</v>
      </c>
      <c r="O1317">
        <v>7.49</v>
      </c>
      <c r="P1317">
        <v>0</v>
      </c>
      <c r="Q1317">
        <v>0</v>
      </c>
      <c r="S1317">
        <v>29</v>
      </c>
      <c r="T1317">
        <v>1</v>
      </c>
      <c r="U1317">
        <v>1</v>
      </c>
      <c r="V1317">
        <v>7.49</v>
      </c>
      <c r="W1317">
        <v>13130001315</v>
      </c>
    </row>
    <row r="1318" spans="1:23" x14ac:dyDescent="0.2">
      <c r="A1318" s="1">
        <v>44780</v>
      </c>
      <c r="B1318" s="2">
        <v>0.4679861111111111</v>
      </c>
      <c r="C1318">
        <v>2316</v>
      </c>
      <c r="D1318">
        <v>13002561</v>
      </c>
      <c r="E1318">
        <v>13</v>
      </c>
      <c r="F1318">
        <v>22589</v>
      </c>
      <c r="G1318" t="s">
        <v>23</v>
      </c>
      <c r="H1318">
        <v>15</v>
      </c>
      <c r="I1318">
        <v>68265</v>
      </c>
      <c r="J1318" t="s">
        <v>88</v>
      </c>
      <c r="K1318" t="s">
        <v>60</v>
      </c>
      <c r="L1318" t="s">
        <v>32</v>
      </c>
      <c r="M1318">
        <v>1</v>
      </c>
      <c r="N1318">
        <v>547.67999999999995</v>
      </c>
      <c r="O1318">
        <v>687.61</v>
      </c>
      <c r="P1318">
        <v>68.760000000000005</v>
      </c>
      <c r="Q1318">
        <v>68.760000000000005</v>
      </c>
      <c r="R1318" t="s">
        <v>30</v>
      </c>
      <c r="S1318">
        <v>29</v>
      </c>
      <c r="T1318">
        <v>1</v>
      </c>
      <c r="U1318">
        <v>5</v>
      </c>
      <c r="V1318">
        <v>618.85</v>
      </c>
      <c r="W1318">
        <v>13130001316</v>
      </c>
    </row>
    <row r="1319" spans="1:23" x14ac:dyDescent="0.2">
      <c r="A1319" s="1">
        <v>44798</v>
      </c>
      <c r="B1319" s="2">
        <v>0.4224074074074074</v>
      </c>
      <c r="C1319">
        <v>2317</v>
      </c>
      <c r="D1319">
        <v>13002561</v>
      </c>
      <c r="E1319">
        <v>13</v>
      </c>
      <c r="F1319">
        <v>22589</v>
      </c>
      <c r="G1319" t="s">
        <v>23</v>
      </c>
      <c r="H1319">
        <v>18</v>
      </c>
      <c r="I1319">
        <v>49432</v>
      </c>
      <c r="J1319" t="s">
        <v>50</v>
      </c>
      <c r="K1319" t="s">
        <v>25</v>
      </c>
      <c r="L1319" t="s">
        <v>34</v>
      </c>
      <c r="M1319">
        <v>2</v>
      </c>
      <c r="N1319">
        <v>100.28</v>
      </c>
      <c r="O1319">
        <v>127.41</v>
      </c>
      <c r="P1319">
        <v>6.37</v>
      </c>
      <c r="Q1319">
        <v>6.37</v>
      </c>
      <c r="R1319" t="s">
        <v>30</v>
      </c>
      <c r="S1319">
        <v>29</v>
      </c>
      <c r="T1319">
        <v>1</v>
      </c>
      <c r="U1319">
        <v>4</v>
      </c>
      <c r="V1319">
        <v>121.04</v>
      </c>
      <c r="W1319">
        <v>13130001317</v>
      </c>
    </row>
    <row r="1320" spans="1:23" x14ac:dyDescent="0.2">
      <c r="A1320" s="1">
        <v>44803</v>
      </c>
      <c r="B1320" s="2">
        <v>0.62554398148148149</v>
      </c>
      <c r="C1320">
        <v>2318</v>
      </c>
      <c r="D1320">
        <v>13002561</v>
      </c>
      <c r="E1320">
        <v>13</v>
      </c>
      <c r="F1320">
        <v>22589</v>
      </c>
      <c r="G1320" t="s">
        <v>23</v>
      </c>
      <c r="H1320">
        <v>18</v>
      </c>
      <c r="I1320">
        <v>69872</v>
      </c>
      <c r="J1320" t="s">
        <v>123</v>
      </c>
      <c r="K1320" t="s">
        <v>25</v>
      </c>
      <c r="L1320" t="s">
        <v>36</v>
      </c>
      <c r="M1320">
        <v>2</v>
      </c>
      <c r="N1320">
        <v>466.18</v>
      </c>
      <c r="O1320">
        <v>622.01</v>
      </c>
      <c r="P1320">
        <v>31.1</v>
      </c>
      <c r="Q1320">
        <v>31.1</v>
      </c>
      <c r="R1320" t="s">
        <v>30</v>
      </c>
      <c r="S1320">
        <v>29</v>
      </c>
      <c r="T1320">
        <v>1</v>
      </c>
      <c r="U1320">
        <v>1</v>
      </c>
      <c r="V1320">
        <v>590.91</v>
      </c>
      <c r="W1320">
        <v>13130001318</v>
      </c>
    </row>
    <row r="1321" spans="1:23" x14ac:dyDescent="0.2">
      <c r="A1321" s="1">
        <v>44781</v>
      </c>
      <c r="B1321" s="2">
        <v>0.92758101851851849</v>
      </c>
      <c r="C1321">
        <v>2319</v>
      </c>
      <c r="D1321">
        <v>13002561</v>
      </c>
      <c r="E1321">
        <v>13</v>
      </c>
      <c r="F1321">
        <v>22589</v>
      </c>
      <c r="G1321" t="s">
        <v>23</v>
      </c>
      <c r="H1321">
        <v>18</v>
      </c>
      <c r="I1321">
        <v>20425</v>
      </c>
      <c r="J1321" t="s">
        <v>85</v>
      </c>
      <c r="K1321" t="s">
        <v>45</v>
      </c>
      <c r="L1321" t="s">
        <v>39</v>
      </c>
      <c r="M1321">
        <v>1</v>
      </c>
      <c r="N1321">
        <v>359.17</v>
      </c>
      <c r="O1321">
        <v>564.55999999999995</v>
      </c>
      <c r="P1321">
        <v>56.46</v>
      </c>
      <c r="Q1321">
        <v>56.46</v>
      </c>
      <c r="R1321" t="s">
        <v>30</v>
      </c>
      <c r="S1321">
        <v>29</v>
      </c>
      <c r="T1321">
        <v>1</v>
      </c>
      <c r="U1321">
        <v>5</v>
      </c>
      <c r="V1321">
        <v>508.1</v>
      </c>
      <c r="W1321">
        <v>13130001319</v>
      </c>
    </row>
    <row r="1322" spans="1:23" x14ac:dyDescent="0.2">
      <c r="A1322" s="1">
        <v>44780</v>
      </c>
      <c r="B1322" s="2">
        <v>0.35375000000000001</v>
      </c>
      <c r="C1322">
        <v>2320</v>
      </c>
      <c r="D1322">
        <v>13002561</v>
      </c>
      <c r="E1322">
        <v>13</v>
      </c>
      <c r="F1322">
        <v>22589</v>
      </c>
      <c r="G1322" t="s">
        <v>23</v>
      </c>
      <c r="H1322">
        <v>15</v>
      </c>
      <c r="I1322">
        <v>96516</v>
      </c>
      <c r="J1322" t="s">
        <v>27</v>
      </c>
      <c r="K1322" t="s">
        <v>25</v>
      </c>
      <c r="L1322" t="s">
        <v>36</v>
      </c>
      <c r="M1322">
        <v>3</v>
      </c>
      <c r="N1322">
        <v>497.01</v>
      </c>
      <c r="O1322">
        <v>770.01</v>
      </c>
      <c r="P1322">
        <v>38.5</v>
      </c>
      <c r="Q1322">
        <v>38.5</v>
      </c>
      <c r="R1322" t="s">
        <v>30</v>
      </c>
      <c r="S1322">
        <v>29</v>
      </c>
      <c r="T1322">
        <v>1</v>
      </c>
      <c r="U1322">
        <v>3</v>
      </c>
      <c r="V1322">
        <v>731.51</v>
      </c>
      <c r="W1322">
        <v>13130001320</v>
      </c>
    </row>
    <row r="1323" spans="1:23" x14ac:dyDescent="0.2">
      <c r="A1323" s="1">
        <v>44786</v>
      </c>
      <c r="B1323" s="2">
        <v>0.56287037037037035</v>
      </c>
      <c r="C1323">
        <v>2321</v>
      </c>
      <c r="D1323">
        <v>13002561</v>
      </c>
      <c r="E1323">
        <v>13</v>
      </c>
      <c r="F1323">
        <v>22589</v>
      </c>
      <c r="G1323" t="s">
        <v>23</v>
      </c>
      <c r="H1323">
        <v>18</v>
      </c>
      <c r="I1323">
        <v>38320</v>
      </c>
      <c r="J1323" t="s">
        <v>113</v>
      </c>
      <c r="K1323" t="s">
        <v>38</v>
      </c>
      <c r="L1323" t="s">
        <v>51</v>
      </c>
      <c r="M1323">
        <v>3</v>
      </c>
      <c r="N1323">
        <v>106.48</v>
      </c>
      <c r="O1323">
        <v>150.38999999999999</v>
      </c>
      <c r="P1323">
        <v>0</v>
      </c>
      <c r="Q1323">
        <v>0</v>
      </c>
      <c r="S1323">
        <v>29</v>
      </c>
      <c r="T1323">
        <v>1</v>
      </c>
      <c r="U1323">
        <v>5</v>
      </c>
      <c r="V1323">
        <v>150.38999999999999</v>
      </c>
      <c r="W1323">
        <v>13130001321</v>
      </c>
    </row>
    <row r="1324" spans="1:23" x14ac:dyDescent="0.2">
      <c r="A1324" s="1">
        <v>44778</v>
      </c>
      <c r="B1324" s="2">
        <v>0.95687500000000003</v>
      </c>
      <c r="C1324">
        <v>2322</v>
      </c>
      <c r="D1324">
        <v>13002561</v>
      </c>
      <c r="E1324">
        <v>13</v>
      </c>
      <c r="F1324">
        <v>22589</v>
      </c>
      <c r="G1324" t="s">
        <v>23</v>
      </c>
      <c r="H1324">
        <v>18</v>
      </c>
      <c r="I1324">
        <v>78089</v>
      </c>
      <c r="J1324" t="s">
        <v>115</v>
      </c>
      <c r="K1324" t="s">
        <v>25</v>
      </c>
      <c r="L1324" t="s">
        <v>36</v>
      </c>
      <c r="M1324">
        <v>1</v>
      </c>
      <c r="N1324">
        <v>301.89999999999998</v>
      </c>
      <c r="O1324">
        <v>407.3</v>
      </c>
      <c r="P1324">
        <v>0</v>
      </c>
      <c r="Q1324">
        <v>0</v>
      </c>
      <c r="S1324">
        <v>29</v>
      </c>
      <c r="T1324">
        <v>1</v>
      </c>
      <c r="U1324">
        <v>6</v>
      </c>
      <c r="V1324">
        <v>407.3</v>
      </c>
      <c r="W1324">
        <v>13130001322</v>
      </c>
    </row>
    <row r="1325" spans="1:23" x14ac:dyDescent="0.2">
      <c r="A1325" s="1">
        <v>44779</v>
      </c>
      <c r="B1325" s="2">
        <v>0.60504629629629625</v>
      </c>
      <c r="C1325">
        <v>2323</v>
      </c>
      <c r="D1325">
        <v>13002561</v>
      </c>
      <c r="E1325">
        <v>13</v>
      </c>
      <c r="F1325">
        <v>22589</v>
      </c>
      <c r="G1325" t="s">
        <v>23</v>
      </c>
      <c r="H1325">
        <v>15</v>
      </c>
      <c r="I1325">
        <v>70062</v>
      </c>
      <c r="J1325" t="s">
        <v>62</v>
      </c>
      <c r="K1325" t="s">
        <v>25</v>
      </c>
      <c r="L1325" t="s">
        <v>29</v>
      </c>
      <c r="M1325">
        <v>3</v>
      </c>
      <c r="N1325">
        <v>473.12</v>
      </c>
      <c r="O1325">
        <v>695.53</v>
      </c>
      <c r="P1325">
        <v>69.55</v>
      </c>
      <c r="Q1325">
        <v>69.55</v>
      </c>
      <c r="R1325" t="s">
        <v>30</v>
      </c>
      <c r="S1325">
        <v>29</v>
      </c>
      <c r="T1325">
        <v>1</v>
      </c>
      <c r="U1325">
        <v>4</v>
      </c>
      <c r="V1325">
        <v>625.98</v>
      </c>
      <c r="W1325">
        <v>13130001323</v>
      </c>
    </row>
    <row r="1326" spans="1:23" x14ac:dyDescent="0.2">
      <c r="A1326" s="1">
        <v>44804</v>
      </c>
      <c r="B1326" s="2">
        <v>0.93180555555555555</v>
      </c>
      <c r="C1326">
        <v>2324</v>
      </c>
      <c r="D1326">
        <v>13002561</v>
      </c>
      <c r="E1326">
        <v>13</v>
      </c>
      <c r="F1326">
        <v>22589</v>
      </c>
      <c r="G1326" t="s">
        <v>23</v>
      </c>
      <c r="H1326">
        <v>18</v>
      </c>
      <c r="I1326">
        <v>23891</v>
      </c>
      <c r="J1326" t="s">
        <v>104</v>
      </c>
      <c r="K1326" t="s">
        <v>45</v>
      </c>
      <c r="L1326" t="s">
        <v>47</v>
      </c>
      <c r="M1326">
        <v>3</v>
      </c>
      <c r="N1326">
        <v>298.05</v>
      </c>
      <c r="O1326">
        <v>499.89</v>
      </c>
      <c r="P1326">
        <v>0</v>
      </c>
      <c r="Q1326">
        <v>0</v>
      </c>
      <c r="S1326">
        <v>29</v>
      </c>
      <c r="T1326">
        <v>1</v>
      </c>
      <c r="U1326">
        <v>6</v>
      </c>
      <c r="V1326">
        <v>499.89</v>
      </c>
      <c r="W1326">
        <v>13130001324</v>
      </c>
    </row>
    <row r="1327" spans="1:23" x14ac:dyDescent="0.2">
      <c r="A1327" s="1">
        <v>44794</v>
      </c>
      <c r="B1327" s="2">
        <v>0.59620370370370368</v>
      </c>
      <c r="C1327">
        <v>2325</v>
      </c>
      <c r="D1327">
        <v>13002561</v>
      </c>
      <c r="E1327">
        <v>13</v>
      </c>
      <c r="F1327">
        <v>22589</v>
      </c>
      <c r="G1327" t="s">
        <v>23</v>
      </c>
      <c r="H1327">
        <v>15</v>
      </c>
      <c r="I1327">
        <v>96945</v>
      </c>
      <c r="J1327" t="s">
        <v>69</v>
      </c>
      <c r="K1327" t="s">
        <v>28</v>
      </c>
      <c r="L1327" t="s">
        <v>29</v>
      </c>
      <c r="M1327">
        <v>1</v>
      </c>
      <c r="N1327">
        <v>197.47</v>
      </c>
      <c r="O1327">
        <v>264.47000000000003</v>
      </c>
      <c r="P1327">
        <v>0</v>
      </c>
      <c r="Q1327">
        <v>0</v>
      </c>
      <c r="S1327">
        <v>29</v>
      </c>
      <c r="T1327">
        <v>1</v>
      </c>
      <c r="U1327">
        <v>6</v>
      </c>
      <c r="V1327">
        <v>264.47000000000003</v>
      </c>
      <c r="W1327">
        <v>13130001325</v>
      </c>
    </row>
    <row r="1328" spans="1:23" x14ac:dyDescent="0.2">
      <c r="A1328" s="1">
        <v>44776</v>
      </c>
      <c r="B1328" s="2">
        <v>0.62111111111111106</v>
      </c>
      <c r="C1328">
        <v>2326</v>
      </c>
      <c r="D1328">
        <v>13002561</v>
      </c>
      <c r="E1328">
        <v>13</v>
      </c>
      <c r="F1328">
        <v>22589</v>
      </c>
      <c r="G1328" t="s">
        <v>23</v>
      </c>
      <c r="H1328">
        <v>15</v>
      </c>
      <c r="I1328">
        <v>91037</v>
      </c>
      <c r="J1328" t="s">
        <v>71</v>
      </c>
      <c r="K1328" t="s">
        <v>38</v>
      </c>
      <c r="L1328" t="s">
        <v>39</v>
      </c>
      <c r="M1328">
        <v>1</v>
      </c>
      <c r="N1328">
        <v>83.25</v>
      </c>
      <c r="O1328">
        <v>135.24</v>
      </c>
      <c r="P1328">
        <v>6.76</v>
      </c>
      <c r="Q1328">
        <v>6.76</v>
      </c>
      <c r="R1328" t="s">
        <v>30</v>
      </c>
      <c r="S1328">
        <v>29</v>
      </c>
      <c r="T1328">
        <v>1</v>
      </c>
      <c r="U1328">
        <v>4</v>
      </c>
      <c r="V1328">
        <v>128.47999999999999</v>
      </c>
      <c r="W1328">
        <v>13130001326</v>
      </c>
    </row>
    <row r="1329" spans="1:23" x14ac:dyDescent="0.2">
      <c r="A1329" s="1">
        <v>44800</v>
      </c>
      <c r="B1329" s="2">
        <v>0.79777777777777781</v>
      </c>
      <c r="C1329">
        <v>2327</v>
      </c>
      <c r="D1329">
        <v>13002561</v>
      </c>
      <c r="E1329">
        <v>13</v>
      </c>
      <c r="F1329">
        <v>22589</v>
      </c>
      <c r="G1329" t="s">
        <v>23</v>
      </c>
      <c r="H1329">
        <v>15</v>
      </c>
      <c r="I1329">
        <v>69466</v>
      </c>
      <c r="J1329" t="s">
        <v>128</v>
      </c>
      <c r="K1329" t="s">
        <v>45</v>
      </c>
      <c r="L1329" t="s">
        <v>47</v>
      </c>
      <c r="M1329">
        <v>2</v>
      </c>
      <c r="N1329">
        <v>281.24</v>
      </c>
      <c r="O1329">
        <v>420.64</v>
      </c>
      <c r="P1329">
        <v>21.03</v>
      </c>
      <c r="Q1329">
        <v>21.03</v>
      </c>
      <c r="R1329" t="s">
        <v>30</v>
      </c>
      <c r="S1329">
        <v>29</v>
      </c>
      <c r="T1329">
        <v>1</v>
      </c>
      <c r="U1329">
        <v>2</v>
      </c>
      <c r="V1329">
        <v>399.61</v>
      </c>
      <c r="W1329">
        <v>13130001327</v>
      </c>
    </row>
    <row r="1330" spans="1:23" x14ac:dyDescent="0.2">
      <c r="A1330" s="1">
        <v>44799</v>
      </c>
      <c r="B1330" s="2">
        <v>0.85652777777777778</v>
      </c>
      <c r="C1330">
        <v>2328</v>
      </c>
      <c r="D1330">
        <v>13002561</v>
      </c>
      <c r="E1330">
        <v>13</v>
      </c>
      <c r="F1330">
        <v>22589</v>
      </c>
      <c r="G1330" t="s">
        <v>23</v>
      </c>
      <c r="H1330">
        <v>15</v>
      </c>
      <c r="I1330">
        <v>41004</v>
      </c>
      <c r="J1330" t="s">
        <v>66</v>
      </c>
      <c r="K1330" t="s">
        <v>45</v>
      </c>
      <c r="L1330" t="s">
        <v>39</v>
      </c>
      <c r="M1330">
        <v>2</v>
      </c>
      <c r="N1330">
        <v>54</v>
      </c>
      <c r="O1330">
        <v>90.36</v>
      </c>
      <c r="P1330">
        <v>4.5199999999999996</v>
      </c>
      <c r="Q1330">
        <v>4.5199999999999996</v>
      </c>
      <c r="R1330" t="s">
        <v>30</v>
      </c>
      <c r="S1330">
        <v>29</v>
      </c>
      <c r="T1330">
        <v>1</v>
      </c>
      <c r="U1330">
        <v>5</v>
      </c>
      <c r="V1330">
        <v>85.84</v>
      </c>
      <c r="W1330">
        <v>13130001328</v>
      </c>
    </row>
    <row r="1331" spans="1:23" x14ac:dyDescent="0.2">
      <c r="A1331" s="1">
        <v>44796</v>
      </c>
      <c r="B1331" s="2">
        <v>0.43414351851851851</v>
      </c>
      <c r="C1331">
        <v>2329</v>
      </c>
      <c r="D1331">
        <v>13002561</v>
      </c>
      <c r="E1331">
        <v>13</v>
      </c>
      <c r="F1331">
        <v>22589</v>
      </c>
      <c r="G1331" t="s">
        <v>23</v>
      </c>
      <c r="H1331">
        <v>18</v>
      </c>
      <c r="I1331">
        <v>11518</v>
      </c>
      <c r="J1331" t="s">
        <v>66</v>
      </c>
      <c r="K1331" t="s">
        <v>38</v>
      </c>
      <c r="L1331" t="s">
        <v>29</v>
      </c>
      <c r="M1331">
        <v>2</v>
      </c>
      <c r="N1331">
        <v>353.8</v>
      </c>
      <c r="O1331">
        <v>466.64</v>
      </c>
      <c r="P1331">
        <v>23.33</v>
      </c>
      <c r="Q1331">
        <v>23.33</v>
      </c>
      <c r="R1331" t="s">
        <v>30</v>
      </c>
      <c r="S1331">
        <v>29</v>
      </c>
      <c r="T1331">
        <v>1</v>
      </c>
      <c r="U1331">
        <v>5</v>
      </c>
      <c r="V1331">
        <v>443.31</v>
      </c>
      <c r="W1331">
        <v>13130001329</v>
      </c>
    </row>
    <row r="1332" spans="1:23" x14ac:dyDescent="0.2">
      <c r="A1332" s="1">
        <v>44775</v>
      </c>
      <c r="B1332" s="2">
        <v>0.36039351851851847</v>
      </c>
      <c r="C1332">
        <v>2330</v>
      </c>
      <c r="D1332">
        <v>13002561</v>
      </c>
      <c r="E1332">
        <v>13</v>
      </c>
      <c r="F1332">
        <v>22589</v>
      </c>
      <c r="G1332" t="s">
        <v>23</v>
      </c>
      <c r="H1332">
        <v>15</v>
      </c>
      <c r="I1332">
        <v>34651</v>
      </c>
      <c r="J1332" t="s">
        <v>79</v>
      </c>
      <c r="K1332" t="s">
        <v>60</v>
      </c>
      <c r="L1332" t="s">
        <v>29</v>
      </c>
      <c r="M1332">
        <v>1</v>
      </c>
      <c r="N1332">
        <v>314.8</v>
      </c>
      <c r="O1332">
        <v>535.04999999999995</v>
      </c>
      <c r="P1332">
        <v>53.5</v>
      </c>
      <c r="Q1332">
        <v>53.5</v>
      </c>
      <c r="R1332" t="s">
        <v>30</v>
      </c>
      <c r="S1332">
        <v>29</v>
      </c>
      <c r="T1332">
        <v>1</v>
      </c>
      <c r="U1332">
        <v>4</v>
      </c>
      <c r="V1332">
        <v>481.55</v>
      </c>
      <c r="W1332">
        <v>13130001330</v>
      </c>
    </row>
    <row r="1333" spans="1:23" x14ac:dyDescent="0.2">
      <c r="A1333" s="1">
        <v>44797</v>
      </c>
      <c r="B1333" s="2">
        <v>0.90187499999999998</v>
      </c>
      <c r="C1333">
        <v>2331</v>
      </c>
      <c r="D1333">
        <v>13002561</v>
      </c>
      <c r="E1333">
        <v>13</v>
      </c>
      <c r="F1333">
        <v>22589</v>
      </c>
      <c r="G1333" t="s">
        <v>23</v>
      </c>
      <c r="H1333">
        <v>18</v>
      </c>
      <c r="I1333">
        <v>90779</v>
      </c>
      <c r="J1333" t="s">
        <v>35</v>
      </c>
      <c r="K1333" t="s">
        <v>44</v>
      </c>
      <c r="L1333" t="s">
        <v>51</v>
      </c>
      <c r="M1333">
        <v>2</v>
      </c>
      <c r="N1333">
        <v>82.24</v>
      </c>
      <c r="O1333">
        <v>124.01</v>
      </c>
      <c r="P1333">
        <v>6.2</v>
      </c>
      <c r="Q1333">
        <v>6.2</v>
      </c>
      <c r="R1333" t="s">
        <v>30</v>
      </c>
      <c r="S1333">
        <v>29</v>
      </c>
      <c r="T1333">
        <v>1</v>
      </c>
      <c r="U1333">
        <v>5</v>
      </c>
      <c r="V1333">
        <v>117.81</v>
      </c>
      <c r="W1333">
        <v>13130001331</v>
      </c>
    </row>
    <row r="1334" spans="1:23" x14ac:dyDescent="0.2">
      <c r="A1334" s="1">
        <v>44788</v>
      </c>
      <c r="B1334" s="2">
        <v>0.74836805555555552</v>
      </c>
      <c r="C1334">
        <v>2332</v>
      </c>
      <c r="D1334">
        <v>13002561</v>
      </c>
      <c r="E1334">
        <v>13</v>
      </c>
      <c r="F1334">
        <v>22589</v>
      </c>
      <c r="G1334" t="s">
        <v>23</v>
      </c>
      <c r="H1334">
        <v>18</v>
      </c>
      <c r="I1334">
        <v>26290</v>
      </c>
      <c r="J1334" t="s">
        <v>85</v>
      </c>
      <c r="K1334" t="s">
        <v>44</v>
      </c>
      <c r="L1334" t="s">
        <v>51</v>
      </c>
      <c r="M1334">
        <v>3</v>
      </c>
      <c r="N1334">
        <v>283.14999999999998</v>
      </c>
      <c r="O1334">
        <v>467.66</v>
      </c>
      <c r="P1334">
        <v>46.77</v>
      </c>
      <c r="Q1334">
        <v>46.77</v>
      </c>
      <c r="R1334" t="s">
        <v>30</v>
      </c>
      <c r="S1334">
        <v>29</v>
      </c>
      <c r="T1334">
        <v>1</v>
      </c>
      <c r="U1334">
        <v>3</v>
      </c>
      <c r="V1334">
        <v>420.89</v>
      </c>
      <c r="W1334">
        <v>13130001332</v>
      </c>
    </row>
    <row r="1335" spans="1:23" x14ac:dyDescent="0.2">
      <c r="A1335" s="1">
        <v>44791</v>
      </c>
      <c r="B1335" s="2">
        <v>0.95721064814814816</v>
      </c>
      <c r="C1335">
        <v>2333</v>
      </c>
      <c r="D1335">
        <v>13002561</v>
      </c>
      <c r="E1335">
        <v>13</v>
      </c>
      <c r="F1335">
        <v>22589</v>
      </c>
      <c r="G1335" t="s">
        <v>23</v>
      </c>
      <c r="H1335">
        <v>18</v>
      </c>
      <c r="I1335">
        <v>46755</v>
      </c>
      <c r="J1335" t="s">
        <v>120</v>
      </c>
      <c r="K1335" t="s">
        <v>60</v>
      </c>
      <c r="L1335" t="s">
        <v>47</v>
      </c>
      <c r="M1335">
        <v>2</v>
      </c>
      <c r="N1335">
        <v>373.3</v>
      </c>
      <c r="O1335">
        <v>626.07000000000005</v>
      </c>
      <c r="P1335">
        <v>62.61</v>
      </c>
      <c r="Q1335">
        <v>62.61</v>
      </c>
      <c r="R1335" t="s">
        <v>30</v>
      </c>
      <c r="S1335">
        <v>29</v>
      </c>
      <c r="T1335">
        <v>1</v>
      </c>
      <c r="U1335">
        <v>2</v>
      </c>
      <c r="V1335">
        <v>563.46</v>
      </c>
      <c r="W1335">
        <v>13130001333</v>
      </c>
    </row>
    <row r="1336" spans="1:23" x14ac:dyDescent="0.2">
      <c r="A1336" s="1">
        <v>44784</v>
      </c>
      <c r="B1336" s="2">
        <v>0.5411111111111111</v>
      </c>
      <c r="C1336">
        <v>2334</v>
      </c>
      <c r="D1336">
        <v>13002561</v>
      </c>
      <c r="E1336">
        <v>13</v>
      </c>
      <c r="F1336">
        <v>22589</v>
      </c>
      <c r="G1336" t="s">
        <v>23</v>
      </c>
      <c r="H1336">
        <v>18</v>
      </c>
      <c r="I1336">
        <v>75979</v>
      </c>
      <c r="J1336" t="s">
        <v>104</v>
      </c>
      <c r="K1336" t="s">
        <v>38</v>
      </c>
      <c r="L1336" t="s">
        <v>39</v>
      </c>
      <c r="M1336">
        <v>1</v>
      </c>
      <c r="N1336">
        <v>79.13</v>
      </c>
      <c r="O1336">
        <v>118.89</v>
      </c>
      <c r="P1336">
        <v>0</v>
      </c>
      <c r="Q1336">
        <v>0</v>
      </c>
      <c r="S1336">
        <v>29</v>
      </c>
      <c r="T1336">
        <v>1</v>
      </c>
      <c r="U1336">
        <v>5</v>
      </c>
      <c r="V1336">
        <v>118.89</v>
      </c>
      <c r="W1336">
        <v>13130001334</v>
      </c>
    </row>
    <row r="1337" spans="1:23" x14ac:dyDescent="0.2">
      <c r="A1337" s="1">
        <v>44779</v>
      </c>
      <c r="B1337" s="2">
        <v>0.44840277777777782</v>
      </c>
      <c r="C1337">
        <v>2335</v>
      </c>
      <c r="D1337">
        <v>13002561</v>
      </c>
      <c r="E1337">
        <v>13</v>
      </c>
      <c r="F1337">
        <v>22589</v>
      </c>
      <c r="G1337" t="s">
        <v>23</v>
      </c>
      <c r="H1337">
        <v>15</v>
      </c>
      <c r="I1337">
        <v>79306</v>
      </c>
      <c r="J1337" t="s">
        <v>84</v>
      </c>
      <c r="K1337" t="s">
        <v>25</v>
      </c>
      <c r="L1337" t="s">
        <v>51</v>
      </c>
      <c r="M1337">
        <v>3</v>
      </c>
      <c r="N1337">
        <v>423.1</v>
      </c>
      <c r="O1337">
        <v>618.54999999999995</v>
      </c>
      <c r="P1337">
        <v>0</v>
      </c>
      <c r="Q1337">
        <v>0</v>
      </c>
      <c r="S1337">
        <v>29</v>
      </c>
      <c r="T1337">
        <v>1</v>
      </c>
      <c r="U1337">
        <v>4</v>
      </c>
      <c r="V1337">
        <v>618.54999999999995</v>
      </c>
      <c r="W1337">
        <v>13130001335</v>
      </c>
    </row>
    <row r="1338" spans="1:23" x14ac:dyDescent="0.2">
      <c r="A1338" s="1">
        <v>44784</v>
      </c>
      <c r="B1338" s="2">
        <v>0.90831018518518514</v>
      </c>
      <c r="C1338">
        <v>2336</v>
      </c>
      <c r="D1338">
        <v>13002561</v>
      </c>
      <c r="E1338">
        <v>13</v>
      </c>
      <c r="F1338">
        <v>22589</v>
      </c>
      <c r="G1338" t="s">
        <v>23</v>
      </c>
      <c r="H1338">
        <v>18</v>
      </c>
      <c r="I1338">
        <v>19937</v>
      </c>
      <c r="J1338" t="s">
        <v>33</v>
      </c>
      <c r="K1338" t="s">
        <v>44</v>
      </c>
      <c r="L1338" t="s">
        <v>29</v>
      </c>
      <c r="M1338">
        <v>3</v>
      </c>
      <c r="N1338">
        <v>103.77</v>
      </c>
      <c r="O1338">
        <v>148.72</v>
      </c>
      <c r="P1338">
        <v>14.87</v>
      </c>
      <c r="Q1338">
        <v>14.87</v>
      </c>
      <c r="R1338" t="s">
        <v>30</v>
      </c>
      <c r="S1338">
        <v>29</v>
      </c>
      <c r="T1338">
        <v>1</v>
      </c>
      <c r="U1338">
        <v>6</v>
      </c>
      <c r="V1338">
        <v>133.85</v>
      </c>
      <c r="W1338">
        <v>13130001336</v>
      </c>
    </row>
    <row r="1339" spans="1:23" x14ac:dyDescent="0.2">
      <c r="A1339" s="1">
        <v>44792</v>
      </c>
      <c r="B1339" s="2">
        <v>0.8178009259259259</v>
      </c>
      <c r="C1339">
        <v>2337</v>
      </c>
      <c r="D1339">
        <v>13002561</v>
      </c>
      <c r="E1339">
        <v>13</v>
      </c>
      <c r="F1339">
        <v>22589</v>
      </c>
      <c r="G1339" t="s">
        <v>23</v>
      </c>
      <c r="H1339">
        <v>15</v>
      </c>
      <c r="I1339">
        <v>10838</v>
      </c>
      <c r="J1339" t="s">
        <v>27</v>
      </c>
      <c r="K1339" t="s">
        <v>25</v>
      </c>
      <c r="L1339" t="s">
        <v>34</v>
      </c>
      <c r="M1339">
        <v>2</v>
      </c>
      <c r="N1339">
        <v>573.54</v>
      </c>
      <c r="O1339">
        <v>816.99</v>
      </c>
      <c r="P1339">
        <v>0</v>
      </c>
      <c r="Q1339">
        <v>0</v>
      </c>
      <c r="S1339">
        <v>29</v>
      </c>
      <c r="T1339">
        <v>1</v>
      </c>
      <c r="U1339">
        <v>5</v>
      </c>
      <c r="V1339">
        <v>816.99</v>
      </c>
      <c r="W1339">
        <v>13130001337</v>
      </c>
    </row>
    <row r="1340" spans="1:23" x14ac:dyDescent="0.2">
      <c r="A1340" s="1">
        <v>44790</v>
      </c>
      <c r="B1340" s="2">
        <v>0.35430555555555548</v>
      </c>
      <c r="C1340">
        <v>2338</v>
      </c>
      <c r="D1340">
        <v>13002561</v>
      </c>
      <c r="E1340">
        <v>13</v>
      </c>
      <c r="F1340">
        <v>22589</v>
      </c>
      <c r="G1340" t="s">
        <v>23</v>
      </c>
      <c r="H1340">
        <v>18</v>
      </c>
      <c r="I1340">
        <v>89297</v>
      </c>
      <c r="J1340" t="s">
        <v>82</v>
      </c>
      <c r="K1340" t="s">
        <v>45</v>
      </c>
      <c r="L1340" t="s">
        <v>34</v>
      </c>
      <c r="M1340">
        <v>1</v>
      </c>
      <c r="N1340">
        <v>201.35</v>
      </c>
      <c r="O1340">
        <v>283.72000000000003</v>
      </c>
      <c r="P1340">
        <v>14.19</v>
      </c>
      <c r="Q1340">
        <v>14.19</v>
      </c>
      <c r="R1340" t="s">
        <v>30</v>
      </c>
      <c r="S1340">
        <v>29</v>
      </c>
      <c r="T1340">
        <v>1</v>
      </c>
      <c r="U1340">
        <v>6</v>
      </c>
      <c r="V1340">
        <v>269.52999999999997</v>
      </c>
      <c r="W1340">
        <v>13130001338</v>
      </c>
    </row>
    <row r="1341" spans="1:23" x14ac:dyDescent="0.2">
      <c r="A1341" s="1">
        <v>44789</v>
      </c>
      <c r="B1341" s="2">
        <v>0.76512731481481477</v>
      </c>
      <c r="C1341">
        <v>2339</v>
      </c>
      <c r="D1341">
        <v>13002561</v>
      </c>
      <c r="E1341">
        <v>13</v>
      </c>
      <c r="F1341">
        <v>22589</v>
      </c>
      <c r="G1341" t="s">
        <v>23</v>
      </c>
      <c r="H1341">
        <v>15</v>
      </c>
      <c r="I1341">
        <v>69184</v>
      </c>
      <c r="J1341" t="s">
        <v>104</v>
      </c>
      <c r="K1341" t="s">
        <v>38</v>
      </c>
      <c r="L1341" t="s">
        <v>32</v>
      </c>
      <c r="M1341">
        <v>1</v>
      </c>
      <c r="N1341">
        <v>148.43</v>
      </c>
      <c r="O1341">
        <v>198.5</v>
      </c>
      <c r="P1341">
        <v>19.850000000000001</v>
      </c>
      <c r="Q1341">
        <v>19.850000000000001</v>
      </c>
      <c r="R1341" t="s">
        <v>30</v>
      </c>
      <c r="S1341">
        <v>29</v>
      </c>
      <c r="T1341">
        <v>1</v>
      </c>
      <c r="U1341">
        <v>3</v>
      </c>
      <c r="V1341">
        <v>178.65</v>
      </c>
      <c r="W1341">
        <v>13130001339</v>
      </c>
    </row>
    <row r="1342" spans="1:23" x14ac:dyDescent="0.2">
      <c r="A1342" s="1">
        <v>44801</v>
      </c>
      <c r="B1342" s="2">
        <v>0.82937499999999997</v>
      </c>
      <c r="C1342">
        <v>2340</v>
      </c>
      <c r="D1342">
        <v>13002561</v>
      </c>
      <c r="E1342">
        <v>13</v>
      </c>
      <c r="F1342">
        <v>22589</v>
      </c>
      <c r="G1342" t="s">
        <v>23</v>
      </c>
      <c r="H1342">
        <v>18</v>
      </c>
      <c r="I1342">
        <v>94376</v>
      </c>
      <c r="J1342" t="s">
        <v>59</v>
      </c>
      <c r="K1342" t="s">
        <v>45</v>
      </c>
      <c r="L1342" t="s">
        <v>39</v>
      </c>
      <c r="M1342">
        <v>3</v>
      </c>
      <c r="N1342">
        <v>167.7</v>
      </c>
      <c r="O1342">
        <v>233.07</v>
      </c>
      <c r="P1342">
        <v>23.31</v>
      </c>
      <c r="Q1342">
        <v>23.31</v>
      </c>
      <c r="R1342" t="s">
        <v>30</v>
      </c>
      <c r="S1342">
        <v>29</v>
      </c>
      <c r="T1342">
        <v>1</v>
      </c>
      <c r="U1342">
        <v>3</v>
      </c>
      <c r="V1342">
        <v>209.76</v>
      </c>
      <c r="W1342">
        <v>13130001340</v>
      </c>
    </row>
    <row r="1343" spans="1:23" x14ac:dyDescent="0.2">
      <c r="A1343" s="1">
        <v>44782</v>
      </c>
      <c r="B1343" s="2">
        <v>0.50587962962962962</v>
      </c>
      <c r="C1343">
        <v>2341</v>
      </c>
      <c r="D1343">
        <v>13002561</v>
      </c>
      <c r="E1343">
        <v>13</v>
      </c>
      <c r="F1343">
        <v>22589</v>
      </c>
      <c r="G1343" t="s">
        <v>23</v>
      </c>
      <c r="H1343">
        <v>18</v>
      </c>
      <c r="I1343">
        <v>47912</v>
      </c>
      <c r="J1343" t="s">
        <v>112</v>
      </c>
      <c r="K1343" t="s">
        <v>38</v>
      </c>
      <c r="L1343" t="s">
        <v>47</v>
      </c>
      <c r="M1343">
        <v>1</v>
      </c>
      <c r="N1343">
        <v>433.82</v>
      </c>
      <c r="O1343">
        <v>690.86</v>
      </c>
      <c r="P1343">
        <v>69.09</v>
      </c>
      <c r="Q1343">
        <v>69.09</v>
      </c>
      <c r="R1343" t="s">
        <v>30</v>
      </c>
      <c r="S1343">
        <v>29</v>
      </c>
      <c r="T1343">
        <v>1</v>
      </c>
      <c r="U1343">
        <v>5</v>
      </c>
      <c r="V1343">
        <v>621.77</v>
      </c>
      <c r="W1343">
        <v>13130001341</v>
      </c>
    </row>
    <row r="1344" spans="1:23" x14ac:dyDescent="0.2">
      <c r="A1344" s="1">
        <v>44786</v>
      </c>
      <c r="B1344" s="2">
        <v>0.92802083333333329</v>
      </c>
      <c r="C1344">
        <v>2342</v>
      </c>
      <c r="D1344">
        <v>13002561</v>
      </c>
      <c r="E1344">
        <v>13</v>
      </c>
      <c r="F1344">
        <v>22589</v>
      </c>
      <c r="G1344" t="s">
        <v>23</v>
      </c>
      <c r="H1344">
        <v>15</v>
      </c>
      <c r="I1344">
        <v>99533</v>
      </c>
      <c r="J1344" t="s">
        <v>102</v>
      </c>
      <c r="K1344" t="s">
        <v>28</v>
      </c>
      <c r="L1344" t="s">
        <v>29</v>
      </c>
      <c r="M1344">
        <v>3</v>
      </c>
      <c r="N1344">
        <v>129.72</v>
      </c>
      <c r="O1344">
        <v>219.42</v>
      </c>
      <c r="P1344">
        <v>21.94</v>
      </c>
      <c r="Q1344">
        <v>21.94</v>
      </c>
      <c r="R1344" t="s">
        <v>30</v>
      </c>
      <c r="S1344">
        <v>29</v>
      </c>
      <c r="T1344">
        <v>1</v>
      </c>
      <c r="U1344">
        <v>4</v>
      </c>
      <c r="V1344">
        <v>197.48</v>
      </c>
      <c r="W1344">
        <v>13130001342</v>
      </c>
    </row>
    <row r="1345" spans="1:23" x14ac:dyDescent="0.2">
      <c r="A1345" s="1">
        <v>44782</v>
      </c>
      <c r="B1345" s="2">
        <v>0.9462962962962963</v>
      </c>
      <c r="C1345">
        <v>2343</v>
      </c>
      <c r="D1345">
        <v>13002561</v>
      </c>
      <c r="E1345">
        <v>13</v>
      </c>
      <c r="F1345">
        <v>22589</v>
      </c>
      <c r="G1345" t="s">
        <v>23</v>
      </c>
      <c r="H1345">
        <v>18</v>
      </c>
      <c r="I1345">
        <v>42113</v>
      </c>
      <c r="J1345" t="s">
        <v>43</v>
      </c>
      <c r="K1345" t="s">
        <v>28</v>
      </c>
      <c r="L1345" t="s">
        <v>32</v>
      </c>
      <c r="M1345">
        <v>3</v>
      </c>
      <c r="N1345">
        <v>207.86</v>
      </c>
      <c r="O1345">
        <v>289.11</v>
      </c>
      <c r="P1345">
        <v>0</v>
      </c>
      <c r="Q1345">
        <v>0</v>
      </c>
      <c r="S1345">
        <v>29</v>
      </c>
      <c r="T1345">
        <v>1</v>
      </c>
      <c r="U1345">
        <v>4</v>
      </c>
      <c r="V1345">
        <v>289.11</v>
      </c>
      <c r="W1345">
        <v>13130001343</v>
      </c>
    </row>
    <row r="1346" spans="1:23" x14ac:dyDescent="0.2">
      <c r="A1346" s="1">
        <v>44794</v>
      </c>
      <c r="B1346" s="2">
        <v>0.5044791666666667</v>
      </c>
      <c r="C1346">
        <v>2344</v>
      </c>
      <c r="D1346">
        <v>13002561</v>
      </c>
      <c r="E1346">
        <v>13</v>
      </c>
      <c r="F1346">
        <v>22589</v>
      </c>
      <c r="G1346" t="s">
        <v>23</v>
      </c>
      <c r="H1346">
        <v>15</v>
      </c>
      <c r="I1346">
        <v>81093</v>
      </c>
      <c r="J1346" t="s">
        <v>87</v>
      </c>
      <c r="K1346" t="s">
        <v>45</v>
      </c>
      <c r="L1346" t="s">
        <v>29</v>
      </c>
      <c r="M1346">
        <v>3</v>
      </c>
      <c r="N1346">
        <v>69.900000000000006</v>
      </c>
      <c r="O1346">
        <v>114.25</v>
      </c>
      <c r="P1346">
        <v>5.71</v>
      </c>
      <c r="Q1346">
        <v>5.71</v>
      </c>
      <c r="R1346" t="s">
        <v>30</v>
      </c>
      <c r="S1346">
        <v>29</v>
      </c>
      <c r="T1346">
        <v>1</v>
      </c>
      <c r="U1346">
        <v>2</v>
      </c>
      <c r="V1346">
        <v>108.54</v>
      </c>
      <c r="W1346">
        <v>13130001344</v>
      </c>
    </row>
    <row r="1347" spans="1:23" x14ac:dyDescent="0.2">
      <c r="A1347" s="1">
        <v>44775</v>
      </c>
      <c r="B1347" s="2">
        <v>0.51552083333333332</v>
      </c>
      <c r="C1347">
        <v>2345</v>
      </c>
      <c r="D1347">
        <v>13002561</v>
      </c>
      <c r="E1347">
        <v>13</v>
      </c>
      <c r="F1347">
        <v>22589</v>
      </c>
      <c r="G1347" t="s">
        <v>23</v>
      </c>
      <c r="H1347">
        <v>18</v>
      </c>
      <c r="I1347">
        <v>28996</v>
      </c>
      <c r="J1347" t="s">
        <v>66</v>
      </c>
      <c r="K1347" t="s">
        <v>45</v>
      </c>
      <c r="L1347" t="s">
        <v>32</v>
      </c>
      <c r="M1347">
        <v>3</v>
      </c>
      <c r="N1347">
        <v>407.03</v>
      </c>
      <c r="O1347">
        <v>623.76</v>
      </c>
      <c r="P1347">
        <v>31.19</v>
      </c>
      <c r="Q1347">
        <v>31.19</v>
      </c>
      <c r="R1347" t="s">
        <v>30</v>
      </c>
      <c r="S1347">
        <v>29</v>
      </c>
      <c r="T1347">
        <v>1</v>
      </c>
      <c r="U1347">
        <v>2</v>
      </c>
      <c r="V1347">
        <v>592.57000000000005</v>
      </c>
      <c r="W1347">
        <v>13130001345</v>
      </c>
    </row>
    <row r="1348" spans="1:23" x14ac:dyDescent="0.2">
      <c r="A1348" s="1">
        <v>44779</v>
      </c>
      <c r="B1348" s="2">
        <v>0.92902777777777779</v>
      </c>
      <c r="C1348">
        <v>2346</v>
      </c>
      <c r="D1348">
        <v>13002561</v>
      </c>
      <c r="E1348">
        <v>13</v>
      </c>
      <c r="F1348">
        <v>22589</v>
      </c>
      <c r="G1348" t="s">
        <v>23</v>
      </c>
      <c r="H1348">
        <v>15</v>
      </c>
      <c r="I1348">
        <v>27876</v>
      </c>
      <c r="J1348" t="s">
        <v>112</v>
      </c>
      <c r="K1348" t="s">
        <v>38</v>
      </c>
      <c r="L1348" t="s">
        <v>39</v>
      </c>
      <c r="M1348">
        <v>2</v>
      </c>
      <c r="N1348">
        <v>508.88</v>
      </c>
      <c r="O1348">
        <v>712.15</v>
      </c>
      <c r="P1348">
        <v>0</v>
      </c>
      <c r="Q1348">
        <v>0</v>
      </c>
      <c r="S1348">
        <v>29</v>
      </c>
      <c r="T1348">
        <v>1</v>
      </c>
      <c r="U1348">
        <v>1</v>
      </c>
      <c r="V1348">
        <v>712.15</v>
      </c>
      <c r="W1348">
        <v>13130001346</v>
      </c>
    </row>
    <row r="1349" spans="1:23" x14ac:dyDescent="0.2">
      <c r="A1349" s="1">
        <v>44790</v>
      </c>
      <c r="B1349" s="2">
        <v>0.78521990740740744</v>
      </c>
      <c r="C1349">
        <v>2347</v>
      </c>
      <c r="D1349">
        <v>13002561</v>
      </c>
      <c r="E1349">
        <v>13</v>
      </c>
      <c r="F1349">
        <v>22589</v>
      </c>
      <c r="G1349" t="s">
        <v>23</v>
      </c>
      <c r="H1349">
        <v>15</v>
      </c>
      <c r="I1349">
        <v>18726</v>
      </c>
      <c r="J1349" t="s">
        <v>80</v>
      </c>
      <c r="K1349" t="s">
        <v>25</v>
      </c>
      <c r="L1349" t="s">
        <v>47</v>
      </c>
      <c r="M1349">
        <v>1</v>
      </c>
      <c r="N1349">
        <v>583.13</v>
      </c>
      <c r="O1349">
        <v>784.82</v>
      </c>
      <c r="P1349">
        <v>0</v>
      </c>
      <c r="Q1349">
        <v>0</v>
      </c>
      <c r="S1349">
        <v>29</v>
      </c>
      <c r="T1349">
        <v>1</v>
      </c>
      <c r="U1349">
        <v>6</v>
      </c>
      <c r="V1349">
        <v>784.82</v>
      </c>
      <c r="W1349">
        <v>13130001347</v>
      </c>
    </row>
    <row r="1350" spans="1:23" x14ac:dyDescent="0.2">
      <c r="A1350" s="1">
        <v>44790</v>
      </c>
      <c r="B1350" s="2">
        <v>0.68333333333333335</v>
      </c>
      <c r="C1350">
        <v>2348</v>
      </c>
      <c r="D1350">
        <v>13002561</v>
      </c>
      <c r="E1350">
        <v>13</v>
      </c>
      <c r="F1350">
        <v>22589</v>
      </c>
      <c r="G1350" t="s">
        <v>23</v>
      </c>
      <c r="H1350">
        <v>18</v>
      </c>
      <c r="I1350">
        <v>61209</v>
      </c>
      <c r="J1350" t="s">
        <v>73</v>
      </c>
      <c r="K1350" t="s">
        <v>45</v>
      </c>
      <c r="L1350" t="s">
        <v>47</v>
      </c>
      <c r="M1350">
        <v>1</v>
      </c>
      <c r="N1350">
        <v>64.56</v>
      </c>
      <c r="O1350">
        <v>107.32</v>
      </c>
      <c r="P1350">
        <v>5.37</v>
      </c>
      <c r="Q1350">
        <v>5.37</v>
      </c>
      <c r="R1350" t="s">
        <v>30</v>
      </c>
      <c r="S1350">
        <v>29</v>
      </c>
      <c r="T1350">
        <v>1</v>
      </c>
      <c r="U1350">
        <v>3</v>
      </c>
      <c r="V1350">
        <v>101.95</v>
      </c>
      <c r="W1350">
        <v>13130001348</v>
      </c>
    </row>
    <row r="1351" spans="1:23" x14ac:dyDescent="0.2">
      <c r="A1351" s="1">
        <v>44777</v>
      </c>
      <c r="B1351" s="2">
        <v>0.79873842592592592</v>
      </c>
      <c r="C1351">
        <v>2349</v>
      </c>
      <c r="D1351">
        <v>13002561</v>
      </c>
      <c r="E1351">
        <v>13</v>
      </c>
      <c r="F1351">
        <v>22589</v>
      </c>
      <c r="G1351" t="s">
        <v>23</v>
      </c>
      <c r="H1351">
        <v>15</v>
      </c>
      <c r="I1351">
        <v>77710</v>
      </c>
      <c r="J1351" t="s">
        <v>65</v>
      </c>
      <c r="K1351" t="s">
        <v>60</v>
      </c>
      <c r="L1351" t="s">
        <v>47</v>
      </c>
      <c r="M1351">
        <v>1</v>
      </c>
      <c r="N1351">
        <v>281.87</v>
      </c>
      <c r="O1351">
        <v>412.38</v>
      </c>
      <c r="P1351">
        <v>0</v>
      </c>
      <c r="Q1351">
        <v>0</v>
      </c>
      <c r="S1351">
        <v>29</v>
      </c>
      <c r="T1351">
        <v>1</v>
      </c>
      <c r="U1351">
        <v>2</v>
      </c>
      <c r="V1351">
        <v>412.38</v>
      </c>
      <c r="W1351">
        <v>13130001349</v>
      </c>
    </row>
    <row r="1352" spans="1:23" x14ac:dyDescent="0.2">
      <c r="A1352" s="1">
        <v>44786</v>
      </c>
      <c r="B1352" s="2">
        <v>0.74001157407407403</v>
      </c>
      <c r="C1352">
        <v>2350</v>
      </c>
      <c r="D1352">
        <v>13002561</v>
      </c>
      <c r="E1352">
        <v>13</v>
      </c>
      <c r="F1352">
        <v>22589</v>
      </c>
      <c r="G1352" t="s">
        <v>23</v>
      </c>
      <c r="H1352">
        <v>18</v>
      </c>
      <c r="I1352">
        <v>91174</v>
      </c>
      <c r="J1352" t="s">
        <v>50</v>
      </c>
      <c r="K1352" t="s">
        <v>25</v>
      </c>
      <c r="L1352" t="s">
        <v>51</v>
      </c>
      <c r="M1352">
        <v>2</v>
      </c>
      <c r="N1352">
        <v>120.06</v>
      </c>
      <c r="O1352">
        <v>201.56</v>
      </c>
      <c r="P1352">
        <v>10.08</v>
      </c>
      <c r="Q1352">
        <v>10.08</v>
      </c>
      <c r="R1352" t="s">
        <v>30</v>
      </c>
      <c r="S1352">
        <v>29</v>
      </c>
      <c r="T1352">
        <v>1</v>
      </c>
      <c r="U1352">
        <v>5</v>
      </c>
      <c r="V1352">
        <v>191.48</v>
      </c>
      <c r="W1352">
        <v>13130001350</v>
      </c>
    </row>
    <row r="1353" spans="1:23" x14ac:dyDescent="0.2">
      <c r="A1353" s="1">
        <v>44774</v>
      </c>
      <c r="B1353" s="2">
        <v>0.66040509259259261</v>
      </c>
      <c r="C1353">
        <v>2351</v>
      </c>
      <c r="D1353">
        <v>13002561</v>
      </c>
      <c r="E1353">
        <v>13</v>
      </c>
      <c r="F1353">
        <v>22589</v>
      </c>
      <c r="G1353" t="s">
        <v>23</v>
      </c>
      <c r="H1353">
        <v>15</v>
      </c>
      <c r="I1353">
        <v>72388</v>
      </c>
      <c r="J1353" t="s">
        <v>116</v>
      </c>
      <c r="K1353" t="s">
        <v>44</v>
      </c>
      <c r="L1353" t="s">
        <v>36</v>
      </c>
      <c r="M1353">
        <v>1</v>
      </c>
      <c r="N1353">
        <v>95.71</v>
      </c>
      <c r="O1353">
        <v>142.08000000000001</v>
      </c>
      <c r="P1353">
        <v>14.21</v>
      </c>
      <c r="Q1353">
        <v>14.21</v>
      </c>
      <c r="R1353" t="s">
        <v>30</v>
      </c>
      <c r="S1353">
        <v>29</v>
      </c>
      <c r="T1353">
        <v>1</v>
      </c>
      <c r="U1353">
        <v>6</v>
      </c>
      <c r="V1353">
        <v>127.87</v>
      </c>
      <c r="W1353">
        <v>13130001351</v>
      </c>
    </row>
    <row r="1354" spans="1:23" x14ac:dyDescent="0.2">
      <c r="A1354" s="1">
        <v>44792</v>
      </c>
      <c r="B1354" s="2">
        <v>0.45428240740740738</v>
      </c>
      <c r="C1354">
        <v>2352</v>
      </c>
      <c r="D1354">
        <v>13002561</v>
      </c>
      <c r="E1354">
        <v>13</v>
      </c>
      <c r="F1354">
        <v>22589</v>
      </c>
      <c r="G1354" t="s">
        <v>23</v>
      </c>
      <c r="H1354">
        <v>15</v>
      </c>
      <c r="I1354">
        <v>59847</v>
      </c>
      <c r="J1354" t="s">
        <v>116</v>
      </c>
      <c r="K1354" t="s">
        <v>44</v>
      </c>
      <c r="L1354" t="s">
        <v>47</v>
      </c>
      <c r="M1354">
        <v>1</v>
      </c>
      <c r="N1354">
        <v>189.13</v>
      </c>
      <c r="O1354">
        <v>267.19</v>
      </c>
      <c r="P1354">
        <v>13.36</v>
      </c>
      <c r="Q1354">
        <v>13.36</v>
      </c>
      <c r="R1354" t="s">
        <v>30</v>
      </c>
      <c r="S1354">
        <v>29</v>
      </c>
      <c r="T1354">
        <v>1</v>
      </c>
      <c r="U1354">
        <v>5</v>
      </c>
      <c r="V1354">
        <v>253.83</v>
      </c>
      <c r="W1354">
        <v>13130001352</v>
      </c>
    </row>
    <row r="1355" spans="1:23" x14ac:dyDescent="0.2">
      <c r="A1355" s="1">
        <v>44780</v>
      </c>
      <c r="B1355" s="2">
        <v>0.38979166666666659</v>
      </c>
      <c r="C1355">
        <v>2353</v>
      </c>
      <c r="D1355">
        <v>13002561</v>
      </c>
      <c r="E1355">
        <v>13</v>
      </c>
      <c r="F1355">
        <v>22589</v>
      </c>
      <c r="G1355" t="s">
        <v>23</v>
      </c>
      <c r="H1355">
        <v>18</v>
      </c>
      <c r="I1355">
        <v>54510</v>
      </c>
      <c r="J1355" t="s">
        <v>72</v>
      </c>
      <c r="K1355" t="s">
        <v>60</v>
      </c>
      <c r="L1355" t="s">
        <v>29</v>
      </c>
      <c r="M1355">
        <v>2</v>
      </c>
      <c r="N1355">
        <v>388.52</v>
      </c>
      <c r="O1355">
        <v>600.07000000000005</v>
      </c>
      <c r="P1355">
        <v>60.01</v>
      </c>
      <c r="Q1355">
        <v>60.01</v>
      </c>
      <c r="R1355" t="s">
        <v>30</v>
      </c>
      <c r="S1355">
        <v>29</v>
      </c>
      <c r="T1355">
        <v>1</v>
      </c>
      <c r="U1355">
        <v>5</v>
      </c>
      <c r="V1355">
        <v>540.05999999999995</v>
      </c>
      <c r="W1355">
        <v>13130001353</v>
      </c>
    </row>
    <row r="1356" spans="1:23" x14ac:dyDescent="0.2">
      <c r="A1356" s="1">
        <v>44782</v>
      </c>
      <c r="B1356" s="2">
        <v>0.82979166666666671</v>
      </c>
      <c r="C1356">
        <v>2354</v>
      </c>
      <c r="D1356">
        <v>13002561</v>
      </c>
      <c r="E1356">
        <v>13</v>
      </c>
      <c r="F1356">
        <v>22589</v>
      </c>
      <c r="G1356" t="s">
        <v>23</v>
      </c>
      <c r="H1356">
        <v>15</v>
      </c>
      <c r="I1356">
        <v>99356</v>
      </c>
      <c r="J1356" t="s">
        <v>93</v>
      </c>
      <c r="K1356" t="s">
        <v>25</v>
      </c>
      <c r="L1356" t="s">
        <v>26</v>
      </c>
      <c r="M1356">
        <v>2</v>
      </c>
      <c r="N1356">
        <v>28.9</v>
      </c>
      <c r="O1356">
        <v>46.25</v>
      </c>
      <c r="P1356">
        <v>0</v>
      </c>
      <c r="Q1356">
        <v>0</v>
      </c>
      <c r="S1356">
        <v>29</v>
      </c>
      <c r="T1356">
        <v>1</v>
      </c>
      <c r="U1356">
        <v>1</v>
      </c>
      <c r="V1356">
        <v>46.25</v>
      </c>
      <c r="W1356">
        <v>13130001354</v>
      </c>
    </row>
    <row r="1357" spans="1:23" x14ac:dyDescent="0.2">
      <c r="A1357" s="1">
        <v>44800</v>
      </c>
      <c r="B1357" s="2">
        <v>0.36262731481481481</v>
      </c>
      <c r="C1357">
        <v>2355</v>
      </c>
      <c r="D1357">
        <v>13002561</v>
      </c>
      <c r="E1357">
        <v>13</v>
      </c>
      <c r="F1357">
        <v>22589</v>
      </c>
      <c r="G1357" t="s">
        <v>23</v>
      </c>
      <c r="H1357">
        <v>18</v>
      </c>
      <c r="I1357">
        <v>26651</v>
      </c>
      <c r="J1357" t="s">
        <v>79</v>
      </c>
      <c r="K1357" t="s">
        <v>60</v>
      </c>
      <c r="L1357" t="s">
        <v>47</v>
      </c>
      <c r="M1357">
        <v>2</v>
      </c>
      <c r="N1357">
        <v>266.11</v>
      </c>
      <c r="O1357">
        <v>432.21</v>
      </c>
      <c r="P1357">
        <v>21.61</v>
      </c>
      <c r="Q1357">
        <v>21.61</v>
      </c>
      <c r="R1357" t="s">
        <v>30</v>
      </c>
      <c r="S1357">
        <v>29</v>
      </c>
      <c r="T1357">
        <v>1</v>
      </c>
      <c r="U1357">
        <v>4</v>
      </c>
      <c r="V1357">
        <v>410.6</v>
      </c>
      <c r="W1357">
        <v>13130001355</v>
      </c>
    </row>
    <row r="1358" spans="1:23" x14ac:dyDescent="0.2">
      <c r="A1358" s="1">
        <v>44799</v>
      </c>
      <c r="B1358" s="2">
        <v>0.47469907407407408</v>
      </c>
      <c r="C1358">
        <v>2356</v>
      </c>
      <c r="D1358">
        <v>13002561</v>
      </c>
      <c r="E1358">
        <v>13</v>
      </c>
      <c r="F1358">
        <v>22589</v>
      </c>
      <c r="G1358" t="s">
        <v>23</v>
      </c>
      <c r="H1358">
        <v>18</v>
      </c>
      <c r="I1358">
        <v>95774</v>
      </c>
      <c r="J1358" t="s">
        <v>123</v>
      </c>
      <c r="K1358" t="s">
        <v>60</v>
      </c>
      <c r="L1358" t="s">
        <v>29</v>
      </c>
      <c r="M1358">
        <v>2</v>
      </c>
      <c r="N1358">
        <v>432.9</v>
      </c>
      <c r="O1358">
        <v>668.37</v>
      </c>
      <c r="P1358">
        <v>66.84</v>
      </c>
      <c r="Q1358">
        <v>66.84</v>
      </c>
      <c r="R1358" t="s">
        <v>30</v>
      </c>
      <c r="S1358">
        <v>29</v>
      </c>
      <c r="T1358">
        <v>1</v>
      </c>
      <c r="U1358">
        <v>6</v>
      </c>
      <c r="V1358">
        <v>601.53</v>
      </c>
      <c r="W1358">
        <v>13130001356</v>
      </c>
    </row>
    <row r="1359" spans="1:23" x14ac:dyDescent="0.2">
      <c r="A1359" s="1">
        <v>44783</v>
      </c>
      <c r="B1359" s="2">
        <v>0.58322916666666669</v>
      </c>
      <c r="C1359">
        <v>2357</v>
      </c>
      <c r="D1359">
        <v>13002561</v>
      </c>
      <c r="E1359">
        <v>13</v>
      </c>
      <c r="F1359">
        <v>22589</v>
      </c>
      <c r="G1359" t="s">
        <v>23</v>
      </c>
      <c r="H1359">
        <v>18</v>
      </c>
      <c r="I1359">
        <v>91503</v>
      </c>
      <c r="J1359" t="s">
        <v>89</v>
      </c>
      <c r="K1359" t="s">
        <v>44</v>
      </c>
      <c r="L1359" t="s">
        <v>47</v>
      </c>
      <c r="M1359">
        <v>2</v>
      </c>
      <c r="N1359">
        <v>529.96</v>
      </c>
      <c r="O1359">
        <v>803.8</v>
      </c>
      <c r="P1359">
        <v>80.38</v>
      </c>
      <c r="Q1359">
        <v>80.38</v>
      </c>
      <c r="R1359" t="s">
        <v>30</v>
      </c>
      <c r="S1359">
        <v>29</v>
      </c>
      <c r="T1359">
        <v>1</v>
      </c>
      <c r="U1359">
        <v>6</v>
      </c>
      <c r="V1359">
        <v>723.42</v>
      </c>
      <c r="W1359">
        <v>13130001357</v>
      </c>
    </row>
    <row r="1360" spans="1:23" x14ac:dyDescent="0.2">
      <c r="A1360" s="1">
        <v>44785</v>
      </c>
      <c r="B1360" s="2">
        <v>0.51956018518518521</v>
      </c>
      <c r="C1360">
        <v>2358</v>
      </c>
      <c r="D1360">
        <v>13002561</v>
      </c>
      <c r="E1360">
        <v>13</v>
      </c>
      <c r="F1360">
        <v>22589</v>
      </c>
      <c r="G1360" t="s">
        <v>23</v>
      </c>
      <c r="H1360">
        <v>15</v>
      </c>
      <c r="I1360">
        <v>59638</v>
      </c>
      <c r="J1360" t="s">
        <v>86</v>
      </c>
      <c r="K1360" t="s">
        <v>60</v>
      </c>
      <c r="L1360" t="s">
        <v>34</v>
      </c>
      <c r="M1360">
        <v>2</v>
      </c>
      <c r="N1360">
        <v>122.4</v>
      </c>
      <c r="O1360">
        <v>164.85</v>
      </c>
      <c r="P1360">
        <v>0</v>
      </c>
      <c r="Q1360">
        <v>0</v>
      </c>
      <c r="S1360">
        <v>29</v>
      </c>
      <c r="T1360">
        <v>1</v>
      </c>
      <c r="U1360">
        <v>3</v>
      </c>
      <c r="V1360">
        <v>164.85</v>
      </c>
      <c r="W1360">
        <v>13130001358</v>
      </c>
    </row>
    <row r="1361" spans="1:23" x14ac:dyDescent="0.2">
      <c r="A1361" s="1">
        <v>44800</v>
      </c>
      <c r="B1361" s="2">
        <v>0.450625</v>
      </c>
      <c r="C1361">
        <v>2359</v>
      </c>
      <c r="D1361">
        <v>13002561</v>
      </c>
      <c r="E1361">
        <v>13</v>
      </c>
      <c r="F1361">
        <v>22589</v>
      </c>
      <c r="G1361" t="s">
        <v>23</v>
      </c>
      <c r="H1361">
        <v>18</v>
      </c>
      <c r="I1361">
        <v>99923</v>
      </c>
      <c r="J1361" t="s">
        <v>33</v>
      </c>
      <c r="K1361" t="s">
        <v>45</v>
      </c>
      <c r="L1361" t="s">
        <v>39</v>
      </c>
      <c r="M1361">
        <v>3</v>
      </c>
      <c r="N1361">
        <v>195.46</v>
      </c>
      <c r="O1361">
        <v>258.76</v>
      </c>
      <c r="P1361">
        <v>25.88</v>
      </c>
      <c r="Q1361">
        <v>25.88</v>
      </c>
      <c r="R1361" t="s">
        <v>30</v>
      </c>
      <c r="S1361">
        <v>29</v>
      </c>
      <c r="T1361">
        <v>1</v>
      </c>
      <c r="U1361">
        <v>2</v>
      </c>
      <c r="V1361">
        <v>232.88</v>
      </c>
      <c r="W1361">
        <v>13130001359</v>
      </c>
    </row>
    <row r="1362" spans="1:23" x14ac:dyDescent="0.2">
      <c r="A1362" s="1">
        <v>44794</v>
      </c>
      <c r="B1362" s="2">
        <v>0.62608796296296299</v>
      </c>
      <c r="C1362">
        <v>2360</v>
      </c>
      <c r="D1362">
        <v>13002561</v>
      </c>
      <c r="E1362">
        <v>13</v>
      </c>
      <c r="F1362">
        <v>22589</v>
      </c>
      <c r="G1362" t="s">
        <v>23</v>
      </c>
      <c r="H1362">
        <v>18</v>
      </c>
      <c r="I1362">
        <v>41513</v>
      </c>
      <c r="J1362" t="s">
        <v>121</v>
      </c>
      <c r="K1362" t="s">
        <v>45</v>
      </c>
      <c r="L1362" t="s">
        <v>29</v>
      </c>
      <c r="M1362">
        <v>1</v>
      </c>
      <c r="N1362">
        <v>117.01</v>
      </c>
      <c r="O1362">
        <v>194.45</v>
      </c>
      <c r="P1362">
        <v>19.45</v>
      </c>
      <c r="Q1362">
        <v>19.45</v>
      </c>
      <c r="R1362" t="s">
        <v>30</v>
      </c>
      <c r="S1362">
        <v>29</v>
      </c>
      <c r="T1362">
        <v>1</v>
      </c>
      <c r="U1362">
        <v>6</v>
      </c>
      <c r="V1362">
        <v>175</v>
      </c>
      <c r="W1362">
        <v>13130001360</v>
      </c>
    </row>
    <row r="1363" spans="1:23" x14ac:dyDescent="0.2">
      <c r="A1363" s="1">
        <v>44788</v>
      </c>
      <c r="B1363" s="2">
        <v>0.50505787037037042</v>
      </c>
      <c r="C1363">
        <v>2361</v>
      </c>
      <c r="D1363">
        <v>13002561</v>
      </c>
      <c r="E1363">
        <v>13</v>
      </c>
      <c r="F1363">
        <v>22589</v>
      </c>
      <c r="G1363" t="s">
        <v>23</v>
      </c>
      <c r="H1363">
        <v>18</v>
      </c>
      <c r="I1363">
        <v>10444</v>
      </c>
      <c r="J1363" t="s">
        <v>118</v>
      </c>
      <c r="K1363" t="s">
        <v>38</v>
      </c>
      <c r="L1363" t="s">
        <v>39</v>
      </c>
      <c r="M1363">
        <v>2</v>
      </c>
      <c r="N1363">
        <v>36.56</v>
      </c>
      <c r="O1363">
        <v>58.24</v>
      </c>
      <c r="P1363">
        <v>0</v>
      </c>
      <c r="Q1363">
        <v>0</v>
      </c>
      <c r="S1363">
        <v>29</v>
      </c>
      <c r="T1363">
        <v>1</v>
      </c>
      <c r="U1363">
        <v>6</v>
      </c>
      <c r="V1363">
        <v>58.24</v>
      </c>
      <c r="W1363">
        <v>13130001361</v>
      </c>
    </row>
    <row r="1364" spans="1:23" x14ac:dyDescent="0.2">
      <c r="A1364" s="1">
        <v>44795</v>
      </c>
      <c r="B1364" s="2">
        <v>0.47163194444444451</v>
      </c>
      <c r="C1364">
        <v>2362</v>
      </c>
      <c r="D1364">
        <v>13002561</v>
      </c>
      <c r="E1364">
        <v>13</v>
      </c>
      <c r="F1364">
        <v>22589</v>
      </c>
      <c r="G1364" t="s">
        <v>23</v>
      </c>
      <c r="H1364">
        <v>15</v>
      </c>
      <c r="I1364">
        <v>27101</v>
      </c>
      <c r="J1364" t="s">
        <v>101</v>
      </c>
      <c r="K1364" t="s">
        <v>38</v>
      </c>
      <c r="L1364" t="s">
        <v>32</v>
      </c>
      <c r="M1364">
        <v>1</v>
      </c>
      <c r="N1364">
        <v>549.08000000000004</v>
      </c>
      <c r="O1364">
        <v>863.87</v>
      </c>
      <c r="P1364">
        <v>43.19</v>
      </c>
      <c r="Q1364">
        <v>43.19</v>
      </c>
      <c r="R1364" t="s">
        <v>30</v>
      </c>
      <c r="S1364">
        <v>29</v>
      </c>
      <c r="T1364">
        <v>1</v>
      </c>
      <c r="U1364">
        <v>1</v>
      </c>
      <c r="V1364">
        <v>820.68</v>
      </c>
      <c r="W1364">
        <v>13130001362</v>
      </c>
    </row>
    <row r="1365" spans="1:23" x14ac:dyDescent="0.2">
      <c r="A1365" s="1">
        <v>44798</v>
      </c>
      <c r="B1365" s="2">
        <v>0.93342592592592588</v>
      </c>
      <c r="C1365">
        <v>2363</v>
      </c>
      <c r="D1365">
        <v>13002561</v>
      </c>
      <c r="E1365">
        <v>13</v>
      </c>
      <c r="F1365">
        <v>22589</v>
      </c>
      <c r="G1365" t="s">
        <v>23</v>
      </c>
      <c r="H1365">
        <v>15</v>
      </c>
      <c r="I1365">
        <v>41413</v>
      </c>
      <c r="J1365" t="s">
        <v>92</v>
      </c>
      <c r="K1365" t="s">
        <v>25</v>
      </c>
      <c r="L1365" t="s">
        <v>26</v>
      </c>
      <c r="M1365">
        <v>1</v>
      </c>
      <c r="N1365">
        <v>127.83</v>
      </c>
      <c r="O1365">
        <v>164.19</v>
      </c>
      <c r="P1365">
        <v>0</v>
      </c>
      <c r="Q1365">
        <v>0</v>
      </c>
      <c r="S1365">
        <v>29</v>
      </c>
      <c r="T1365">
        <v>1</v>
      </c>
      <c r="U1365">
        <v>6</v>
      </c>
      <c r="V1365">
        <v>164.19</v>
      </c>
      <c r="W1365">
        <v>13130001363</v>
      </c>
    </row>
    <row r="1366" spans="1:23" x14ac:dyDescent="0.2">
      <c r="A1366" s="1">
        <v>44775</v>
      </c>
      <c r="B1366" s="2">
        <v>0.38097222222222221</v>
      </c>
      <c r="C1366">
        <v>2364</v>
      </c>
      <c r="D1366">
        <v>13002561</v>
      </c>
      <c r="E1366">
        <v>13</v>
      </c>
      <c r="F1366">
        <v>22589</v>
      </c>
      <c r="G1366" t="s">
        <v>23</v>
      </c>
      <c r="H1366">
        <v>18</v>
      </c>
      <c r="I1366">
        <v>51576</v>
      </c>
      <c r="J1366" t="s">
        <v>109</v>
      </c>
      <c r="K1366" t="s">
        <v>45</v>
      </c>
      <c r="L1366" t="s">
        <v>26</v>
      </c>
      <c r="M1366">
        <v>1</v>
      </c>
      <c r="N1366">
        <v>102.78</v>
      </c>
      <c r="O1366">
        <v>142.82</v>
      </c>
      <c r="P1366">
        <v>14.28</v>
      </c>
      <c r="Q1366">
        <v>14.28</v>
      </c>
      <c r="R1366" t="s">
        <v>30</v>
      </c>
      <c r="S1366">
        <v>29</v>
      </c>
      <c r="T1366">
        <v>1</v>
      </c>
      <c r="U1366">
        <v>1</v>
      </c>
      <c r="V1366">
        <v>128.54</v>
      </c>
      <c r="W1366">
        <v>13130001364</v>
      </c>
    </row>
    <row r="1367" spans="1:23" x14ac:dyDescent="0.2">
      <c r="A1367" s="1">
        <v>44780</v>
      </c>
      <c r="B1367" s="2">
        <v>0.74182870370370368</v>
      </c>
      <c r="C1367">
        <v>2365</v>
      </c>
      <c r="D1367">
        <v>13002561</v>
      </c>
      <c r="E1367">
        <v>13</v>
      </c>
      <c r="F1367">
        <v>22589</v>
      </c>
      <c r="G1367" t="s">
        <v>23</v>
      </c>
      <c r="H1367">
        <v>15</v>
      </c>
      <c r="I1367">
        <v>75959</v>
      </c>
      <c r="J1367" t="s">
        <v>37</v>
      </c>
      <c r="K1367" t="s">
        <v>60</v>
      </c>
      <c r="L1367" t="s">
        <v>34</v>
      </c>
      <c r="M1367">
        <v>2</v>
      </c>
      <c r="N1367">
        <v>589.01</v>
      </c>
      <c r="O1367">
        <v>862.71</v>
      </c>
      <c r="P1367">
        <v>0</v>
      </c>
      <c r="Q1367">
        <v>0</v>
      </c>
      <c r="S1367">
        <v>29</v>
      </c>
      <c r="T1367">
        <v>1</v>
      </c>
      <c r="U1367">
        <v>3</v>
      </c>
      <c r="V1367">
        <v>862.71</v>
      </c>
      <c r="W1367">
        <v>13130001365</v>
      </c>
    </row>
    <row r="1368" spans="1:23" x14ac:dyDescent="0.2">
      <c r="A1368" s="1">
        <v>44797</v>
      </c>
      <c r="B1368" s="2">
        <v>0.59744212962962961</v>
      </c>
      <c r="C1368">
        <v>2366</v>
      </c>
      <c r="D1368">
        <v>13002561</v>
      </c>
      <c r="E1368">
        <v>13</v>
      </c>
      <c r="F1368">
        <v>22589</v>
      </c>
      <c r="G1368" t="s">
        <v>23</v>
      </c>
      <c r="H1368">
        <v>15</v>
      </c>
      <c r="I1368">
        <v>56773</v>
      </c>
      <c r="J1368" t="s">
        <v>77</v>
      </c>
      <c r="K1368" t="s">
        <v>60</v>
      </c>
      <c r="L1368" t="s">
        <v>26</v>
      </c>
      <c r="M1368">
        <v>2</v>
      </c>
      <c r="N1368">
        <v>336.47</v>
      </c>
      <c r="O1368">
        <v>543.28</v>
      </c>
      <c r="P1368">
        <v>54.33</v>
      </c>
      <c r="Q1368">
        <v>54.33</v>
      </c>
      <c r="R1368" t="s">
        <v>30</v>
      </c>
      <c r="S1368">
        <v>29</v>
      </c>
      <c r="T1368">
        <v>1</v>
      </c>
      <c r="U1368">
        <v>1</v>
      </c>
      <c r="V1368">
        <v>488.95</v>
      </c>
      <c r="W1368">
        <v>13130001366</v>
      </c>
    </row>
    <row r="1369" spans="1:23" x14ac:dyDescent="0.2">
      <c r="A1369" s="1">
        <v>44783</v>
      </c>
      <c r="B1369" s="2">
        <v>0.77759259259259261</v>
      </c>
      <c r="C1369">
        <v>2367</v>
      </c>
      <c r="D1369">
        <v>13002561</v>
      </c>
      <c r="E1369">
        <v>13</v>
      </c>
      <c r="F1369">
        <v>22589</v>
      </c>
      <c r="G1369" t="s">
        <v>23</v>
      </c>
      <c r="H1369">
        <v>18</v>
      </c>
      <c r="I1369">
        <v>68713</v>
      </c>
      <c r="J1369" t="s">
        <v>24</v>
      </c>
      <c r="K1369" t="s">
        <v>28</v>
      </c>
      <c r="L1369" t="s">
        <v>47</v>
      </c>
      <c r="M1369">
        <v>2</v>
      </c>
      <c r="N1369">
        <v>121.65</v>
      </c>
      <c r="O1369">
        <v>190.92</v>
      </c>
      <c r="P1369">
        <v>0</v>
      </c>
      <c r="Q1369">
        <v>0</v>
      </c>
      <c r="S1369">
        <v>29</v>
      </c>
      <c r="T1369">
        <v>1</v>
      </c>
      <c r="U1369">
        <v>1</v>
      </c>
      <c r="V1369">
        <v>190.92</v>
      </c>
      <c r="W1369">
        <v>13130001367</v>
      </c>
    </row>
    <row r="1370" spans="1:23" x14ac:dyDescent="0.2">
      <c r="A1370" s="1">
        <v>44781</v>
      </c>
      <c r="B1370" s="2">
        <v>0.78497685185185184</v>
      </c>
      <c r="C1370">
        <v>2368</v>
      </c>
      <c r="D1370">
        <v>13002561</v>
      </c>
      <c r="E1370">
        <v>13</v>
      </c>
      <c r="F1370">
        <v>22589</v>
      </c>
      <c r="G1370" t="s">
        <v>23</v>
      </c>
      <c r="H1370">
        <v>18</v>
      </c>
      <c r="I1370">
        <v>83144</v>
      </c>
      <c r="J1370" t="s">
        <v>83</v>
      </c>
      <c r="K1370" t="s">
        <v>45</v>
      </c>
      <c r="L1370" t="s">
        <v>34</v>
      </c>
      <c r="M1370">
        <v>2</v>
      </c>
      <c r="N1370">
        <v>438.83</v>
      </c>
      <c r="O1370">
        <v>559.46</v>
      </c>
      <c r="P1370">
        <v>0</v>
      </c>
      <c r="Q1370">
        <v>0</v>
      </c>
      <c r="S1370">
        <v>29</v>
      </c>
      <c r="T1370">
        <v>1</v>
      </c>
      <c r="U1370">
        <v>3</v>
      </c>
      <c r="V1370">
        <v>559.46</v>
      </c>
      <c r="W1370">
        <v>13130001368</v>
      </c>
    </row>
    <row r="1371" spans="1:23" x14ac:dyDescent="0.2">
      <c r="A1371" s="1">
        <v>44779</v>
      </c>
      <c r="B1371" s="2">
        <v>0.39262731481481478</v>
      </c>
      <c r="C1371">
        <v>2369</v>
      </c>
      <c r="D1371">
        <v>13002561</v>
      </c>
      <c r="E1371">
        <v>13</v>
      </c>
      <c r="F1371">
        <v>22589</v>
      </c>
      <c r="G1371" t="s">
        <v>23</v>
      </c>
      <c r="H1371">
        <v>18</v>
      </c>
      <c r="I1371">
        <v>96050</v>
      </c>
      <c r="J1371" t="s">
        <v>109</v>
      </c>
      <c r="K1371" t="s">
        <v>25</v>
      </c>
      <c r="L1371" t="s">
        <v>26</v>
      </c>
      <c r="M1371">
        <v>3</v>
      </c>
      <c r="N1371">
        <v>496.33</v>
      </c>
      <c r="O1371">
        <v>665.92</v>
      </c>
      <c r="P1371">
        <v>0</v>
      </c>
      <c r="Q1371">
        <v>0</v>
      </c>
      <c r="S1371">
        <v>29</v>
      </c>
      <c r="T1371">
        <v>1</v>
      </c>
      <c r="U1371">
        <v>2</v>
      </c>
      <c r="V1371">
        <v>665.92</v>
      </c>
      <c r="W1371">
        <v>13130001369</v>
      </c>
    </row>
    <row r="1372" spans="1:23" x14ac:dyDescent="0.2">
      <c r="A1372" s="1">
        <v>44795</v>
      </c>
      <c r="B1372" s="2">
        <v>0.49684027777777778</v>
      </c>
      <c r="C1372">
        <v>2370</v>
      </c>
      <c r="D1372">
        <v>13002561</v>
      </c>
      <c r="E1372">
        <v>13</v>
      </c>
      <c r="F1372">
        <v>22589</v>
      </c>
      <c r="G1372" t="s">
        <v>23</v>
      </c>
      <c r="H1372">
        <v>18</v>
      </c>
      <c r="I1372">
        <v>49662</v>
      </c>
      <c r="J1372" t="s">
        <v>88</v>
      </c>
      <c r="K1372" t="s">
        <v>38</v>
      </c>
      <c r="L1372" t="s">
        <v>34</v>
      </c>
      <c r="M1372">
        <v>1</v>
      </c>
      <c r="N1372">
        <v>355.05</v>
      </c>
      <c r="O1372">
        <v>450.29</v>
      </c>
      <c r="P1372">
        <v>22.51</v>
      </c>
      <c r="Q1372">
        <v>22.51</v>
      </c>
      <c r="R1372" t="s">
        <v>30</v>
      </c>
      <c r="S1372">
        <v>29</v>
      </c>
      <c r="T1372">
        <v>1</v>
      </c>
      <c r="U1372">
        <v>4</v>
      </c>
      <c r="V1372">
        <v>427.78</v>
      </c>
      <c r="W1372">
        <v>13130001370</v>
      </c>
    </row>
    <row r="1373" spans="1:23" x14ac:dyDescent="0.2">
      <c r="A1373" s="1">
        <v>44800</v>
      </c>
      <c r="B1373" s="2">
        <v>0.41145833333333331</v>
      </c>
      <c r="C1373">
        <v>2371</v>
      </c>
      <c r="D1373">
        <v>13002561</v>
      </c>
      <c r="E1373">
        <v>13</v>
      </c>
      <c r="F1373">
        <v>22589</v>
      </c>
      <c r="G1373" t="s">
        <v>23</v>
      </c>
      <c r="H1373">
        <v>18</v>
      </c>
      <c r="I1373">
        <v>43279</v>
      </c>
      <c r="J1373" t="s">
        <v>31</v>
      </c>
      <c r="K1373" t="s">
        <v>38</v>
      </c>
      <c r="L1373" t="s">
        <v>39</v>
      </c>
      <c r="M1373">
        <v>3</v>
      </c>
      <c r="N1373">
        <v>400.46</v>
      </c>
      <c r="O1373">
        <v>676.98</v>
      </c>
      <c r="P1373">
        <v>0</v>
      </c>
      <c r="Q1373">
        <v>0</v>
      </c>
      <c r="S1373">
        <v>29</v>
      </c>
      <c r="T1373">
        <v>1</v>
      </c>
      <c r="U1373">
        <v>3</v>
      </c>
      <c r="V1373">
        <v>676.98</v>
      </c>
      <c r="W1373">
        <v>13130001371</v>
      </c>
    </row>
    <row r="1374" spans="1:23" x14ac:dyDescent="0.2">
      <c r="A1374" s="1">
        <v>44791</v>
      </c>
      <c r="B1374" s="2">
        <v>0.92086805555555551</v>
      </c>
      <c r="C1374">
        <v>2372</v>
      </c>
      <c r="D1374">
        <v>13002561</v>
      </c>
      <c r="E1374">
        <v>13</v>
      </c>
      <c r="F1374">
        <v>22589</v>
      </c>
      <c r="G1374" t="s">
        <v>23</v>
      </c>
      <c r="H1374">
        <v>15</v>
      </c>
      <c r="I1374">
        <v>36285</v>
      </c>
      <c r="J1374" t="s">
        <v>98</v>
      </c>
      <c r="K1374" t="s">
        <v>38</v>
      </c>
      <c r="L1374" t="s">
        <v>29</v>
      </c>
      <c r="M1374">
        <v>3</v>
      </c>
      <c r="N1374">
        <v>139.13999999999999</v>
      </c>
      <c r="O1374">
        <v>202.23</v>
      </c>
      <c r="P1374">
        <v>0</v>
      </c>
      <c r="Q1374">
        <v>0</v>
      </c>
      <c r="S1374">
        <v>29</v>
      </c>
      <c r="T1374">
        <v>1</v>
      </c>
      <c r="U1374">
        <v>1</v>
      </c>
      <c r="V1374">
        <v>202.23</v>
      </c>
      <c r="W1374">
        <v>13130001372</v>
      </c>
    </row>
    <row r="1375" spans="1:23" x14ac:dyDescent="0.2">
      <c r="A1375" s="1">
        <v>44783</v>
      </c>
      <c r="B1375" s="2">
        <v>0.60539351851851853</v>
      </c>
      <c r="C1375">
        <v>2373</v>
      </c>
      <c r="D1375">
        <v>13002561</v>
      </c>
      <c r="E1375">
        <v>13</v>
      </c>
      <c r="F1375">
        <v>22589</v>
      </c>
      <c r="G1375" t="s">
        <v>23</v>
      </c>
      <c r="H1375">
        <v>18</v>
      </c>
      <c r="I1375">
        <v>83318</v>
      </c>
      <c r="J1375" t="s">
        <v>46</v>
      </c>
      <c r="K1375" t="s">
        <v>25</v>
      </c>
      <c r="L1375" t="s">
        <v>51</v>
      </c>
      <c r="M1375">
        <v>2</v>
      </c>
      <c r="N1375">
        <v>426.99</v>
      </c>
      <c r="O1375">
        <v>697.91</v>
      </c>
      <c r="P1375">
        <v>34.9</v>
      </c>
      <c r="Q1375">
        <v>34.9</v>
      </c>
      <c r="R1375" t="s">
        <v>30</v>
      </c>
      <c r="S1375">
        <v>29</v>
      </c>
      <c r="T1375">
        <v>1</v>
      </c>
      <c r="U1375">
        <v>1</v>
      </c>
      <c r="V1375">
        <v>663.01</v>
      </c>
      <c r="W1375">
        <v>13130001373</v>
      </c>
    </row>
    <row r="1376" spans="1:23" x14ac:dyDescent="0.2">
      <c r="A1376" s="1">
        <v>44800</v>
      </c>
      <c r="B1376" s="2">
        <v>0.62133101851851846</v>
      </c>
      <c r="C1376">
        <v>2374</v>
      </c>
      <c r="D1376">
        <v>13002561</v>
      </c>
      <c r="E1376">
        <v>13</v>
      </c>
      <c r="F1376">
        <v>22589</v>
      </c>
      <c r="G1376" t="s">
        <v>23</v>
      </c>
      <c r="H1376">
        <v>15</v>
      </c>
      <c r="I1376">
        <v>37000</v>
      </c>
      <c r="J1376" t="s">
        <v>78</v>
      </c>
      <c r="K1376" t="s">
        <v>44</v>
      </c>
      <c r="L1376" t="s">
        <v>32</v>
      </c>
      <c r="M1376">
        <v>2</v>
      </c>
      <c r="N1376">
        <v>194.19</v>
      </c>
      <c r="O1376">
        <v>251.11</v>
      </c>
      <c r="P1376">
        <v>12.56</v>
      </c>
      <c r="Q1376">
        <v>12.56</v>
      </c>
      <c r="R1376" t="s">
        <v>30</v>
      </c>
      <c r="S1376">
        <v>29</v>
      </c>
      <c r="T1376">
        <v>1</v>
      </c>
      <c r="U1376">
        <v>2</v>
      </c>
      <c r="V1376">
        <v>238.55</v>
      </c>
      <c r="W1376">
        <v>13130001374</v>
      </c>
    </row>
    <row r="1377" spans="1:23" x14ac:dyDescent="0.2">
      <c r="A1377" s="1">
        <v>44801</v>
      </c>
      <c r="B1377" s="2">
        <v>0.88047453703703704</v>
      </c>
      <c r="C1377">
        <v>2375</v>
      </c>
      <c r="D1377">
        <v>13002561</v>
      </c>
      <c r="E1377">
        <v>13</v>
      </c>
      <c r="F1377">
        <v>22589</v>
      </c>
      <c r="G1377" t="s">
        <v>23</v>
      </c>
      <c r="H1377">
        <v>18</v>
      </c>
      <c r="I1377">
        <v>96273</v>
      </c>
      <c r="J1377" t="s">
        <v>105</v>
      </c>
      <c r="K1377" t="s">
        <v>45</v>
      </c>
      <c r="L1377" t="s">
        <v>39</v>
      </c>
      <c r="M1377">
        <v>1</v>
      </c>
      <c r="N1377">
        <v>18.34</v>
      </c>
      <c r="O1377">
        <v>27.45</v>
      </c>
      <c r="P1377">
        <v>1.37</v>
      </c>
      <c r="Q1377">
        <v>1.37</v>
      </c>
      <c r="R1377" t="s">
        <v>30</v>
      </c>
      <c r="S1377">
        <v>29</v>
      </c>
      <c r="T1377">
        <v>1</v>
      </c>
      <c r="U1377">
        <v>2</v>
      </c>
      <c r="V1377">
        <v>26.08</v>
      </c>
      <c r="W1377">
        <v>13130001375</v>
      </c>
    </row>
    <row r="1378" spans="1:23" x14ac:dyDescent="0.2">
      <c r="A1378" s="1">
        <v>44784</v>
      </c>
      <c r="B1378" s="2">
        <v>0.47746527777777781</v>
      </c>
      <c r="C1378">
        <v>2376</v>
      </c>
      <c r="D1378">
        <v>13002561</v>
      </c>
      <c r="E1378">
        <v>13</v>
      </c>
      <c r="F1378">
        <v>22589</v>
      </c>
      <c r="G1378" t="s">
        <v>23</v>
      </c>
      <c r="H1378">
        <v>18</v>
      </c>
      <c r="I1378">
        <v>50878</v>
      </c>
      <c r="J1378" t="s">
        <v>31</v>
      </c>
      <c r="K1378" t="s">
        <v>60</v>
      </c>
      <c r="L1378" t="s">
        <v>47</v>
      </c>
      <c r="M1378">
        <v>1</v>
      </c>
      <c r="N1378">
        <v>551.45000000000005</v>
      </c>
      <c r="O1378">
        <v>856.86</v>
      </c>
      <c r="P1378">
        <v>42.84</v>
      </c>
      <c r="Q1378">
        <v>42.84</v>
      </c>
      <c r="R1378" t="s">
        <v>30</v>
      </c>
      <c r="S1378">
        <v>29</v>
      </c>
      <c r="T1378">
        <v>1</v>
      </c>
      <c r="U1378">
        <v>6</v>
      </c>
      <c r="V1378">
        <v>814.02</v>
      </c>
      <c r="W1378">
        <v>13130001376</v>
      </c>
    </row>
    <row r="1379" spans="1:23" x14ac:dyDescent="0.2">
      <c r="A1379" s="1">
        <v>44794</v>
      </c>
      <c r="B1379" s="2">
        <v>0.77696759259259263</v>
      </c>
      <c r="C1379">
        <v>2377</v>
      </c>
      <c r="D1379">
        <v>13002561</v>
      </c>
      <c r="E1379">
        <v>13</v>
      </c>
      <c r="F1379">
        <v>22589</v>
      </c>
      <c r="G1379" t="s">
        <v>23</v>
      </c>
      <c r="H1379">
        <v>18</v>
      </c>
      <c r="I1379">
        <v>53281</v>
      </c>
      <c r="J1379" t="s">
        <v>120</v>
      </c>
      <c r="K1379" t="s">
        <v>45</v>
      </c>
      <c r="L1379" t="s">
        <v>26</v>
      </c>
      <c r="M1379">
        <v>2</v>
      </c>
      <c r="N1379">
        <v>474.72</v>
      </c>
      <c r="O1379">
        <v>781.32</v>
      </c>
      <c r="P1379">
        <v>0</v>
      </c>
      <c r="Q1379">
        <v>0</v>
      </c>
      <c r="S1379">
        <v>29</v>
      </c>
      <c r="T1379">
        <v>1</v>
      </c>
      <c r="U1379">
        <v>3</v>
      </c>
      <c r="V1379">
        <v>781.32</v>
      </c>
      <c r="W1379">
        <v>13130001377</v>
      </c>
    </row>
    <row r="1380" spans="1:23" x14ac:dyDescent="0.2">
      <c r="A1380" s="1">
        <v>44778</v>
      </c>
      <c r="B1380" s="2">
        <v>0.60144675925925928</v>
      </c>
      <c r="C1380">
        <v>2378</v>
      </c>
      <c r="D1380">
        <v>13002561</v>
      </c>
      <c r="E1380">
        <v>13</v>
      </c>
      <c r="F1380">
        <v>22589</v>
      </c>
      <c r="G1380" t="s">
        <v>23</v>
      </c>
      <c r="H1380">
        <v>18</v>
      </c>
      <c r="I1380">
        <v>26031</v>
      </c>
      <c r="J1380" t="s">
        <v>65</v>
      </c>
      <c r="K1380" t="s">
        <v>25</v>
      </c>
      <c r="L1380" t="s">
        <v>36</v>
      </c>
      <c r="M1380">
        <v>3</v>
      </c>
      <c r="N1380">
        <v>508.18</v>
      </c>
      <c r="O1380">
        <v>775.87</v>
      </c>
      <c r="P1380">
        <v>0</v>
      </c>
      <c r="Q1380">
        <v>0</v>
      </c>
      <c r="S1380">
        <v>29</v>
      </c>
      <c r="T1380">
        <v>1</v>
      </c>
      <c r="U1380">
        <v>2</v>
      </c>
      <c r="V1380">
        <v>775.87</v>
      </c>
      <c r="W1380">
        <v>13130001378</v>
      </c>
    </row>
    <row r="1381" spans="1:23" x14ac:dyDescent="0.2">
      <c r="A1381" s="1">
        <v>44792</v>
      </c>
      <c r="B1381" s="2">
        <v>0.73273148148148148</v>
      </c>
      <c r="C1381">
        <v>2379</v>
      </c>
      <c r="D1381">
        <v>13002561</v>
      </c>
      <c r="E1381">
        <v>13</v>
      </c>
      <c r="F1381">
        <v>22589</v>
      </c>
      <c r="G1381" t="s">
        <v>23</v>
      </c>
      <c r="H1381">
        <v>18</v>
      </c>
      <c r="I1381">
        <v>95611</v>
      </c>
      <c r="J1381" t="s">
        <v>75</v>
      </c>
      <c r="K1381" t="s">
        <v>45</v>
      </c>
      <c r="L1381" t="s">
        <v>32</v>
      </c>
      <c r="M1381">
        <v>3</v>
      </c>
      <c r="N1381">
        <v>220.95</v>
      </c>
      <c r="O1381">
        <v>313.18</v>
      </c>
      <c r="P1381">
        <v>15.66</v>
      </c>
      <c r="Q1381">
        <v>15.66</v>
      </c>
      <c r="R1381" t="s">
        <v>30</v>
      </c>
      <c r="S1381">
        <v>29</v>
      </c>
      <c r="T1381">
        <v>1</v>
      </c>
      <c r="U1381">
        <v>1</v>
      </c>
      <c r="V1381">
        <v>297.52</v>
      </c>
      <c r="W1381">
        <v>13130001379</v>
      </c>
    </row>
    <row r="1382" spans="1:23" x14ac:dyDescent="0.2">
      <c r="A1382" s="1">
        <v>44799</v>
      </c>
      <c r="B1382" s="2">
        <v>0.63853009259259264</v>
      </c>
      <c r="C1382">
        <v>2380</v>
      </c>
      <c r="D1382">
        <v>13002561</v>
      </c>
      <c r="E1382">
        <v>13</v>
      </c>
      <c r="F1382">
        <v>22589</v>
      </c>
      <c r="G1382" t="s">
        <v>23</v>
      </c>
      <c r="H1382">
        <v>18</v>
      </c>
      <c r="I1382">
        <v>97177</v>
      </c>
      <c r="J1382" t="s">
        <v>61</v>
      </c>
      <c r="K1382" t="s">
        <v>60</v>
      </c>
      <c r="L1382" t="s">
        <v>36</v>
      </c>
      <c r="M1382">
        <v>3</v>
      </c>
      <c r="N1382">
        <v>498.8</v>
      </c>
      <c r="O1382">
        <v>737.55</v>
      </c>
      <c r="P1382">
        <v>36.880000000000003</v>
      </c>
      <c r="Q1382">
        <v>36.880000000000003</v>
      </c>
      <c r="R1382" t="s">
        <v>30</v>
      </c>
      <c r="S1382">
        <v>29</v>
      </c>
      <c r="T1382">
        <v>1</v>
      </c>
      <c r="U1382">
        <v>5</v>
      </c>
      <c r="V1382">
        <v>700.67</v>
      </c>
      <c r="W1382">
        <v>13130001380</v>
      </c>
    </row>
    <row r="1383" spans="1:23" x14ac:dyDescent="0.2">
      <c r="A1383" s="1">
        <v>44800</v>
      </c>
      <c r="B1383" s="2">
        <v>0.5628009259259259</v>
      </c>
      <c r="C1383">
        <v>2381</v>
      </c>
      <c r="D1383">
        <v>13002561</v>
      </c>
      <c r="E1383">
        <v>13</v>
      </c>
      <c r="F1383">
        <v>22589</v>
      </c>
      <c r="G1383" t="s">
        <v>23</v>
      </c>
      <c r="H1383">
        <v>18</v>
      </c>
      <c r="I1383">
        <v>42197</v>
      </c>
      <c r="J1383" t="s">
        <v>78</v>
      </c>
      <c r="K1383" t="s">
        <v>44</v>
      </c>
      <c r="L1383" t="s">
        <v>32</v>
      </c>
      <c r="M1383">
        <v>1</v>
      </c>
      <c r="N1383">
        <v>368.85</v>
      </c>
      <c r="O1383">
        <v>515.42999999999995</v>
      </c>
      <c r="P1383">
        <v>0</v>
      </c>
      <c r="Q1383">
        <v>0</v>
      </c>
      <c r="S1383">
        <v>29</v>
      </c>
      <c r="T1383">
        <v>1</v>
      </c>
      <c r="U1383">
        <v>4</v>
      </c>
      <c r="V1383">
        <v>515.42999999999995</v>
      </c>
      <c r="W1383">
        <v>13130001381</v>
      </c>
    </row>
    <row r="1384" spans="1:23" x14ac:dyDescent="0.2">
      <c r="A1384" s="1">
        <v>44780</v>
      </c>
      <c r="B1384" s="2">
        <v>0.6106018518518519</v>
      </c>
      <c r="C1384">
        <v>2382</v>
      </c>
      <c r="D1384">
        <v>13002561</v>
      </c>
      <c r="E1384">
        <v>13</v>
      </c>
      <c r="F1384">
        <v>22589</v>
      </c>
      <c r="G1384" t="s">
        <v>23</v>
      </c>
      <c r="H1384">
        <v>18</v>
      </c>
      <c r="I1384">
        <v>66783</v>
      </c>
      <c r="J1384" t="s">
        <v>62</v>
      </c>
      <c r="K1384" t="s">
        <v>25</v>
      </c>
      <c r="L1384" t="s">
        <v>29</v>
      </c>
      <c r="M1384">
        <v>1</v>
      </c>
      <c r="N1384">
        <v>597.55999999999995</v>
      </c>
      <c r="O1384">
        <v>946.06</v>
      </c>
      <c r="P1384">
        <v>0</v>
      </c>
      <c r="Q1384">
        <v>0</v>
      </c>
      <c r="S1384">
        <v>29</v>
      </c>
      <c r="T1384">
        <v>1</v>
      </c>
      <c r="U1384">
        <v>1</v>
      </c>
      <c r="V1384">
        <v>946.06</v>
      </c>
      <c r="W1384">
        <v>13130001382</v>
      </c>
    </row>
    <row r="1385" spans="1:23" x14ac:dyDescent="0.2">
      <c r="A1385" s="1">
        <v>44775</v>
      </c>
      <c r="B1385" s="2">
        <v>0.47645833333333332</v>
      </c>
      <c r="C1385">
        <v>2383</v>
      </c>
      <c r="D1385">
        <v>13002561</v>
      </c>
      <c r="E1385">
        <v>13</v>
      </c>
      <c r="F1385">
        <v>22589</v>
      </c>
      <c r="G1385" t="s">
        <v>23</v>
      </c>
      <c r="H1385">
        <v>15</v>
      </c>
      <c r="I1385">
        <v>50827</v>
      </c>
      <c r="J1385" t="s">
        <v>70</v>
      </c>
      <c r="K1385" t="s">
        <v>45</v>
      </c>
      <c r="L1385" t="s">
        <v>32</v>
      </c>
      <c r="M1385">
        <v>3</v>
      </c>
      <c r="N1385">
        <v>375.9</v>
      </c>
      <c r="O1385">
        <v>488.13</v>
      </c>
      <c r="P1385">
        <v>24.41</v>
      </c>
      <c r="Q1385">
        <v>24.41</v>
      </c>
      <c r="R1385" t="s">
        <v>30</v>
      </c>
      <c r="S1385">
        <v>29</v>
      </c>
      <c r="T1385">
        <v>1</v>
      </c>
      <c r="U1385">
        <v>6</v>
      </c>
      <c r="V1385">
        <v>463.72</v>
      </c>
      <c r="W1385">
        <v>13130001383</v>
      </c>
    </row>
    <row r="1386" spans="1:23" x14ac:dyDescent="0.2">
      <c r="A1386" s="1">
        <v>44804</v>
      </c>
      <c r="B1386" s="2">
        <v>0.53962962962962968</v>
      </c>
      <c r="C1386">
        <v>2384</v>
      </c>
      <c r="D1386">
        <v>13002561</v>
      </c>
      <c r="E1386">
        <v>13</v>
      </c>
      <c r="F1386">
        <v>22589</v>
      </c>
      <c r="G1386" t="s">
        <v>23</v>
      </c>
      <c r="H1386">
        <v>18</v>
      </c>
      <c r="I1386">
        <v>79366</v>
      </c>
      <c r="J1386" t="s">
        <v>124</v>
      </c>
      <c r="K1386" t="s">
        <v>28</v>
      </c>
      <c r="L1386" t="s">
        <v>32</v>
      </c>
      <c r="M1386">
        <v>1</v>
      </c>
      <c r="N1386">
        <v>544.32000000000005</v>
      </c>
      <c r="O1386">
        <v>733.91</v>
      </c>
      <c r="P1386">
        <v>73.39</v>
      </c>
      <c r="Q1386">
        <v>73.39</v>
      </c>
      <c r="R1386" t="s">
        <v>30</v>
      </c>
      <c r="S1386">
        <v>29</v>
      </c>
      <c r="T1386">
        <v>1</v>
      </c>
      <c r="U1386">
        <v>6</v>
      </c>
      <c r="V1386">
        <v>660.52</v>
      </c>
      <c r="W1386">
        <v>13130001384</v>
      </c>
    </row>
    <row r="1387" spans="1:23" x14ac:dyDescent="0.2">
      <c r="A1387" s="1">
        <v>44798</v>
      </c>
      <c r="B1387" s="2">
        <v>0.36289351851851848</v>
      </c>
      <c r="C1387">
        <v>2385</v>
      </c>
      <c r="D1387">
        <v>13002561</v>
      </c>
      <c r="E1387">
        <v>13</v>
      </c>
      <c r="F1387">
        <v>22589</v>
      </c>
      <c r="G1387" t="s">
        <v>23</v>
      </c>
      <c r="H1387">
        <v>18</v>
      </c>
      <c r="I1387">
        <v>24582</v>
      </c>
      <c r="J1387" t="s">
        <v>46</v>
      </c>
      <c r="K1387" t="s">
        <v>25</v>
      </c>
      <c r="L1387" t="s">
        <v>29</v>
      </c>
      <c r="M1387">
        <v>2</v>
      </c>
      <c r="N1387">
        <v>596.23</v>
      </c>
      <c r="O1387">
        <v>865.69</v>
      </c>
      <c r="P1387">
        <v>43.28</v>
      </c>
      <c r="Q1387">
        <v>43.28</v>
      </c>
      <c r="R1387" t="s">
        <v>30</v>
      </c>
      <c r="S1387">
        <v>29</v>
      </c>
      <c r="T1387">
        <v>1</v>
      </c>
      <c r="U1387">
        <v>6</v>
      </c>
      <c r="V1387">
        <v>822.41</v>
      </c>
      <c r="W1387">
        <v>13130001385</v>
      </c>
    </row>
    <row r="1388" spans="1:23" x14ac:dyDescent="0.2">
      <c r="A1388" s="1">
        <v>44801</v>
      </c>
      <c r="B1388" s="2">
        <v>0.5140393518518519</v>
      </c>
      <c r="C1388">
        <v>2386</v>
      </c>
      <c r="D1388">
        <v>13002561</v>
      </c>
      <c r="E1388">
        <v>13</v>
      </c>
      <c r="F1388">
        <v>22589</v>
      </c>
      <c r="G1388" t="s">
        <v>23</v>
      </c>
      <c r="H1388">
        <v>18</v>
      </c>
      <c r="I1388">
        <v>98950</v>
      </c>
      <c r="J1388" t="s">
        <v>98</v>
      </c>
      <c r="K1388" t="s">
        <v>25</v>
      </c>
      <c r="L1388" t="s">
        <v>39</v>
      </c>
      <c r="M1388">
        <v>2</v>
      </c>
      <c r="N1388">
        <v>86.46</v>
      </c>
      <c r="O1388">
        <v>112.37</v>
      </c>
      <c r="P1388">
        <v>5.62</v>
      </c>
      <c r="Q1388">
        <v>5.62</v>
      </c>
      <c r="R1388" t="s">
        <v>30</v>
      </c>
      <c r="S1388">
        <v>29</v>
      </c>
      <c r="T1388">
        <v>1</v>
      </c>
      <c r="U1388">
        <v>4</v>
      </c>
      <c r="V1388">
        <v>106.75</v>
      </c>
      <c r="W1388">
        <v>13130001386</v>
      </c>
    </row>
    <row r="1389" spans="1:23" x14ac:dyDescent="0.2">
      <c r="A1389" s="1">
        <v>44784</v>
      </c>
      <c r="B1389" s="2">
        <v>0.88503472222222224</v>
      </c>
      <c r="C1389">
        <v>2387</v>
      </c>
      <c r="D1389">
        <v>13002561</v>
      </c>
      <c r="E1389">
        <v>13</v>
      </c>
      <c r="F1389">
        <v>22589</v>
      </c>
      <c r="G1389" t="s">
        <v>23</v>
      </c>
      <c r="H1389">
        <v>18</v>
      </c>
      <c r="I1389">
        <v>30212</v>
      </c>
      <c r="J1389" t="s">
        <v>43</v>
      </c>
      <c r="K1389" t="s">
        <v>44</v>
      </c>
      <c r="L1389" t="s">
        <v>34</v>
      </c>
      <c r="M1389">
        <v>3</v>
      </c>
      <c r="N1389">
        <v>581.33000000000004</v>
      </c>
      <c r="O1389">
        <v>822.28</v>
      </c>
      <c r="P1389">
        <v>82.23</v>
      </c>
      <c r="Q1389">
        <v>82.23</v>
      </c>
      <c r="R1389" t="s">
        <v>30</v>
      </c>
      <c r="S1389">
        <v>29</v>
      </c>
      <c r="T1389">
        <v>1</v>
      </c>
      <c r="U1389">
        <v>2</v>
      </c>
      <c r="V1389">
        <v>740.05</v>
      </c>
      <c r="W1389">
        <v>13130001387</v>
      </c>
    </row>
    <row r="1390" spans="1:23" x14ac:dyDescent="0.2">
      <c r="A1390" s="1">
        <v>44778</v>
      </c>
      <c r="B1390" s="2">
        <v>0.72144675925925927</v>
      </c>
      <c r="C1390">
        <v>2388</v>
      </c>
      <c r="D1390">
        <v>13002561</v>
      </c>
      <c r="E1390">
        <v>13</v>
      </c>
      <c r="F1390">
        <v>22589</v>
      </c>
      <c r="G1390" t="s">
        <v>23</v>
      </c>
      <c r="H1390">
        <v>15</v>
      </c>
      <c r="I1390">
        <v>74755</v>
      </c>
      <c r="J1390" t="s">
        <v>109</v>
      </c>
      <c r="K1390" t="s">
        <v>44</v>
      </c>
      <c r="L1390" t="s">
        <v>26</v>
      </c>
      <c r="M1390">
        <v>2</v>
      </c>
      <c r="N1390">
        <v>557.64</v>
      </c>
      <c r="O1390">
        <v>698.14</v>
      </c>
      <c r="P1390">
        <v>34.909999999999997</v>
      </c>
      <c r="Q1390">
        <v>34.909999999999997</v>
      </c>
      <c r="R1390" t="s">
        <v>30</v>
      </c>
      <c r="S1390">
        <v>29</v>
      </c>
      <c r="T1390">
        <v>1</v>
      </c>
      <c r="U1390">
        <v>6</v>
      </c>
      <c r="V1390">
        <v>663.23</v>
      </c>
      <c r="W1390">
        <v>13130001388</v>
      </c>
    </row>
    <row r="1391" spans="1:23" x14ac:dyDescent="0.2">
      <c r="A1391" s="1">
        <v>44793</v>
      </c>
      <c r="B1391" s="2">
        <v>0.89101851851851854</v>
      </c>
      <c r="C1391">
        <v>2389</v>
      </c>
      <c r="D1391">
        <v>13002561</v>
      </c>
      <c r="E1391">
        <v>13</v>
      </c>
      <c r="F1391">
        <v>22589</v>
      </c>
      <c r="G1391" t="s">
        <v>23</v>
      </c>
      <c r="H1391">
        <v>15</v>
      </c>
      <c r="I1391">
        <v>96315</v>
      </c>
      <c r="J1391" t="s">
        <v>125</v>
      </c>
      <c r="K1391" t="s">
        <v>60</v>
      </c>
      <c r="L1391" t="s">
        <v>51</v>
      </c>
      <c r="M1391">
        <v>3</v>
      </c>
      <c r="N1391">
        <v>31.27</v>
      </c>
      <c r="O1391">
        <v>45.05</v>
      </c>
      <c r="P1391">
        <v>4.5</v>
      </c>
      <c r="Q1391">
        <v>4.5</v>
      </c>
      <c r="R1391" t="s">
        <v>30</v>
      </c>
      <c r="S1391">
        <v>29</v>
      </c>
      <c r="T1391">
        <v>1</v>
      </c>
      <c r="U1391">
        <v>4</v>
      </c>
      <c r="V1391">
        <v>40.549999999999997</v>
      </c>
      <c r="W1391">
        <v>13130001389</v>
      </c>
    </row>
    <row r="1392" spans="1:23" x14ac:dyDescent="0.2">
      <c r="A1392" s="1">
        <v>44780</v>
      </c>
      <c r="B1392" s="2">
        <v>0.88758101851851856</v>
      </c>
      <c r="C1392">
        <v>2390</v>
      </c>
      <c r="D1392">
        <v>13002561</v>
      </c>
      <c r="E1392">
        <v>13</v>
      </c>
      <c r="F1392">
        <v>22589</v>
      </c>
      <c r="G1392" t="s">
        <v>23</v>
      </c>
      <c r="H1392">
        <v>15</v>
      </c>
      <c r="I1392">
        <v>32158</v>
      </c>
      <c r="J1392" t="s">
        <v>74</v>
      </c>
      <c r="K1392" t="s">
        <v>45</v>
      </c>
      <c r="L1392" t="s">
        <v>32</v>
      </c>
      <c r="M1392">
        <v>2</v>
      </c>
      <c r="N1392">
        <v>332.89</v>
      </c>
      <c r="O1392">
        <v>492.49</v>
      </c>
      <c r="P1392">
        <v>49.25</v>
      </c>
      <c r="Q1392">
        <v>49.25</v>
      </c>
      <c r="R1392" t="s">
        <v>30</v>
      </c>
      <c r="S1392">
        <v>29</v>
      </c>
      <c r="T1392">
        <v>1</v>
      </c>
      <c r="U1392">
        <v>2</v>
      </c>
      <c r="V1392">
        <v>443.24</v>
      </c>
      <c r="W1392">
        <v>13130001390</v>
      </c>
    </row>
    <row r="1393" spans="1:23" x14ac:dyDescent="0.2">
      <c r="A1393" s="1">
        <v>44791</v>
      </c>
      <c r="B1393" s="2">
        <v>0.50246527777777783</v>
      </c>
      <c r="C1393">
        <v>2391</v>
      </c>
      <c r="D1393">
        <v>13002561</v>
      </c>
      <c r="E1393">
        <v>13</v>
      </c>
      <c r="F1393">
        <v>22589</v>
      </c>
      <c r="G1393" t="s">
        <v>23</v>
      </c>
      <c r="H1393">
        <v>18</v>
      </c>
      <c r="I1393">
        <v>51342</v>
      </c>
      <c r="J1393" t="s">
        <v>82</v>
      </c>
      <c r="K1393" t="s">
        <v>60</v>
      </c>
      <c r="L1393" t="s">
        <v>34</v>
      </c>
      <c r="M1393">
        <v>3</v>
      </c>
      <c r="N1393">
        <v>550.54</v>
      </c>
      <c r="O1393">
        <v>692.47</v>
      </c>
      <c r="P1393">
        <v>34.619999999999997</v>
      </c>
      <c r="Q1393">
        <v>34.619999999999997</v>
      </c>
      <c r="R1393" t="s">
        <v>30</v>
      </c>
      <c r="S1393">
        <v>29</v>
      </c>
      <c r="T1393">
        <v>1</v>
      </c>
      <c r="U1393">
        <v>4</v>
      </c>
      <c r="V1393">
        <v>657.85</v>
      </c>
      <c r="W1393">
        <v>13130001391</v>
      </c>
    </row>
    <row r="1394" spans="1:23" x14ac:dyDescent="0.2">
      <c r="A1394" s="1">
        <v>44789</v>
      </c>
      <c r="B1394" s="2">
        <v>0.72273148148148147</v>
      </c>
      <c r="C1394">
        <v>2392</v>
      </c>
      <c r="D1394">
        <v>13002561</v>
      </c>
      <c r="E1394">
        <v>13</v>
      </c>
      <c r="F1394">
        <v>22589</v>
      </c>
      <c r="G1394" t="s">
        <v>23</v>
      </c>
      <c r="H1394">
        <v>18</v>
      </c>
      <c r="I1394">
        <v>43795</v>
      </c>
      <c r="J1394" t="s">
        <v>37</v>
      </c>
      <c r="K1394" t="s">
        <v>25</v>
      </c>
      <c r="L1394" t="s">
        <v>26</v>
      </c>
      <c r="M1394">
        <v>3</v>
      </c>
      <c r="N1394">
        <v>114.27</v>
      </c>
      <c r="O1394">
        <v>177.36</v>
      </c>
      <c r="P1394">
        <v>17.739999999999998</v>
      </c>
      <c r="Q1394">
        <v>17.739999999999998</v>
      </c>
      <c r="R1394" t="s">
        <v>30</v>
      </c>
      <c r="S1394">
        <v>29</v>
      </c>
      <c r="T1394">
        <v>1</v>
      </c>
      <c r="U1394">
        <v>2</v>
      </c>
      <c r="V1394">
        <v>159.62</v>
      </c>
      <c r="W1394">
        <v>13130001392</v>
      </c>
    </row>
    <row r="1395" spans="1:23" x14ac:dyDescent="0.2">
      <c r="A1395" s="1">
        <v>44775</v>
      </c>
      <c r="B1395" s="2">
        <v>0.70609953703703698</v>
      </c>
      <c r="C1395">
        <v>2393</v>
      </c>
      <c r="D1395">
        <v>13002561</v>
      </c>
      <c r="E1395">
        <v>13</v>
      </c>
      <c r="F1395">
        <v>22589</v>
      </c>
      <c r="G1395" t="s">
        <v>23</v>
      </c>
      <c r="H1395">
        <v>18</v>
      </c>
      <c r="I1395">
        <v>86995</v>
      </c>
      <c r="J1395" t="s">
        <v>50</v>
      </c>
      <c r="K1395" t="s">
        <v>28</v>
      </c>
      <c r="L1395" t="s">
        <v>39</v>
      </c>
      <c r="M1395">
        <v>1</v>
      </c>
      <c r="N1395">
        <v>387.53</v>
      </c>
      <c r="O1395">
        <v>575.99</v>
      </c>
      <c r="P1395">
        <v>28.8</v>
      </c>
      <c r="Q1395">
        <v>28.8</v>
      </c>
      <c r="R1395" t="s">
        <v>30</v>
      </c>
      <c r="S1395">
        <v>29</v>
      </c>
      <c r="T1395">
        <v>1</v>
      </c>
      <c r="U1395">
        <v>5</v>
      </c>
      <c r="V1395">
        <v>547.19000000000005</v>
      </c>
      <c r="W1395">
        <v>13130001393</v>
      </c>
    </row>
    <row r="1396" spans="1:23" x14ac:dyDescent="0.2">
      <c r="A1396" s="1">
        <v>44792</v>
      </c>
      <c r="B1396" s="2">
        <v>0.85988425925925926</v>
      </c>
      <c r="C1396">
        <v>2394</v>
      </c>
      <c r="D1396">
        <v>13002561</v>
      </c>
      <c r="E1396">
        <v>13</v>
      </c>
      <c r="F1396">
        <v>22589</v>
      </c>
      <c r="G1396" t="s">
        <v>23</v>
      </c>
      <c r="H1396">
        <v>18</v>
      </c>
      <c r="I1396">
        <v>77270</v>
      </c>
      <c r="J1396" t="s">
        <v>54</v>
      </c>
      <c r="K1396" t="s">
        <v>60</v>
      </c>
      <c r="L1396" t="s">
        <v>29</v>
      </c>
      <c r="M1396">
        <v>1</v>
      </c>
      <c r="N1396">
        <v>486.93</v>
      </c>
      <c r="O1396">
        <v>635.66999999999996</v>
      </c>
      <c r="P1396">
        <v>31.78</v>
      </c>
      <c r="Q1396">
        <v>31.78</v>
      </c>
      <c r="R1396" t="s">
        <v>30</v>
      </c>
      <c r="S1396">
        <v>29</v>
      </c>
      <c r="T1396">
        <v>1</v>
      </c>
      <c r="U1396">
        <v>3</v>
      </c>
      <c r="V1396">
        <v>603.89</v>
      </c>
      <c r="W1396">
        <v>13130001394</v>
      </c>
    </row>
    <row r="1397" spans="1:23" x14ac:dyDescent="0.2">
      <c r="A1397" s="1">
        <v>44777</v>
      </c>
      <c r="B1397" s="2">
        <v>0.48651620370370369</v>
      </c>
      <c r="C1397">
        <v>2395</v>
      </c>
      <c r="D1397">
        <v>13002561</v>
      </c>
      <c r="E1397">
        <v>13</v>
      </c>
      <c r="F1397">
        <v>22589</v>
      </c>
      <c r="G1397" t="s">
        <v>23</v>
      </c>
      <c r="H1397">
        <v>18</v>
      </c>
      <c r="I1397">
        <v>24950</v>
      </c>
      <c r="J1397" t="s">
        <v>40</v>
      </c>
      <c r="K1397" t="s">
        <v>44</v>
      </c>
      <c r="L1397" t="s">
        <v>36</v>
      </c>
      <c r="M1397">
        <v>1</v>
      </c>
      <c r="N1397">
        <v>464.29</v>
      </c>
      <c r="O1397">
        <v>677.7</v>
      </c>
      <c r="P1397">
        <v>0</v>
      </c>
      <c r="Q1397">
        <v>0</v>
      </c>
      <c r="S1397">
        <v>29</v>
      </c>
      <c r="T1397">
        <v>1</v>
      </c>
      <c r="U1397">
        <v>5</v>
      </c>
      <c r="V1397">
        <v>677.7</v>
      </c>
      <c r="W1397">
        <v>13130001395</v>
      </c>
    </row>
    <row r="1398" spans="1:23" x14ac:dyDescent="0.2">
      <c r="A1398" s="1">
        <v>44790</v>
      </c>
      <c r="B1398" s="2">
        <v>0.82377314814814817</v>
      </c>
      <c r="C1398">
        <v>2396</v>
      </c>
      <c r="D1398">
        <v>13002561</v>
      </c>
      <c r="E1398">
        <v>13</v>
      </c>
      <c r="F1398">
        <v>22589</v>
      </c>
      <c r="G1398" t="s">
        <v>23</v>
      </c>
      <c r="H1398">
        <v>15</v>
      </c>
      <c r="I1398">
        <v>21243</v>
      </c>
      <c r="J1398" t="s">
        <v>35</v>
      </c>
      <c r="K1398" t="s">
        <v>45</v>
      </c>
      <c r="L1398" t="s">
        <v>51</v>
      </c>
      <c r="M1398">
        <v>1</v>
      </c>
      <c r="N1398">
        <v>403.62</v>
      </c>
      <c r="O1398">
        <v>538.72</v>
      </c>
      <c r="P1398">
        <v>0</v>
      </c>
      <c r="Q1398">
        <v>0</v>
      </c>
      <c r="S1398">
        <v>29</v>
      </c>
      <c r="T1398">
        <v>1</v>
      </c>
      <c r="U1398">
        <v>3</v>
      </c>
      <c r="V1398">
        <v>538.72</v>
      </c>
      <c r="W1398">
        <v>13130001396</v>
      </c>
    </row>
    <row r="1399" spans="1:23" x14ac:dyDescent="0.2">
      <c r="A1399" s="1">
        <v>44802</v>
      </c>
      <c r="B1399" s="2">
        <v>0.59275462962962966</v>
      </c>
      <c r="C1399">
        <v>2397</v>
      </c>
      <c r="D1399">
        <v>13002561</v>
      </c>
      <c r="E1399">
        <v>13</v>
      </c>
      <c r="F1399">
        <v>22589</v>
      </c>
      <c r="G1399" t="s">
        <v>23</v>
      </c>
      <c r="H1399">
        <v>15</v>
      </c>
      <c r="I1399">
        <v>61315</v>
      </c>
      <c r="J1399" t="s">
        <v>121</v>
      </c>
      <c r="K1399" t="s">
        <v>25</v>
      </c>
      <c r="L1399" t="s">
        <v>29</v>
      </c>
      <c r="M1399">
        <v>3</v>
      </c>
      <c r="N1399">
        <v>279.06</v>
      </c>
      <c r="O1399">
        <v>427.98</v>
      </c>
      <c r="P1399">
        <v>0</v>
      </c>
      <c r="Q1399">
        <v>0</v>
      </c>
      <c r="S1399">
        <v>29</v>
      </c>
      <c r="T1399">
        <v>1</v>
      </c>
      <c r="U1399">
        <v>1</v>
      </c>
      <c r="V1399">
        <v>427.98</v>
      </c>
      <c r="W1399">
        <v>13130001397</v>
      </c>
    </row>
    <row r="1400" spans="1:23" x14ac:dyDescent="0.2">
      <c r="A1400" s="1">
        <v>44775</v>
      </c>
      <c r="B1400" s="2">
        <v>0.57381944444444444</v>
      </c>
      <c r="C1400">
        <v>2398</v>
      </c>
      <c r="D1400">
        <v>13002561</v>
      </c>
      <c r="E1400">
        <v>13</v>
      </c>
      <c r="F1400">
        <v>22589</v>
      </c>
      <c r="G1400" t="s">
        <v>23</v>
      </c>
      <c r="H1400">
        <v>18</v>
      </c>
      <c r="I1400">
        <v>26548</v>
      </c>
      <c r="J1400" t="s">
        <v>55</v>
      </c>
      <c r="K1400" t="s">
        <v>44</v>
      </c>
      <c r="L1400" t="s">
        <v>47</v>
      </c>
      <c r="M1400">
        <v>1</v>
      </c>
      <c r="N1400">
        <v>379.03</v>
      </c>
      <c r="O1400">
        <v>531.32000000000005</v>
      </c>
      <c r="P1400">
        <v>53.13</v>
      </c>
      <c r="Q1400">
        <v>53.13</v>
      </c>
      <c r="R1400" t="s">
        <v>30</v>
      </c>
      <c r="S1400">
        <v>29</v>
      </c>
      <c r="T1400">
        <v>1</v>
      </c>
      <c r="U1400">
        <v>4</v>
      </c>
      <c r="V1400">
        <v>478.19</v>
      </c>
      <c r="W1400">
        <v>13130001398</v>
      </c>
    </row>
    <row r="1401" spans="1:23" x14ac:dyDescent="0.2">
      <c r="A1401" s="1">
        <v>44777</v>
      </c>
      <c r="B1401" s="2">
        <v>0.73281249999999998</v>
      </c>
      <c r="C1401">
        <v>2399</v>
      </c>
      <c r="D1401">
        <v>13002561</v>
      </c>
      <c r="E1401">
        <v>13</v>
      </c>
      <c r="F1401">
        <v>22589</v>
      </c>
      <c r="G1401" t="s">
        <v>23</v>
      </c>
      <c r="H1401">
        <v>18</v>
      </c>
      <c r="I1401">
        <v>92174</v>
      </c>
      <c r="J1401" t="s">
        <v>53</v>
      </c>
      <c r="K1401" t="s">
        <v>25</v>
      </c>
      <c r="L1401" t="s">
        <v>29</v>
      </c>
      <c r="M1401">
        <v>3</v>
      </c>
      <c r="N1401">
        <v>350.87</v>
      </c>
      <c r="O1401">
        <v>584.16</v>
      </c>
      <c r="P1401">
        <v>0</v>
      </c>
      <c r="Q1401">
        <v>0</v>
      </c>
      <c r="S1401">
        <v>29</v>
      </c>
      <c r="T1401">
        <v>1</v>
      </c>
      <c r="U1401">
        <v>2</v>
      </c>
      <c r="V1401">
        <v>584.16</v>
      </c>
      <c r="W1401">
        <v>13130001399</v>
      </c>
    </row>
    <row r="1402" spans="1:23" x14ac:dyDescent="0.2">
      <c r="A1402" s="1">
        <v>44803</v>
      </c>
      <c r="B1402" s="2">
        <v>0.48550925925925931</v>
      </c>
      <c r="C1402">
        <v>2400</v>
      </c>
      <c r="D1402">
        <v>13002561</v>
      </c>
      <c r="E1402">
        <v>13</v>
      </c>
      <c r="F1402">
        <v>22589</v>
      </c>
      <c r="G1402" t="s">
        <v>23</v>
      </c>
      <c r="H1402">
        <v>18</v>
      </c>
      <c r="I1402">
        <v>84273</v>
      </c>
      <c r="J1402" t="s">
        <v>56</v>
      </c>
      <c r="K1402" t="s">
        <v>44</v>
      </c>
      <c r="L1402" t="s">
        <v>34</v>
      </c>
      <c r="M1402">
        <v>3</v>
      </c>
      <c r="N1402">
        <v>45.7</v>
      </c>
      <c r="O1402">
        <v>58.94</v>
      </c>
      <c r="P1402">
        <v>0</v>
      </c>
      <c r="Q1402">
        <v>0</v>
      </c>
      <c r="S1402">
        <v>29</v>
      </c>
      <c r="T1402">
        <v>1</v>
      </c>
      <c r="U1402">
        <v>6</v>
      </c>
      <c r="V1402">
        <v>58.94</v>
      </c>
      <c r="W1402">
        <v>13130001400</v>
      </c>
    </row>
    <row r="1403" spans="1:23" x14ac:dyDescent="0.2">
      <c r="A1403" s="1">
        <v>44794</v>
      </c>
      <c r="B1403" s="2">
        <v>0.79010416666666672</v>
      </c>
      <c r="C1403">
        <v>2401</v>
      </c>
      <c r="D1403">
        <v>13002561</v>
      </c>
      <c r="E1403">
        <v>13</v>
      </c>
      <c r="F1403">
        <v>22589</v>
      </c>
      <c r="G1403" t="s">
        <v>23</v>
      </c>
      <c r="H1403">
        <v>15</v>
      </c>
      <c r="I1403">
        <v>53446</v>
      </c>
      <c r="J1403" t="s">
        <v>63</v>
      </c>
      <c r="K1403" t="s">
        <v>60</v>
      </c>
      <c r="L1403" t="s">
        <v>39</v>
      </c>
      <c r="M1403">
        <v>1</v>
      </c>
      <c r="N1403">
        <v>192.19</v>
      </c>
      <c r="O1403">
        <v>257.68</v>
      </c>
      <c r="P1403">
        <v>25.77</v>
      </c>
      <c r="Q1403">
        <v>25.77</v>
      </c>
      <c r="R1403" t="s">
        <v>30</v>
      </c>
      <c r="S1403">
        <v>29</v>
      </c>
      <c r="T1403">
        <v>1</v>
      </c>
      <c r="U1403">
        <v>5</v>
      </c>
      <c r="V1403">
        <v>231.91</v>
      </c>
      <c r="W1403">
        <v>13130001401</v>
      </c>
    </row>
    <row r="1404" spans="1:23" x14ac:dyDescent="0.2">
      <c r="A1404" s="1">
        <v>44797</v>
      </c>
      <c r="B1404" s="2">
        <v>0.69724537037037038</v>
      </c>
      <c r="C1404">
        <v>2402</v>
      </c>
      <c r="D1404">
        <v>13002561</v>
      </c>
      <c r="E1404">
        <v>13</v>
      </c>
      <c r="F1404">
        <v>22589</v>
      </c>
      <c r="G1404" t="s">
        <v>23</v>
      </c>
      <c r="H1404">
        <v>18</v>
      </c>
      <c r="I1404">
        <v>57789</v>
      </c>
      <c r="J1404" t="s">
        <v>85</v>
      </c>
      <c r="K1404" t="s">
        <v>25</v>
      </c>
      <c r="L1404" t="s">
        <v>34</v>
      </c>
      <c r="M1404">
        <v>3</v>
      </c>
      <c r="N1404">
        <v>140.03</v>
      </c>
      <c r="O1404">
        <v>193.93</v>
      </c>
      <c r="P1404">
        <v>9.6999999999999993</v>
      </c>
      <c r="Q1404">
        <v>9.6999999999999993</v>
      </c>
      <c r="R1404" t="s">
        <v>30</v>
      </c>
      <c r="S1404">
        <v>29</v>
      </c>
      <c r="T1404">
        <v>1</v>
      </c>
      <c r="U1404">
        <v>1</v>
      </c>
      <c r="V1404">
        <v>184.23</v>
      </c>
      <c r="W1404">
        <v>13130001402</v>
      </c>
    </row>
    <row r="1405" spans="1:23" x14ac:dyDescent="0.2">
      <c r="A1405" s="1">
        <v>44778</v>
      </c>
      <c r="B1405" s="2">
        <v>0.4569097222222222</v>
      </c>
      <c r="C1405">
        <v>2403</v>
      </c>
      <c r="D1405">
        <v>13002561</v>
      </c>
      <c r="E1405">
        <v>13</v>
      </c>
      <c r="F1405">
        <v>22589</v>
      </c>
      <c r="G1405" t="s">
        <v>23</v>
      </c>
      <c r="H1405">
        <v>18</v>
      </c>
      <c r="I1405">
        <v>74682</v>
      </c>
      <c r="J1405" t="s">
        <v>102</v>
      </c>
      <c r="K1405" t="s">
        <v>25</v>
      </c>
      <c r="L1405" t="s">
        <v>29</v>
      </c>
      <c r="M1405">
        <v>1</v>
      </c>
      <c r="N1405">
        <v>127.1</v>
      </c>
      <c r="O1405">
        <v>211.4</v>
      </c>
      <c r="P1405">
        <v>10.57</v>
      </c>
      <c r="Q1405">
        <v>10.57</v>
      </c>
      <c r="R1405" t="s">
        <v>30</v>
      </c>
      <c r="S1405">
        <v>29</v>
      </c>
      <c r="T1405">
        <v>1</v>
      </c>
      <c r="U1405">
        <v>6</v>
      </c>
      <c r="V1405">
        <v>200.83</v>
      </c>
      <c r="W1405">
        <v>13130001403</v>
      </c>
    </row>
    <row r="1406" spans="1:23" x14ac:dyDescent="0.2">
      <c r="A1406" s="1">
        <v>44802</v>
      </c>
      <c r="B1406" s="2">
        <v>0.41806712962962961</v>
      </c>
      <c r="C1406">
        <v>2404</v>
      </c>
      <c r="D1406">
        <v>13002561</v>
      </c>
      <c r="E1406">
        <v>13</v>
      </c>
      <c r="F1406">
        <v>22589</v>
      </c>
      <c r="G1406" t="s">
        <v>23</v>
      </c>
      <c r="H1406">
        <v>18</v>
      </c>
      <c r="I1406">
        <v>98646</v>
      </c>
      <c r="J1406" t="s">
        <v>108</v>
      </c>
      <c r="K1406" t="s">
        <v>38</v>
      </c>
      <c r="L1406" t="s">
        <v>26</v>
      </c>
      <c r="M1406">
        <v>3</v>
      </c>
      <c r="N1406">
        <v>392.9</v>
      </c>
      <c r="O1406">
        <v>644.35</v>
      </c>
      <c r="P1406">
        <v>32.22</v>
      </c>
      <c r="Q1406">
        <v>32.22</v>
      </c>
      <c r="R1406" t="s">
        <v>30</v>
      </c>
      <c r="S1406">
        <v>29</v>
      </c>
      <c r="T1406">
        <v>1</v>
      </c>
      <c r="U1406">
        <v>2</v>
      </c>
      <c r="V1406">
        <v>612.13</v>
      </c>
      <c r="W1406">
        <v>13130001404</v>
      </c>
    </row>
    <row r="1407" spans="1:23" x14ac:dyDescent="0.2">
      <c r="A1407" s="1">
        <v>44782</v>
      </c>
      <c r="B1407" s="2">
        <v>0.42261574074074082</v>
      </c>
      <c r="C1407">
        <v>2405</v>
      </c>
      <c r="D1407">
        <v>13002561</v>
      </c>
      <c r="E1407">
        <v>13</v>
      </c>
      <c r="F1407">
        <v>22589</v>
      </c>
      <c r="G1407" t="s">
        <v>23</v>
      </c>
      <c r="H1407">
        <v>18</v>
      </c>
      <c r="I1407">
        <v>22892</v>
      </c>
      <c r="J1407" t="s">
        <v>124</v>
      </c>
      <c r="K1407" t="s">
        <v>60</v>
      </c>
      <c r="L1407" t="s">
        <v>51</v>
      </c>
      <c r="M1407">
        <v>3</v>
      </c>
      <c r="N1407">
        <v>395.07</v>
      </c>
      <c r="O1407">
        <v>537.39</v>
      </c>
      <c r="P1407">
        <v>26.87</v>
      </c>
      <c r="Q1407">
        <v>26.87</v>
      </c>
      <c r="R1407" t="s">
        <v>30</v>
      </c>
      <c r="S1407">
        <v>29</v>
      </c>
      <c r="T1407">
        <v>1</v>
      </c>
      <c r="U1407">
        <v>6</v>
      </c>
      <c r="V1407">
        <v>510.52</v>
      </c>
      <c r="W1407">
        <v>13130001405</v>
      </c>
    </row>
    <row r="1408" spans="1:23" x14ac:dyDescent="0.2">
      <c r="A1408" s="1">
        <v>44779</v>
      </c>
      <c r="B1408" s="2">
        <v>0.93957175925925929</v>
      </c>
      <c r="C1408">
        <v>2406</v>
      </c>
      <c r="D1408">
        <v>13002561</v>
      </c>
      <c r="E1408">
        <v>13</v>
      </c>
      <c r="F1408">
        <v>22589</v>
      </c>
      <c r="G1408" t="s">
        <v>23</v>
      </c>
      <c r="H1408">
        <v>15</v>
      </c>
      <c r="I1408">
        <v>98443</v>
      </c>
      <c r="J1408" t="s">
        <v>94</v>
      </c>
      <c r="K1408" t="s">
        <v>60</v>
      </c>
      <c r="L1408" t="s">
        <v>39</v>
      </c>
      <c r="M1408">
        <v>1</v>
      </c>
      <c r="N1408">
        <v>416.51</v>
      </c>
      <c r="O1408">
        <v>697.15</v>
      </c>
      <c r="P1408">
        <v>69.72</v>
      </c>
      <c r="Q1408">
        <v>69.72</v>
      </c>
      <c r="R1408" t="s">
        <v>30</v>
      </c>
      <c r="S1408">
        <v>29</v>
      </c>
      <c r="T1408">
        <v>1</v>
      </c>
      <c r="U1408">
        <v>3</v>
      </c>
      <c r="V1408">
        <v>627.42999999999995</v>
      </c>
      <c r="W1408">
        <v>13130001406</v>
      </c>
    </row>
    <row r="1409" spans="1:23" x14ac:dyDescent="0.2">
      <c r="A1409" s="1">
        <v>44776</v>
      </c>
      <c r="B1409" s="2">
        <v>0.80523148148148149</v>
      </c>
      <c r="C1409">
        <v>2407</v>
      </c>
      <c r="D1409">
        <v>13002561</v>
      </c>
      <c r="E1409">
        <v>13</v>
      </c>
      <c r="F1409">
        <v>22589</v>
      </c>
      <c r="G1409" t="s">
        <v>23</v>
      </c>
      <c r="H1409">
        <v>18</v>
      </c>
      <c r="I1409">
        <v>68610</v>
      </c>
      <c r="J1409" t="s">
        <v>31</v>
      </c>
      <c r="K1409" t="s">
        <v>25</v>
      </c>
      <c r="L1409" t="s">
        <v>39</v>
      </c>
      <c r="M1409">
        <v>3</v>
      </c>
      <c r="N1409">
        <v>508.21</v>
      </c>
      <c r="O1409">
        <v>777.47</v>
      </c>
      <c r="P1409">
        <v>38.869999999999997</v>
      </c>
      <c r="Q1409">
        <v>38.869999999999997</v>
      </c>
      <c r="R1409" t="s">
        <v>30</v>
      </c>
      <c r="S1409">
        <v>29</v>
      </c>
      <c r="T1409">
        <v>1</v>
      </c>
      <c r="U1409">
        <v>6</v>
      </c>
      <c r="V1409">
        <v>738.6</v>
      </c>
      <c r="W1409">
        <v>13130001407</v>
      </c>
    </row>
    <row r="1410" spans="1:23" x14ac:dyDescent="0.2">
      <c r="A1410" s="1">
        <v>44798</v>
      </c>
      <c r="B1410" s="2">
        <v>0.68432870370370369</v>
      </c>
      <c r="C1410">
        <v>2408</v>
      </c>
      <c r="D1410">
        <v>13002561</v>
      </c>
      <c r="E1410">
        <v>13</v>
      </c>
      <c r="F1410">
        <v>22589</v>
      </c>
      <c r="G1410" t="s">
        <v>23</v>
      </c>
      <c r="H1410">
        <v>15</v>
      </c>
      <c r="I1410">
        <v>58019</v>
      </c>
      <c r="J1410" t="s">
        <v>85</v>
      </c>
      <c r="K1410" t="s">
        <v>25</v>
      </c>
      <c r="L1410" t="s">
        <v>29</v>
      </c>
      <c r="M1410">
        <v>3</v>
      </c>
      <c r="N1410">
        <v>373.36</v>
      </c>
      <c r="O1410">
        <v>514.07000000000005</v>
      </c>
      <c r="P1410">
        <v>0</v>
      </c>
      <c r="Q1410">
        <v>0</v>
      </c>
      <c r="S1410">
        <v>29</v>
      </c>
      <c r="T1410">
        <v>1</v>
      </c>
      <c r="U1410">
        <v>1</v>
      </c>
      <c r="V1410">
        <v>514.07000000000005</v>
      </c>
      <c r="W1410">
        <v>13130001408</v>
      </c>
    </row>
    <row r="1411" spans="1:23" x14ac:dyDescent="0.2">
      <c r="A1411" s="1">
        <v>44788</v>
      </c>
      <c r="B1411" s="2">
        <v>0.65258101851851846</v>
      </c>
      <c r="C1411">
        <v>2409</v>
      </c>
      <c r="D1411">
        <v>13002561</v>
      </c>
      <c r="E1411">
        <v>13</v>
      </c>
      <c r="F1411">
        <v>22589</v>
      </c>
      <c r="G1411" t="s">
        <v>23</v>
      </c>
      <c r="H1411">
        <v>18</v>
      </c>
      <c r="I1411">
        <v>94744</v>
      </c>
      <c r="J1411" t="s">
        <v>48</v>
      </c>
      <c r="K1411" t="s">
        <v>44</v>
      </c>
      <c r="L1411" t="s">
        <v>34</v>
      </c>
      <c r="M1411">
        <v>3</v>
      </c>
      <c r="N1411">
        <v>402.87</v>
      </c>
      <c r="O1411">
        <v>530.73</v>
      </c>
      <c r="P1411">
        <v>53.07</v>
      </c>
      <c r="Q1411">
        <v>53.07</v>
      </c>
      <c r="R1411" t="s">
        <v>30</v>
      </c>
      <c r="S1411">
        <v>29</v>
      </c>
      <c r="T1411">
        <v>1</v>
      </c>
      <c r="U1411">
        <v>3</v>
      </c>
      <c r="V1411">
        <v>477.66</v>
      </c>
      <c r="W1411">
        <v>13130001409</v>
      </c>
    </row>
    <row r="1412" spans="1:23" x14ac:dyDescent="0.2">
      <c r="A1412" s="1">
        <v>44775</v>
      </c>
      <c r="B1412" s="2">
        <v>0.67608796296296292</v>
      </c>
      <c r="C1412">
        <v>2410</v>
      </c>
      <c r="D1412">
        <v>13002561</v>
      </c>
      <c r="E1412">
        <v>13</v>
      </c>
      <c r="F1412">
        <v>22589</v>
      </c>
      <c r="G1412" t="s">
        <v>23</v>
      </c>
      <c r="H1412">
        <v>18</v>
      </c>
      <c r="I1412">
        <v>36352</v>
      </c>
      <c r="J1412" t="s">
        <v>80</v>
      </c>
      <c r="K1412" t="s">
        <v>25</v>
      </c>
      <c r="L1412" t="s">
        <v>32</v>
      </c>
      <c r="M1412">
        <v>1</v>
      </c>
      <c r="N1412">
        <v>197.52</v>
      </c>
      <c r="O1412">
        <v>285.79000000000002</v>
      </c>
      <c r="P1412">
        <v>0</v>
      </c>
      <c r="Q1412">
        <v>0</v>
      </c>
      <c r="S1412">
        <v>29</v>
      </c>
      <c r="T1412">
        <v>1</v>
      </c>
      <c r="U1412">
        <v>5</v>
      </c>
      <c r="V1412">
        <v>285.79000000000002</v>
      </c>
      <c r="W1412">
        <v>13130001410</v>
      </c>
    </row>
    <row r="1413" spans="1:23" x14ac:dyDescent="0.2">
      <c r="A1413" s="1">
        <v>44802</v>
      </c>
      <c r="B1413" s="2">
        <v>0.40248842592592587</v>
      </c>
      <c r="C1413">
        <v>2411</v>
      </c>
      <c r="D1413">
        <v>13002561</v>
      </c>
      <c r="E1413">
        <v>13</v>
      </c>
      <c r="F1413">
        <v>22589</v>
      </c>
      <c r="G1413" t="s">
        <v>23</v>
      </c>
      <c r="H1413">
        <v>18</v>
      </c>
      <c r="I1413">
        <v>40187</v>
      </c>
      <c r="J1413" t="s">
        <v>78</v>
      </c>
      <c r="K1413" t="s">
        <v>60</v>
      </c>
      <c r="L1413" t="s">
        <v>36</v>
      </c>
      <c r="M1413">
        <v>2</v>
      </c>
      <c r="N1413">
        <v>146.28</v>
      </c>
      <c r="O1413">
        <v>199.76</v>
      </c>
      <c r="P1413">
        <v>19.98</v>
      </c>
      <c r="Q1413">
        <v>19.98</v>
      </c>
      <c r="R1413" t="s">
        <v>30</v>
      </c>
      <c r="S1413">
        <v>29</v>
      </c>
      <c r="T1413">
        <v>1</v>
      </c>
      <c r="U1413">
        <v>2</v>
      </c>
      <c r="V1413">
        <v>179.78</v>
      </c>
      <c r="W1413">
        <v>13130001411</v>
      </c>
    </row>
    <row r="1414" spans="1:23" x14ac:dyDescent="0.2">
      <c r="A1414" s="1">
        <v>44788</v>
      </c>
      <c r="B1414" s="2">
        <v>0.74821759259259257</v>
      </c>
      <c r="C1414">
        <v>2412</v>
      </c>
      <c r="D1414">
        <v>13002561</v>
      </c>
      <c r="E1414">
        <v>13</v>
      </c>
      <c r="F1414">
        <v>22589</v>
      </c>
      <c r="G1414" t="s">
        <v>23</v>
      </c>
      <c r="H1414">
        <v>15</v>
      </c>
      <c r="I1414">
        <v>16829</v>
      </c>
      <c r="J1414" t="s">
        <v>107</v>
      </c>
      <c r="K1414" t="s">
        <v>44</v>
      </c>
      <c r="L1414" t="s">
        <v>51</v>
      </c>
      <c r="M1414">
        <v>1</v>
      </c>
      <c r="N1414">
        <v>311.23</v>
      </c>
      <c r="O1414">
        <v>503.04</v>
      </c>
      <c r="P1414">
        <v>25.15</v>
      </c>
      <c r="Q1414">
        <v>25.15</v>
      </c>
      <c r="R1414" t="s">
        <v>30</v>
      </c>
      <c r="S1414">
        <v>29</v>
      </c>
      <c r="T1414">
        <v>1</v>
      </c>
      <c r="U1414">
        <v>5</v>
      </c>
      <c r="V1414">
        <v>477.89</v>
      </c>
      <c r="W1414">
        <v>13130001412</v>
      </c>
    </row>
    <row r="1415" spans="1:23" x14ac:dyDescent="0.2">
      <c r="A1415" s="1">
        <v>44793</v>
      </c>
      <c r="B1415" s="2">
        <v>0.62306712962962962</v>
      </c>
      <c r="C1415">
        <v>2413</v>
      </c>
      <c r="D1415">
        <v>13002561</v>
      </c>
      <c r="E1415">
        <v>13</v>
      </c>
      <c r="F1415">
        <v>22589</v>
      </c>
      <c r="G1415" t="s">
        <v>23</v>
      </c>
      <c r="H1415">
        <v>18</v>
      </c>
      <c r="I1415">
        <v>62191</v>
      </c>
      <c r="J1415" t="s">
        <v>107</v>
      </c>
      <c r="K1415" t="s">
        <v>38</v>
      </c>
      <c r="L1415" t="s">
        <v>36</v>
      </c>
      <c r="M1415">
        <v>1</v>
      </c>
      <c r="N1415">
        <v>152.65</v>
      </c>
      <c r="O1415">
        <v>253.71</v>
      </c>
      <c r="P1415">
        <v>0</v>
      </c>
      <c r="Q1415">
        <v>0</v>
      </c>
      <c r="S1415">
        <v>29</v>
      </c>
      <c r="T1415">
        <v>1</v>
      </c>
      <c r="U1415">
        <v>6</v>
      </c>
      <c r="V1415">
        <v>253.71</v>
      </c>
      <c r="W1415">
        <v>13130001413</v>
      </c>
    </row>
    <row r="1416" spans="1:23" x14ac:dyDescent="0.2">
      <c r="A1416" s="1">
        <v>44794</v>
      </c>
      <c r="B1416" s="2">
        <v>0.84440972222222221</v>
      </c>
      <c r="C1416">
        <v>2414</v>
      </c>
      <c r="D1416">
        <v>13002561</v>
      </c>
      <c r="E1416">
        <v>13</v>
      </c>
      <c r="F1416">
        <v>22589</v>
      </c>
      <c r="G1416" t="s">
        <v>23</v>
      </c>
      <c r="H1416">
        <v>18</v>
      </c>
      <c r="I1416">
        <v>92842</v>
      </c>
      <c r="J1416" t="s">
        <v>83</v>
      </c>
      <c r="K1416" t="s">
        <v>60</v>
      </c>
      <c r="L1416" t="s">
        <v>39</v>
      </c>
      <c r="M1416">
        <v>3</v>
      </c>
      <c r="N1416">
        <v>535.05999999999995</v>
      </c>
      <c r="O1416">
        <v>679.89</v>
      </c>
      <c r="P1416">
        <v>0</v>
      </c>
      <c r="Q1416">
        <v>0</v>
      </c>
      <c r="S1416">
        <v>29</v>
      </c>
      <c r="T1416">
        <v>1</v>
      </c>
      <c r="U1416">
        <v>1</v>
      </c>
      <c r="V1416">
        <v>679.89</v>
      </c>
      <c r="W1416">
        <v>13130001414</v>
      </c>
    </row>
    <row r="1417" spans="1:23" x14ac:dyDescent="0.2">
      <c r="A1417" s="1">
        <v>44791</v>
      </c>
      <c r="B1417" s="2">
        <v>0.43326388888888889</v>
      </c>
      <c r="C1417">
        <v>2415</v>
      </c>
      <c r="D1417">
        <v>13002561</v>
      </c>
      <c r="E1417">
        <v>13</v>
      </c>
      <c r="F1417">
        <v>22589</v>
      </c>
      <c r="G1417" t="s">
        <v>23</v>
      </c>
      <c r="H1417">
        <v>18</v>
      </c>
      <c r="I1417">
        <v>75518</v>
      </c>
      <c r="J1417" t="s">
        <v>42</v>
      </c>
      <c r="K1417" t="s">
        <v>44</v>
      </c>
      <c r="L1417" t="s">
        <v>36</v>
      </c>
      <c r="M1417">
        <v>2</v>
      </c>
      <c r="N1417">
        <v>424.41</v>
      </c>
      <c r="O1417">
        <v>568.74</v>
      </c>
      <c r="P1417">
        <v>56.87</v>
      </c>
      <c r="Q1417">
        <v>56.87</v>
      </c>
      <c r="R1417" t="s">
        <v>30</v>
      </c>
      <c r="S1417">
        <v>29</v>
      </c>
      <c r="T1417">
        <v>1</v>
      </c>
      <c r="U1417">
        <v>6</v>
      </c>
      <c r="V1417">
        <v>511.87</v>
      </c>
      <c r="W1417">
        <v>13130001415</v>
      </c>
    </row>
    <row r="1418" spans="1:23" x14ac:dyDescent="0.2">
      <c r="A1418" s="1">
        <v>44774</v>
      </c>
      <c r="B1418" s="2">
        <v>0.8661226851851852</v>
      </c>
      <c r="C1418">
        <v>2416</v>
      </c>
      <c r="D1418">
        <v>13002561</v>
      </c>
      <c r="E1418">
        <v>13</v>
      </c>
      <c r="F1418">
        <v>22589</v>
      </c>
      <c r="G1418" t="s">
        <v>23</v>
      </c>
      <c r="H1418">
        <v>18</v>
      </c>
      <c r="I1418">
        <v>98878</v>
      </c>
      <c r="J1418" t="s">
        <v>58</v>
      </c>
      <c r="K1418" t="s">
        <v>38</v>
      </c>
      <c r="L1418" t="s">
        <v>39</v>
      </c>
      <c r="M1418">
        <v>2</v>
      </c>
      <c r="N1418">
        <v>562.49</v>
      </c>
      <c r="O1418">
        <v>906.62</v>
      </c>
      <c r="P1418">
        <v>90.66</v>
      </c>
      <c r="Q1418">
        <v>90.66</v>
      </c>
      <c r="R1418" t="s">
        <v>30</v>
      </c>
      <c r="S1418">
        <v>29</v>
      </c>
      <c r="T1418">
        <v>1</v>
      </c>
      <c r="U1418">
        <v>6</v>
      </c>
      <c r="V1418">
        <v>815.96</v>
      </c>
      <c r="W1418">
        <v>13130001416</v>
      </c>
    </row>
    <row r="1419" spans="1:23" x14ac:dyDescent="0.2">
      <c r="A1419" s="1">
        <v>44789</v>
      </c>
      <c r="B1419" s="2">
        <v>0.56814814814814818</v>
      </c>
      <c r="C1419">
        <v>2417</v>
      </c>
      <c r="D1419">
        <v>13002561</v>
      </c>
      <c r="E1419">
        <v>13</v>
      </c>
      <c r="F1419">
        <v>22589</v>
      </c>
      <c r="G1419" t="s">
        <v>23</v>
      </c>
      <c r="H1419">
        <v>18</v>
      </c>
      <c r="I1419">
        <v>87997</v>
      </c>
      <c r="J1419" t="s">
        <v>42</v>
      </c>
      <c r="K1419" t="s">
        <v>44</v>
      </c>
      <c r="L1419" t="s">
        <v>29</v>
      </c>
      <c r="M1419">
        <v>2</v>
      </c>
      <c r="N1419">
        <v>523.96</v>
      </c>
      <c r="O1419">
        <v>733.15</v>
      </c>
      <c r="P1419">
        <v>36.659999999999997</v>
      </c>
      <c r="Q1419">
        <v>36.659999999999997</v>
      </c>
      <c r="R1419" t="s">
        <v>30</v>
      </c>
      <c r="S1419">
        <v>29</v>
      </c>
      <c r="T1419">
        <v>1</v>
      </c>
      <c r="U1419">
        <v>4</v>
      </c>
      <c r="V1419">
        <v>696.49</v>
      </c>
      <c r="W1419">
        <v>13130001417</v>
      </c>
    </row>
    <row r="1420" spans="1:23" x14ac:dyDescent="0.2">
      <c r="A1420" s="1">
        <v>44793</v>
      </c>
      <c r="B1420" s="2">
        <v>0.81096064814814817</v>
      </c>
      <c r="C1420">
        <v>2418</v>
      </c>
      <c r="D1420">
        <v>13002561</v>
      </c>
      <c r="E1420">
        <v>13</v>
      </c>
      <c r="F1420">
        <v>22589</v>
      </c>
      <c r="G1420" t="s">
        <v>23</v>
      </c>
      <c r="H1420">
        <v>18</v>
      </c>
      <c r="I1420">
        <v>67362</v>
      </c>
      <c r="J1420" t="s">
        <v>46</v>
      </c>
      <c r="K1420" t="s">
        <v>60</v>
      </c>
      <c r="L1420" t="s">
        <v>29</v>
      </c>
      <c r="M1420">
        <v>1</v>
      </c>
      <c r="N1420">
        <v>6.49</v>
      </c>
      <c r="O1420">
        <v>8.92</v>
      </c>
      <c r="P1420">
        <v>0.89</v>
      </c>
      <c r="Q1420">
        <v>0.89</v>
      </c>
      <c r="R1420" t="s">
        <v>30</v>
      </c>
      <c r="S1420">
        <v>29</v>
      </c>
      <c r="T1420">
        <v>1</v>
      </c>
      <c r="U1420">
        <v>1</v>
      </c>
      <c r="V1420">
        <v>8.0299999999999994</v>
      </c>
      <c r="W1420">
        <v>13130001418</v>
      </c>
    </row>
    <row r="1421" spans="1:23" x14ac:dyDescent="0.2">
      <c r="A1421" s="1">
        <v>44782</v>
      </c>
      <c r="B1421" s="2">
        <v>0.47631944444444452</v>
      </c>
      <c r="C1421">
        <v>2419</v>
      </c>
      <c r="D1421">
        <v>13002561</v>
      </c>
      <c r="E1421">
        <v>13</v>
      </c>
      <c r="F1421">
        <v>22589</v>
      </c>
      <c r="G1421" t="s">
        <v>23</v>
      </c>
      <c r="H1421">
        <v>15</v>
      </c>
      <c r="I1421">
        <v>19965</v>
      </c>
      <c r="J1421" t="s">
        <v>53</v>
      </c>
      <c r="K1421" t="s">
        <v>25</v>
      </c>
      <c r="L1421" t="s">
        <v>26</v>
      </c>
      <c r="M1421">
        <v>2</v>
      </c>
      <c r="N1421">
        <v>214.26</v>
      </c>
      <c r="O1421">
        <v>267.88</v>
      </c>
      <c r="P1421">
        <v>26.79</v>
      </c>
      <c r="Q1421">
        <v>26.79</v>
      </c>
      <c r="R1421" t="s">
        <v>30</v>
      </c>
      <c r="S1421">
        <v>29</v>
      </c>
      <c r="T1421">
        <v>1</v>
      </c>
      <c r="U1421">
        <v>1</v>
      </c>
      <c r="V1421">
        <v>241.09</v>
      </c>
      <c r="W1421">
        <v>13130001419</v>
      </c>
    </row>
    <row r="1422" spans="1:23" x14ac:dyDescent="0.2">
      <c r="A1422" s="1">
        <v>44780</v>
      </c>
      <c r="B1422" s="2">
        <v>0.49211805555555549</v>
      </c>
      <c r="C1422">
        <v>2420</v>
      </c>
      <c r="D1422">
        <v>13002561</v>
      </c>
      <c r="E1422">
        <v>13</v>
      </c>
      <c r="F1422">
        <v>22589</v>
      </c>
      <c r="G1422" t="s">
        <v>23</v>
      </c>
      <c r="H1422">
        <v>18</v>
      </c>
      <c r="I1422">
        <v>19221</v>
      </c>
      <c r="J1422" t="s">
        <v>114</v>
      </c>
      <c r="K1422" t="s">
        <v>25</v>
      </c>
      <c r="L1422" t="s">
        <v>51</v>
      </c>
      <c r="M1422">
        <v>2</v>
      </c>
      <c r="N1422">
        <v>501.2</v>
      </c>
      <c r="O1422">
        <v>668.27</v>
      </c>
      <c r="P1422">
        <v>0</v>
      </c>
      <c r="Q1422">
        <v>0</v>
      </c>
      <c r="S1422">
        <v>29</v>
      </c>
      <c r="T1422">
        <v>1</v>
      </c>
      <c r="U1422">
        <v>2</v>
      </c>
      <c r="V1422">
        <v>668.27</v>
      </c>
      <c r="W1422">
        <v>13130001420</v>
      </c>
    </row>
    <row r="1423" spans="1:23" x14ac:dyDescent="0.2">
      <c r="A1423" s="1">
        <v>44789</v>
      </c>
      <c r="B1423" s="2">
        <v>0.5957986111111111</v>
      </c>
      <c r="C1423">
        <v>2421</v>
      </c>
      <c r="D1423">
        <v>13002561</v>
      </c>
      <c r="E1423">
        <v>13</v>
      </c>
      <c r="F1423">
        <v>22589</v>
      </c>
      <c r="G1423" t="s">
        <v>23</v>
      </c>
      <c r="H1423">
        <v>18</v>
      </c>
      <c r="I1423">
        <v>42311</v>
      </c>
      <c r="J1423" t="s">
        <v>103</v>
      </c>
      <c r="K1423" t="s">
        <v>44</v>
      </c>
      <c r="L1423" t="s">
        <v>32</v>
      </c>
      <c r="M1423">
        <v>3</v>
      </c>
      <c r="N1423">
        <v>251.49</v>
      </c>
      <c r="O1423">
        <v>383.46</v>
      </c>
      <c r="P1423">
        <v>19.170000000000002</v>
      </c>
      <c r="Q1423">
        <v>19.170000000000002</v>
      </c>
      <c r="R1423" t="s">
        <v>30</v>
      </c>
      <c r="S1423">
        <v>29</v>
      </c>
      <c r="T1423">
        <v>1</v>
      </c>
      <c r="U1423">
        <v>6</v>
      </c>
      <c r="V1423">
        <v>364.29</v>
      </c>
      <c r="W1423">
        <v>13130001421</v>
      </c>
    </row>
    <row r="1424" spans="1:23" x14ac:dyDescent="0.2">
      <c r="A1424" s="1">
        <v>44779</v>
      </c>
      <c r="B1424" s="2">
        <v>0.64209490740740738</v>
      </c>
      <c r="C1424">
        <v>2422</v>
      </c>
      <c r="D1424">
        <v>13002561</v>
      </c>
      <c r="E1424">
        <v>13</v>
      </c>
      <c r="F1424">
        <v>22589</v>
      </c>
      <c r="G1424" t="s">
        <v>23</v>
      </c>
      <c r="H1424">
        <v>15</v>
      </c>
      <c r="I1424">
        <v>68783</v>
      </c>
      <c r="J1424" t="s">
        <v>79</v>
      </c>
      <c r="K1424" t="s">
        <v>38</v>
      </c>
      <c r="L1424" t="s">
        <v>36</v>
      </c>
      <c r="M1424">
        <v>2</v>
      </c>
      <c r="N1424">
        <v>249.02</v>
      </c>
      <c r="O1424">
        <v>317.60000000000002</v>
      </c>
      <c r="P1424">
        <v>31.76</v>
      </c>
      <c r="Q1424">
        <v>31.76</v>
      </c>
      <c r="R1424" t="s">
        <v>30</v>
      </c>
      <c r="S1424">
        <v>29</v>
      </c>
      <c r="T1424">
        <v>1</v>
      </c>
      <c r="U1424">
        <v>3</v>
      </c>
      <c r="V1424">
        <v>285.83999999999997</v>
      </c>
      <c r="W1424">
        <v>13130001422</v>
      </c>
    </row>
    <row r="1425" spans="1:23" x14ac:dyDescent="0.2">
      <c r="A1425" s="1">
        <v>44790</v>
      </c>
      <c r="B1425" s="2">
        <v>0.65464120370370371</v>
      </c>
      <c r="C1425">
        <v>2423</v>
      </c>
      <c r="D1425">
        <v>13002561</v>
      </c>
      <c r="E1425">
        <v>13</v>
      </c>
      <c r="F1425">
        <v>22589</v>
      </c>
      <c r="G1425" t="s">
        <v>23</v>
      </c>
      <c r="H1425">
        <v>18</v>
      </c>
      <c r="I1425">
        <v>98813</v>
      </c>
      <c r="J1425" t="s">
        <v>71</v>
      </c>
      <c r="K1425" t="s">
        <v>44</v>
      </c>
      <c r="L1425" t="s">
        <v>34</v>
      </c>
      <c r="M1425">
        <v>1</v>
      </c>
      <c r="N1425">
        <v>307.20999999999998</v>
      </c>
      <c r="O1425">
        <v>452.96</v>
      </c>
      <c r="P1425">
        <v>0</v>
      </c>
      <c r="Q1425">
        <v>0</v>
      </c>
      <c r="S1425">
        <v>29</v>
      </c>
      <c r="T1425">
        <v>1</v>
      </c>
      <c r="U1425">
        <v>1</v>
      </c>
      <c r="V1425">
        <v>452.96</v>
      </c>
      <c r="W1425">
        <v>13130001423</v>
      </c>
    </row>
    <row r="1426" spans="1:23" x14ac:dyDescent="0.2">
      <c r="A1426" s="1">
        <v>44780</v>
      </c>
      <c r="B1426" s="2">
        <v>0.34728009259259263</v>
      </c>
      <c r="C1426">
        <v>2424</v>
      </c>
      <c r="D1426">
        <v>13002561</v>
      </c>
      <c r="E1426">
        <v>13</v>
      </c>
      <c r="F1426">
        <v>22589</v>
      </c>
      <c r="G1426" t="s">
        <v>23</v>
      </c>
      <c r="H1426">
        <v>18</v>
      </c>
      <c r="I1426">
        <v>40563</v>
      </c>
      <c r="J1426" t="s">
        <v>99</v>
      </c>
      <c r="K1426" t="s">
        <v>44</v>
      </c>
      <c r="L1426" t="s">
        <v>26</v>
      </c>
      <c r="M1426">
        <v>2</v>
      </c>
      <c r="N1426">
        <v>89.61</v>
      </c>
      <c r="O1426">
        <v>147.30000000000001</v>
      </c>
      <c r="P1426">
        <v>0</v>
      </c>
      <c r="Q1426">
        <v>0</v>
      </c>
      <c r="S1426">
        <v>29</v>
      </c>
      <c r="T1426">
        <v>1</v>
      </c>
      <c r="U1426">
        <v>3</v>
      </c>
      <c r="V1426">
        <v>147.30000000000001</v>
      </c>
      <c r="W1426">
        <v>13130001424</v>
      </c>
    </row>
    <row r="1427" spans="1:23" x14ac:dyDescent="0.2">
      <c r="A1427" s="1">
        <v>44793</v>
      </c>
      <c r="B1427" s="2">
        <v>0.35570601851851852</v>
      </c>
      <c r="C1427">
        <v>2425</v>
      </c>
      <c r="D1427">
        <v>13002561</v>
      </c>
      <c r="E1427">
        <v>13</v>
      </c>
      <c r="F1427">
        <v>22589</v>
      </c>
      <c r="G1427" t="s">
        <v>23</v>
      </c>
      <c r="H1427">
        <v>18</v>
      </c>
      <c r="I1427">
        <v>36182</v>
      </c>
      <c r="J1427" t="s">
        <v>84</v>
      </c>
      <c r="K1427" t="s">
        <v>45</v>
      </c>
      <c r="L1427" t="s">
        <v>47</v>
      </c>
      <c r="M1427">
        <v>1</v>
      </c>
      <c r="N1427">
        <v>573.08000000000004</v>
      </c>
      <c r="O1427">
        <v>738.63</v>
      </c>
      <c r="P1427">
        <v>73.86</v>
      </c>
      <c r="Q1427">
        <v>73.86</v>
      </c>
      <c r="R1427" t="s">
        <v>30</v>
      </c>
      <c r="S1427">
        <v>29</v>
      </c>
      <c r="T1427">
        <v>1</v>
      </c>
      <c r="U1427">
        <v>3</v>
      </c>
      <c r="V1427">
        <v>664.77</v>
      </c>
      <c r="W1427">
        <v>13130001425</v>
      </c>
    </row>
    <row r="1428" spans="1:23" x14ac:dyDescent="0.2">
      <c r="A1428" s="1">
        <v>44802</v>
      </c>
      <c r="B1428" s="2">
        <v>0.57171296296296292</v>
      </c>
      <c r="C1428">
        <v>2426</v>
      </c>
      <c r="D1428">
        <v>13002561</v>
      </c>
      <c r="E1428">
        <v>13</v>
      </c>
      <c r="F1428">
        <v>22589</v>
      </c>
      <c r="G1428" t="s">
        <v>23</v>
      </c>
      <c r="H1428">
        <v>18</v>
      </c>
      <c r="I1428">
        <v>12053</v>
      </c>
      <c r="J1428" t="s">
        <v>84</v>
      </c>
      <c r="K1428" t="s">
        <v>38</v>
      </c>
      <c r="L1428" t="s">
        <v>39</v>
      </c>
      <c r="M1428">
        <v>3</v>
      </c>
      <c r="N1428">
        <v>39.619999999999997</v>
      </c>
      <c r="O1428">
        <v>54.13</v>
      </c>
      <c r="P1428">
        <v>5.41</v>
      </c>
      <c r="Q1428">
        <v>5.41</v>
      </c>
      <c r="R1428" t="s">
        <v>30</v>
      </c>
      <c r="S1428">
        <v>29</v>
      </c>
      <c r="T1428">
        <v>1</v>
      </c>
      <c r="U1428">
        <v>1</v>
      </c>
      <c r="V1428">
        <v>48.72</v>
      </c>
      <c r="W1428">
        <v>13130001426</v>
      </c>
    </row>
    <row r="1429" spans="1:23" x14ac:dyDescent="0.2">
      <c r="A1429" s="1">
        <v>44784</v>
      </c>
      <c r="B1429" s="2">
        <v>0.60170138888888891</v>
      </c>
      <c r="C1429">
        <v>2427</v>
      </c>
      <c r="D1429">
        <v>13002561</v>
      </c>
      <c r="E1429">
        <v>13</v>
      </c>
      <c r="F1429">
        <v>22589</v>
      </c>
      <c r="G1429" t="s">
        <v>23</v>
      </c>
      <c r="H1429">
        <v>18</v>
      </c>
      <c r="I1429">
        <v>36398</v>
      </c>
      <c r="J1429" t="s">
        <v>73</v>
      </c>
      <c r="K1429" t="s">
        <v>25</v>
      </c>
      <c r="L1429" t="s">
        <v>51</v>
      </c>
      <c r="M1429">
        <v>2</v>
      </c>
      <c r="N1429">
        <v>13.66</v>
      </c>
      <c r="O1429">
        <v>19.77</v>
      </c>
      <c r="P1429">
        <v>0</v>
      </c>
      <c r="Q1429">
        <v>0</v>
      </c>
      <c r="S1429">
        <v>29</v>
      </c>
      <c r="T1429">
        <v>1</v>
      </c>
      <c r="U1429">
        <v>6</v>
      </c>
      <c r="V1429">
        <v>19.77</v>
      </c>
      <c r="W1429">
        <v>13130001427</v>
      </c>
    </row>
    <row r="1430" spans="1:23" x14ac:dyDescent="0.2">
      <c r="A1430" s="1">
        <v>44776</v>
      </c>
      <c r="B1430" s="2">
        <v>0.88700231481481484</v>
      </c>
      <c r="C1430">
        <v>2428</v>
      </c>
      <c r="D1430">
        <v>13002561</v>
      </c>
      <c r="E1430">
        <v>13</v>
      </c>
      <c r="F1430">
        <v>22589</v>
      </c>
      <c r="G1430" t="s">
        <v>23</v>
      </c>
      <c r="H1430">
        <v>15</v>
      </c>
      <c r="I1430">
        <v>73229</v>
      </c>
      <c r="J1430" t="s">
        <v>37</v>
      </c>
      <c r="K1430" t="s">
        <v>60</v>
      </c>
      <c r="L1430" t="s">
        <v>36</v>
      </c>
      <c r="M1430">
        <v>3</v>
      </c>
      <c r="N1430">
        <v>426.51</v>
      </c>
      <c r="O1430">
        <v>579.52</v>
      </c>
      <c r="P1430">
        <v>28.98</v>
      </c>
      <c r="Q1430">
        <v>28.98</v>
      </c>
      <c r="R1430" t="s">
        <v>30</v>
      </c>
      <c r="S1430">
        <v>29</v>
      </c>
      <c r="T1430">
        <v>1</v>
      </c>
      <c r="U1430">
        <v>2</v>
      </c>
      <c r="V1430">
        <v>550.54</v>
      </c>
      <c r="W1430">
        <v>13130001428</v>
      </c>
    </row>
    <row r="1431" spans="1:23" x14ac:dyDescent="0.2">
      <c r="A1431" s="1">
        <v>44776</v>
      </c>
      <c r="B1431" s="2">
        <v>0.69365740740740744</v>
      </c>
      <c r="C1431">
        <v>2429</v>
      </c>
      <c r="D1431">
        <v>13002561</v>
      </c>
      <c r="E1431">
        <v>13</v>
      </c>
      <c r="F1431">
        <v>22589</v>
      </c>
      <c r="G1431" t="s">
        <v>23</v>
      </c>
      <c r="H1431">
        <v>18</v>
      </c>
      <c r="I1431">
        <v>97885</v>
      </c>
      <c r="J1431" t="s">
        <v>106</v>
      </c>
      <c r="K1431" t="s">
        <v>25</v>
      </c>
      <c r="L1431" t="s">
        <v>39</v>
      </c>
      <c r="M1431">
        <v>3</v>
      </c>
      <c r="N1431">
        <v>368.42</v>
      </c>
      <c r="O1431">
        <v>606.72</v>
      </c>
      <c r="P1431">
        <v>0</v>
      </c>
      <c r="Q1431">
        <v>0</v>
      </c>
      <c r="S1431">
        <v>29</v>
      </c>
      <c r="T1431">
        <v>1</v>
      </c>
      <c r="U1431">
        <v>5</v>
      </c>
      <c r="V1431">
        <v>606.72</v>
      </c>
      <c r="W1431">
        <v>13130001429</v>
      </c>
    </row>
    <row r="1432" spans="1:23" x14ac:dyDescent="0.2">
      <c r="A1432" s="1">
        <v>44804</v>
      </c>
      <c r="B1432" s="2">
        <v>0.92533564814814817</v>
      </c>
      <c r="C1432">
        <v>2430</v>
      </c>
      <c r="D1432">
        <v>13002561</v>
      </c>
      <c r="E1432">
        <v>13</v>
      </c>
      <c r="F1432">
        <v>22589</v>
      </c>
      <c r="G1432" t="s">
        <v>23</v>
      </c>
      <c r="H1432">
        <v>18</v>
      </c>
      <c r="I1432">
        <v>61857</v>
      </c>
      <c r="J1432" t="s">
        <v>103</v>
      </c>
      <c r="K1432" t="s">
        <v>28</v>
      </c>
      <c r="L1432" t="s">
        <v>29</v>
      </c>
      <c r="M1432">
        <v>1</v>
      </c>
      <c r="N1432">
        <v>377</v>
      </c>
      <c r="O1432">
        <v>625.29999999999995</v>
      </c>
      <c r="P1432">
        <v>31.27</v>
      </c>
      <c r="Q1432">
        <v>31.27</v>
      </c>
      <c r="R1432" t="s">
        <v>30</v>
      </c>
      <c r="S1432">
        <v>29</v>
      </c>
      <c r="T1432">
        <v>1</v>
      </c>
      <c r="U1432">
        <v>1</v>
      </c>
      <c r="V1432">
        <v>594.03</v>
      </c>
      <c r="W1432">
        <v>13130001430</v>
      </c>
    </row>
    <row r="1433" spans="1:23" x14ac:dyDescent="0.2">
      <c r="A1433" s="1">
        <v>44793</v>
      </c>
      <c r="B1433" s="2">
        <v>0.94549768518518518</v>
      </c>
      <c r="C1433">
        <v>2431</v>
      </c>
      <c r="D1433">
        <v>13002561</v>
      </c>
      <c r="E1433">
        <v>13</v>
      </c>
      <c r="F1433">
        <v>22589</v>
      </c>
      <c r="G1433" t="s">
        <v>23</v>
      </c>
      <c r="H1433">
        <v>18</v>
      </c>
      <c r="I1433">
        <v>57290</v>
      </c>
      <c r="J1433" t="s">
        <v>101</v>
      </c>
      <c r="K1433" t="s">
        <v>45</v>
      </c>
      <c r="L1433" t="s">
        <v>26</v>
      </c>
      <c r="M1433">
        <v>3</v>
      </c>
      <c r="N1433">
        <v>147.88999999999999</v>
      </c>
      <c r="O1433">
        <v>221.85</v>
      </c>
      <c r="P1433">
        <v>0</v>
      </c>
      <c r="Q1433">
        <v>0</v>
      </c>
      <c r="S1433">
        <v>29</v>
      </c>
      <c r="T1433">
        <v>1</v>
      </c>
      <c r="U1433">
        <v>6</v>
      </c>
      <c r="V1433">
        <v>221.85</v>
      </c>
      <c r="W1433">
        <v>13130001431</v>
      </c>
    </row>
    <row r="1434" spans="1:23" x14ac:dyDescent="0.2">
      <c r="A1434" s="1">
        <v>44804</v>
      </c>
      <c r="B1434" s="2">
        <v>0.40547453703703712</v>
      </c>
      <c r="C1434">
        <v>2432</v>
      </c>
      <c r="D1434">
        <v>13002561</v>
      </c>
      <c r="E1434">
        <v>13</v>
      </c>
      <c r="F1434">
        <v>22589</v>
      </c>
      <c r="G1434" t="s">
        <v>23</v>
      </c>
      <c r="H1434">
        <v>18</v>
      </c>
      <c r="I1434">
        <v>28728</v>
      </c>
      <c r="J1434" t="s">
        <v>94</v>
      </c>
      <c r="K1434" t="s">
        <v>44</v>
      </c>
      <c r="L1434" t="s">
        <v>36</v>
      </c>
      <c r="M1434">
        <v>3</v>
      </c>
      <c r="N1434">
        <v>452.5</v>
      </c>
      <c r="O1434">
        <v>731.48</v>
      </c>
      <c r="P1434">
        <v>0</v>
      </c>
      <c r="Q1434">
        <v>0</v>
      </c>
      <c r="S1434">
        <v>29</v>
      </c>
      <c r="T1434">
        <v>1</v>
      </c>
      <c r="U1434">
        <v>5</v>
      </c>
      <c r="V1434">
        <v>731.48</v>
      </c>
      <c r="W1434">
        <v>13130001432</v>
      </c>
    </row>
    <row r="1435" spans="1:23" x14ac:dyDescent="0.2">
      <c r="A1435" s="1">
        <v>44796</v>
      </c>
      <c r="B1435" s="2">
        <v>0.63440972222222225</v>
      </c>
      <c r="C1435">
        <v>2433</v>
      </c>
      <c r="D1435">
        <v>13002561</v>
      </c>
      <c r="E1435">
        <v>13</v>
      </c>
      <c r="F1435">
        <v>22589</v>
      </c>
      <c r="G1435" t="s">
        <v>23</v>
      </c>
      <c r="H1435">
        <v>15</v>
      </c>
      <c r="I1435">
        <v>57564</v>
      </c>
      <c r="J1435" t="s">
        <v>113</v>
      </c>
      <c r="K1435" t="s">
        <v>44</v>
      </c>
      <c r="L1435" t="s">
        <v>39</v>
      </c>
      <c r="M1435">
        <v>2</v>
      </c>
      <c r="N1435">
        <v>506.04</v>
      </c>
      <c r="O1435">
        <v>784.94</v>
      </c>
      <c r="P1435">
        <v>39.25</v>
      </c>
      <c r="Q1435">
        <v>39.25</v>
      </c>
      <c r="R1435" t="s">
        <v>30</v>
      </c>
      <c r="S1435">
        <v>29</v>
      </c>
      <c r="T1435">
        <v>1</v>
      </c>
      <c r="U1435">
        <v>2</v>
      </c>
      <c r="V1435">
        <v>745.69</v>
      </c>
      <c r="W1435">
        <v>13130001433</v>
      </c>
    </row>
    <row r="1436" spans="1:23" x14ac:dyDescent="0.2">
      <c r="A1436" s="1">
        <v>44779</v>
      </c>
      <c r="B1436" s="2">
        <v>0.93868055555555552</v>
      </c>
      <c r="C1436">
        <v>2434</v>
      </c>
      <c r="D1436">
        <v>13002561</v>
      </c>
      <c r="E1436">
        <v>13</v>
      </c>
      <c r="F1436">
        <v>22589</v>
      </c>
      <c r="G1436" t="s">
        <v>23</v>
      </c>
      <c r="H1436">
        <v>18</v>
      </c>
      <c r="I1436">
        <v>85112</v>
      </c>
      <c r="J1436" t="s">
        <v>99</v>
      </c>
      <c r="K1436" t="s">
        <v>60</v>
      </c>
      <c r="L1436" t="s">
        <v>47</v>
      </c>
      <c r="M1436">
        <v>3</v>
      </c>
      <c r="N1436">
        <v>217.67</v>
      </c>
      <c r="O1436">
        <v>369.75</v>
      </c>
      <c r="P1436">
        <v>0</v>
      </c>
      <c r="Q1436">
        <v>0</v>
      </c>
      <c r="S1436">
        <v>29</v>
      </c>
      <c r="T1436">
        <v>1</v>
      </c>
      <c r="U1436">
        <v>1</v>
      </c>
      <c r="V1436">
        <v>369.75</v>
      </c>
      <c r="W1436">
        <v>13130001434</v>
      </c>
    </row>
    <row r="1437" spans="1:23" x14ac:dyDescent="0.2">
      <c r="A1437" s="1">
        <v>44795</v>
      </c>
      <c r="B1437" s="2">
        <v>0.93010416666666662</v>
      </c>
      <c r="C1437">
        <v>2435</v>
      </c>
      <c r="D1437">
        <v>13002561</v>
      </c>
      <c r="E1437">
        <v>13</v>
      </c>
      <c r="F1437">
        <v>22589</v>
      </c>
      <c r="G1437" t="s">
        <v>23</v>
      </c>
      <c r="H1437">
        <v>18</v>
      </c>
      <c r="I1437">
        <v>97003</v>
      </c>
      <c r="J1437" t="s">
        <v>96</v>
      </c>
      <c r="K1437" t="s">
        <v>38</v>
      </c>
      <c r="L1437" t="s">
        <v>29</v>
      </c>
      <c r="M1437">
        <v>3</v>
      </c>
      <c r="N1437">
        <v>309.95999999999998</v>
      </c>
      <c r="O1437">
        <v>457.33</v>
      </c>
      <c r="P1437">
        <v>22.87</v>
      </c>
      <c r="Q1437">
        <v>22.87</v>
      </c>
      <c r="R1437" t="s">
        <v>30</v>
      </c>
      <c r="S1437">
        <v>29</v>
      </c>
      <c r="T1437">
        <v>1</v>
      </c>
      <c r="U1437">
        <v>4</v>
      </c>
      <c r="V1437">
        <v>434.46</v>
      </c>
      <c r="W1437">
        <v>13130001435</v>
      </c>
    </row>
    <row r="1438" spans="1:23" x14ac:dyDescent="0.2">
      <c r="A1438" s="1">
        <v>44783</v>
      </c>
      <c r="B1438" s="2">
        <v>0.60843749999999996</v>
      </c>
      <c r="C1438">
        <v>2436</v>
      </c>
      <c r="D1438">
        <v>13002561</v>
      </c>
      <c r="E1438">
        <v>13</v>
      </c>
      <c r="F1438">
        <v>22589</v>
      </c>
      <c r="G1438" t="s">
        <v>23</v>
      </c>
      <c r="H1438">
        <v>18</v>
      </c>
      <c r="I1438">
        <v>69865</v>
      </c>
      <c r="J1438" t="s">
        <v>71</v>
      </c>
      <c r="K1438" t="s">
        <v>45</v>
      </c>
      <c r="L1438" t="s">
        <v>34</v>
      </c>
      <c r="M1438">
        <v>2</v>
      </c>
      <c r="N1438">
        <v>282.05</v>
      </c>
      <c r="O1438">
        <v>462.28</v>
      </c>
      <c r="P1438">
        <v>46.23</v>
      </c>
      <c r="Q1438">
        <v>46.23</v>
      </c>
      <c r="R1438" t="s">
        <v>30</v>
      </c>
      <c r="S1438">
        <v>29</v>
      </c>
      <c r="T1438">
        <v>1</v>
      </c>
      <c r="U1438">
        <v>1</v>
      </c>
      <c r="V1438">
        <v>416.05</v>
      </c>
      <c r="W1438">
        <v>13130001436</v>
      </c>
    </row>
    <row r="1439" spans="1:23" x14ac:dyDescent="0.2">
      <c r="A1439" s="1">
        <v>44792</v>
      </c>
      <c r="B1439" s="2">
        <v>0.66547453703703707</v>
      </c>
      <c r="C1439">
        <v>2437</v>
      </c>
      <c r="D1439">
        <v>13002561</v>
      </c>
      <c r="E1439">
        <v>13</v>
      </c>
      <c r="F1439">
        <v>22589</v>
      </c>
      <c r="G1439" t="s">
        <v>23</v>
      </c>
      <c r="H1439">
        <v>15</v>
      </c>
      <c r="I1439">
        <v>21970</v>
      </c>
      <c r="J1439" t="s">
        <v>41</v>
      </c>
      <c r="K1439" t="s">
        <v>44</v>
      </c>
      <c r="L1439" t="s">
        <v>36</v>
      </c>
      <c r="M1439">
        <v>1</v>
      </c>
      <c r="N1439">
        <v>113.62</v>
      </c>
      <c r="O1439">
        <v>190.82</v>
      </c>
      <c r="P1439">
        <v>19.079999999999998</v>
      </c>
      <c r="Q1439">
        <v>19.079999999999998</v>
      </c>
      <c r="R1439" t="s">
        <v>30</v>
      </c>
      <c r="S1439">
        <v>29</v>
      </c>
      <c r="T1439">
        <v>1</v>
      </c>
      <c r="U1439">
        <v>3</v>
      </c>
      <c r="V1439">
        <v>171.74</v>
      </c>
      <c r="W1439">
        <v>13130001437</v>
      </c>
    </row>
    <row r="1440" spans="1:23" x14ac:dyDescent="0.2">
      <c r="A1440" s="1">
        <v>44778</v>
      </c>
      <c r="B1440" s="2">
        <v>0.57356481481481481</v>
      </c>
      <c r="C1440">
        <v>2438</v>
      </c>
      <c r="D1440">
        <v>13002561</v>
      </c>
      <c r="E1440">
        <v>13</v>
      </c>
      <c r="F1440">
        <v>22589</v>
      </c>
      <c r="G1440" t="s">
        <v>23</v>
      </c>
      <c r="H1440">
        <v>15</v>
      </c>
      <c r="I1440">
        <v>85562</v>
      </c>
      <c r="J1440" t="s">
        <v>61</v>
      </c>
      <c r="K1440" t="s">
        <v>25</v>
      </c>
      <c r="L1440" t="s">
        <v>51</v>
      </c>
      <c r="M1440">
        <v>2</v>
      </c>
      <c r="N1440">
        <v>321.57</v>
      </c>
      <c r="O1440">
        <v>451.4</v>
      </c>
      <c r="P1440">
        <v>22.57</v>
      </c>
      <c r="Q1440">
        <v>22.57</v>
      </c>
      <c r="R1440" t="s">
        <v>30</v>
      </c>
      <c r="S1440">
        <v>29</v>
      </c>
      <c r="T1440">
        <v>1</v>
      </c>
      <c r="U1440">
        <v>5</v>
      </c>
      <c r="V1440">
        <v>428.83</v>
      </c>
      <c r="W1440">
        <v>13130001438</v>
      </c>
    </row>
    <row r="1441" spans="1:23" x14ac:dyDescent="0.2">
      <c r="A1441" s="1">
        <v>44788</v>
      </c>
      <c r="B1441" s="2">
        <v>0.89027777777777772</v>
      </c>
      <c r="C1441">
        <v>2439</v>
      </c>
      <c r="D1441">
        <v>13002561</v>
      </c>
      <c r="E1441">
        <v>13</v>
      </c>
      <c r="F1441">
        <v>22589</v>
      </c>
      <c r="G1441" t="s">
        <v>23</v>
      </c>
      <c r="H1441">
        <v>15</v>
      </c>
      <c r="I1441">
        <v>91044</v>
      </c>
      <c r="J1441" t="s">
        <v>35</v>
      </c>
      <c r="K1441" t="s">
        <v>44</v>
      </c>
      <c r="L1441" t="s">
        <v>32</v>
      </c>
      <c r="M1441">
        <v>1</v>
      </c>
      <c r="N1441">
        <v>196.08</v>
      </c>
      <c r="O1441">
        <v>280.64999999999998</v>
      </c>
      <c r="P1441">
        <v>14.03</v>
      </c>
      <c r="Q1441">
        <v>14.03</v>
      </c>
      <c r="R1441" t="s">
        <v>30</v>
      </c>
      <c r="S1441">
        <v>29</v>
      </c>
      <c r="T1441">
        <v>1</v>
      </c>
      <c r="U1441">
        <v>4</v>
      </c>
      <c r="V1441">
        <v>266.62</v>
      </c>
      <c r="W1441">
        <v>13130001439</v>
      </c>
    </row>
    <row r="1442" spans="1:23" x14ac:dyDescent="0.2">
      <c r="A1442" s="1">
        <v>44797</v>
      </c>
      <c r="B1442" s="2">
        <v>0.63826388888888885</v>
      </c>
      <c r="C1442">
        <v>2440</v>
      </c>
      <c r="D1442">
        <v>13002561</v>
      </c>
      <c r="E1442">
        <v>13</v>
      </c>
      <c r="F1442">
        <v>22589</v>
      </c>
      <c r="G1442" t="s">
        <v>23</v>
      </c>
      <c r="H1442">
        <v>15</v>
      </c>
      <c r="I1442">
        <v>44676</v>
      </c>
      <c r="J1442" t="s">
        <v>113</v>
      </c>
      <c r="K1442" t="s">
        <v>28</v>
      </c>
      <c r="L1442" t="s">
        <v>51</v>
      </c>
      <c r="M1442">
        <v>2</v>
      </c>
      <c r="N1442">
        <v>283.20999999999998</v>
      </c>
      <c r="O1442">
        <v>378.99</v>
      </c>
      <c r="P1442">
        <v>37.9</v>
      </c>
      <c r="Q1442">
        <v>37.9</v>
      </c>
      <c r="R1442" t="s">
        <v>30</v>
      </c>
      <c r="S1442">
        <v>29</v>
      </c>
      <c r="T1442">
        <v>1</v>
      </c>
      <c r="U1442">
        <v>2</v>
      </c>
      <c r="V1442">
        <v>341.09</v>
      </c>
      <c r="W1442">
        <v>13130001440</v>
      </c>
    </row>
    <row r="1443" spans="1:23" x14ac:dyDescent="0.2">
      <c r="A1443" s="1">
        <v>44790</v>
      </c>
      <c r="B1443" s="2">
        <v>0.86707175925925928</v>
      </c>
      <c r="C1443">
        <v>2441</v>
      </c>
      <c r="D1443">
        <v>13002561</v>
      </c>
      <c r="E1443">
        <v>13</v>
      </c>
      <c r="F1443">
        <v>22589</v>
      </c>
      <c r="G1443" t="s">
        <v>23</v>
      </c>
      <c r="H1443">
        <v>15</v>
      </c>
      <c r="I1443">
        <v>85097</v>
      </c>
      <c r="J1443" t="s">
        <v>118</v>
      </c>
      <c r="K1443" t="s">
        <v>28</v>
      </c>
      <c r="L1443" t="s">
        <v>39</v>
      </c>
      <c r="M1443">
        <v>3</v>
      </c>
      <c r="N1443">
        <v>219.83</v>
      </c>
      <c r="O1443">
        <v>324.41000000000003</v>
      </c>
      <c r="P1443">
        <v>16.22</v>
      </c>
      <c r="Q1443">
        <v>16.22</v>
      </c>
      <c r="R1443" t="s">
        <v>30</v>
      </c>
      <c r="S1443">
        <v>29</v>
      </c>
      <c r="T1443">
        <v>1</v>
      </c>
      <c r="U1443">
        <v>1</v>
      </c>
      <c r="V1443">
        <v>308.19</v>
      </c>
      <c r="W1443">
        <v>13130001441</v>
      </c>
    </row>
    <row r="1444" spans="1:23" x14ac:dyDescent="0.2">
      <c r="A1444" s="1">
        <v>44777</v>
      </c>
      <c r="B1444" s="2">
        <v>0.69261574074074073</v>
      </c>
      <c r="C1444">
        <v>2442</v>
      </c>
      <c r="D1444">
        <v>13002561</v>
      </c>
      <c r="E1444">
        <v>13</v>
      </c>
      <c r="F1444">
        <v>22589</v>
      </c>
      <c r="G1444" t="s">
        <v>23</v>
      </c>
      <c r="H1444">
        <v>18</v>
      </c>
      <c r="I1444">
        <v>15507</v>
      </c>
      <c r="J1444" t="s">
        <v>82</v>
      </c>
      <c r="K1444" t="s">
        <v>44</v>
      </c>
      <c r="L1444" t="s">
        <v>34</v>
      </c>
      <c r="M1444">
        <v>2</v>
      </c>
      <c r="N1444">
        <v>272.64999999999998</v>
      </c>
      <c r="O1444">
        <v>387.66</v>
      </c>
      <c r="P1444">
        <v>0</v>
      </c>
      <c r="Q1444">
        <v>0</v>
      </c>
      <c r="S1444">
        <v>29</v>
      </c>
      <c r="T1444">
        <v>1</v>
      </c>
      <c r="U1444">
        <v>5</v>
      </c>
      <c r="V1444">
        <v>387.66</v>
      </c>
      <c r="W1444">
        <v>13130001442</v>
      </c>
    </row>
    <row r="1445" spans="1:23" x14ac:dyDescent="0.2">
      <c r="A1445" s="1">
        <v>44779</v>
      </c>
      <c r="B1445" s="2">
        <v>0.82574074074074078</v>
      </c>
      <c r="C1445">
        <v>2443</v>
      </c>
      <c r="D1445">
        <v>13002561</v>
      </c>
      <c r="E1445">
        <v>13</v>
      </c>
      <c r="F1445">
        <v>22589</v>
      </c>
      <c r="G1445" t="s">
        <v>23</v>
      </c>
      <c r="H1445">
        <v>15</v>
      </c>
      <c r="I1445">
        <v>83116</v>
      </c>
      <c r="J1445" t="s">
        <v>121</v>
      </c>
      <c r="K1445" t="s">
        <v>45</v>
      </c>
      <c r="L1445" t="s">
        <v>51</v>
      </c>
      <c r="M1445">
        <v>2</v>
      </c>
      <c r="N1445">
        <v>361.78</v>
      </c>
      <c r="O1445">
        <v>522.19000000000005</v>
      </c>
      <c r="P1445">
        <v>0</v>
      </c>
      <c r="Q1445">
        <v>0</v>
      </c>
      <c r="S1445">
        <v>29</v>
      </c>
      <c r="T1445">
        <v>1</v>
      </c>
      <c r="U1445">
        <v>6</v>
      </c>
      <c r="V1445">
        <v>522.19000000000005</v>
      </c>
      <c r="W1445">
        <v>13130001443</v>
      </c>
    </row>
    <row r="1446" spans="1:23" x14ac:dyDescent="0.2">
      <c r="A1446" s="1">
        <v>44783</v>
      </c>
      <c r="B1446" s="2">
        <v>0.6111226851851852</v>
      </c>
      <c r="C1446">
        <v>2444</v>
      </c>
      <c r="D1446">
        <v>13002561</v>
      </c>
      <c r="E1446">
        <v>13</v>
      </c>
      <c r="F1446">
        <v>22589</v>
      </c>
      <c r="G1446" t="s">
        <v>23</v>
      </c>
      <c r="H1446">
        <v>15</v>
      </c>
      <c r="I1446">
        <v>35703</v>
      </c>
      <c r="J1446" t="s">
        <v>59</v>
      </c>
      <c r="K1446" t="s">
        <v>60</v>
      </c>
      <c r="L1446" t="s">
        <v>34</v>
      </c>
      <c r="M1446">
        <v>1</v>
      </c>
      <c r="N1446">
        <v>244.33</v>
      </c>
      <c r="O1446">
        <v>399.86</v>
      </c>
      <c r="P1446">
        <v>39.99</v>
      </c>
      <c r="Q1446">
        <v>39.99</v>
      </c>
      <c r="R1446" t="s">
        <v>30</v>
      </c>
      <c r="S1446">
        <v>29</v>
      </c>
      <c r="T1446">
        <v>1</v>
      </c>
      <c r="U1446">
        <v>4</v>
      </c>
      <c r="V1446">
        <v>359.87</v>
      </c>
      <c r="W1446">
        <v>13130001444</v>
      </c>
    </row>
    <row r="1447" spans="1:23" x14ac:dyDescent="0.2">
      <c r="A1447" s="1">
        <v>44792</v>
      </c>
      <c r="B1447" s="2">
        <v>0.78836805555555556</v>
      </c>
      <c r="C1447">
        <v>2445</v>
      </c>
      <c r="D1447">
        <v>13002561</v>
      </c>
      <c r="E1447">
        <v>13</v>
      </c>
      <c r="F1447">
        <v>22589</v>
      </c>
      <c r="G1447" t="s">
        <v>23</v>
      </c>
      <c r="H1447">
        <v>18</v>
      </c>
      <c r="I1447">
        <v>28399</v>
      </c>
      <c r="J1447" t="s">
        <v>111</v>
      </c>
      <c r="K1447" t="s">
        <v>45</v>
      </c>
      <c r="L1447" t="s">
        <v>47</v>
      </c>
      <c r="M1447">
        <v>1</v>
      </c>
      <c r="N1447">
        <v>477.48</v>
      </c>
      <c r="O1447">
        <v>705.68</v>
      </c>
      <c r="P1447">
        <v>70.569999999999993</v>
      </c>
      <c r="Q1447">
        <v>70.569999999999993</v>
      </c>
      <c r="R1447" t="s">
        <v>30</v>
      </c>
      <c r="S1447">
        <v>29</v>
      </c>
      <c r="T1447">
        <v>1</v>
      </c>
      <c r="U1447">
        <v>2</v>
      </c>
      <c r="V1447">
        <v>635.11</v>
      </c>
      <c r="W1447">
        <v>13130001445</v>
      </c>
    </row>
    <row r="1448" spans="1:23" x14ac:dyDescent="0.2">
      <c r="A1448" s="1">
        <v>44787</v>
      </c>
      <c r="B1448" s="2">
        <v>0.71248842592592587</v>
      </c>
      <c r="C1448">
        <v>2446</v>
      </c>
      <c r="D1448">
        <v>13002561</v>
      </c>
      <c r="E1448">
        <v>13</v>
      </c>
      <c r="F1448">
        <v>22589</v>
      </c>
      <c r="G1448" t="s">
        <v>23</v>
      </c>
      <c r="H1448">
        <v>15</v>
      </c>
      <c r="I1448">
        <v>83567</v>
      </c>
      <c r="J1448" t="s">
        <v>54</v>
      </c>
      <c r="K1448" t="s">
        <v>60</v>
      </c>
      <c r="L1448" t="s">
        <v>26</v>
      </c>
      <c r="M1448">
        <v>3</v>
      </c>
      <c r="N1448">
        <v>39.81</v>
      </c>
      <c r="O1448">
        <v>50.45</v>
      </c>
      <c r="P1448">
        <v>5.05</v>
      </c>
      <c r="Q1448">
        <v>5.05</v>
      </c>
      <c r="R1448" t="s">
        <v>30</v>
      </c>
      <c r="S1448">
        <v>29</v>
      </c>
      <c r="T1448">
        <v>1</v>
      </c>
      <c r="U1448">
        <v>1</v>
      </c>
      <c r="V1448">
        <v>45.4</v>
      </c>
      <c r="W1448">
        <v>13130001446</v>
      </c>
    </row>
    <row r="1449" spans="1:23" x14ac:dyDescent="0.2">
      <c r="A1449" s="1">
        <v>44796</v>
      </c>
      <c r="B1449" s="2">
        <v>0.55086805555555551</v>
      </c>
      <c r="C1449">
        <v>2447</v>
      </c>
      <c r="D1449">
        <v>13002561</v>
      </c>
      <c r="E1449">
        <v>13</v>
      </c>
      <c r="F1449">
        <v>22589</v>
      </c>
      <c r="G1449" t="s">
        <v>23</v>
      </c>
      <c r="H1449">
        <v>18</v>
      </c>
      <c r="I1449">
        <v>80178</v>
      </c>
      <c r="J1449" t="s">
        <v>107</v>
      </c>
      <c r="K1449" t="s">
        <v>45</v>
      </c>
      <c r="L1449" t="s">
        <v>47</v>
      </c>
      <c r="M1449">
        <v>3</v>
      </c>
      <c r="N1449">
        <v>566.95000000000005</v>
      </c>
      <c r="O1449">
        <v>910.6</v>
      </c>
      <c r="P1449">
        <v>45.53</v>
      </c>
      <c r="Q1449">
        <v>45.53</v>
      </c>
      <c r="R1449" t="s">
        <v>30</v>
      </c>
      <c r="S1449">
        <v>29</v>
      </c>
      <c r="T1449">
        <v>1</v>
      </c>
      <c r="U1449">
        <v>5</v>
      </c>
      <c r="V1449">
        <v>865.07</v>
      </c>
      <c r="W1449">
        <v>13130001447</v>
      </c>
    </row>
    <row r="1450" spans="1:23" x14ac:dyDescent="0.2">
      <c r="A1450" s="1">
        <v>44789</v>
      </c>
      <c r="B1450" s="2">
        <v>0.81361111111111106</v>
      </c>
      <c r="C1450">
        <v>2448</v>
      </c>
      <c r="D1450">
        <v>13002561</v>
      </c>
      <c r="E1450">
        <v>13</v>
      </c>
      <c r="F1450">
        <v>22589</v>
      </c>
      <c r="G1450" t="s">
        <v>23</v>
      </c>
      <c r="H1450">
        <v>18</v>
      </c>
      <c r="I1450">
        <v>42465</v>
      </c>
      <c r="J1450" t="s">
        <v>52</v>
      </c>
      <c r="K1450" t="s">
        <v>45</v>
      </c>
      <c r="L1450" t="s">
        <v>47</v>
      </c>
      <c r="M1450">
        <v>3</v>
      </c>
      <c r="N1450">
        <v>64.099999999999994</v>
      </c>
      <c r="O1450">
        <v>87.22</v>
      </c>
      <c r="P1450">
        <v>0</v>
      </c>
      <c r="Q1450">
        <v>0</v>
      </c>
      <c r="S1450">
        <v>29</v>
      </c>
      <c r="T1450">
        <v>1</v>
      </c>
      <c r="U1450">
        <v>1</v>
      </c>
      <c r="V1450">
        <v>87.22</v>
      </c>
      <c r="W1450">
        <v>13130001448</v>
      </c>
    </row>
    <row r="1451" spans="1:23" x14ac:dyDescent="0.2">
      <c r="A1451" s="1">
        <v>44784</v>
      </c>
      <c r="B1451" s="2">
        <v>0.39505787037037038</v>
      </c>
      <c r="C1451">
        <v>2449</v>
      </c>
      <c r="D1451">
        <v>13002561</v>
      </c>
      <c r="E1451">
        <v>13</v>
      </c>
      <c r="F1451">
        <v>22589</v>
      </c>
      <c r="G1451" t="s">
        <v>23</v>
      </c>
      <c r="H1451">
        <v>15</v>
      </c>
      <c r="I1451">
        <v>62744</v>
      </c>
      <c r="J1451" t="s">
        <v>52</v>
      </c>
      <c r="K1451" t="s">
        <v>38</v>
      </c>
      <c r="L1451" t="s">
        <v>47</v>
      </c>
      <c r="M1451">
        <v>2</v>
      </c>
      <c r="N1451">
        <v>573.97</v>
      </c>
      <c r="O1451">
        <v>966.21</v>
      </c>
      <c r="P1451">
        <v>96.62</v>
      </c>
      <c r="Q1451">
        <v>96.62</v>
      </c>
      <c r="R1451" t="s">
        <v>30</v>
      </c>
      <c r="S1451">
        <v>29</v>
      </c>
      <c r="T1451">
        <v>1</v>
      </c>
      <c r="U1451">
        <v>1</v>
      </c>
      <c r="V1451">
        <v>869.59</v>
      </c>
      <c r="W1451">
        <v>13130001449</v>
      </c>
    </row>
    <row r="1452" spans="1:23" x14ac:dyDescent="0.2">
      <c r="A1452" s="1">
        <v>44800</v>
      </c>
      <c r="B1452" s="2">
        <v>0.49065972222222221</v>
      </c>
      <c r="C1452">
        <v>2450</v>
      </c>
      <c r="D1452">
        <v>13002561</v>
      </c>
      <c r="E1452">
        <v>13</v>
      </c>
      <c r="F1452">
        <v>22589</v>
      </c>
      <c r="G1452" t="s">
        <v>23</v>
      </c>
      <c r="H1452">
        <v>15</v>
      </c>
      <c r="I1452">
        <v>15641</v>
      </c>
      <c r="J1452" t="s">
        <v>78</v>
      </c>
      <c r="K1452" t="s">
        <v>45</v>
      </c>
      <c r="L1452" t="s">
        <v>36</v>
      </c>
      <c r="M1452">
        <v>3</v>
      </c>
      <c r="N1452">
        <v>238.72</v>
      </c>
      <c r="O1452">
        <v>386.96</v>
      </c>
      <c r="P1452">
        <v>0</v>
      </c>
      <c r="Q1452">
        <v>0</v>
      </c>
      <c r="S1452">
        <v>29</v>
      </c>
      <c r="T1452">
        <v>1</v>
      </c>
      <c r="U1452">
        <v>2</v>
      </c>
      <c r="V1452">
        <v>386.96</v>
      </c>
      <c r="W1452">
        <v>13130001450</v>
      </c>
    </row>
    <row r="1453" spans="1:23" x14ac:dyDescent="0.2">
      <c r="A1453" s="1">
        <v>44797</v>
      </c>
      <c r="B1453" s="2">
        <v>0.90736111111111106</v>
      </c>
      <c r="C1453">
        <v>2451</v>
      </c>
      <c r="D1453">
        <v>13002561</v>
      </c>
      <c r="E1453">
        <v>13</v>
      </c>
      <c r="F1453">
        <v>22589</v>
      </c>
      <c r="G1453" t="s">
        <v>23</v>
      </c>
      <c r="H1453">
        <v>15</v>
      </c>
      <c r="I1453">
        <v>21225</v>
      </c>
      <c r="J1453" t="s">
        <v>123</v>
      </c>
      <c r="K1453" t="s">
        <v>44</v>
      </c>
      <c r="L1453" t="s">
        <v>36</v>
      </c>
      <c r="M1453">
        <v>1</v>
      </c>
      <c r="N1453">
        <v>598.38</v>
      </c>
      <c r="O1453">
        <v>928.11</v>
      </c>
      <c r="P1453">
        <v>46.41</v>
      </c>
      <c r="Q1453">
        <v>46.41</v>
      </c>
      <c r="R1453" t="s">
        <v>30</v>
      </c>
      <c r="S1453">
        <v>29</v>
      </c>
      <c r="T1453">
        <v>1</v>
      </c>
      <c r="U1453">
        <v>4</v>
      </c>
      <c r="V1453">
        <v>881.7</v>
      </c>
      <c r="W1453">
        <v>13130001451</v>
      </c>
    </row>
    <row r="1454" spans="1:23" x14ac:dyDescent="0.2">
      <c r="A1454" s="1">
        <v>44783</v>
      </c>
      <c r="B1454" s="2">
        <v>0.84962962962962962</v>
      </c>
      <c r="C1454">
        <v>2452</v>
      </c>
      <c r="D1454">
        <v>13002561</v>
      </c>
      <c r="E1454">
        <v>13</v>
      </c>
      <c r="F1454">
        <v>22589</v>
      </c>
      <c r="G1454" t="s">
        <v>23</v>
      </c>
      <c r="H1454">
        <v>15</v>
      </c>
      <c r="I1454">
        <v>16936</v>
      </c>
      <c r="J1454" t="s">
        <v>77</v>
      </c>
      <c r="K1454" t="s">
        <v>25</v>
      </c>
      <c r="L1454" t="s">
        <v>29</v>
      </c>
      <c r="M1454">
        <v>3</v>
      </c>
      <c r="N1454">
        <v>500.93</v>
      </c>
      <c r="O1454">
        <v>820.83</v>
      </c>
      <c r="P1454">
        <v>0</v>
      </c>
      <c r="Q1454">
        <v>0</v>
      </c>
      <c r="S1454">
        <v>29</v>
      </c>
      <c r="T1454">
        <v>1</v>
      </c>
      <c r="U1454">
        <v>4</v>
      </c>
      <c r="V1454">
        <v>820.83</v>
      </c>
      <c r="W1454">
        <v>13130001452</v>
      </c>
    </row>
    <row r="1455" spans="1:23" x14ac:dyDescent="0.2">
      <c r="A1455" s="1">
        <v>44789</v>
      </c>
      <c r="B1455" s="2">
        <v>0.35251157407407407</v>
      </c>
      <c r="C1455">
        <v>2453</v>
      </c>
      <c r="D1455">
        <v>13002561</v>
      </c>
      <c r="E1455">
        <v>13</v>
      </c>
      <c r="F1455">
        <v>22589</v>
      </c>
      <c r="G1455" t="s">
        <v>23</v>
      </c>
      <c r="H1455">
        <v>15</v>
      </c>
      <c r="I1455">
        <v>31818</v>
      </c>
      <c r="J1455" t="s">
        <v>112</v>
      </c>
      <c r="K1455" t="s">
        <v>60</v>
      </c>
      <c r="L1455" t="s">
        <v>26</v>
      </c>
      <c r="M1455">
        <v>1</v>
      </c>
      <c r="N1455">
        <v>311.17</v>
      </c>
      <c r="O1455">
        <v>510.96</v>
      </c>
      <c r="P1455">
        <v>0</v>
      </c>
      <c r="Q1455">
        <v>0</v>
      </c>
      <c r="S1455">
        <v>29</v>
      </c>
      <c r="T1455">
        <v>1</v>
      </c>
      <c r="U1455">
        <v>2</v>
      </c>
      <c r="V1455">
        <v>510.96</v>
      </c>
      <c r="W1455">
        <v>13130001453</v>
      </c>
    </row>
    <row r="1456" spans="1:23" x14ac:dyDescent="0.2">
      <c r="A1456" s="1">
        <v>44800</v>
      </c>
      <c r="B1456" s="2">
        <v>0.94450231481481484</v>
      </c>
      <c r="C1456">
        <v>2454</v>
      </c>
      <c r="D1456">
        <v>13002561</v>
      </c>
      <c r="E1456">
        <v>13</v>
      </c>
      <c r="F1456">
        <v>22589</v>
      </c>
      <c r="G1456" t="s">
        <v>23</v>
      </c>
      <c r="H1456">
        <v>15</v>
      </c>
      <c r="I1456">
        <v>15550</v>
      </c>
      <c r="J1456" t="s">
        <v>55</v>
      </c>
      <c r="K1456" t="s">
        <v>28</v>
      </c>
      <c r="L1456" t="s">
        <v>32</v>
      </c>
      <c r="M1456">
        <v>3</v>
      </c>
      <c r="N1456">
        <v>360.42</v>
      </c>
      <c r="O1456">
        <v>596.05999999999995</v>
      </c>
      <c r="P1456">
        <v>29.8</v>
      </c>
      <c r="Q1456">
        <v>29.8</v>
      </c>
      <c r="R1456" t="s">
        <v>30</v>
      </c>
      <c r="S1456">
        <v>29</v>
      </c>
      <c r="T1456">
        <v>1</v>
      </c>
      <c r="U1456">
        <v>2</v>
      </c>
      <c r="V1456">
        <v>566.26</v>
      </c>
      <c r="W1456">
        <v>13130001454</v>
      </c>
    </row>
    <row r="1457" spans="1:23" x14ac:dyDescent="0.2">
      <c r="A1457" s="1">
        <v>44795</v>
      </c>
      <c r="B1457" s="2">
        <v>0.84162037037037041</v>
      </c>
      <c r="C1457">
        <v>2455</v>
      </c>
      <c r="D1457">
        <v>13002561</v>
      </c>
      <c r="E1457">
        <v>13</v>
      </c>
      <c r="F1457">
        <v>22589</v>
      </c>
      <c r="G1457" t="s">
        <v>23</v>
      </c>
      <c r="H1457">
        <v>18</v>
      </c>
      <c r="I1457">
        <v>98758</v>
      </c>
      <c r="J1457" t="s">
        <v>68</v>
      </c>
      <c r="K1457" t="s">
        <v>38</v>
      </c>
      <c r="L1457" t="s">
        <v>39</v>
      </c>
      <c r="M1457">
        <v>2</v>
      </c>
      <c r="N1457">
        <v>25.21</v>
      </c>
      <c r="O1457">
        <v>33.090000000000003</v>
      </c>
      <c r="P1457">
        <v>3.31</v>
      </c>
      <c r="Q1457">
        <v>3.31</v>
      </c>
      <c r="R1457" t="s">
        <v>30</v>
      </c>
      <c r="S1457">
        <v>29</v>
      </c>
      <c r="T1457">
        <v>1</v>
      </c>
      <c r="U1457">
        <v>5</v>
      </c>
      <c r="V1457">
        <v>29.78</v>
      </c>
      <c r="W1457">
        <v>13130001455</v>
      </c>
    </row>
    <row r="1458" spans="1:23" x14ac:dyDescent="0.2">
      <c r="A1458" s="1">
        <v>44779</v>
      </c>
      <c r="B1458" s="2">
        <v>0.48520833333333341</v>
      </c>
      <c r="C1458">
        <v>2456</v>
      </c>
      <c r="D1458">
        <v>13002561</v>
      </c>
      <c r="E1458">
        <v>13</v>
      </c>
      <c r="F1458">
        <v>22589</v>
      </c>
      <c r="G1458" t="s">
        <v>23</v>
      </c>
      <c r="H1458">
        <v>15</v>
      </c>
      <c r="I1458">
        <v>35781</v>
      </c>
      <c r="J1458" t="s">
        <v>58</v>
      </c>
      <c r="K1458" t="s">
        <v>25</v>
      </c>
      <c r="L1458" t="s">
        <v>26</v>
      </c>
      <c r="M1458">
        <v>3</v>
      </c>
      <c r="N1458">
        <v>453.87</v>
      </c>
      <c r="O1458">
        <v>573.12</v>
      </c>
      <c r="P1458">
        <v>0</v>
      </c>
      <c r="Q1458">
        <v>0</v>
      </c>
      <c r="S1458">
        <v>29</v>
      </c>
      <c r="T1458">
        <v>1</v>
      </c>
      <c r="U1458">
        <v>4</v>
      </c>
      <c r="V1458">
        <v>573.12</v>
      </c>
      <c r="W1458">
        <v>13130001456</v>
      </c>
    </row>
    <row r="1459" spans="1:23" x14ac:dyDescent="0.2">
      <c r="A1459" s="1">
        <v>44781</v>
      </c>
      <c r="B1459" s="2">
        <v>0.91497685185185185</v>
      </c>
      <c r="C1459">
        <v>2457</v>
      </c>
      <c r="D1459">
        <v>13002561</v>
      </c>
      <c r="E1459">
        <v>13</v>
      </c>
      <c r="F1459">
        <v>22589</v>
      </c>
      <c r="G1459" t="s">
        <v>23</v>
      </c>
      <c r="H1459">
        <v>18</v>
      </c>
      <c r="I1459">
        <v>53087</v>
      </c>
      <c r="J1459" t="s">
        <v>81</v>
      </c>
      <c r="K1459" t="s">
        <v>60</v>
      </c>
      <c r="L1459" t="s">
        <v>51</v>
      </c>
      <c r="M1459">
        <v>1</v>
      </c>
      <c r="N1459">
        <v>409.1</v>
      </c>
      <c r="O1459">
        <v>593.73</v>
      </c>
      <c r="P1459">
        <v>59.37</v>
      </c>
      <c r="Q1459">
        <v>59.37</v>
      </c>
      <c r="R1459" t="s">
        <v>30</v>
      </c>
      <c r="S1459">
        <v>29</v>
      </c>
      <c r="T1459">
        <v>1</v>
      </c>
      <c r="U1459">
        <v>1</v>
      </c>
      <c r="V1459">
        <v>534.36</v>
      </c>
      <c r="W1459">
        <v>13130001457</v>
      </c>
    </row>
    <row r="1460" spans="1:23" x14ac:dyDescent="0.2">
      <c r="A1460" s="1">
        <v>44792</v>
      </c>
      <c r="B1460" s="2">
        <v>0.76829861111111108</v>
      </c>
      <c r="C1460">
        <v>2458</v>
      </c>
      <c r="D1460">
        <v>13002561</v>
      </c>
      <c r="E1460">
        <v>13</v>
      </c>
      <c r="F1460">
        <v>22589</v>
      </c>
      <c r="G1460" t="s">
        <v>23</v>
      </c>
      <c r="H1460">
        <v>15</v>
      </c>
      <c r="I1460">
        <v>63063</v>
      </c>
      <c r="J1460" t="s">
        <v>69</v>
      </c>
      <c r="K1460" t="s">
        <v>45</v>
      </c>
      <c r="L1460" t="s">
        <v>26</v>
      </c>
      <c r="M1460">
        <v>1</v>
      </c>
      <c r="N1460">
        <v>66.86</v>
      </c>
      <c r="O1460">
        <v>92.26</v>
      </c>
      <c r="P1460">
        <v>4.6100000000000003</v>
      </c>
      <c r="Q1460">
        <v>4.6100000000000003</v>
      </c>
      <c r="R1460" t="s">
        <v>30</v>
      </c>
      <c r="S1460">
        <v>29</v>
      </c>
      <c r="T1460">
        <v>1</v>
      </c>
      <c r="U1460">
        <v>3</v>
      </c>
      <c r="V1460">
        <v>87.65</v>
      </c>
      <c r="W1460">
        <v>13130001458</v>
      </c>
    </row>
    <row r="1461" spans="1:23" x14ac:dyDescent="0.2">
      <c r="A1461" s="1">
        <v>44779</v>
      </c>
      <c r="B1461" s="2">
        <v>0.94409722222222225</v>
      </c>
      <c r="C1461">
        <v>2459</v>
      </c>
      <c r="D1461">
        <v>13002561</v>
      </c>
      <c r="E1461">
        <v>13</v>
      </c>
      <c r="F1461">
        <v>22589</v>
      </c>
      <c r="G1461" t="s">
        <v>23</v>
      </c>
      <c r="H1461">
        <v>18</v>
      </c>
      <c r="I1461">
        <v>85403</v>
      </c>
      <c r="J1461" t="s">
        <v>123</v>
      </c>
      <c r="K1461" t="s">
        <v>28</v>
      </c>
      <c r="L1461" t="s">
        <v>32</v>
      </c>
      <c r="M1461">
        <v>1</v>
      </c>
      <c r="N1461">
        <v>248.8</v>
      </c>
      <c r="O1461">
        <v>329.06</v>
      </c>
      <c r="P1461">
        <v>16.45</v>
      </c>
      <c r="Q1461">
        <v>16.45</v>
      </c>
      <c r="R1461" t="s">
        <v>30</v>
      </c>
      <c r="S1461">
        <v>29</v>
      </c>
      <c r="T1461">
        <v>1</v>
      </c>
      <c r="U1461">
        <v>2</v>
      </c>
      <c r="V1461">
        <v>312.61</v>
      </c>
      <c r="W1461">
        <v>13130001459</v>
      </c>
    </row>
    <row r="1462" spans="1:23" x14ac:dyDescent="0.2">
      <c r="A1462" s="1">
        <v>44793</v>
      </c>
      <c r="B1462" s="2">
        <v>0.34221064814814822</v>
      </c>
      <c r="C1462">
        <v>2460</v>
      </c>
      <c r="D1462">
        <v>13002561</v>
      </c>
      <c r="E1462">
        <v>13</v>
      </c>
      <c r="F1462">
        <v>22589</v>
      </c>
      <c r="G1462" t="s">
        <v>23</v>
      </c>
      <c r="H1462">
        <v>18</v>
      </c>
      <c r="I1462">
        <v>91852</v>
      </c>
      <c r="J1462" t="s">
        <v>93</v>
      </c>
      <c r="K1462" t="s">
        <v>45</v>
      </c>
      <c r="L1462" t="s">
        <v>34</v>
      </c>
      <c r="M1462">
        <v>2</v>
      </c>
      <c r="N1462">
        <v>432.68</v>
      </c>
      <c r="O1462">
        <v>624.41999999999996</v>
      </c>
      <c r="P1462">
        <v>62.44</v>
      </c>
      <c r="Q1462">
        <v>62.44</v>
      </c>
      <c r="R1462" t="s">
        <v>30</v>
      </c>
      <c r="S1462">
        <v>29</v>
      </c>
      <c r="T1462">
        <v>1</v>
      </c>
      <c r="U1462">
        <v>3</v>
      </c>
      <c r="V1462">
        <v>561.98</v>
      </c>
      <c r="W1462">
        <v>13130001460</v>
      </c>
    </row>
    <row r="1463" spans="1:23" x14ac:dyDescent="0.2">
      <c r="A1463" s="1">
        <v>44789</v>
      </c>
      <c r="B1463" s="2">
        <v>0.85476851851851854</v>
      </c>
      <c r="C1463">
        <v>2461</v>
      </c>
      <c r="D1463">
        <v>13002561</v>
      </c>
      <c r="E1463">
        <v>13</v>
      </c>
      <c r="F1463">
        <v>22589</v>
      </c>
      <c r="G1463" t="s">
        <v>23</v>
      </c>
      <c r="H1463">
        <v>18</v>
      </c>
      <c r="I1463">
        <v>66524</v>
      </c>
      <c r="J1463" t="s">
        <v>112</v>
      </c>
      <c r="K1463" t="s">
        <v>25</v>
      </c>
      <c r="L1463" t="s">
        <v>29</v>
      </c>
      <c r="M1463">
        <v>2</v>
      </c>
      <c r="N1463">
        <v>312.33999999999997</v>
      </c>
      <c r="O1463">
        <v>430.18</v>
      </c>
      <c r="P1463">
        <v>0</v>
      </c>
      <c r="Q1463">
        <v>0</v>
      </c>
      <c r="S1463">
        <v>29</v>
      </c>
      <c r="T1463">
        <v>1</v>
      </c>
      <c r="U1463">
        <v>1</v>
      </c>
      <c r="V1463">
        <v>430.18</v>
      </c>
      <c r="W1463">
        <v>13130001461</v>
      </c>
    </row>
    <row r="1464" spans="1:23" x14ac:dyDescent="0.2">
      <c r="A1464" s="1">
        <v>44780</v>
      </c>
      <c r="B1464" s="2">
        <v>0.65834490740740736</v>
      </c>
      <c r="C1464">
        <v>2462</v>
      </c>
      <c r="D1464">
        <v>13002561</v>
      </c>
      <c r="E1464">
        <v>13</v>
      </c>
      <c r="F1464">
        <v>22589</v>
      </c>
      <c r="G1464" t="s">
        <v>23</v>
      </c>
      <c r="H1464">
        <v>18</v>
      </c>
      <c r="I1464">
        <v>21224</v>
      </c>
      <c r="J1464" t="s">
        <v>66</v>
      </c>
      <c r="K1464" t="s">
        <v>28</v>
      </c>
      <c r="L1464" t="s">
        <v>39</v>
      </c>
      <c r="M1464">
        <v>3</v>
      </c>
      <c r="N1464">
        <v>553.08000000000004</v>
      </c>
      <c r="O1464">
        <v>723.31</v>
      </c>
      <c r="P1464">
        <v>72.33</v>
      </c>
      <c r="Q1464">
        <v>72.33</v>
      </c>
      <c r="R1464" t="s">
        <v>30</v>
      </c>
      <c r="S1464">
        <v>29</v>
      </c>
      <c r="T1464">
        <v>1</v>
      </c>
      <c r="U1464">
        <v>4</v>
      </c>
      <c r="V1464">
        <v>650.98</v>
      </c>
      <c r="W1464">
        <v>13130001462</v>
      </c>
    </row>
    <row r="1465" spans="1:23" x14ac:dyDescent="0.2">
      <c r="A1465" s="1">
        <v>44788</v>
      </c>
      <c r="B1465" s="2">
        <v>0.39209490740740738</v>
      </c>
      <c r="C1465">
        <v>2463</v>
      </c>
      <c r="D1465">
        <v>13002561</v>
      </c>
      <c r="E1465">
        <v>13</v>
      </c>
      <c r="F1465">
        <v>22589</v>
      </c>
      <c r="G1465" t="s">
        <v>23</v>
      </c>
      <c r="H1465">
        <v>18</v>
      </c>
      <c r="I1465">
        <v>25374</v>
      </c>
      <c r="J1465" t="s">
        <v>62</v>
      </c>
      <c r="K1465" t="s">
        <v>44</v>
      </c>
      <c r="L1465" t="s">
        <v>29</v>
      </c>
      <c r="M1465">
        <v>2</v>
      </c>
      <c r="N1465">
        <v>72.23</v>
      </c>
      <c r="O1465">
        <v>99.09</v>
      </c>
      <c r="P1465">
        <v>0</v>
      </c>
      <c r="Q1465">
        <v>0</v>
      </c>
      <c r="S1465">
        <v>29</v>
      </c>
      <c r="T1465">
        <v>1</v>
      </c>
      <c r="U1465">
        <v>3</v>
      </c>
      <c r="V1465">
        <v>99.09</v>
      </c>
      <c r="W1465">
        <v>13130001463</v>
      </c>
    </row>
    <row r="1466" spans="1:23" x14ac:dyDescent="0.2">
      <c r="A1466" s="1">
        <v>44784</v>
      </c>
      <c r="B1466" s="2">
        <v>0.69795138888888886</v>
      </c>
      <c r="C1466">
        <v>2464</v>
      </c>
      <c r="D1466">
        <v>13002561</v>
      </c>
      <c r="E1466">
        <v>13</v>
      </c>
      <c r="F1466">
        <v>22589</v>
      </c>
      <c r="G1466" t="s">
        <v>23</v>
      </c>
      <c r="H1466">
        <v>18</v>
      </c>
      <c r="I1466">
        <v>33353</v>
      </c>
      <c r="J1466" t="s">
        <v>58</v>
      </c>
      <c r="K1466" t="s">
        <v>25</v>
      </c>
      <c r="L1466" t="s">
        <v>51</v>
      </c>
      <c r="M1466">
        <v>1</v>
      </c>
      <c r="N1466">
        <v>168.46</v>
      </c>
      <c r="O1466">
        <v>281.58999999999997</v>
      </c>
      <c r="P1466">
        <v>14.08</v>
      </c>
      <c r="Q1466">
        <v>14.08</v>
      </c>
      <c r="R1466" t="s">
        <v>30</v>
      </c>
      <c r="S1466">
        <v>29</v>
      </c>
      <c r="T1466">
        <v>1</v>
      </c>
      <c r="U1466">
        <v>3</v>
      </c>
      <c r="V1466">
        <v>267.51</v>
      </c>
      <c r="W1466">
        <v>13130001464</v>
      </c>
    </row>
    <row r="1467" spans="1:23" x14ac:dyDescent="0.2">
      <c r="A1467" s="1">
        <v>44775</v>
      </c>
      <c r="B1467" s="2">
        <v>0.38246527777777778</v>
      </c>
      <c r="C1467">
        <v>2465</v>
      </c>
      <c r="D1467">
        <v>13002561</v>
      </c>
      <c r="E1467">
        <v>13</v>
      </c>
      <c r="F1467">
        <v>22589</v>
      </c>
      <c r="G1467" t="s">
        <v>23</v>
      </c>
      <c r="H1467">
        <v>15</v>
      </c>
      <c r="I1467">
        <v>76124</v>
      </c>
      <c r="J1467" t="s">
        <v>88</v>
      </c>
      <c r="K1467" t="s">
        <v>28</v>
      </c>
      <c r="L1467" t="s">
        <v>32</v>
      </c>
      <c r="M1467">
        <v>1</v>
      </c>
      <c r="N1467">
        <v>333.78</v>
      </c>
      <c r="O1467">
        <v>419.39</v>
      </c>
      <c r="P1467">
        <v>41.94</v>
      </c>
      <c r="Q1467">
        <v>41.94</v>
      </c>
      <c r="R1467" t="s">
        <v>30</v>
      </c>
      <c r="S1467">
        <v>29</v>
      </c>
      <c r="T1467">
        <v>1</v>
      </c>
      <c r="U1467">
        <v>5</v>
      </c>
      <c r="V1467">
        <v>377.45</v>
      </c>
      <c r="W1467">
        <v>13130001465</v>
      </c>
    </row>
    <row r="1468" spans="1:23" x14ac:dyDescent="0.2">
      <c r="A1468" s="1">
        <v>44785</v>
      </c>
      <c r="B1468" s="2">
        <v>0.8102893518518518</v>
      </c>
      <c r="C1468">
        <v>2466</v>
      </c>
      <c r="D1468">
        <v>13002561</v>
      </c>
      <c r="E1468">
        <v>13</v>
      </c>
      <c r="F1468">
        <v>22589</v>
      </c>
      <c r="G1468" t="s">
        <v>23</v>
      </c>
      <c r="H1468">
        <v>15</v>
      </c>
      <c r="I1468">
        <v>77971</v>
      </c>
      <c r="J1468" t="s">
        <v>117</v>
      </c>
      <c r="K1468" t="s">
        <v>38</v>
      </c>
      <c r="L1468" t="s">
        <v>36</v>
      </c>
      <c r="M1468">
        <v>3</v>
      </c>
      <c r="N1468">
        <v>257.55</v>
      </c>
      <c r="O1468">
        <v>429.36</v>
      </c>
      <c r="P1468">
        <v>42.94</v>
      </c>
      <c r="Q1468">
        <v>42.94</v>
      </c>
      <c r="R1468" t="s">
        <v>30</v>
      </c>
      <c r="S1468">
        <v>29</v>
      </c>
      <c r="T1468">
        <v>1</v>
      </c>
      <c r="U1468">
        <v>3</v>
      </c>
      <c r="V1468">
        <v>386.42</v>
      </c>
      <c r="W1468">
        <v>13130001466</v>
      </c>
    </row>
    <row r="1469" spans="1:23" x14ac:dyDescent="0.2">
      <c r="A1469" s="1">
        <v>44780</v>
      </c>
      <c r="B1469" s="2">
        <v>0.55746527777777777</v>
      </c>
      <c r="C1469">
        <v>2467</v>
      </c>
      <c r="D1469">
        <v>13002561</v>
      </c>
      <c r="E1469">
        <v>13</v>
      </c>
      <c r="F1469">
        <v>22589</v>
      </c>
      <c r="G1469" t="s">
        <v>23</v>
      </c>
      <c r="H1469">
        <v>15</v>
      </c>
      <c r="I1469">
        <v>50650</v>
      </c>
      <c r="J1469" t="s">
        <v>57</v>
      </c>
      <c r="K1469" t="s">
        <v>25</v>
      </c>
      <c r="L1469" t="s">
        <v>36</v>
      </c>
      <c r="M1469">
        <v>2</v>
      </c>
      <c r="N1469">
        <v>355.18</v>
      </c>
      <c r="O1469">
        <v>506.43</v>
      </c>
      <c r="P1469">
        <v>0</v>
      </c>
      <c r="Q1469">
        <v>0</v>
      </c>
      <c r="S1469">
        <v>29</v>
      </c>
      <c r="T1469">
        <v>1</v>
      </c>
      <c r="U1469">
        <v>6</v>
      </c>
      <c r="V1469">
        <v>506.43</v>
      </c>
      <c r="W1469">
        <v>13130001467</v>
      </c>
    </row>
    <row r="1470" spans="1:23" x14ac:dyDescent="0.2">
      <c r="A1470" s="1">
        <v>44800</v>
      </c>
      <c r="B1470" s="2">
        <v>0.40748842592592588</v>
      </c>
      <c r="C1470">
        <v>2468</v>
      </c>
      <c r="D1470">
        <v>13002561</v>
      </c>
      <c r="E1470">
        <v>13</v>
      </c>
      <c r="F1470">
        <v>22589</v>
      </c>
      <c r="G1470" t="s">
        <v>23</v>
      </c>
      <c r="H1470">
        <v>15</v>
      </c>
      <c r="I1470">
        <v>61250</v>
      </c>
      <c r="J1470" t="s">
        <v>68</v>
      </c>
      <c r="K1470" t="s">
        <v>38</v>
      </c>
      <c r="L1470" t="s">
        <v>34</v>
      </c>
      <c r="M1470">
        <v>1</v>
      </c>
      <c r="N1470">
        <v>433.06</v>
      </c>
      <c r="O1470">
        <v>629.54999999999995</v>
      </c>
      <c r="P1470">
        <v>0</v>
      </c>
      <c r="Q1470">
        <v>0</v>
      </c>
      <c r="S1470">
        <v>29</v>
      </c>
      <c r="T1470">
        <v>1</v>
      </c>
      <c r="U1470">
        <v>2</v>
      </c>
      <c r="V1470">
        <v>629.54999999999995</v>
      </c>
      <c r="W1470">
        <v>13130001468</v>
      </c>
    </row>
    <row r="1471" spans="1:23" x14ac:dyDescent="0.2">
      <c r="A1471" s="1">
        <v>44790</v>
      </c>
      <c r="B1471" s="2">
        <v>0.90547453703703706</v>
      </c>
      <c r="C1471">
        <v>2469</v>
      </c>
      <c r="D1471">
        <v>13002561</v>
      </c>
      <c r="E1471">
        <v>13</v>
      </c>
      <c r="F1471">
        <v>22589</v>
      </c>
      <c r="G1471" t="s">
        <v>23</v>
      </c>
      <c r="H1471">
        <v>18</v>
      </c>
      <c r="I1471">
        <v>72249</v>
      </c>
      <c r="J1471" t="s">
        <v>64</v>
      </c>
      <c r="K1471" t="s">
        <v>38</v>
      </c>
      <c r="L1471" t="s">
        <v>51</v>
      </c>
      <c r="M1471">
        <v>2</v>
      </c>
      <c r="N1471">
        <v>255.91</v>
      </c>
      <c r="O1471">
        <v>402.94</v>
      </c>
      <c r="P1471">
        <v>40.29</v>
      </c>
      <c r="Q1471">
        <v>40.29</v>
      </c>
      <c r="R1471" t="s">
        <v>30</v>
      </c>
      <c r="S1471">
        <v>29</v>
      </c>
      <c r="T1471">
        <v>1</v>
      </c>
      <c r="U1471">
        <v>3</v>
      </c>
      <c r="V1471">
        <v>362.65</v>
      </c>
      <c r="W1471">
        <v>13130001469</v>
      </c>
    </row>
    <row r="1472" spans="1:23" x14ac:dyDescent="0.2">
      <c r="A1472" s="1">
        <v>44792</v>
      </c>
      <c r="B1472" s="2">
        <v>0.44774305555555549</v>
      </c>
      <c r="C1472">
        <v>2470</v>
      </c>
      <c r="D1472">
        <v>13002561</v>
      </c>
      <c r="E1472">
        <v>13</v>
      </c>
      <c r="F1472">
        <v>22589</v>
      </c>
      <c r="G1472" t="s">
        <v>23</v>
      </c>
      <c r="H1472">
        <v>18</v>
      </c>
      <c r="I1472">
        <v>39774</v>
      </c>
      <c r="J1472" t="s">
        <v>62</v>
      </c>
      <c r="K1472" t="s">
        <v>60</v>
      </c>
      <c r="L1472" t="s">
        <v>26</v>
      </c>
      <c r="M1472">
        <v>2</v>
      </c>
      <c r="N1472">
        <v>223.09</v>
      </c>
      <c r="O1472">
        <v>345.98</v>
      </c>
      <c r="P1472">
        <v>34.6</v>
      </c>
      <c r="Q1472">
        <v>34.6</v>
      </c>
      <c r="R1472" t="s">
        <v>30</v>
      </c>
      <c r="S1472">
        <v>29</v>
      </c>
      <c r="T1472">
        <v>1</v>
      </c>
      <c r="U1472">
        <v>3</v>
      </c>
      <c r="V1472">
        <v>311.38</v>
      </c>
      <c r="W1472">
        <v>13130001470</v>
      </c>
    </row>
    <row r="1473" spans="1:23" x14ac:dyDescent="0.2">
      <c r="A1473" s="1">
        <v>44792</v>
      </c>
      <c r="B1473" s="2">
        <v>0.38981481481481478</v>
      </c>
      <c r="C1473">
        <v>2471</v>
      </c>
      <c r="D1473">
        <v>13002561</v>
      </c>
      <c r="E1473">
        <v>13</v>
      </c>
      <c r="F1473">
        <v>22589</v>
      </c>
      <c r="G1473" t="s">
        <v>23</v>
      </c>
      <c r="H1473">
        <v>15</v>
      </c>
      <c r="I1473">
        <v>67220</v>
      </c>
      <c r="J1473" t="s">
        <v>103</v>
      </c>
      <c r="K1473" t="s">
        <v>38</v>
      </c>
      <c r="L1473" t="s">
        <v>36</v>
      </c>
      <c r="M1473">
        <v>1</v>
      </c>
      <c r="N1473">
        <v>500.97</v>
      </c>
      <c r="O1473">
        <v>689.67</v>
      </c>
      <c r="P1473">
        <v>0</v>
      </c>
      <c r="Q1473">
        <v>0</v>
      </c>
      <c r="S1473">
        <v>29</v>
      </c>
      <c r="T1473">
        <v>1</v>
      </c>
      <c r="U1473">
        <v>4</v>
      </c>
      <c r="V1473">
        <v>689.67</v>
      </c>
      <c r="W1473">
        <v>13130001471</v>
      </c>
    </row>
    <row r="1474" spans="1:23" x14ac:dyDescent="0.2">
      <c r="A1474" s="1">
        <v>44795</v>
      </c>
      <c r="B1474" s="2">
        <v>0.85577546296296292</v>
      </c>
      <c r="C1474">
        <v>2472</v>
      </c>
      <c r="D1474">
        <v>13002561</v>
      </c>
      <c r="E1474">
        <v>13</v>
      </c>
      <c r="F1474">
        <v>22589</v>
      </c>
      <c r="G1474" t="s">
        <v>23</v>
      </c>
      <c r="H1474">
        <v>15</v>
      </c>
      <c r="I1474">
        <v>74077</v>
      </c>
      <c r="J1474" t="s">
        <v>71</v>
      </c>
      <c r="K1474" t="s">
        <v>25</v>
      </c>
      <c r="L1474" t="s">
        <v>39</v>
      </c>
      <c r="M1474">
        <v>2</v>
      </c>
      <c r="N1474">
        <v>39.14</v>
      </c>
      <c r="O1474">
        <v>49.68</v>
      </c>
      <c r="P1474">
        <v>4.97</v>
      </c>
      <c r="Q1474">
        <v>4.97</v>
      </c>
      <c r="R1474" t="s">
        <v>30</v>
      </c>
      <c r="S1474">
        <v>29</v>
      </c>
      <c r="T1474">
        <v>1</v>
      </c>
      <c r="U1474">
        <v>5</v>
      </c>
      <c r="V1474">
        <v>44.71</v>
      </c>
      <c r="W1474">
        <v>13130001472</v>
      </c>
    </row>
    <row r="1475" spans="1:23" x14ac:dyDescent="0.2">
      <c r="A1475" s="1">
        <v>44777</v>
      </c>
      <c r="B1475" s="2">
        <v>0.71324074074074073</v>
      </c>
      <c r="C1475">
        <v>2473</v>
      </c>
      <c r="D1475">
        <v>13002561</v>
      </c>
      <c r="E1475">
        <v>13</v>
      </c>
      <c r="F1475">
        <v>22589</v>
      </c>
      <c r="G1475" t="s">
        <v>23</v>
      </c>
      <c r="H1475">
        <v>15</v>
      </c>
      <c r="I1475">
        <v>84885</v>
      </c>
      <c r="J1475" t="s">
        <v>76</v>
      </c>
      <c r="K1475" t="s">
        <v>25</v>
      </c>
      <c r="L1475" t="s">
        <v>47</v>
      </c>
      <c r="M1475">
        <v>2</v>
      </c>
      <c r="N1475">
        <v>13.38</v>
      </c>
      <c r="O1475">
        <v>20.71</v>
      </c>
      <c r="P1475">
        <v>0</v>
      </c>
      <c r="Q1475">
        <v>0</v>
      </c>
      <c r="S1475">
        <v>29</v>
      </c>
      <c r="T1475">
        <v>1</v>
      </c>
      <c r="U1475">
        <v>1</v>
      </c>
      <c r="V1475">
        <v>20.71</v>
      </c>
      <c r="W1475">
        <v>13130001473</v>
      </c>
    </row>
    <row r="1476" spans="1:23" x14ac:dyDescent="0.2">
      <c r="A1476" s="1">
        <v>44774</v>
      </c>
      <c r="B1476" s="2">
        <v>0.7079050925925926</v>
      </c>
      <c r="C1476">
        <v>2474</v>
      </c>
      <c r="D1476">
        <v>13002561</v>
      </c>
      <c r="E1476">
        <v>13</v>
      </c>
      <c r="F1476">
        <v>22589</v>
      </c>
      <c r="G1476" t="s">
        <v>23</v>
      </c>
      <c r="H1476">
        <v>15</v>
      </c>
      <c r="I1476">
        <v>73837</v>
      </c>
      <c r="J1476" t="s">
        <v>64</v>
      </c>
      <c r="K1476" t="s">
        <v>28</v>
      </c>
      <c r="L1476" t="s">
        <v>32</v>
      </c>
      <c r="M1476">
        <v>1</v>
      </c>
      <c r="N1476">
        <v>136.56</v>
      </c>
      <c r="O1476">
        <v>188.28</v>
      </c>
      <c r="P1476">
        <v>0</v>
      </c>
      <c r="Q1476">
        <v>0</v>
      </c>
      <c r="S1476">
        <v>29</v>
      </c>
      <c r="T1476">
        <v>1</v>
      </c>
      <c r="U1476">
        <v>5</v>
      </c>
      <c r="V1476">
        <v>188.28</v>
      </c>
      <c r="W1476">
        <v>13130001474</v>
      </c>
    </row>
    <row r="1477" spans="1:23" x14ac:dyDescent="0.2">
      <c r="A1477" s="1">
        <v>44796</v>
      </c>
      <c r="B1477" s="2">
        <v>0.77327546296296301</v>
      </c>
      <c r="C1477">
        <v>2475</v>
      </c>
      <c r="D1477">
        <v>13002561</v>
      </c>
      <c r="E1477">
        <v>13</v>
      </c>
      <c r="F1477">
        <v>22589</v>
      </c>
      <c r="G1477" t="s">
        <v>23</v>
      </c>
      <c r="H1477">
        <v>15</v>
      </c>
      <c r="I1477">
        <v>42349</v>
      </c>
      <c r="J1477" t="s">
        <v>102</v>
      </c>
      <c r="K1477" t="s">
        <v>28</v>
      </c>
      <c r="L1477" t="s">
        <v>51</v>
      </c>
      <c r="M1477">
        <v>2</v>
      </c>
      <c r="N1477">
        <v>432.01</v>
      </c>
      <c r="O1477">
        <v>724.31</v>
      </c>
      <c r="P1477">
        <v>0</v>
      </c>
      <c r="Q1477">
        <v>0</v>
      </c>
      <c r="S1477">
        <v>29</v>
      </c>
      <c r="T1477">
        <v>1</v>
      </c>
      <c r="U1477">
        <v>5</v>
      </c>
      <c r="V1477">
        <v>724.31</v>
      </c>
      <c r="W1477">
        <v>13130001475</v>
      </c>
    </row>
    <row r="1478" spans="1:23" x14ac:dyDescent="0.2">
      <c r="A1478" s="1">
        <v>44792</v>
      </c>
      <c r="B1478" s="2">
        <v>0.59343749999999995</v>
      </c>
      <c r="C1478">
        <v>2476</v>
      </c>
      <c r="D1478">
        <v>13002561</v>
      </c>
      <c r="E1478">
        <v>13</v>
      </c>
      <c r="F1478">
        <v>22589</v>
      </c>
      <c r="G1478" t="s">
        <v>23</v>
      </c>
      <c r="H1478">
        <v>15</v>
      </c>
      <c r="I1478">
        <v>84911</v>
      </c>
      <c r="J1478" t="s">
        <v>58</v>
      </c>
      <c r="K1478" t="s">
        <v>25</v>
      </c>
      <c r="L1478" t="s">
        <v>47</v>
      </c>
      <c r="M1478">
        <v>1</v>
      </c>
      <c r="N1478">
        <v>36.270000000000003</v>
      </c>
      <c r="O1478">
        <v>48.61</v>
      </c>
      <c r="P1478">
        <v>4.8600000000000003</v>
      </c>
      <c r="Q1478">
        <v>4.8600000000000003</v>
      </c>
      <c r="R1478" t="s">
        <v>30</v>
      </c>
      <c r="S1478">
        <v>29</v>
      </c>
      <c r="T1478">
        <v>1</v>
      </c>
      <c r="U1478">
        <v>2</v>
      </c>
      <c r="V1478">
        <v>43.75</v>
      </c>
      <c r="W1478">
        <v>13130001476</v>
      </c>
    </row>
    <row r="1479" spans="1:23" x14ac:dyDescent="0.2">
      <c r="A1479" s="1">
        <v>44777</v>
      </c>
      <c r="B1479" s="2">
        <v>0.64847222222222223</v>
      </c>
      <c r="C1479">
        <v>2477</v>
      </c>
      <c r="D1479">
        <v>13002561</v>
      </c>
      <c r="E1479">
        <v>13</v>
      </c>
      <c r="F1479">
        <v>22589</v>
      </c>
      <c r="G1479" t="s">
        <v>23</v>
      </c>
      <c r="H1479">
        <v>15</v>
      </c>
      <c r="I1479">
        <v>61633</v>
      </c>
      <c r="J1479" t="s">
        <v>49</v>
      </c>
      <c r="K1479" t="s">
        <v>28</v>
      </c>
      <c r="L1479" t="s">
        <v>34</v>
      </c>
      <c r="M1479">
        <v>3</v>
      </c>
      <c r="N1479">
        <v>22.42</v>
      </c>
      <c r="O1479">
        <v>35.5</v>
      </c>
      <c r="P1479">
        <v>3.55</v>
      </c>
      <c r="Q1479">
        <v>3.55</v>
      </c>
      <c r="R1479" t="s">
        <v>30</v>
      </c>
      <c r="S1479">
        <v>29</v>
      </c>
      <c r="T1479">
        <v>1</v>
      </c>
      <c r="U1479">
        <v>1</v>
      </c>
      <c r="V1479">
        <v>31.95</v>
      </c>
      <c r="W1479">
        <v>13130001477</v>
      </c>
    </row>
    <row r="1480" spans="1:23" x14ac:dyDescent="0.2">
      <c r="A1480" s="1">
        <v>44777</v>
      </c>
      <c r="B1480" s="2">
        <v>0.57962962962962961</v>
      </c>
      <c r="C1480">
        <v>2478</v>
      </c>
      <c r="D1480">
        <v>13002561</v>
      </c>
      <c r="E1480">
        <v>13</v>
      </c>
      <c r="F1480">
        <v>22589</v>
      </c>
      <c r="G1480" t="s">
        <v>23</v>
      </c>
      <c r="H1480">
        <v>15</v>
      </c>
      <c r="I1480">
        <v>59841</v>
      </c>
      <c r="J1480" t="s">
        <v>57</v>
      </c>
      <c r="K1480" t="s">
        <v>28</v>
      </c>
      <c r="L1480" t="s">
        <v>51</v>
      </c>
      <c r="M1480">
        <v>1</v>
      </c>
      <c r="N1480">
        <v>127.79</v>
      </c>
      <c r="O1480">
        <v>178.6</v>
      </c>
      <c r="P1480">
        <v>0</v>
      </c>
      <c r="Q1480">
        <v>0</v>
      </c>
      <c r="S1480">
        <v>29</v>
      </c>
      <c r="T1480">
        <v>1</v>
      </c>
      <c r="U1480">
        <v>5</v>
      </c>
      <c r="V1480">
        <v>178.6</v>
      </c>
      <c r="W1480">
        <v>13130001478</v>
      </c>
    </row>
    <row r="1481" spans="1:23" x14ac:dyDescent="0.2">
      <c r="A1481" s="1">
        <v>44800</v>
      </c>
      <c r="B1481" s="2">
        <v>0.48172453703703699</v>
      </c>
      <c r="C1481">
        <v>2479</v>
      </c>
      <c r="D1481">
        <v>13002561</v>
      </c>
      <c r="E1481">
        <v>13</v>
      </c>
      <c r="F1481">
        <v>22589</v>
      </c>
      <c r="G1481" t="s">
        <v>23</v>
      </c>
      <c r="H1481">
        <v>15</v>
      </c>
      <c r="I1481">
        <v>51964</v>
      </c>
      <c r="J1481" t="s">
        <v>125</v>
      </c>
      <c r="K1481" t="s">
        <v>38</v>
      </c>
      <c r="L1481" t="s">
        <v>47</v>
      </c>
      <c r="M1481">
        <v>3</v>
      </c>
      <c r="N1481">
        <v>434.65</v>
      </c>
      <c r="O1481">
        <v>656.98</v>
      </c>
      <c r="P1481">
        <v>65.7</v>
      </c>
      <c r="Q1481">
        <v>65.7</v>
      </c>
      <c r="R1481" t="s">
        <v>30</v>
      </c>
      <c r="S1481">
        <v>29</v>
      </c>
      <c r="T1481">
        <v>1</v>
      </c>
      <c r="U1481">
        <v>4</v>
      </c>
      <c r="V1481">
        <v>591.28</v>
      </c>
      <c r="W1481">
        <v>13130001479</v>
      </c>
    </row>
    <row r="1482" spans="1:23" x14ac:dyDescent="0.2">
      <c r="A1482" s="1">
        <v>44792</v>
      </c>
      <c r="B1482" s="2">
        <v>0.87971064814814814</v>
      </c>
      <c r="C1482">
        <v>2480</v>
      </c>
      <c r="D1482">
        <v>13002561</v>
      </c>
      <c r="E1482">
        <v>13</v>
      </c>
      <c r="F1482">
        <v>22589</v>
      </c>
      <c r="G1482" t="s">
        <v>23</v>
      </c>
      <c r="H1482">
        <v>15</v>
      </c>
      <c r="I1482">
        <v>42791</v>
      </c>
      <c r="J1482" t="s">
        <v>37</v>
      </c>
      <c r="K1482" t="s">
        <v>38</v>
      </c>
      <c r="L1482" t="s">
        <v>51</v>
      </c>
      <c r="M1482">
        <v>2</v>
      </c>
      <c r="N1482">
        <v>326.12</v>
      </c>
      <c r="O1482">
        <v>531.21</v>
      </c>
      <c r="P1482">
        <v>26.56</v>
      </c>
      <c r="Q1482">
        <v>26.56</v>
      </c>
      <c r="R1482" t="s">
        <v>30</v>
      </c>
      <c r="S1482">
        <v>29</v>
      </c>
      <c r="T1482">
        <v>1</v>
      </c>
      <c r="U1482">
        <v>6</v>
      </c>
      <c r="V1482">
        <v>504.65</v>
      </c>
      <c r="W1482">
        <v>13130001480</v>
      </c>
    </row>
    <row r="1483" spans="1:23" x14ac:dyDescent="0.2">
      <c r="A1483" s="1">
        <v>44804</v>
      </c>
      <c r="B1483" s="2">
        <v>0.39124999999999999</v>
      </c>
      <c r="C1483">
        <v>2481</v>
      </c>
      <c r="D1483">
        <v>13002561</v>
      </c>
      <c r="E1483">
        <v>13</v>
      </c>
      <c r="F1483">
        <v>22589</v>
      </c>
      <c r="G1483" t="s">
        <v>23</v>
      </c>
      <c r="H1483">
        <v>15</v>
      </c>
      <c r="I1483">
        <v>97030</v>
      </c>
      <c r="J1483" t="s">
        <v>24</v>
      </c>
      <c r="K1483" t="s">
        <v>44</v>
      </c>
      <c r="L1483" t="s">
        <v>47</v>
      </c>
      <c r="M1483">
        <v>2</v>
      </c>
      <c r="N1483">
        <v>252.26</v>
      </c>
      <c r="O1483">
        <v>397.11</v>
      </c>
      <c r="P1483">
        <v>19.86</v>
      </c>
      <c r="Q1483">
        <v>19.86</v>
      </c>
      <c r="R1483" t="s">
        <v>30</v>
      </c>
      <c r="S1483">
        <v>29</v>
      </c>
      <c r="T1483">
        <v>1</v>
      </c>
      <c r="U1483">
        <v>3</v>
      </c>
      <c r="V1483">
        <v>377.25</v>
      </c>
      <c r="W1483">
        <v>13130001481</v>
      </c>
    </row>
    <row r="1484" spans="1:23" x14ac:dyDescent="0.2">
      <c r="A1484" s="1">
        <v>44783</v>
      </c>
      <c r="B1484" s="2">
        <v>0.76642361111111112</v>
      </c>
      <c r="C1484">
        <v>2482</v>
      </c>
      <c r="D1484">
        <v>13002561</v>
      </c>
      <c r="E1484">
        <v>13</v>
      </c>
      <c r="F1484">
        <v>22589</v>
      </c>
      <c r="G1484" t="s">
        <v>23</v>
      </c>
      <c r="H1484">
        <v>15</v>
      </c>
      <c r="I1484">
        <v>23069</v>
      </c>
      <c r="J1484" t="s">
        <v>35</v>
      </c>
      <c r="K1484" t="s">
        <v>25</v>
      </c>
      <c r="L1484" t="s">
        <v>36</v>
      </c>
      <c r="M1484">
        <v>3</v>
      </c>
      <c r="N1484">
        <v>316.58999999999997</v>
      </c>
      <c r="O1484">
        <v>481.23</v>
      </c>
      <c r="P1484">
        <v>0</v>
      </c>
      <c r="Q1484">
        <v>0</v>
      </c>
      <c r="S1484">
        <v>29</v>
      </c>
      <c r="T1484">
        <v>1</v>
      </c>
      <c r="U1484">
        <v>2</v>
      </c>
      <c r="V1484">
        <v>481.23</v>
      </c>
      <c r="W1484">
        <v>13130001482</v>
      </c>
    </row>
    <row r="1485" spans="1:23" x14ac:dyDescent="0.2">
      <c r="A1485" s="1">
        <v>44794</v>
      </c>
      <c r="B1485" s="2">
        <v>0.77353009259259264</v>
      </c>
      <c r="C1485">
        <v>2483</v>
      </c>
      <c r="D1485">
        <v>13002561</v>
      </c>
      <c r="E1485">
        <v>13</v>
      </c>
      <c r="F1485">
        <v>22589</v>
      </c>
      <c r="G1485" t="s">
        <v>23</v>
      </c>
      <c r="H1485">
        <v>15</v>
      </c>
      <c r="I1485">
        <v>77122</v>
      </c>
      <c r="J1485" t="s">
        <v>128</v>
      </c>
      <c r="K1485" t="s">
        <v>28</v>
      </c>
      <c r="L1485" t="s">
        <v>36</v>
      </c>
      <c r="M1485">
        <v>2</v>
      </c>
      <c r="N1485">
        <v>266.98</v>
      </c>
      <c r="O1485">
        <v>429.85</v>
      </c>
      <c r="P1485">
        <v>21.49</v>
      </c>
      <c r="Q1485">
        <v>21.49</v>
      </c>
      <c r="R1485" t="s">
        <v>30</v>
      </c>
      <c r="S1485">
        <v>29</v>
      </c>
      <c r="T1485">
        <v>1</v>
      </c>
      <c r="U1485">
        <v>2</v>
      </c>
      <c r="V1485">
        <v>408.36</v>
      </c>
      <c r="W1485">
        <v>13130001483</v>
      </c>
    </row>
    <row r="1486" spans="1:23" x14ac:dyDescent="0.2">
      <c r="A1486" s="1">
        <v>44790</v>
      </c>
      <c r="B1486" s="2">
        <v>0.59840277777777773</v>
      </c>
      <c r="C1486">
        <v>2484</v>
      </c>
      <c r="D1486">
        <v>13002561</v>
      </c>
      <c r="E1486">
        <v>13</v>
      </c>
      <c r="F1486">
        <v>22589</v>
      </c>
      <c r="G1486" t="s">
        <v>23</v>
      </c>
      <c r="H1486">
        <v>15</v>
      </c>
      <c r="I1486">
        <v>61152</v>
      </c>
      <c r="J1486" t="s">
        <v>48</v>
      </c>
      <c r="K1486" t="s">
        <v>45</v>
      </c>
      <c r="L1486" t="s">
        <v>29</v>
      </c>
      <c r="M1486">
        <v>3</v>
      </c>
      <c r="N1486">
        <v>489.03</v>
      </c>
      <c r="O1486">
        <v>647.78</v>
      </c>
      <c r="P1486">
        <v>0</v>
      </c>
      <c r="Q1486">
        <v>0</v>
      </c>
      <c r="S1486">
        <v>29</v>
      </c>
      <c r="T1486">
        <v>1</v>
      </c>
      <c r="U1486">
        <v>4</v>
      </c>
      <c r="V1486">
        <v>647.78</v>
      </c>
      <c r="W1486">
        <v>13130001484</v>
      </c>
    </row>
    <row r="1487" spans="1:23" x14ac:dyDescent="0.2">
      <c r="A1487" s="1">
        <v>44781</v>
      </c>
      <c r="B1487" s="2">
        <v>0.5992939814814815</v>
      </c>
      <c r="C1487">
        <v>2485</v>
      </c>
      <c r="D1487">
        <v>13002561</v>
      </c>
      <c r="E1487">
        <v>13</v>
      </c>
      <c r="F1487">
        <v>22589</v>
      </c>
      <c r="G1487" t="s">
        <v>23</v>
      </c>
      <c r="H1487">
        <v>15</v>
      </c>
      <c r="I1487">
        <v>75899</v>
      </c>
      <c r="J1487" t="s">
        <v>121</v>
      </c>
      <c r="K1487" t="s">
        <v>28</v>
      </c>
      <c r="L1487" t="s">
        <v>34</v>
      </c>
      <c r="M1487">
        <v>1</v>
      </c>
      <c r="N1487">
        <v>241.38</v>
      </c>
      <c r="O1487">
        <v>306.52999999999997</v>
      </c>
      <c r="P1487">
        <v>30.65</v>
      </c>
      <c r="Q1487">
        <v>30.65</v>
      </c>
      <c r="R1487" t="s">
        <v>30</v>
      </c>
      <c r="S1487">
        <v>29</v>
      </c>
      <c r="T1487">
        <v>1</v>
      </c>
      <c r="U1487">
        <v>2</v>
      </c>
      <c r="V1487">
        <v>275.88</v>
      </c>
      <c r="W1487">
        <v>13130001485</v>
      </c>
    </row>
    <row r="1488" spans="1:23" x14ac:dyDescent="0.2">
      <c r="A1488" s="1">
        <v>44799</v>
      </c>
      <c r="B1488" s="2">
        <v>0.45008101851851851</v>
      </c>
      <c r="C1488">
        <v>2486</v>
      </c>
      <c r="D1488">
        <v>13002561</v>
      </c>
      <c r="E1488">
        <v>13</v>
      </c>
      <c r="F1488">
        <v>22589</v>
      </c>
      <c r="G1488" t="s">
        <v>23</v>
      </c>
      <c r="H1488">
        <v>18</v>
      </c>
      <c r="I1488">
        <v>95081</v>
      </c>
      <c r="J1488" t="s">
        <v>110</v>
      </c>
      <c r="K1488" t="s">
        <v>44</v>
      </c>
      <c r="L1488" t="s">
        <v>47</v>
      </c>
      <c r="M1488">
        <v>2</v>
      </c>
      <c r="N1488">
        <v>366.79</v>
      </c>
      <c r="O1488">
        <v>595.79999999999995</v>
      </c>
      <c r="P1488">
        <v>0</v>
      </c>
      <c r="Q1488">
        <v>0</v>
      </c>
      <c r="S1488">
        <v>29</v>
      </c>
      <c r="T1488">
        <v>1</v>
      </c>
      <c r="U1488">
        <v>4</v>
      </c>
      <c r="V1488">
        <v>595.79999999999995</v>
      </c>
      <c r="W1488">
        <v>13130001486</v>
      </c>
    </row>
    <row r="1489" spans="1:23" x14ac:dyDescent="0.2">
      <c r="A1489" s="1">
        <v>44793</v>
      </c>
      <c r="B1489" s="2">
        <v>0.88002314814814819</v>
      </c>
      <c r="C1489">
        <v>2487</v>
      </c>
      <c r="D1489">
        <v>13002561</v>
      </c>
      <c r="E1489">
        <v>13</v>
      </c>
      <c r="F1489">
        <v>22589</v>
      </c>
      <c r="G1489" t="s">
        <v>23</v>
      </c>
      <c r="H1489">
        <v>18</v>
      </c>
      <c r="I1489">
        <v>20647</v>
      </c>
      <c r="J1489" t="s">
        <v>106</v>
      </c>
      <c r="K1489" t="s">
        <v>60</v>
      </c>
      <c r="L1489" t="s">
        <v>39</v>
      </c>
      <c r="M1489">
        <v>2</v>
      </c>
      <c r="N1489">
        <v>31.98</v>
      </c>
      <c r="O1489">
        <v>41.17</v>
      </c>
      <c r="P1489">
        <v>4.12</v>
      </c>
      <c r="Q1489">
        <v>4.12</v>
      </c>
      <c r="R1489" t="s">
        <v>30</v>
      </c>
      <c r="S1489">
        <v>29</v>
      </c>
      <c r="T1489">
        <v>1</v>
      </c>
      <c r="U1489">
        <v>5</v>
      </c>
      <c r="V1489">
        <v>37.049999999999997</v>
      </c>
      <c r="W1489">
        <v>13130001487</v>
      </c>
    </row>
    <row r="1490" spans="1:23" x14ac:dyDescent="0.2">
      <c r="A1490" s="1">
        <v>44800</v>
      </c>
      <c r="B1490" s="2">
        <v>0.84166666666666667</v>
      </c>
      <c r="C1490">
        <v>2488</v>
      </c>
      <c r="D1490">
        <v>13002561</v>
      </c>
      <c r="E1490">
        <v>13</v>
      </c>
      <c r="F1490">
        <v>22589</v>
      </c>
      <c r="G1490" t="s">
        <v>23</v>
      </c>
      <c r="H1490">
        <v>18</v>
      </c>
      <c r="I1490">
        <v>91869</v>
      </c>
      <c r="J1490" t="s">
        <v>89</v>
      </c>
      <c r="K1490" t="s">
        <v>28</v>
      </c>
      <c r="L1490" t="s">
        <v>32</v>
      </c>
      <c r="M1490">
        <v>1</v>
      </c>
      <c r="N1490">
        <v>73.11</v>
      </c>
      <c r="O1490">
        <v>121.21</v>
      </c>
      <c r="P1490">
        <v>0</v>
      </c>
      <c r="Q1490">
        <v>0</v>
      </c>
      <c r="S1490">
        <v>29</v>
      </c>
      <c r="T1490">
        <v>1</v>
      </c>
      <c r="U1490">
        <v>4</v>
      </c>
      <c r="V1490">
        <v>121.21</v>
      </c>
      <c r="W1490">
        <v>13130001488</v>
      </c>
    </row>
    <row r="1491" spans="1:23" x14ac:dyDescent="0.2">
      <c r="A1491" s="1">
        <v>44794</v>
      </c>
      <c r="B1491" s="2">
        <v>0.94695601851851852</v>
      </c>
      <c r="C1491">
        <v>2489</v>
      </c>
      <c r="D1491">
        <v>13002561</v>
      </c>
      <c r="E1491">
        <v>13</v>
      </c>
      <c r="F1491">
        <v>22589</v>
      </c>
      <c r="G1491" t="s">
        <v>23</v>
      </c>
      <c r="H1491">
        <v>18</v>
      </c>
      <c r="I1491">
        <v>15075</v>
      </c>
      <c r="J1491" t="s">
        <v>73</v>
      </c>
      <c r="K1491" t="s">
        <v>38</v>
      </c>
      <c r="L1491" t="s">
        <v>32</v>
      </c>
      <c r="M1491">
        <v>3</v>
      </c>
      <c r="N1491">
        <v>235.37</v>
      </c>
      <c r="O1491">
        <v>319.08999999999997</v>
      </c>
      <c r="P1491">
        <v>0</v>
      </c>
      <c r="Q1491">
        <v>0</v>
      </c>
      <c r="S1491">
        <v>29</v>
      </c>
      <c r="T1491">
        <v>1</v>
      </c>
      <c r="U1491">
        <v>6</v>
      </c>
      <c r="V1491">
        <v>319.08999999999997</v>
      </c>
      <c r="W1491">
        <v>13130001489</v>
      </c>
    </row>
    <row r="1492" spans="1:23" x14ac:dyDescent="0.2">
      <c r="A1492" s="1">
        <v>44791</v>
      </c>
      <c r="B1492" s="2">
        <v>0.9314351851851852</v>
      </c>
      <c r="C1492">
        <v>2490</v>
      </c>
      <c r="D1492">
        <v>13002561</v>
      </c>
      <c r="E1492">
        <v>13</v>
      </c>
      <c r="F1492">
        <v>22589</v>
      </c>
      <c r="G1492" t="s">
        <v>23</v>
      </c>
      <c r="H1492">
        <v>18</v>
      </c>
      <c r="I1492">
        <v>66190</v>
      </c>
      <c r="J1492" t="s">
        <v>99</v>
      </c>
      <c r="K1492" t="s">
        <v>38</v>
      </c>
      <c r="L1492" t="s">
        <v>39</v>
      </c>
      <c r="M1492">
        <v>1</v>
      </c>
      <c r="N1492">
        <v>466.21</v>
      </c>
      <c r="O1492">
        <v>653.6</v>
      </c>
      <c r="P1492">
        <v>32.68</v>
      </c>
      <c r="Q1492">
        <v>32.68</v>
      </c>
      <c r="R1492" t="s">
        <v>30</v>
      </c>
      <c r="S1492">
        <v>29</v>
      </c>
      <c r="T1492">
        <v>1</v>
      </c>
      <c r="U1492">
        <v>6</v>
      </c>
      <c r="V1492">
        <v>620.91999999999996</v>
      </c>
      <c r="W1492">
        <v>13130001490</v>
      </c>
    </row>
    <row r="1493" spans="1:23" x14ac:dyDescent="0.2">
      <c r="A1493" s="1">
        <v>44791</v>
      </c>
      <c r="B1493" s="2">
        <v>0.77913194444444445</v>
      </c>
      <c r="C1493">
        <v>2491</v>
      </c>
      <c r="D1493">
        <v>13002561</v>
      </c>
      <c r="E1493">
        <v>13</v>
      </c>
      <c r="F1493">
        <v>22589</v>
      </c>
      <c r="G1493" t="s">
        <v>23</v>
      </c>
      <c r="H1493">
        <v>15</v>
      </c>
      <c r="I1493">
        <v>54994</v>
      </c>
      <c r="J1493" t="s">
        <v>43</v>
      </c>
      <c r="K1493" t="s">
        <v>60</v>
      </c>
      <c r="L1493" t="s">
        <v>47</v>
      </c>
      <c r="M1493">
        <v>3</v>
      </c>
      <c r="N1493">
        <v>357.2</v>
      </c>
      <c r="O1493">
        <v>597</v>
      </c>
      <c r="P1493">
        <v>29.85</v>
      </c>
      <c r="Q1493">
        <v>29.85</v>
      </c>
      <c r="R1493" t="s">
        <v>30</v>
      </c>
      <c r="S1493">
        <v>29</v>
      </c>
      <c r="T1493">
        <v>1</v>
      </c>
      <c r="U1493">
        <v>6</v>
      </c>
      <c r="V1493">
        <v>567.15</v>
      </c>
      <c r="W1493">
        <v>13130001491</v>
      </c>
    </row>
    <row r="1494" spans="1:23" x14ac:dyDescent="0.2">
      <c r="A1494" s="1">
        <v>44803</v>
      </c>
      <c r="B1494" s="2">
        <v>0.95104166666666667</v>
      </c>
      <c r="C1494">
        <v>2492</v>
      </c>
      <c r="D1494">
        <v>13002561</v>
      </c>
      <c r="E1494">
        <v>13</v>
      </c>
      <c r="F1494">
        <v>22589</v>
      </c>
      <c r="G1494" t="s">
        <v>23</v>
      </c>
      <c r="H1494">
        <v>18</v>
      </c>
      <c r="I1494">
        <v>17900</v>
      </c>
      <c r="J1494" t="s">
        <v>111</v>
      </c>
      <c r="K1494" t="s">
        <v>60</v>
      </c>
      <c r="L1494" t="s">
        <v>36</v>
      </c>
      <c r="M1494">
        <v>3</v>
      </c>
      <c r="N1494">
        <v>333.35</v>
      </c>
      <c r="O1494">
        <v>548.28</v>
      </c>
      <c r="P1494">
        <v>54.83</v>
      </c>
      <c r="Q1494">
        <v>54.83</v>
      </c>
      <c r="R1494" t="s">
        <v>30</v>
      </c>
      <c r="S1494">
        <v>29</v>
      </c>
      <c r="T1494">
        <v>1</v>
      </c>
      <c r="U1494">
        <v>3</v>
      </c>
      <c r="V1494">
        <v>493.45</v>
      </c>
      <c r="W1494">
        <v>13130001492</v>
      </c>
    </row>
    <row r="1495" spans="1:23" x14ac:dyDescent="0.2">
      <c r="A1495" s="1">
        <v>44785</v>
      </c>
      <c r="B1495" s="2">
        <v>0.91805555555555551</v>
      </c>
      <c r="C1495">
        <v>2493</v>
      </c>
      <c r="D1495">
        <v>13002561</v>
      </c>
      <c r="E1495">
        <v>13</v>
      </c>
      <c r="F1495">
        <v>22589</v>
      </c>
      <c r="G1495" t="s">
        <v>23</v>
      </c>
      <c r="H1495">
        <v>15</v>
      </c>
      <c r="I1495">
        <v>53960</v>
      </c>
      <c r="J1495" t="s">
        <v>103</v>
      </c>
      <c r="K1495" t="s">
        <v>28</v>
      </c>
      <c r="L1495" t="s">
        <v>34</v>
      </c>
      <c r="M1495">
        <v>1</v>
      </c>
      <c r="N1495">
        <v>535.04999999999995</v>
      </c>
      <c r="O1495">
        <v>870.47</v>
      </c>
      <c r="P1495">
        <v>0</v>
      </c>
      <c r="Q1495">
        <v>0</v>
      </c>
      <c r="S1495">
        <v>29</v>
      </c>
      <c r="T1495">
        <v>1</v>
      </c>
      <c r="U1495">
        <v>1</v>
      </c>
      <c r="V1495">
        <v>870.47</v>
      </c>
      <c r="W1495">
        <v>13130001493</v>
      </c>
    </row>
    <row r="1496" spans="1:23" x14ac:dyDescent="0.2">
      <c r="A1496" s="1">
        <v>44795</v>
      </c>
      <c r="B1496" s="2">
        <v>0.92420138888888892</v>
      </c>
      <c r="C1496">
        <v>2494</v>
      </c>
      <c r="D1496">
        <v>13002561</v>
      </c>
      <c r="E1496">
        <v>13</v>
      </c>
      <c r="F1496">
        <v>22589</v>
      </c>
      <c r="G1496" t="s">
        <v>23</v>
      </c>
      <c r="H1496">
        <v>18</v>
      </c>
      <c r="I1496">
        <v>37113</v>
      </c>
      <c r="J1496" t="s">
        <v>96</v>
      </c>
      <c r="K1496" t="s">
        <v>60</v>
      </c>
      <c r="L1496" t="s">
        <v>47</v>
      </c>
      <c r="M1496">
        <v>1</v>
      </c>
      <c r="N1496">
        <v>588.14</v>
      </c>
      <c r="O1496">
        <v>998.6</v>
      </c>
      <c r="P1496">
        <v>99.86</v>
      </c>
      <c r="Q1496">
        <v>99.86</v>
      </c>
      <c r="R1496" t="s">
        <v>30</v>
      </c>
      <c r="S1496">
        <v>29</v>
      </c>
      <c r="T1496">
        <v>1</v>
      </c>
      <c r="U1496">
        <v>5</v>
      </c>
      <c r="V1496">
        <v>898.74</v>
      </c>
      <c r="W1496">
        <v>13130001494</v>
      </c>
    </row>
    <row r="1497" spans="1:23" x14ac:dyDescent="0.2">
      <c r="A1497" s="1">
        <v>44780</v>
      </c>
      <c r="B1497" s="2">
        <v>0.59619212962962964</v>
      </c>
      <c r="C1497">
        <v>2495</v>
      </c>
      <c r="D1497">
        <v>13002561</v>
      </c>
      <c r="E1497">
        <v>13</v>
      </c>
      <c r="F1497">
        <v>22589</v>
      </c>
      <c r="G1497" t="s">
        <v>23</v>
      </c>
      <c r="H1497">
        <v>18</v>
      </c>
      <c r="I1497">
        <v>96241</v>
      </c>
      <c r="J1497" t="s">
        <v>80</v>
      </c>
      <c r="K1497" t="s">
        <v>25</v>
      </c>
      <c r="L1497" t="s">
        <v>51</v>
      </c>
      <c r="M1497">
        <v>2</v>
      </c>
      <c r="N1497">
        <v>179.26</v>
      </c>
      <c r="O1497">
        <v>294.57</v>
      </c>
      <c r="P1497">
        <v>0</v>
      </c>
      <c r="Q1497">
        <v>0</v>
      </c>
      <c r="S1497">
        <v>29</v>
      </c>
      <c r="T1497">
        <v>1</v>
      </c>
      <c r="U1497">
        <v>1</v>
      </c>
      <c r="V1497">
        <v>294.57</v>
      </c>
      <c r="W1497">
        <v>13130001495</v>
      </c>
    </row>
    <row r="1498" spans="1:23" x14ac:dyDescent="0.2">
      <c r="A1498" s="1">
        <v>44777</v>
      </c>
      <c r="B1498" s="2">
        <v>0.7</v>
      </c>
      <c r="C1498">
        <v>2496</v>
      </c>
      <c r="D1498">
        <v>13002561</v>
      </c>
      <c r="E1498">
        <v>13</v>
      </c>
      <c r="F1498">
        <v>22589</v>
      </c>
      <c r="G1498" t="s">
        <v>23</v>
      </c>
      <c r="H1498">
        <v>18</v>
      </c>
      <c r="I1498">
        <v>37179</v>
      </c>
      <c r="J1498" t="s">
        <v>58</v>
      </c>
      <c r="K1498" t="s">
        <v>38</v>
      </c>
      <c r="L1498" t="s">
        <v>36</v>
      </c>
      <c r="M1498">
        <v>3</v>
      </c>
      <c r="N1498">
        <v>248.54</v>
      </c>
      <c r="O1498">
        <v>321.77</v>
      </c>
      <c r="P1498">
        <v>32.18</v>
      </c>
      <c r="Q1498">
        <v>32.18</v>
      </c>
      <c r="R1498" t="s">
        <v>30</v>
      </c>
      <c r="S1498">
        <v>29</v>
      </c>
      <c r="T1498">
        <v>1</v>
      </c>
      <c r="U1498">
        <v>5</v>
      </c>
      <c r="V1498">
        <v>289.58999999999997</v>
      </c>
      <c r="W1498">
        <v>13130001496</v>
      </c>
    </row>
    <row r="1499" spans="1:23" x14ac:dyDescent="0.2">
      <c r="A1499" s="1">
        <v>44780</v>
      </c>
      <c r="B1499" s="2">
        <v>0.66917824074074073</v>
      </c>
      <c r="C1499">
        <v>2497</v>
      </c>
      <c r="D1499">
        <v>13002561</v>
      </c>
      <c r="E1499">
        <v>13</v>
      </c>
      <c r="F1499">
        <v>22589</v>
      </c>
      <c r="G1499" t="s">
        <v>23</v>
      </c>
      <c r="H1499">
        <v>15</v>
      </c>
      <c r="I1499">
        <v>68759</v>
      </c>
      <c r="J1499" t="s">
        <v>27</v>
      </c>
      <c r="K1499" t="s">
        <v>45</v>
      </c>
      <c r="L1499" t="s">
        <v>34</v>
      </c>
      <c r="M1499">
        <v>2</v>
      </c>
      <c r="N1499">
        <v>125.9</v>
      </c>
      <c r="O1499">
        <v>208.49</v>
      </c>
      <c r="P1499">
        <v>0</v>
      </c>
      <c r="Q1499">
        <v>0</v>
      </c>
      <c r="S1499">
        <v>29</v>
      </c>
      <c r="T1499">
        <v>1</v>
      </c>
      <c r="U1499">
        <v>4</v>
      </c>
      <c r="V1499">
        <v>208.49</v>
      </c>
      <c r="W1499">
        <v>13130001497</v>
      </c>
    </row>
    <row r="1500" spans="1:23" x14ac:dyDescent="0.2">
      <c r="A1500" s="1">
        <v>44802</v>
      </c>
      <c r="B1500" s="2">
        <v>0.86738425925925922</v>
      </c>
      <c r="C1500">
        <v>2498</v>
      </c>
      <c r="D1500">
        <v>13002561</v>
      </c>
      <c r="E1500">
        <v>13</v>
      </c>
      <c r="F1500">
        <v>22589</v>
      </c>
      <c r="G1500" t="s">
        <v>23</v>
      </c>
      <c r="H1500">
        <v>18</v>
      </c>
      <c r="I1500">
        <v>97420</v>
      </c>
      <c r="J1500" t="s">
        <v>66</v>
      </c>
      <c r="K1500" t="s">
        <v>25</v>
      </c>
      <c r="L1500" t="s">
        <v>26</v>
      </c>
      <c r="M1500">
        <v>1</v>
      </c>
      <c r="N1500">
        <v>201.41</v>
      </c>
      <c r="O1500">
        <v>274.39</v>
      </c>
      <c r="P1500">
        <v>13.72</v>
      </c>
      <c r="Q1500">
        <v>13.72</v>
      </c>
      <c r="R1500" t="s">
        <v>30</v>
      </c>
      <c r="S1500">
        <v>29</v>
      </c>
      <c r="T1500">
        <v>1</v>
      </c>
      <c r="U1500">
        <v>3</v>
      </c>
      <c r="V1500">
        <v>260.67</v>
      </c>
      <c r="W1500">
        <v>13130001498</v>
      </c>
    </row>
    <row r="1501" spans="1:23" x14ac:dyDescent="0.2">
      <c r="A1501" s="1">
        <v>44792</v>
      </c>
      <c r="B1501" s="2">
        <v>0.84612268518518519</v>
      </c>
      <c r="C1501">
        <v>2499</v>
      </c>
      <c r="D1501">
        <v>13002561</v>
      </c>
      <c r="E1501">
        <v>13</v>
      </c>
      <c r="F1501">
        <v>22589</v>
      </c>
      <c r="G1501" t="s">
        <v>23</v>
      </c>
      <c r="H1501">
        <v>15</v>
      </c>
      <c r="I1501">
        <v>15931</v>
      </c>
      <c r="J1501" t="s">
        <v>78</v>
      </c>
      <c r="K1501" t="s">
        <v>45</v>
      </c>
      <c r="L1501" t="s">
        <v>29</v>
      </c>
      <c r="M1501">
        <v>1</v>
      </c>
      <c r="N1501">
        <v>147.16999999999999</v>
      </c>
      <c r="O1501">
        <v>240.2</v>
      </c>
      <c r="P1501">
        <v>12.01</v>
      </c>
      <c r="Q1501">
        <v>12.01</v>
      </c>
      <c r="R1501" t="s">
        <v>30</v>
      </c>
      <c r="S1501">
        <v>29</v>
      </c>
      <c r="T1501">
        <v>1</v>
      </c>
      <c r="U1501">
        <v>2</v>
      </c>
      <c r="V1501">
        <v>228.19</v>
      </c>
      <c r="W1501">
        <v>13130001499</v>
      </c>
    </row>
    <row r="1502" spans="1:23" x14ac:dyDescent="0.2">
      <c r="A1502" s="1">
        <v>44795</v>
      </c>
      <c r="B1502" s="2">
        <v>0.47662037037037042</v>
      </c>
      <c r="C1502">
        <v>2500</v>
      </c>
      <c r="D1502">
        <v>13002561</v>
      </c>
      <c r="E1502">
        <v>13</v>
      </c>
      <c r="F1502">
        <v>22589</v>
      </c>
      <c r="G1502" t="s">
        <v>23</v>
      </c>
      <c r="H1502">
        <v>18</v>
      </c>
      <c r="I1502">
        <v>30056</v>
      </c>
      <c r="J1502" t="s">
        <v>102</v>
      </c>
      <c r="K1502" t="s">
        <v>25</v>
      </c>
      <c r="L1502" t="s">
        <v>36</v>
      </c>
      <c r="M1502">
        <v>2</v>
      </c>
      <c r="N1502">
        <v>241.5</v>
      </c>
      <c r="O1502">
        <v>342.6</v>
      </c>
      <c r="P1502">
        <v>0</v>
      </c>
      <c r="Q1502">
        <v>0</v>
      </c>
      <c r="S1502">
        <v>29</v>
      </c>
      <c r="T1502">
        <v>1</v>
      </c>
      <c r="U1502">
        <v>3</v>
      </c>
      <c r="V1502">
        <v>342.6</v>
      </c>
      <c r="W1502">
        <v>13130001500</v>
      </c>
    </row>
    <row r="1503" spans="1:23" x14ac:dyDescent="0.2">
      <c r="A1503" s="1">
        <v>44792</v>
      </c>
      <c r="B1503" s="2">
        <v>0.38496527777777778</v>
      </c>
      <c r="C1503">
        <v>2501</v>
      </c>
      <c r="D1503">
        <v>13002561</v>
      </c>
      <c r="E1503">
        <v>13</v>
      </c>
      <c r="F1503">
        <v>22589</v>
      </c>
      <c r="G1503" t="s">
        <v>23</v>
      </c>
      <c r="H1503">
        <v>18</v>
      </c>
      <c r="I1503">
        <v>29070</v>
      </c>
      <c r="J1503" t="s">
        <v>107</v>
      </c>
      <c r="K1503" t="s">
        <v>25</v>
      </c>
      <c r="L1503" t="s">
        <v>26</v>
      </c>
      <c r="M1503">
        <v>1</v>
      </c>
      <c r="N1503">
        <v>193.77</v>
      </c>
      <c r="O1503">
        <v>290.19</v>
      </c>
      <c r="P1503">
        <v>14.51</v>
      </c>
      <c r="Q1503">
        <v>14.51</v>
      </c>
      <c r="R1503" t="s">
        <v>30</v>
      </c>
      <c r="S1503">
        <v>29</v>
      </c>
      <c r="T1503">
        <v>1</v>
      </c>
      <c r="U1503">
        <v>5</v>
      </c>
      <c r="V1503">
        <v>275.68</v>
      </c>
      <c r="W1503">
        <v>13130001501</v>
      </c>
    </row>
    <row r="1504" spans="1:23" x14ac:dyDescent="0.2">
      <c r="A1504" s="1">
        <v>44794</v>
      </c>
      <c r="B1504" s="2">
        <v>0.83326388888888892</v>
      </c>
      <c r="C1504">
        <v>2502</v>
      </c>
      <c r="D1504">
        <v>13002561</v>
      </c>
      <c r="E1504">
        <v>13</v>
      </c>
      <c r="F1504">
        <v>22589</v>
      </c>
      <c r="G1504" t="s">
        <v>23</v>
      </c>
      <c r="H1504">
        <v>15</v>
      </c>
      <c r="I1504">
        <v>18281</v>
      </c>
      <c r="J1504" t="s">
        <v>64</v>
      </c>
      <c r="K1504" t="s">
        <v>45</v>
      </c>
      <c r="L1504" t="s">
        <v>47</v>
      </c>
      <c r="M1504">
        <v>2</v>
      </c>
      <c r="N1504">
        <v>311.3</v>
      </c>
      <c r="O1504">
        <v>485.79</v>
      </c>
      <c r="P1504">
        <v>48.58</v>
      </c>
      <c r="Q1504">
        <v>48.58</v>
      </c>
      <c r="R1504" t="s">
        <v>30</v>
      </c>
      <c r="S1504">
        <v>29</v>
      </c>
      <c r="T1504">
        <v>1</v>
      </c>
      <c r="U1504">
        <v>6</v>
      </c>
      <c r="V1504">
        <v>437.21</v>
      </c>
      <c r="W1504">
        <v>13130001502</v>
      </c>
    </row>
    <row r="1505" spans="1:23" x14ac:dyDescent="0.2">
      <c r="A1505" s="1">
        <v>44803</v>
      </c>
      <c r="B1505" s="2">
        <v>0.34559027777777779</v>
      </c>
      <c r="C1505">
        <v>2503</v>
      </c>
      <c r="D1505">
        <v>13002561</v>
      </c>
      <c r="E1505">
        <v>13</v>
      </c>
      <c r="F1505">
        <v>22589</v>
      </c>
      <c r="G1505" t="s">
        <v>23</v>
      </c>
      <c r="H1505">
        <v>15</v>
      </c>
      <c r="I1505">
        <v>14450</v>
      </c>
      <c r="J1505" t="s">
        <v>42</v>
      </c>
      <c r="K1505" t="s">
        <v>25</v>
      </c>
      <c r="L1505" t="s">
        <v>26</v>
      </c>
      <c r="M1505">
        <v>3</v>
      </c>
      <c r="N1505">
        <v>77.17</v>
      </c>
      <c r="O1505">
        <v>102</v>
      </c>
      <c r="P1505">
        <v>0</v>
      </c>
      <c r="Q1505">
        <v>0</v>
      </c>
      <c r="S1505">
        <v>29</v>
      </c>
      <c r="T1505">
        <v>1</v>
      </c>
      <c r="U1505">
        <v>5</v>
      </c>
      <c r="V1505">
        <v>102</v>
      </c>
      <c r="W1505">
        <v>13130001503</v>
      </c>
    </row>
    <row r="1506" spans="1:23" x14ac:dyDescent="0.2">
      <c r="A1506" s="1">
        <v>44783</v>
      </c>
      <c r="B1506" s="2">
        <v>0.33699074074074081</v>
      </c>
      <c r="C1506">
        <v>2504</v>
      </c>
      <c r="D1506">
        <v>13002561</v>
      </c>
      <c r="E1506">
        <v>13</v>
      </c>
      <c r="F1506">
        <v>22589</v>
      </c>
      <c r="G1506" t="s">
        <v>23</v>
      </c>
      <c r="H1506">
        <v>15</v>
      </c>
      <c r="I1506">
        <v>49247</v>
      </c>
      <c r="J1506" t="s">
        <v>87</v>
      </c>
      <c r="K1506" t="s">
        <v>60</v>
      </c>
      <c r="L1506" t="s">
        <v>26</v>
      </c>
      <c r="M1506">
        <v>3</v>
      </c>
      <c r="N1506">
        <v>178.64</v>
      </c>
      <c r="O1506">
        <v>246.69</v>
      </c>
      <c r="P1506">
        <v>0</v>
      </c>
      <c r="Q1506">
        <v>0</v>
      </c>
      <c r="S1506">
        <v>29</v>
      </c>
      <c r="T1506">
        <v>1</v>
      </c>
      <c r="U1506">
        <v>5</v>
      </c>
      <c r="V1506">
        <v>246.69</v>
      </c>
      <c r="W1506">
        <v>13130001504</v>
      </c>
    </row>
    <row r="1507" spans="1:23" x14ac:dyDescent="0.2">
      <c r="A1507" s="1">
        <v>44794</v>
      </c>
      <c r="B1507" s="2">
        <v>0.3858449074074074</v>
      </c>
      <c r="C1507">
        <v>2505</v>
      </c>
      <c r="D1507">
        <v>13002561</v>
      </c>
      <c r="E1507">
        <v>13</v>
      </c>
      <c r="F1507">
        <v>22589</v>
      </c>
      <c r="G1507" t="s">
        <v>23</v>
      </c>
      <c r="H1507">
        <v>18</v>
      </c>
      <c r="I1507">
        <v>31091</v>
      </c>
      <c r="J1507" t="s">
        <v>48</v>
      </c>
      <c r="K1507" t="s">
        <v>38</v>
      </c>
      <c r="L1507" t="s">
        <v>34</v>
      </c>
      <c r="M1507">
        <v>3</v>
      </c>
      <c r="N1507">
        <v>315.7</v>
      </c>
      <c r="O1507">
        <v>474.27</v>
      </c>
      <c r="P1507">
        <v>47.43</v>
      </c>
      <c r="Q1507">
        <v>47.43</v>
      </c>
      <c r="R1507" t="s">
        <v>30</v>
      </c>
      <c r="S1507">
        <v>29</v>
      </c>
      <c r="T1507">
        <v>1</v>
      </c>
      <c r="U1507">
        <v>2</v>
      </c>
      <c r="V1507">
        <v>426.84</v>
      </c>
      <c r="W1507">
        <v>13130001505</v>
      </c>
    </row>
    <row r="1508" spans="1:23" x14ac:dyDescent="0.2">
      <c r="A1508" s="1">
        <v>44777</v>
      </c>
      <c r="B1508" s="2">
        <v>0.89541666666666664</v>
      </c>
      <c r="C1508">
        <v>2506</v>
      </c>
      <c r="D1508">
        <v>13002561</v>
      </c>
      <c r="E1508">
        <v>13</v>
      </c>
      <c r="F1508">
        <v>22589</v>
      </c>
      <c r="G1508" t="s">
        <v>23</v>
      </c>
      <c r="H1508">
        <v>18</v>
      </c>
      <c r="I1508">
        <v>84119</v>
      </c>
      <c r="J1508" t="s">
        <v>33</v>
      </c>
      <c r="K1508" t="s">
        <v>28</v>
      </c>
      <c r="L1508" t="s">
        <v>39</v>
      </c>
      <c r="M1508">
        <v>2</v>
      </c>
      <c r="N1508">
        <v>470.97</v>
      </c>
      <c r="O1508">
        <v>649.78</v>
      </c>
      <c r="P1508">
        <v>0</v>
      </c>
      <c r="Q1508">
        <v>0</v>
      </c>
      <c r="S1508">
        <v>29</v>
      </c>
      <c r="T1508">
        <v>1</v>
      </c>
      <c r="U1508">
        <v>6</v>
      </c>
      <c r="V1508">
        <v>649.78</v>
      </c>
      <c r="W1508">
        <v>13130001506</v>
      </c>
    </row>
    <row r="1509" spans="1:23" x14ac:dyDescent="0.2">
      <c r="A1509" s="1">
        <v>44777</v>
      </c>
      <c r="B1509" s="2">
        <v>0.48096064814814821</v>
      </c>
      <c r="C1509">
        <v>2507</v>
      </c>
      <c r="D1509">
        <v>13002561</v>
      </c>
      <c r="E1509">
        <v>13</v>
      </c>
      <c r="F1509">
        <v>22589</v>
      </c>
      <c r="G1509" t="s">
        <v>23</v>
      </c>
      <c r="H1509">
        <v>18</v>
      </c>
      <c r="I1509">
        <v>75804</v>
      </c>
      <c r="J1509" t="s">
        <v>56</v>
      </c>
      <c r="K1509" t="s">
        <v>25</v>
      </c>
      <c r="L1509" t="s">
        <v>47</v>
      </c>
      <c r="M1509">
        <v>2</v>
      </c>
      <c r="N1509">
        <v>446.87</v>
      </c>
      <c r="O1509">
        <v>745.11</v>
      </c>
      <c r="P1509">
        <v>0</v>
      </c>
      <c r="Q1509">
        <v>0</v>
      </c>
      <c r="S1509">
        <v>29</v>
      </c>
      <c r="T1509">
        <v>1</v>
      </c>
      <c r="U1509">
        <v>1</v>
      </c>
      <c r="V1509">
        <v>745.11</v>
      </c>
      <c r="W1509">
        <v>13130001507</v>
      </c>
    </row>
    <row r="1510" spans="1:23" x14ac:dyDescent="0.2">
      <c r="A1510" s="1">
        <v>44776</v>
      </c>
      <c r="B1510" s="2">
        <v>0.70901620370370366</v>
      </c>
      <c r="C1510">
        <v>2508</v>
      </c>
      <c r="D1510">
        <v>13002561</v>
      </c>
      <c r="E1510">
        <v>13</v>
      </c>
      <c r="F1510">
        <v>22589</v>
      </c>
      <c r="G1510" t="s">
        <v>23</v>
      </c>
      <c r="H1510">
        <v>15</v>
      </c>
      <c r="I1510">
        <v>50346</v>
      </c>
      <c r="J1510" t="s">
        <v>58</v>
      </c>
      <c r="K1510" t="s">
        <v>44</v>
      </c>
      <c r="L1510" t="s">
        <v>36</v>
      </c>
      <c r="M1510">
        <v>1</v>
      </c>
      <c r="N1510">
        <v>21.85</v>
      </c>
      <c r="O1510">
        <v>28.5</v>
      </c>
      <c r="P1510">
        <v>0</v>
      </c>
      <c r="Q1510">
        <v>0</v>
      </c>
      <c r="S1510">
        <v>29</v>
      </c>
      <c r="T1510">
        <v>1</v>
      </c>
      <c r="U1510">
        <v>3</v>
      </c>
      <c r="V1510">
        <v>28.5</v>
      </c>
      <c r="W1510">
        <v>13130001508</v>
      </c>
    </row>
    <row r="1511" spans="1:23" x14ac:dyDescent="0.2">
      <c r="A1511" s="1">
        <v>44790</v>
      </c>
      <c r="B1511" s="2">
        <v>0.85223379629629625</v>
      </c>
      <c r="C1511">
        <v>2509</v>
      </c>
      <c r="D1511">
        <v>13002561</v>
      </c>
      <c r="E1511">
        <v>13</v>
      </c>
      <c r="F1511">
        <v>22589</v>
      </c>
      <c r="G1511" t="s">
        <v>23</v>
      </c>
      <c r="H1511">
        <v>15</v>
      </c>
      <c r="I1511">
        <v>93211</v>
      </c>
      <c r="J1511" t="s">
        <v>96</v>
      </c>
      <c r="K1511" t="s">
        <v>25</v>
      </c>
      <c r="L1511" t="s">
        <v>51</v>
      </c>
      <c r="M1511">
        <v>1</v>
      </c>
      <c r="N1511">
        <v>346.02</v>
      </c>
      <c r="O1511">
        <v>463.1</v>
      </c>
      <c r="P1511">
        <v>0</v>
      </c>
      <c r="Q1511">
        <v>0</v>
      </c>
      <c r="S1511">
        <v>29</v>
      </c>
      <c r="T1511">
        <v>1</v>
      </c>
      <c r="U1511">
        <v>5</v>
      </c>
      <c r="V1511">
        <v>463.1</v>
      </c>
      <c r="W1511">
        <v>13130001509</v>
      </c>
    </row>
    <row r="1512" spans="1:23" x14ac:dyDescent="0.2">
      <c r="A1512" s="1">
        <v>44777</v>
      </c>
      <c r="B1512" s="2">
        <v>0.68665509259259261</v>
      </c>
      <c r="C1512">
        <v>2510</v>
      </c>
      <c r="D1512">
        <v>13002561</v>
      </c>
      <c r="E1512">
        <v>13</v>
      </c>
      <c r="F1512">
        <v>22589</v>
      </c>
      <c r="G1512" t="s">
        <v>23</v>
      </c>
      <c r="H1512">
        <v>18</v>
      </c>
      <c r="I1512">
        <v>29098</v>
      </c>
      <c r="J1512" t="s">
        <v>27</v>
      </c>
      <c r="K1512" t="s">
        <v>25</v>
      </c>
      <c r="L1512" t="s">
        <v>51</v>
      </c>
      <c r="M1512">
        <v>2</v>
      </c>
      <c r="N1512">
        <v>550.30999999999995</v>
      </c>
      <c r="O1512">
        <v>852.77</v>
      </c>
      <c r="P1512">
        <v>85.28</v>
      </c>
      <c r="Q1512">
        <v>85.28</v>
      </c>
      <c r="R1512" t="s">
        <v>30</v>
      </c>
      <c r="S1512">
        <v>29</v>
      </c>
      <c r="T1512">
        <v>1</v>
      </c>
      <c r="U1512">
        <v>2</v>
      </c>
      <c r="V1512">
        <v>767.49</v>
      </c>
      <c r="W1512">
        <v>13130001510</v>
      </c>
    </row>
    <row r="1513" spans="1:23" x14ac:dyDescent="0.2">
      <c r="A1513" s="1">
        <v>44794</v>
      </c>
      <c r="B1513" s="2">
        <v>0.74917824074074069</v>
      </c>
      <c r="C1513">
        <v>2511</v>
      </c>
      <c r="D1513">
        <v>13002561</v>
      </c>
      <c r="E1513">
        <v>13</v>
      </c>
      <c r="F1513">
        <v>22589</v>
      </c>
      <c r="G1513" t="s">
        <v>23</v>
      </c>
      <c r="H1513">
        <v>15</v>
      </c>
      <c r="I1513">
        <v>20340</v>
      </c>
      <c r="J1513" t="s">
        <v>83</v>
      </c>
      <c r="K1513" t="s">
        <v>38</v>
      </c>
      <c r="L1513" t="s">
        <v>26</v>
      </c>
      <c r="M1513">
        <v>1</v>
      </c>
      <c r="N1513">
        <v>434.48</v>
      </c>
      <c r="O1513">
        <v>732.21</v>
      </c>
      <c r="P1513">
        <v>36.61</v>
      </c>
      <c r="Q1513">
        <v>36.61</v>
      </c>
      <c r="R1513" t="s">
        <v>30</v>
      </c>
      <c r="S1513">
        <v>29</v>
      </c>
      <c r="T1513">
        <v>1</v>
      </c>
      <c r="U1513">
        <v>6</v>
      </c>
      <c r="V1513">
        <v>695.6</v>
      </c>
      <c r="W1513">
        <v>13130001511</v>
      </c>
    </row>
    <row r="1514" spans="1:23" x14ac:dyDescent="0.2">
      <c r="A1514" s="1">
        <v>44787</v>
      </c>
      <c r="B1514" s="2">
        <v>0.3979050925925926</v>
      </c>
      <c r="C1514">
        <v>2512</v>
      </c>
      <c r="D1514">
        <v>13002561</v>
      </c>
      <c r="E1514">
        <v>13</v>
      </c>
      <c r="F1514">
        <v>22589</v>
      </c>
      <c r="G1514" t="s">
        <v>23</v>
      </c>
      <c r="H1514">
        <v>15</v>
      </c>
      <c r="I1514">
        <v>27620</v>
      </c>
      <c r="J1514" t="s">
        <v>112</v>
      </c>
      <c r="K1514" t="s">
        <v>45</v>
      </c>
      <c r="L1514" t="s">
        <v>47</v>
      </c>
      <c r="M1514">
        <v>1</v>
      </c>
      <c r="N1514">
        <v>110.02</v>
      </c>
      <c r="O1514">
        <v>162.81</v>
      </c>
      <c r="P1514">
        <v>16.28</v>
      </c>
      <c r="Q1514">
        <v>16.28</v>
      </c>
      <c r="R1514" t="s">
        <v>30</v>
      </c>
      <c r="S1514">
        <v>29</v>
      </c>
      <c r="T1514">
        <v>1</v>
      </c>
      <c r="U1514">
        <v>3</v>
      </c>
      <c r="V1514">
        <v>146.53</v>
      </c>
      <c r="W1514">
        <v>13130001512</v>
      </c>
    </row>
    <row r="1515" spans="1:23" x14ac:dyDescent="0.2">
      <c r="A1515" s="1">
        <v>44804</v>
      </c>
      <c r="B1515" s="2">
        <v>0.84001157407407412</v>
      </c>
      <c r="C1515">
        <v>2513</v>
      </c>
      <c r="D1515">
        <v>13002561</v>
      </c>
      <c r="E1515">
        <v>13</v>
      </c>
      <c r="F1515">
        <v>22589</v>
      </c>
      <c r="G1515" t="s">
        <v>23</v>
      </c>
      <c r="H1515">
        <v>15</v>
      </c>
      <c r="I1515">
        <v>57292</v>
      </c>
      <c r="J1515" t="s">
        <v>123</v>
      </c>
      <c r="K1515" t="s">
        <v>28</v>
      </c>
      <c r="L1515" t="s">
        <v>39</v>
      </c>
      <c r="M1515">
        <v>1</v>
      </c>
      <c r="N1515">
        <v>218.9</v>
      </c>
      <c r="O1515">
        <v>327.66000000000003</v>
      </c>
      <c r="P1515">
        <v>0</v>
      </c>
      <c r="Q1515">
        <v>0</v>
      </c>
      <c r="S1515">
        <v>29</v>
      </c>
      <c r="T1515">
        <v>1</v>
      </c>
      <c r="U1515">
        <v>1</v>
      </c>
      <c r="V1515">
        <v>327.66000000000003</v>
      </c>
      <c r="W1515">
        <v>13130001513</v>
      </c>
    </row>
    <row r="1516" spans="1:23" x14ac:dyDescent="0.2">
      <c r="A1516" s="1">
        <v>44802</v>
      </c>
      <c r="B1516" s="2">
        <v>0.76696759259259262</v>
      </c>
      <c r="C1516">
        <v>2514</v>
      </c>
      <c r="D1516">
        <v>13002561</v>
      </c>
      <c r="E1516">
        <v>13</v>
      </c>
      <c r="F1516">
        <v>22589</v>
      </c>
      <c r="G1516" t="s">
        <v>23</v>
      </c>
      <c r="H1516">
        <v>18</v>
      </c>
      <c r="I1516">
        <v>14491</v>
      </c>
      <c r="J1516" t="s">
        <v>109</v>
      </c>
      <c r="K1516" t="s">
        <v>28</v>
      </c>
      <c r="L1516" t="s">
        <v>47</v>
      </c>
      <c r="M1516">
        <v>2</v>
      </c>
      <c r="N1516">
        <v>113.26</v>
      </c>
      <c r="O1516">
        <v>164.31</v>
      </c>
      <c r="P1516">
        <v>8.2200000000000006</v>
      </c>
      <c r="Q1516">
        <v>8.2200000000000006</v>
      </c>
      <c r="R1516" t="s">
        <v>30</v>
      </c>
      <c r="S1516">
        <v>29</v>
      </c>
      <c r="T1516">
        <v>1</v>
      </c>
      <c r="U1516">
        <v>3</v>
      </c>
      <c r="V1516">
        <v>156.09</v>
      </c>
      <c r="W1516">
        <v>13130001514</v>
      </c>
    </row>
    <row r="1517" spans="1:23" x14ac:dyDescent="0.2">
      <c r="A1517" s="1">
        <v>44776</v>
      </c>
      <c r="B1517" s="2">
        <v>0.44640046296296299</v>
      </c>
      <c r="C1517">
        <v>2515</v>
      </c>
      <c r="D1517">
        <v>13002561</v>
      </c>
      <c r="E1517">
        <v>13</v>
      </c>
      <c r="F1517">
        <v>22589</v>
      </c>
      <c r="G1517" t="s">
        <v>23</v>
      </c>
      <c r="H1517">
        <v>15</v>
      </c>
      <c r="I1517">
        <v>96397</v>
      </c>
      <c r="J1517" t="s">
        <v>95</v>
      </c>
      <c r="K1517" t="s">
        <v>28</v>
      </c>
      <c r="L1517" t="s">
        <v>32</v>
      </c>
      <c r="M1517">
        <v>2</v>
      </c>
      <c r="N1517">
        <v>517.21</v>
      </c>
      <c r="O1517">
        <v>664.72</v>
      </c>
      <c r="P1517">
        <v>66.47</v>
      </c>
      <c r="Q1517">
        <v>66.47</v>
      </c>
      <c r="R1517" t="s">
        <v>30</v>
      </c>
      <c r="S1517">
        <v>29</v>
      </c>
      <c r="T1517">
        <v>1</v>
      </c>
      <c r="U1517">
        <v>6</v>
      </c>
      <c r="V1517">
        <v>598.25</v>
      </c>
      <c r="W1517">
        <v>13130001515</v>
      </c>
    </row>
    <row r="1518" spans="1:23" x14ac:dyDescent="0.2">
      <c r="A1518" s="1">
        <v>44799</v>
      </c>
      <c r="B1518" s="2">
        <v>0.71704861111111107</v>
      </c>
      <c r="C1518">
        <v>2516</v>
      </c>
      <c r="D1518">
        <v>13002561</v>
      </c>
      <c r="E1518">
        <v>13</v>
      </c>
      <c r="F1518">
        <v>22589</v>
      </c>
      <c r="G1518" t="s">
        <v>23</v>
      </c>
      <c r="H1518">
        <v>18</v>
      </c>
      <c r="I1518">
        <v>20845</v>
      </c>
      <c r="J1518" t="s">
        <v>55</v>
      </c>
      <c r="K1518" t="s">
        <v>45</v>
      </c>
      <c r="L1518" t="s">
        <v>39</v>
      </c>
      <c r="M1518">
        <v>1</v>
      </c>
      <c r="N1518">
        <v>496.87</v>
      </c>
      <c r="O1518">
        <v>701.85</v>
      </c>
      <c r="P1518">
        <v>70.19</v>
      </c>
      <c r="Q1518">
        <v>70.19</v>
      </c>
      <c r="R1518" t="s">
        <v>30</v>
      </c>
      <c r="S1518">
        <v>29</v>
      </c>
      <c r="T1518">
        <v>1</v>
      </c>
      <c r="U1518">
        <v>4</v>
      </c>
      <c r="V1518">
        <v>631.66</v>
      </c>
      <c r="W1518">
        <v>13130001516</v>
      </c>
    </row>
    <row r="1519" spans="1:23" x14ac:dyDescent="0.2">
      <c r="A1519" s="1">
        <v>44789</v>
      </c>
      <c r="B1519" s="2">
        <v>0.91267361111111112</v>
      </c>
      <c r="C1519">
        <v>2517</v>
      </c>
      <c r="D1519">
        <v>13002561</v>
      </c>
      <c r="E1519">
        <v>13</v>
      </c>
      <c r="F1519">
        <v>22589</v>
      </c>
      <c r="G1519" t="s">
        <v>23</v>
      </c>
      <c r="H1519">
        <v>18</v>
      </c>
      <c r="I1519">
        <v>30119</v>
      </c>
      <c r="J1519" t="s">
        <v>115</v>
      </c>
      <c r="K1519" t="s">
        <v>38</v>
      </c>
      <c r="L1519" t="s">
        <v>26</v>
      </c>
      <c r="M1519">
        <v>1</v>
      </c>
      <c r="N1519">
        <v>24.63</v>
      </c>
      <c r="O1519">
        <v>37.590000000000003</v>
      </c>
      <c r="P1519">
        <v>3.76</v>
      </c>
      <c r="Q1519">
        <v>3.76</v>
      </c>
      <c r="R1519" t="s">
        <v>30</v>
      </c>
      <c r="S1519">
        <v>29</v>
      </c>
      <c r="T1519">
        <v>1</v>
      </c>
      <c r="U1519">
        <v>1</v>
      </c>
      <c r="V1519">
        <v>33.83</v>
      </c>
      <c r="W1519">
        <v>13130001517</v>
      </c>
    </row>
    <row r="1520" spans="1:23" x14ac:dyDescent="0.2">
      <c r="A1520" s="1">
        <v>44797</v>
      </c>
      <c r="B1520" s="2">
        <v>0.63291666666666668</v>
      </c>
      <c r="C1520">
        <v>2518</v>
      </c>
      <c r="D1520">
        <v>13002561</v>
      </c>
      <c r="E1520">
        <v>13</v>
      </c>
      <c r="F1520">
        <v>22589</v>
      </c>
      <c r="G1520" t="s">
        <v>23</v>
      </c>
      <c r="H1520">
        <v>18</v>
      </c>
      <c r="I1520">
        <v>18672</v>
      </c>
      <c r="J1520" t="s">
        <v>81</v>
      </c>
      <c r="K1520" t="s">
        <v>45</v>
      </c>
      <c r="L1520" t="s">
        <v>34</v>
      </c>
      <c r="M1520">
        <v>3</v>
      </c>
      <c r="N1520">
        <v>305.08999999999997</v>
      </c>
      <c r="O1520">
        <v>402.23</v>
      </c>
      <c r="P1520">
        <v>20.11</v>
      </c>
      <c r="Q1520">
        <v>20.11</v>
      </c>
      <c r="R1520" t="s">
        <v>30</v>
      </c>
      <c r="S1520">
        <v>29</v>
      </c>
      <c r="T1520">
        <v>1</v>
      </c>
      <c r="U1520">
        <v>2</v>
      </c>
      <c r="V1520">
        <v>382.12</v>
      </c>
      <c r="W1520">
        <v>13130001518</v>
      </c>
    </row>
    <row r="1521" spans="1:23" x14ac:dyDescent="0.2">
      <c r="A1521" s="1">
        <v>44802</v>
      </c>
      <c r="B1521" s="2">
        <v>0.95119212962962962</v>
      </c>
      <c r="C1521">
        <v>2519</v>
      </c>
      <c r="D1521">
        <v>13002561</v>
      </c>
      <c r="E1521">
        <v>13</v>
      </c>
      <c r="F1521">
        <v>22589</v>
      </c>
      <c r="G1521" t="s">
        <v>23</v>
      </c>
      <c r="H1521">
        <v>15</v>
      </c>
      <c r="I1521">
        <v>25945</v>
      </c>
      <c r="J1521" t="s">
        <v>114</v>
      </c>
      <c r="K1521" t="s">
        <v>28</v>
      </c>
      <c r="L1521" t="s">
        <v>26</v>
      </c>
      <c r="M1521">
        <v>1</v>
      </c>
      <c r="N1521">
        <v>201.25</v>
      </c>
      <c r="O1521">
        <v>333.66</v>
      </c>
      <c r="P1521">
        <v>16.68</v>
      </c>
      <c r="Q1521">
        <v>16.68</v>
      </c>
      <c r="R1521" t="s">
        <v>30</v>
      </c>
      <c r="S1521">
        <v>29</v>
      </c>
      <c r="T1521">
        <v>1</v>
      </c>
      <c r="U1521">
        <v>3</v>
      </c>
      <c r="V1521">
        <v>316.98</v>
      </c>
      <c r="W1521">
        <v>13130001519</v>
      </c>
    </row>
    <row r="1522" spans="1:23" x14ac:dyDescent="0.2">
      <c r="A1522" s="1">
        <v>44796</v>
      </c>
      <c r="B1522" s="2">
        <v>0.8616435185185185</v>
      </c>
      <c r="C1522">
        <v>2520</v>
      </c>
      <c r="D1522">
        <v>13002561</v>
      </c>
      <c r="E1522">
        <v>13</v>
      </c>
      <c r="F1522">
        <v>22589</v>
      </c>
      <c r="G1522" t="s">
        <v>23</v>
      </c>
      <c r="H1522">
        <v>18</v>
      </c>
      <c r="I1522">
        <v>85513</v>
      </c>
      <c r="J1522" t="s">
        <v>104</v>
      </c>
      <c r="K1522" t="s">
        <v>44</v>
      </c>
      <c r="L1522" t="s">
        <v>34</v>
      </c>
      <c r="M1522">
        <v>3</v>
      </c>
      <c r="N1522">
        <v>386.23</v>
      </c>
      <c r="O1522">
        <v>623.94000000000005</v>
      </c>
      <c r="P1522">
        <v>0</v>
      </c>
      <c r="Q1522">
        <v>0</v>
      </c>
      <c r="S1522">
        <v>29</v>
      </c>
      <c r="T1522">
        <v>1</v>
      </c>
      <c r="U1522">
        <v>1</v>
      </c>
      <c r="V1522">
        <v>623.94000000000005</v>
      </c>
      <c r="W1522">
        <v>13130001520</v>
      </c>
    </row>
    <row r="1523" spans="1:23" x14ac:dyDescent="0.2">
      <c r="A1523" s="1">
        <v>44792</v>
      </c>
      <c r="B1523" s="2">
        <v>0.48196759259259259</v>
      </c>
      <c r="C1523">
        <v>2521</v>
      </c>
      <c r="D1523">
        <v>13002561</v>
      </c>
      <c r="E1523">
        <v>13</v>
      </c>
      <c r="F1523">
        <v>22589</v>
      </c>
      <c r="G1523" t="s">
        <v>23</v>
      </c>
      <c r="H1523">
        <v>18</v>
      </c>
      <c r="I1523">
        <v>51203</v>
      </c>
      <c r="J1523" t="s">
        <v>90</v>
      </c>
      <c r="K1523" t="s">
        <v>44</v>
      </c>
      <c r="L1523" t="s">
        <v>26</v>
      </c>
      <c r="M1523">
        <v>2</v>
      </c>
      <c r="N1523">
        <v>345.03</v>
      </c>
      <c r="O1523">
        <v>457.6</v>
      </c>
      <c r="P1523">
        <v>0</v>
      </c>
      <c r="Q1523">
        <v>0</v>
      </c>
      <c r="S1523">
        <v>29</v>
      </c>
      <c r="T1523">
        <v>1</v>
      </c>
      <c r="U1523">
        <v>6</v>
      </c>
      <c r="V1523">
        <v>457.6</v>
      </c>
      <c r="W1523">
        <v>13130001521</v>
      </c>
    </row>
    <row r="1524" spans="1:23" x14ac:dyDescent="0.2">
      <c r="A1524" s="1">
        <v>44775</v>
      </c>
      <c r="B1524" s="2">
        <v>0.58100694444444445</v>
      </c>
      <c r="C1524">
        <v>2522</v>
      </c>
      <c r="D1524">
        <v>13002561</v>
      </c>
      <c r="E1524">
        <v>13</v>
      </c>
      <c r="F1524">
        <v>22589</v>
      </c>
      <c r="G1524" t="s">
        <v>23</v>
      </c>
      <c r="H1524">
        <v>18</v>
      </c>
      <c r="I1524">
        <v>63989</v>
      </c>
      <c r="J1524" t="s">
        <v>87</v>
      </c>
      <c r="K1524" t="s">
        <v>60</v>
      </c>
      <c r="L1524" t="s">
        <v>36</v>
      </c>
      <c r="M1524">
        <v>3</v>
      </c>
      <c r="N1524">
        <v>567.53</v>
      </c>
      <c r="O1524">
        <v>930.36</v>
      </c>
      <c r="P1524">
        <v>0</v>
      </c>
      <c r="Q1524">
        <v>0</v>
      </c>
      <c r="S1524">
        <v>29</v>
      </c>
      <c r="T1524">
        <v>1</v>
      </c>
      <c r="U1524">
        <v>4</v>
      </c>
      <c r="V1524">
        <v>930.36</v>
      </c>
      <c r="W1524">
        <v>13130001522</v>
      </c>
    </row>
    <row r="1525" spans="1:23" x14ac:dyDescent="0.2">
      <c r="A1525" s="1">
        <v>44794</v>
      </c>
      <c r="B1525" s="2">
        <v>0.46386574074074072</v>
      </c>
      <c r="C1525">
        <v>2523</v>
      </c>
      <c r="D1525">
        <v>13002561</v>
      </c>
      <c r="E1525">
        <v>13</v>
      </c>
      <c r="F1525">
        <v>22589</v>
      </c>
      <c r="G1525" t="s">
        <v>23</v>
      </c>
      <c r="H1525">
        <v>18</v>
      </c>
      <c r="I1525">
        <v>31905</v>
      </c>
      <c r="J1525" t="s">
        <v>67</v>
      </c>
      <c r="K1525" t="s">
        <v>44</v>
      </c>
      <c r="L1525" t="s">
        <v>47</v>
      </c>
      <c r="M1525">
        <v>3</v>
      </c>
      <c r="N1525">
        <v>443.16</v>
      </c>
      <c r="O1525">
        <v>573.80999999999995</v>
      </c>
      <c r="P1525">
        <v>57.38</v>
      </c>
      <c r="Q1525">
        <v>57.38</v>
      </c>
      <c r="R1525" t="s">
        <v>30</v>
      </c>
      <c r="S1525">
        <v>29</v>
      </c>
      <c r="T1525">
        <v>1</v>
      </c>
      <c r="U1525">
        <v>4</v>
      </c>
      <c r="V1525">
        <v>516.42999999999995</v>
      </c>
      <c r="W1525">
        <v>13130001523</v>
      </c>
    </row>
    <row r="1526" spans="1:23" x14ac:dyDescent="0.2">
      <c r="A1526" s="1">
        <v>44794</v>
      </c>
      <c r="B1526" s="2">
        <v>0.42226851851851849</v>
      </c>
      <c r="C1526">
        <v>2524</v>
      </c>
      <c r="D1526">
        <v>13002561</v>
      </c>
      <c r="E1526">
        <v>13</v>
      </c>
      <c r="F1526">
        <v>22589</v>
      </c>
      <c r="G1526" t="s">
        <v>23</v>
      </c>
      <c r="H1526">
        <v>18</v>
      </c>
      <c r="I1526">
        <v>19817</v>
      </c>
      <c r="J1526" t="s">
        <v>78</v>
      </c>
      <c r="K1526" t="s">
        <v>28</v>
      </c>
      <c r="L1526" t="s">
        <v>51</v>
      </c>
      <c r="M1526">
        <v>3</v>
      </c>
      <c r="N1526">
        <v>316.93</v>
      </c>
      <c r="O1526">
        <v>517.74</v>
      </c>
      <c r="P1526">
        <v>0</v>
      </c>
      <c r="Q1526">
        <v>0</v>
      </c>
      <c r="S1526">
        <v>29</v>
      </c>
      <c r="T1526">
        <v>1</v>
      </c>
      <c r="U1526">
        <v>6</v>
      </c>
      <c r="V1526">
        <v>517.74</v>
      </c>
      <c r="W1526">
        <v>13130001524</v>
      </c>
    </row>
    <row r="1527" spans="1:23" x14ac:dyDescent="0.2">
      <c r="A1527" s="1">
        <v>44794</v>
      </c>
      <c r="B1527" s="2">
        <v>0.53023148148148147</v>
      </c>
      <c r="C1527">
        <v>2525</v>
      </c>
      <c r="D1527">
        <v>13002561</v>
      </c>
      <c r="E1527">
        <v>13</v>
      </c>
      <c r="F1527">
        <v>22589</v>
      </c>
      <c r="G1527" t="s">
        <v>23</v>
      </c>
      <c r="H1527">
        <v>18</v>
      </c>
      <c r="I1527">
        <v>99198</v>
      </c>
      <c r="J1527" t="s">
        <v>66</v>
      </c>
      <c r="K1527" t="s">
        <v>28</v>
      </c>
      <c r="L1527" t="s">
        <v>36</v>
      </c>
      <c r="M1527">
        <v>3</v>
      </c>
      <c r="N1527">
        <v>285.91000000000003</v>
      </c>
      <c r="O1527">
        <v>485.61</v>
      </c>
      <c r="P1527">
        <v>0</v>
      </c>
      <c r="Q1527">
        <v>0</v>
      </c>
      <c r="S1527">
        <v>29</v>
      </c>
      <c r="T1527">
        <v>1</v>
      </c>
      <c r="U1527">
        <v>6</v>
      </c>
      <c r="V1527">
        <v>485.61</v>
      </c>
      <c r="W1527">
        <v>13130001525</v>
      </c>
    </row>
    <row r="1528" spans="1:23" x14ac:dyDescent="0.2">
      <c r="A1528" s="1">
        <v>44784</v>
      </c>
      <c r="B1528" s="2">
        <v>0.60611111111111116</v>
      </c>
      <c r="C1528">
        <v>2526</v>
      </c>
      <c r="D1528">
        <v>13002561</v>
      </c>
      <c r="E1528">
        <v>13</v>
      </c>
      <c r="F1528">
        <v>22589</v>
      </c>
      <c r="G1528" t="s">
        <v>23</v>
      </c>
      <c r="H1528">
        <v>15</v>
      </c>
      <c r="I1528">
        <v>47129</v>
      </c>
      <c r="J1528" t="s">
        <v>41</v>
      </c>
      <c r="K1528" t="s">
        <v>60</v>
      </c>
      <c r="L1528" t="s">
        <v>34</v>
      </c>
      <c r="M1528">
        <v>1</v>
      </c>
      <c r="N1528">
        <v>512.74</v>
      </c>
      <c r="O1528">
        <v>825.08</v>
      </c>
      <c r="P1528">
        <v>82.51</v>
      </c>
      <c r="Q1528">
        <v>82.51</v>
      </c>
      <c r="R1528" t="s">
        <v>30</v>
      </c>
      <c r="S1528">
        <v>29</v>
      </c>
      <c r="T1528">
        <v>1</v>
      </c>
      <c r="U1528">
        <v>5</v>
      </c>
      <c r="V1528">
        <v>742.57</v>
      </c>
      <c r="W1528">
        <v>13130001526</v>
      </c>
    </row>
    <row r="1529" spans="1:23" x14ac:dyDescent="0.2">
      <c r="A1529" s="1">
        <v>44795</v>
      </c>
      <c r="B1529" s="2">
        <v>0.44947916666666671</v>
      </c>
      <c r="C1529">
        <v>2527</v>
      </c>
      <c r="D1529">
        <v>13002561</v>
      </c>
      <c r="E1529">
        <v>13</v>
      </c>
      <c r="F1529">
        <v>22589</v>
      </c>
      <c r="G1529" t="s">
        <v>23</v>
      </c>
      <c r="H1529">
        <v>15</v>
      </c>
      <c r="I1529">
        <v>95182</v>
      </c>
      <c r="J1529" t="s">
        <v>128</v>
      </c>
      <c r="K1529" t="s">
        <v>25</v>
      </c>
      <c r="L1529" t="s">
        <v>39</v>
      </c>
      <c r="M1529">
        <v>3</v>
      </c>
      <c r="N1529">
        <v>149.91999999999999</v>
      </c>
      <c r="O1529">
        <v>253.94</v>
      </c>
      <c r="P1529">
        <v>12.7</v>
      </c>
      <c r="Q1529">
        <v>12.7</v>
      </c>
      <c r="R1529" t="s">
        <v>30</v>
      </c>
      <c r="S1529">
        <v>29</v>
      </c>
      <c r="T1529">
        <v>1</v>
      </c>
      <c r="U1529">
        <v>3</v>
      </c>
      <c r="V1529">
        <v>241.24</v>
      </c>
      <c r="W1529">
        <v>13130001527</v>
      </c>
    </row>
    <row r="1530" spans="1:23" x14ac:dyDescent="0.2">
      <c r="A1530" s="1">
        <v>44801</v>
      </c>
      <c r="B1530" s="2">
        <v>0.50313657407407408</v>
      </c>
      <c r="C1530">
        <v>2528</v>
      </c>
      <c r="D1530">
        <v>13002561</v>
      </c>
      <c r="E1530">
        <v>13</v>
      </c>
      <c r="F1530">
        <v>22589</v>
      </c>
      <c r="G1530" t="s">
        <v>23</v>
      </c>
      <c r="H1530">
        <v>18</v>
      </c>
      <c r="I1530">
        <v>57211</v>
      </c>
      <c r="J1530" t="s">
        <v>65</v>
      </c>
      <c r="K1530" t="s">
        <v>45</v>
      </c>
      <c r="L1530" t="s">
        <v>34</v>
      </c>
      <c r="M1530">
        <v>2</v>
      </c>
      <c r="N1530">
        <v>391</v>
      </c>
      <c r="O1530">
        <v>597.35</v>
      </c>
      <c r="P1530">
        <v>0</v>
      </c>
      <c r="Q1530">
        <v>0</v>
      </c>
      <c r="S1530">
        <v>29</v>
      </c>
      <c r="T1530">
        <v>1</v>
      </c>
      <c r="U1530">
        <v>2</v>
      </c>
      <c r="V1530">
        <v>597.35</v>
      </c>
      <c r="W1530">
        <v>13130001528</v>
      </c>
    </row>
    <row r="1531" spans="1:23" x14ac:dyDescent="0.2">
      <c r="A1531" s="1">
        <v>44775</v>
      </c>
      <c r="B1531" s="2">
        <v>0.69810185185185181</v>
      </c>
      <c r="C1531">
        <v>2529</v>
      </c>
      <c r="D1531">
        <v>13002561</v>
      </c>
      <c r="E1531">
        <v>13</v>
      </c>
      <c r="F1531">
        <v>22589</v>
      </c>
      <c r="G1531" t="s">
        <v>23</v>
      </c>
      <c r="H1531">
        <v>15</v>
      </c>
      <c r="I1531">
        <v>15509</v>
      </c>
      <c r="J1531" t="s">
        <v>66</v>
      </c>
      <c r="K1531" t="s">
        <v>44</v>
      </c>
      <c r="L1531" t="s">
        <v>29</v>
      </c>
      <c r="M1531">
        <v>1</v>
      </c>
      <c r="N1531">
        <v>497.48</v>
      </c>
      <c r="O1531">
        <v>768.22</v>
      </c>
      <c r="P1531">
        <v>38.409999999999997</v>
      </c>
      <c r="Q1531">
        <v>38.409999999999997</v>
      </c>
      <c r="R1531" t="s">
        <v>30</v>
      </c>
      <c r="S1531">
        <v>29</v>
      </c>
      <c r="T1531">
        <v>1</v>
      </c>
      <c r="U1531">
        <v>3</v>
      </c>
      <c r="V1531">
        <v>729.81</v>
      </c>
      <c r="W1531">
        <v>13130001529</v>
      </c>
    </row>
    <row r="1532" spans="1:23" x14ac:dyDescent="0.2">
      <c r="A1532" s="1">
        <v>44790</v>
      </c>
      <c r="B1532" s="2">
        <v>0.8118981481481482</v>
      </c>
      <c r="C1532">
        <v>2530</v>
      </c>
      <c r="D1532">
        <v>13002561</v>
      </c>
      <c r="E1532">
        <v>13</v>
      </c>
      <c r="F1532">
        <v>22589</v>
      </c>
      <c r="G1532" t="s">
        <v>23</v>
      </c>
      <c r="H1532">
        <v>15</v>
      </c>
      <c r="I1532">
        <v>93606</v>
      </c>
      <c r="J1532" t="s">
        <v>66</v>
      </c>
      <c r="K1532" t="s">
        <v>45</v>
      </c>
      <c r="L1532" t="s">
        <v>26</v>
      </c>
      <c r="M1532">
        <v>1</v>
      </c>
      <c r="N1532">
        <v>63.47</v>
      </c>
      <c r="O1532">
        <v>93.05</v>
      </c>
      <c r="P1532">
        <v>4.6500000000000004</v>
      </c>
      <c r="Q1532">
        <v>4.6500000000000004</v>
      </c>
      <c r="R1532" t="s">
        <v>30</v>
      </c>
      <c r="S1532">
        <v>29</v>
      </c>
      <c r="T1532">
        <v>1</v>
      </c>
      <c r="U1532">
        <v>4</v>
      </c>
      <c r="V1532">
        <v>88.4</v>
      </c>
      <c r="W1532">
        <v>13130001530</v>
      </c>
    </row>
    <row r="1533" spans="1:23" x14ac:dyDescent="0.2">
      <c r="A1533" s="1">
        <v>44785</v>
      </c>
      <c r="B1533" s="2">
        <v>0.56141203703703701</v>
      </c>
      <c r="C1533">
        <v>2531</v>
      </c>
      <c r="D1533">
        <v>13002561</v>
      </c>
      <c r="E1533">
        <v>13</v>
      </c>
      <c r="F1533">
        <v>22589</v>
      </c>
      <c r="G1533" t="s">
        <v>23</v>
      </c>
      <c r="H1533">
        <v>18</v>
      </c>
      <c r="I1533">
        <v>23975</v>
      </c>
      <c r="J1533" t="s">
        <v>69</v>
      </c>
      <c r="K1533" t="s">
        <v>44</v>
      </c>
      <c r="L1533" t="s">
        <v>26</v>
      </c>
      <c r="M1533">
        <v>2</v>
      </c>
      <c r="N1533">
        <v>308.19</v>
      </c>
      <c r="O1533">
        <v>522.36</v>
      </c>
      <c r="P1533">
        <v>26.12</v>
      </c>
      <c r="Q1533">
        <v>26.12</v>
      </c>
      <c r="R1533" t="s">
        <v>30</v>
      </c>
      <c r="S1533">
        <v>29</v>
      </c>
      <c r="T1533">
        <v>1</v>
      </c>
      <c r="U1533">
        <v>4</v>
      </c>
      <c r="V1533">
        <v>496.24</v>
      </c>
      <c r="W1533">
        <v>13130001531</v>
      </c>
    </row>
    <row r="1534" spans="1:23" x14ac:dyDescent="0.2">
      <c r="A1534" s="1">
        <v>44795</v>
      </c>
      <c r="B1534" s="2">
        <v>0.72657407407407404</v>
      </c>
      <c r="C1534">
        <v>2532</v>
      </c>
      <c r="D1534">
        <v>13002561</v>
      </c>
      <c r="E1534">
        <v>13</v>
      </c>
      <c r="F1534">
        <v>22589</v>
      </c>
      <c r="G1534" t="s">
        <v>23</v>
      </c>
      <c r="H1534">
        <v>18</v>
      </c>
      <c r="I1534">
        <v>68935</v>
      </c>
      <c r="J1534" t="s">
        <v>125</v>
      </c>
      <c r="K1534" t="s">
        <v>28</v>
      </c>
      <c r="L1534" t="s">
        <v>39</v>
      </c>
      <c r="M1534">
        <v>1</v>
      </c>
      <c r="N1534">
        <v>494.05</v>
      </c>
      <c r="O1534">
        <v>735.53</v>
      </c>
      <c r="P1534">
        <v>36.78</v>
      </c>
      <c r="Q1534">
        <v>36.78</v>
      </c>
      <c r="R1534" t="s">
        <v>30</v>
      </c>
      <c r="S1534">
        <v>29</v>
      </c>
      <c r="T1534">
        <v>1</v>
      </c>
      <c r="U1534">
        <v>2</v>
      </c>
      <c r="V1534">
        <v>698.75</v>
      </c>
      <c r="W1534">
        <v>13130001532</v>
      </c>
    </row>
    <row r="1535" spans="1:23" x14ac:dyDescent="0.2">
      <c r="A1535" s="1">
        <v>44790</v>
      </c>
      <c r="B1535" s="2">
        <v>0.87383101851851852</v>
      </c>
      <c r="C1535">
        <v>2533</v>
      </c>
      <c r="D1535">
        <v>13002561</v>
      </c>
      <c r="E1535">
        <v>13</v>
      </c>
      <c r="F1535">
        <v>22589</v>
      </c>
      <c r="G1535" t="s">
        <v>23</v>
      </c>
      <c r="H1535">
        <v>18</v>
      </c>
      <c r="I1535">
        <v>63340</v>
      </c>
      <c r="J1535" t="s">
        <v>125</v>
      </c>
      <c r="K1535" t="s">
        <v>60</v>
      </c>
      <c r="L1535" t="s">
        <v>39</v>
      </c>
      <c r="M1535">
        <v>1</v>
      </c>
      <c r="N1535">
        <v>235.21</v>
      </c>
      <c r="O1535">
        <v>372.25</v>
      </c>
      <c r="P1535">
        <v>37.229999999999997</v>
      </c>
      <c r="Q1535">
        <v>37.229999999999997</v>
      </c>
      <c r="R1535" t="s">
        <v>30</v>
      </c>
      <c r="S1535">
        <v>29</v>
      </c>
      <c r="T1535">
        <v>1</v>
      </c>
      <c r="U1535">
        <v>1</v>
      </c>
      <c r="V1535">
        <v>335.02</v>
      </c>
      <c r="W1535">
        <v>13130001533</v>
      </c>
    </row>
    <row r="1536" spans="1:23" x14ac:dyDescent="0.2">
      <c r="A1536" s="1">
        <v>44779</v>
      </c>
      <c r="B1536" s="2">
        <v>0.63332175925925926</v>
      </c>
      <c r="C1536">
        <v>2534</v>
      </c>
      <c r="D1536">
        <v>13002561</v>
      </c>
      <c r="E1536">
        <v>13</v>
      </c>
      <c r="F1536">
        <v>22589</v>
      </c>
      <c r="G1536" t="s">
        <v>23</v>
      </c>
      <c r="H1536">
        <v>18</v>
      </c>
      <c r="I1536">
        <v>19244</v>
      </c>
      <c r="J1536" t="s">
        <v>113</v>
      </c>
      <c r="K1536" t="s">
        <v>45</v>
      </c>
      <c r="L1536" t="s">
        <v>34</v>
      </c>
      <c r="M1536">
        <v>1</v>
      </c>
      <c r="N1536">
        <v>564.94000000000005</v>
      </c>
      <c r="O1536">
        <v>957.47</v>
      </c>
      <c r="P1536">
        <v>47.87</v>
      </c>
      <c r="Q1536">
        <v>47.87</v>
      </c>
      <c r="R1536" t="s">
        <v>30</v>
      </c>
      <c r="S1536">
        <v>29</v>
      </c>
      <c r="T1536">
        <v>1</v>
      </c>
      <c r="U1536">
        <v>6</v>
      </c>
      <c r="V1536">
        <v>909.6</v>
      </c>
      <c r="W1536">
        <v>13130001534</v>
      </c>
    </row>
    <row r="1537" spans="1:23" x14ac:dyDescent="0.2">
      <c r="A1537" s="1">
        <v>44792</v>
      </c>
      <c r="B1537" s="2">
        <v>0.39886574074074072</v>
      </c>
      <c r="C1537">
        <v>2535</v>
      </c>
      <c r="D1537">
        <v>13002561</v>
      </c>
      <c r="E1537">
        <v>13</v>
      </c>
      <c r="F1537">
        <v>22589</v>
      </c>
      <c r="G1537" t="s">
        <v>23</v>
      </c>
      <c r="H1537">
        <v>18</v>
      </c>
      <c r="I1537">
        <v>91047</v>
      </c>
      <c r="J1537" t="s">
        <v>71</v>
      </c>
      <c r="K1537" t="s">
        <v>45</v>
      </c>
      <c r="L1537" t="s">
        <v>34</v>
      </c>
      <c r="M1537">
        <v>2</v>
      </c>
      <c r="N1537">
        <v>364.28</v>
      </c>
      <c r="O1537">
        <v>472.11</v>
      </c>
      <c r="P1537">
        <v>23.61</v>
      </c>
      <c r="Q1537">
        <v>23.61</v>
      </c>
      <c r="R1537" t="s">
        <v>30</v>
      </c>
      <c r="S1537">
        <v>29</v>
      </c>
      <c r="T1537">
        <v>1</v>
      </c>
      <c r="U1537">
        <v>5</v>
      </c>
      <c r="V1537">
        <v>448.5</v>
      </c>
      <c r="W1537">
        <v>13130001535</v>
      </c>
    </row>
    <row r="1538" spans="1:23" x14ac:dyDescent="0.2">
      <c r="A1538" s="1">
        <v>44777</v>
      </c>
      <c r="B1538" s="2">
        <v>0.88659722222222226</v>
      </c>
      <c r="C1538">
        <v>2536</v>
      </c>
      <c r="D1538">
        <v>13002561</v>
      </c>
      <c r="E1538">
        <v>13</v>
      </c>
      <c r="F1538">
        <v>22589</v>
      </c>
      <c r="G1538" t="s">
        <v>23</v>
      </c>
      <c r="H1538">
        <v>15</v>
      </c>
      <c r="I1538">
        <v>28191</v>
      </c>
      <c r="J1538" t="s">
        <v>116</v>
      </c>
      <c r="K1538" t="s">
        <v>44</v>
      </c>
      <c r="L1538" t="s">
        <v>51</v>
      </c>
      <c r="M1538">
        <v>3</v>
      </c>
      <c r="N1538">
        <v>332.32</v>
      </c>
      <c r="O1538">
        <v>551.76</v>
      </c>
      <c r="P1538">
        <v>27.59</v>
      </c>
      <c r="Q1538">
        <v>27.59</v>
      </c>
      <c r="R1538" t="s">
        <v>30</v>
      </c>
      <c r="S1538">
        <v>29</v>
      </c>
      <c r="T1538">
        <v>1</v>
      </c>
      <c r="U1538">
        <v>5</v>
      </c>
      <c r="V1538">
        <v>524.16999999999996</v>
      </c>
      <c r="W1538">
        <v>13130001536</v>
      </c>
    </row>
    <row r="1539" spans="1:23" x14ac:dyDescent="0.2">
      <c r="A1539" s="1">
        <v>44775</v>
      </c>
      <c r="B1539" s="2">
        <v>0.69283564814814813</v>
      </c>
      <c r="C1539">
        <v>2537</v>
      </c>
      <c r="D1539">
        <v>13002561</v>
      </c>
      <c r="E1539">
        <v>13</v>
      </c>
      <c r="F1539">
        <v>22589</v>
      </c>
      <c r="G1539" t="s">
        <v>23</v>
      </c>
      <c r="H1539">
        <v>18</v>
      </c>
      <c r="I1539">
        <v>92475</v>
      </c>
      <c r="J1539" t="s">
        <v>92</v>
      </c>
      <c r="K1539" t="s">
        <v>28</v>
      </c>
      <c r="L1539" t="s">
        <v>36</v>
      </c>
      <c r="M1539">
        <v>3</v>
      </c>
      <c r="N1539">
        <v>51.49</v>
      </c>
      <c r="O1539">
        <v>79.209999999999994</v>
      </c>
      <c r="P1539">
        <v>0</v>
      </c>
      <c r="Q1539">
        <v>0</v>
      </c>
      <c r="S1539">
        <v>29</v>
      </c>
      <c r="T1539">
        <v>1</v>
      </c>
      <c r="U1539">
        <v>4</v>
      </c>
      <c r="V1539">
        <v>79.209999999999994</v>
      </c>
      <c r="W1539">
        <v>13130001537</v>
      </c>
    </row>
    <row r="1540" spans="1:23" x14ac:dyDescent="0.2">
      <c r="A1540" s="1">
        <v>44776</v>
      </c>
      <c r="B1540" s="2">
        <v>0.46369212962962958</v>
      </c>
      <c r="C1540">
        <v>2538</v>
      </c>
      <c r="D1540">
        <v>13002561</v>
      </c>
      <c r="E1540">
        <v>13</v>
      </c>
      <c r="F1540">
        <v>22589</v>
      </c>
      <c r="G1540" t="s">
        <v>23</v>
      </c>
      <c r="H1540">
        <v>15</v>
      </c>
      <c r="I1540">
        <v>21317</v>
      </c>
      <c r="J1540" t="s">
        <v>108</v>
      </c>
      <c r="K1540" t="s">
        <v>38</v>
      </c>
      <c r="L1540" t="s">
        <v>26</v>
      </c>
      <c r="M1540">
        <v>2</v>
      </c>
      <c r="N1540">
        <v>149.68</v>
      </c>
      <c r="O1540">
        <v>224.16</v>
      </c>
      <c r="P1540">
        <v>22.42</v>
      </c>
      <c r="Q1540">
        <v>22.42</v>
      </c>
      <c r="R1540" t="s">
        <v>30</v>
      </c>
      <c r="S1540">
        <v>29</v>
      </c>
      <c r="T1540">
        <v>1</v>
      </c>
      <c r="U1540">
        <v>1</v>
      </c>
      <c r="V1540">
        <v>201.74</v>
      </c>
      <c r="W1540">
        <v>13130001538</v>
      </c>
    </row>
    <row r="1541" spans="1:23" x14ac:dyDescent="0.2">
      <c r="A1541" s="1">
        <v>44784</v>
      </c>
      <c r="B1541" s="2">
        <v>0.53892361111111109</v>
      </c>
      <c r="C1541">
        <v>2539</v>
      </c>
      <c r="D1541">
        <v>13002561</v>
      </c>
      <c r="E1541">
        <v>13</v>
      </c>
      <c r="F1541">
        <v>22589</v>
      </c>
      <c r="G1541" t="s">
        <v>23</v>
      </c>
      <c r="H1541">
        <v>15</v>
      </c>
      <c r="I1541">
        <v>38812</v>
      </c>
      <c r="J1541" t="s">
        <v>76</v>
      </c>
      <c r="K1541" t="s">
        <v>60</v>
      </c>
      <c r="L1541" t="s">
        <v>32</v>
      </c>
      <c r="M1541">
        <v>2</v>
      </c>
      <c r="N1541">
        <v>213.89</v>
      </c>
      <c r="O1541">
        <v>278.94</v>
      </c>
      <c r="P1541">
        <v>13.95</v>
      </c>
      <c r="Q1541">
        <v>13.95</v>
      </c>
      <c r="R1541" t="s">
        <v>30</v>
      </c>
      <c r="S1541">
        <v>29</v>
      </c>
      <c r="T1541">
        <v>1</v>
      </c>
      <c r="U1541">
        <v>6</v>
      </c>
      <c r="V1541">
        <v>264.99</v>
      </c>
      <c r="W1541">
        <v>13130001539</v>
      </c>
    </row>
    <row r="1542" spans="1:23" x14ac:dyDescent="0.2">
      <c r="A1542" s="1">
        <v>44787</v>
      </c>
      <c r="B1542" s="2">
        <v>0.58464120370370365</v>
      </c>
      <c r="C1542">
        <v>2540</v>
      </c>
      <c r="D1542">
        <v>13002561</v>
      </c>
      <c r="E1542">
        <v>13</v>
      </c>
      <c r="F1542">
        <v>22589</v>
      </c>
      <c r="G1542" t="s">
        <v>23</v>
      </c>
      <c r="H1542">
        <v>18</v>
      </c>
      <c r="I1542">
        <v>32996</v>
      </c>
      <c r="J1542" t="s">
        <v>79</v>
      </c>
      <c r="K1542" t="s">
        <v>44</v>
      </c>
      <c r="L1542" t="s">
        <v>32</v>
      </c>
      <c r="M1542">
        <v>1</v>
      </c>
      <c r="N1542">
        <v>128.99</v>
      </c>
      <c r="O1542">
        <v>183.88</v>
      </c>
      <c r="P1542">
        <v>9.19</v>
      </c>
      <c r="Q1542">
        <v>9.19</v>
      </c>
      <c r="R1542" t="s">
        <v>30</v>
      </c>
      <c r="S1542">
        <v>29</v>
      </c>
      <c r="T1542">
        <v>1</v>
      </c>
      <c r="U1542">
        <v>6</v>
      </c>
      <c r="V1542">
        <v>174.69</v>
      </c>
      <c r="W1542">
        <v>13130001540</v>
      </c>
    </row>
    <row r="1543" spans="1:23" x14ac:dyDescent="0.2">
      <c r="A1543" s="1">
        <v>44798</v>
      </c>
      <c r="B1543" s="2">
        <v>0.73395833333333338</v>
      </c>
      <c r="C1543">
        <v>2541</v>
      </c>
      <c r="D1543">
        <v>13002561</v>
      </c>
      <c r="E1543">
        <v>13</v>
      </c>
      <c r="F1543">
        <v>22589</v>
      </c>
      <c r="G1543" t="s">
        <v>23</v>
      </c>
      <c r="H1543">
        <v>15</v>
      </c>
      <c r="I1543">
        <v>70319</v>
      </c>
      <c r="J1543" t="s">
        <v>100</v>
      </c>
      <c r="K1543" t="s">
        <v>60</v>
      </c>
      <c r="L1543" t="s">
        <v>34</v>
      </c>
      <c r="M1543">
        <v>3</v>
      </c>
      <c r="N1543">
        <v>128.16</v>
      </c>
      <c r="O1543">
        <v>199.22</v>
      </c>
      <c r="P1543">
        <v>9.9600000000000009</v>
      </c>
      <c r="Q1543">
        <v>9.9600000000000009</v>
      </c>
      <c r="R1543" t="s">
        <v>30</v>
      </c>
      <c r="S1543">
        <v>29</v>
      </c>
      <c r="T1543">
        <v>1</v>
      </c>
      <c r="U1543">
        <v>2</v>
      </c>
      <c r="V1543">
        <v>189.26</v>
      </c>
      <c r="W1543">
        <v>13130001541</v>
      </c>
    </row>
    <row r="1544" spans="1:23" x14ac:dyDescent="0.2">
      <c r="A1544" s="1">
        <v>44797</v>
      </c>
      <c r="B1544" s="2">
        <v>0.76700231481481485</v>
      </c>
      <c r="C1544">
        <v>2542</v>
      </c>
      <c r="D1544">
        <v>13002561</v>
      </c>
      <c r="E1544">
        <v>13</v>
      </c>
      <c r="F1544">
        <v>22589</v>
      </c>
      <c r="G1544" t="s">
        <v>23</v>
      </c>
      <c r="H1544">
        <v>18</v>
      </c>
      <c r="I1544">
        <v>76046</v>
      </c>
      <c r="J1544" t="s">
        <v>93</v>
      </c>
      <c r="K1544" t="s">
        <v>45</v>
      </c>
      <c r="L1544" t="s">
        <v>47</v>
      </c>
      <c r="M1544">
        <v>1</v>
      </c>
      <c r="N1544">
        <v>281.23</v>
      </c>
      <c r="O1544">
        <v>427.33</v>
      </c>
      <c r="P1544">
        <v>0</v>
      </c>
      <c r="Q1544">
        <v>0</v>
      </c>
      <c r="S1544">
        <v>29</v>
      </c>
      <c r="T1544">
        <v>1</v>
      </c>
      <c r="U1544">
        <v>4</v>
      </c>
      <c r="V1544">
        <v>427.33</v>
      </c>
      <c r="W1544">
        <v>13130001542</v>
      </c>
    </row>
    <row r="1545" spans="1:23" x14ac:dyDescent="0.2">
      <c r="A1545" s="1">
        <v>44784</v>
      </c>
      <c r="B1545" s="2">
        <v>0.66333333333333333</v>
      </c>
      <c r="C1545">
        <v>2543</v>
      </c>
      <c r="D1545">
        <v>13002561</v>
      </c>
      <c r="E1545">
        <v>13</v>
      </c>
      <c r="F1545">
        <v>22589</v>
      </c>
      <c r="G1545" t="s">
        <v>23</v>
      </c>
      <c r="H1545">
        <v>15</v>
      </c>
      <c r="I1545">
        <v>39977</v>
      </c>
      <c r="J1545" t="s">
        <v>84</v>
      </c>
      <c r="K1545" t="s">
        <v>44</v>
      </c>
      <c r="L1545" t="s">
        <v>32</v>
      </c>
      <c r="M1545">
        <v>3</v>
      </c>
      <c r="N1545">
        <v>101.08</v>
      </c>
      <c r="O1545">
        <v>149.96</v>
      </c>
      <c r="P1545">
        <v>7.5</v>
      </c>
      <c r="Q1545">
        <v>7.5</v>
      </c>
      <c r="R1545" t="s">
        <v>30</v>
      </c>
      <c r="S1545">
        <v>29</v>
      </c>
      <c r="T1545">
        <v>1</v>
      </c>
      <c r="U1545">
        <v>6</v>
      </c>
      <c r="V1545">
        <v>142.46</v>
      </c>
      <c r="W1545">
        <v>13130001543</v>
      </c>
    </row>
    <row r="1546" spans="1:23" x14ac:dyDescent="0.2">
      <c r="A1546" s="1">
        <v>44794</v>
      </c>
      <c r="B1546" s="2">
        <v>0.74857638888888889</v>
      </c>
      <c r="C1546">
        <v>2544</v>
      </c>
      <c r="D1546">
        <v>13002561</v>
      </c>
      <c r="E1546">
        <v>13</v>
      </c>
      <c r="F1546">
        <v>22589</v>
      </c>
      <c r="G1546" t="s">
        <v>23</v>
      </c>
      <c r="H1546">
        <v>18</v>
      </c>
      <c r="I1546">
        <v>41078</v>
      </c>
      <c r="J1546" t="s">
        <v>71</v>
      </c>
      <c r="K1546" t="s">
        <v>60</v>
      </c>
      <c r="L1546" t="s">
        <v>26</v>
      </c>
      <c r="M1546">
        <v>3</v>
      </c>
      <c r="N1546">
        <v>79.39</v>
      </c>
      <c r="O1546">
        <v>109.21</v>
      </c>
      <c r="P1546">
        <v>0</v>
      </c>
      <c r="Q1546">
        <v>0</v>
      </c>
      <c r="S1546">
        <v>29</v>
      </c>
      <c r="T1546">
        <v>1</v>
      </c>
      <c r="U1546">
        <v>3</v>
      </c>
      <c r="V1546">
        <v>109.21</v>
      </c>
      <c r="W1546">
        <v>13130001544</v>
      </c>
    </row>
    <row r="1547" spans="1:23" x14ac:dyDescent="0.2">
      <c r="A1547" s="1">
        <v>44780</v>
      </c>
      <c r="B1547" s="2">
        <v>0.71740740740740738</v>
      </c>
      <c r="C1547">
        <v>2545</v>
      </c>
      <c r="D1547">
        <v>13002561</v>
      </c>
      <c r="E1547">
        <v>13</v>
      </c>
      <c r="F1547">
        <v>22589</v>
      </c>
      <c r="G1547" t="s">
        <v>23</v>
      </c>
      <c r="H1547">
        <v>15</v>
      </c>
      <c r="I1547">
        <v>77660</v>
      </c>
      <c r="J1547" t="s">
        <v>116</v>
      </c>
      <c r="K1547" t="s">
        <v>25</v>
      </c>
      <c r="L1547" t="s">
        <v>39</v>
      </c>
      <c r="M1547">
        <v>3</v>
      </c>
      <c r="N1547">
        <v>582.51</v>
      </c>
      <c r="O1547">
        <v>729.64</v>
      </c>
      <c r="P1547">
        <v>0</v>
      </c>
      <c r="Q1547">
        <v>0</v>
      </c>
      <c r="S1547">
        <v>29</v>
      </c>
      <c r="T1547">
        <v>1</v>
      </c>
      <c r="U1547">
        <v>6</v>
      </c>
      <c r="V1547">
        <v>729.64</v>
      </c>
      <c r="W1547">
        <v>13130001545</v>
      </c>
    </row>
    <row r="1548" spans="1:23" x14ac:dyDescent="0.2">
      <c r="A1548" s="1">
        <v>44796</v>
      </c>
      <c r="B1548" s="2">
        <v>0.37694444444444453</v>
      </c>
      <c r="C1548">
        <v>2546</v>
      </c>
      <c r="D1548">
        <v>13002561</v>
      </c>
      <c r="E1548">
        <v>13</v>
      </c>
      <c r="F1548">
        <v>22589</v>
      </c>
      <c r="G1548" t="s">
        <v>23</v>
      </c>
      <c r="H1548">
        <v>15</v>
      </c>
      <c r="I1548">
        <v>45787</v>
      </c>
      <c r="J1548" t="s">
        <v>81</v>
      </c>
      <c r="K1548" t="s">
        <v>28</v>
      </c>
      <c r="L1548" t="s">
        <v>51</v>
      </c>
      <c r="M1548">
        <v>1</v>
      </c>
      <c r="N1548">
        <v>377.75</v>
      </c>
      <c r="O1548">
        <v>513.84</v>
      </c>
      <c r="P1548">
        <v>51.38</v>
      </c>
      <c r="Q1548">
        <v>51.38</v>
      </c>
      <c r="R1548" t="s">
        <v>30</v>
      </c>
      <c r="S1548">
        <v>29</v>
      </c>
      <c r="T1548">
        <v>1</v>
      </c>
      <c r="U1548">
        <v>3</v>
      </c>
      <c r="V1548">
        <v>462.46</v>
      </c>
      <c r="W1548">
        <v>13130001546</v>
      </c>
    </row>
    <row r="1549" spans="1:23" x14ac:dyDescent="0.2">
      <c r="A1549" s="1">
        <v>44790</v>
      </c>
      <c r="B1549" s="2">
        <v>0.40372685185185192</v>
      </c>
      <c r="C1549">
        <v>2547</v>
      </c>
      <c r="D1549">
        <v>13002561</v>
      </c>
      <c r="E1549">
        <v>13</v>
      </c>
      <c r="F1549">
        <v>22589</v>
      </c>
      <c r="G1549" t="s">
        <v>23</v>
      </c>
      <c r="H1549">
        <v>15</v>
      </c>
      <c r="I1549">
        <v>20852</v>
      </c>
      <c r="J1549" t="s">
        <v>64</v>
      </c>
      <c r="K1549" t="s">
        <v>28</v>
      </c>
      <c r="L1549" t="s">
        <v>32</v>
      </c>
      <c r="M1549">
        <v>2</v>
      </c>
      <c r="N1549">
        <v>320.75</v>
      </c>
      <c r="O1549">
        <v>448.15</v>
      </c>
      <c r="P1549">
        <v>22.41</v>
      </c>
      <c r="Q1549">
        <v>22.41</v>
      </c>
      <c r="R1549" t="s">
        <v>30</v>
      </c>
      <c r="S1549">
        <v>29</v>
      </c>
      <c r="T1549">
        <v>1</v>
      </c>
      <c r="U1549">
        <v>5</v>
      </c>
      <c r="V1549">
        <v>425.74</v>
      </c>
      <c r="W1549">
        <v>13130001547</v>
      </c>
    </row>
    <row r="1550" spans="1:23" x14ac:dyDescent="0.2">
      <c r="A1550" s="1">
        <v>44802</v>
      </c>
      <c r="B1550" s="2">
        <v>0.77493055555555557</v>
      </c>
      <c r="C1550">
        <v>2548</v>
      </c>
      <c r="D1550">
        <v>13002561</v>
      </c>
      <c r="E1550">
        <v>13</v>
      </c>
      <c r="F1550">
        <v>22589</v>
      </c>
      <c r="G1550" t="s">
        <v>23</v>
      </c>
      <c r="H1550">
        <v>18</v>
      </c>
      <c r="I1550">
        <v>56699</v>
      </c>
      <c r="J1550" t="s">
        <v>103</v>
      </c>
      <c r="K1550" t="s">
        <v>44</v>
      </c>
      <c r="L1550" t="s">
        <v>34</v>
      </c>
      <c r="M1550">
        <v>3</v>
      </c>
      <c r="N1550">
        <v>540.15</v>
      </c>
      <c r="O1550">
        <v>885.92</v>
      </c>
      <c r="P1550">
        <v>0</v>
      </c>
      <c r="Q1550">
        <v>0</v>
      </c>
      <c r="S1550">
        <v>29</v>
      </c>
      <c r="T1550">
        <v>1</v>
      </c>
      <c r="U1550">
        <v>4</v>
      </c>
      <c r="V1550">
        <v>885.92</v>
      </c>
      <c r="W1550">
        <v>13130001548</v>
      </c>
    </row>
    <row r="1551" spans="1:23" x14ac:dyDescent="0.2">
      <c r="A1551" s="1">
        <v>44787</v>
      </c>
      <c r="B1551" s="2">
        <v>0.4251388888888889</v>
      </c>
      <c r="C1551">
        <v>2549</v>
      </c>
      <c r="D1551">
        <v>13002561</v>
      </c>
      <c r="E1551">
        <v>13</v>
      </c>
      <c r="F1551">
        <v>22589</v>
      </c>
      <c r="G1551" t="s">
        <v>23</v>
      </c>
      <c r="H1551">
        <v>18</v>
      </c>
      <c r="I1551">
        <v>39894</v>
      </c>
      <c r="J1551" t="s">
        <v>111</v>
      </c>
      <c r="K1551" t="s">
        <v>44</v>
      </c>
      <c r="L1551" t="s">
        <v>36</v>
      </c>
      <c r="M1551">
        <v>1</v>
      </c>
      <c r="N1551">
        <v>385.55</v>
      </c>
      <c r="O1551">
        <v>515.09</v>
      </c>
      <c r="P1551">
        <v>51.51</v>
      </c>
      <c r="Q1551">
        <v>51.51</v>
      </c>
      <c r="R1551" t="s">
        <v>30</v>
      </c>
      <c r="S1551">
        <v>29</v>
      </c>
      <c r="T1551">
        <v>1</v>
      </c>
      <c r="U1551">
        <v>1</v>
      </c>
      <c r="V1551">
        <v>463.58</v>
      </c>
      <c r="W1551">
        <v>13130001549</v>
      </c>
    </row>
    <row r="1552" spans="1:23" x14ac:dyDescent="0.2">
      <c r="A1552" s="1">
        <v>44803</v>
      </c>
      <c r="B1552" s="2">
        <v>0.82277777777777783</v>
      </c>
      <c r="C1552">
        <v>2550</v>
      </c>
      <c r="D1552">
        <v>13002561</v>
      </c>
      <c r="E1552">
        <v>13</v>
      </c>
      <c r="F1552">
        <v>22589</v>
      </c>
      <c r="G1552" t="s">
        <v>23</v>
      </c>
      <c r="H1552">
        <v>18</v>
      </c>
      <c r="I1552">
        <v>74087</v>
      </c>
      <c r="J1552" t="s">
        <v>105</v>
      </c>
      <c r="K1552" t="s">
        <v>44</v>
      </c>
      <c r="L1552" t="s">
        <v>26</v>
      </c>
      <c r="M1552">
        <v>3</v>
      </c>
      <c r="N1552">
        <v>250.7</v>
      </c>
      <c r="O1552">
        <v>405.57</v>
      </c>
      <c r="P1552">
        <v>20.28</v>
      </c>
      <c r="Q1552">
        <v>20.28</v>
      </c>
      <c r="R1552" t="s">
        <v>30</v>
      </c>
      <c r="S1552">
        <v>29</v>
      </c>
      <c r="T1552">
        <v>1</v>
      </c>
      <c r="U1552">
        <v>5</v>
      </c>
      <c r="V1552">
        <v>385.29</v>
      </c>
      <c r="W1552">
        <v>13130001550</v>
      </c>
    </row>
    <row r="1553" spans="1:23" x14ac:dyDescent="0.2">
      <c r="A1553" s="1">
        <v>44784</v>
      </c>
      <c r="B1553" s="2">
        <v>0.5451273148148148</v>
      </c>
      <c r="C1553">
        <v>2551</v>
      </c>
      <c r="D1553">
        <v>13002561</v>
      </c>
      <c r="E1553">
        <v>13</v>
      </c>
      <c r="F1553">
        <v>22589</v>
      </c>
      <c r="G1553" t="s">
        <v>23</v>
      </c>
      <c r="H1553">
        <v>18</v>
      </c>
      <c r="I1553">
        <v>24330</v>
      </c>
      <c r="J1553" t="s">
        <v>67</v>
      </c>
      <c r="K1553" t="s">
        <v>60</v>
      </c>
      <c r="L1553" t="s">
        <v>51</v>
      </c>
      <c r="M1553">
        <v>1</v>
      </c>
      <c r="N1553">
        <v>404.66</v>
      </c>
      <c r="O1553">
        <v>546.52</v>
      </c>
      <c r="P1553">
        <v>54.65</v>
      </c>
      <c r="Q1553">
        <v>54.65</v>
      </c>
      <c r="R1553" t="s">
        <v>30</v>
      </c>
      <c r="S1553">
        <v>29</v>
      </c>
      <c r="T1553">
        <v>1</v>
      </c>
      <c r="U1553">
        <v>3</v>
      </c>
      <c r="V1553">
        <v>491.87</v>
      </c>
      <c r="W1553">
        <v>13130001551</v>
      </c>
    </row>
    <row r="1554" spans="1:23" x14ac:dyDescent="0.2">
      <c r="A1554" s="1">
        <v>44792</v>
      </c>
      <c r="B1554" s="2">
        <v>0.75958333333333339</v>
      </c>
      <c r="C1554">
        <v>2552</v>
      </c>
      <c r="D1554">
        <v>13002561</v>
      </c>
      <c r="E1554">
        <v>13</v>
      </c>
      <c r="F1554">
        <v>22589</v>
      </c>
      <c r="G1554" t="s">
        <v>23</v>
      </c>
      <c r="H1554">
        <v>15</v>
      </c>
      <c r="I1554">
        <v>77313</v>
      </c>
      <c r="J1554" t="s">
        <v>99</v>
      </c>
      <c r="K1554" t="s">
        <v>45</v>
      </c>
      <c r="L1554" t="s">
        <v>39</v>
      </c>
      <c r="M1554">
        <v>1</v>
      </c>
      <c r="N1554">
        <v>435.79</v>
      </c>
      <c r="O1554">
        <v>551.11</v>
      </c>
      <c r="P1554">
        <v>27.56</v>
      </c>
      <c r="Q1554">
        <v>27.56</v>
      </c>
      <c r="R1554" t="s">
        <v>30</v>
      </c>
      <c r="S1554">
        <v>29</v>
      </c>
      <c r="T1554">
        <v>1</v>
      </c>
      <c r="U1554">
        <v>5</v>
      </c>
      <c r="V1554">
        <v>523.54999999999995</v>
      </c>
      <c r="W1554">
        <v>13130001552</v>
      </c>
    </row>
    <row r="1555" spans="1:23" x14ac:dyDescent="0.2">
      <c r="A1555" s="1">
        <v>44802</v>
      </c>
      <c r="B1555" s="2">
        <v>0.47031250000000002</v>
      </c>
      <c r="C1555">
        <v>2553</v>
      </c>
      <c r="D1555">
        <v>13002561</v>
      </c>
      <c r="E1555">
        <v>13</v>
      </c>
      <c r="F1555">
        <v>22589</v>
      </c>
      <c r="G1555" t="s">
        <v>23</v>
      </c>
      <c r="H1555">
        <v>15</v>
      </c>
      <c r="I1555">
        <v>35507</v>
      </c>
      <c r="J1555" t="s">
        <v>87</v>
      </c>
      <c r="K1555" t="s">
        <v>45</v>
      </c>
      <c r="L1555" t="s">
        <v>36</v>
      </c>
      <c r="M1555">
        <v>2</v>
      </c>
      <c r="N1555">
        <v>70.02</v>
      </c>
      <c r="O1555">
        <v>102.41</v>
      </c>
      <c r="P1555">
        <v>10.24</v>
      </c>
      <c r="Q1555">
        <v>10.24</v>
      </c>
      <c r="R1555" t="s">
        <v>30</v>
      </c>
      <c r="S1555">
        <v>29</v>
      </c>
      <c r="T1555">
        <v>1</v>
      </c>
      <c r="U1555">
        <v>3</v>
      </c>
      <c r="V1555">
        <v>92.17</v>
      </c>
      <c r="W1555">
        <v>13130001553</v>
      </c>
    </row>
    <row r="1556" spans="1:23" x14ac:dyDescent="0.2">
      <c r="A1556" s="1">
        <v>44775</v>
      </c>
      <c r="B1556" s="2">
        <v>0.6307638888888889</v>
      </c>
      <c r="C1556">
        <v>2554</v>
      </c>
      <c r="D1556">
        <v>13002561</v>
      </c>
      <c r="E1556">
        <v>13</v>
      </c>
      <c r="F1556">
        <v>22589</v>
      </c>
      <c r="G1556" t="s">
        <v>23</v>
      </c>
      <c r="H1556">
        <v>15</v>
      </c>
      <c r="I1556">
        <v>42043</v>
      </c>
      <c r="J1556" t="s">
        <v>68</v>
      </c>
      <c r="K1556" t="s">
        <v>28</v>
      </c>
      <c r="L1556" t="s">
        <v>29</v>
      </c>
      <c r="M1556">
        <v>3</v>
      </c>
      <c r="N1556">
        <v>151.63999999999999</v>
      </c>
      <c r="O1556">
        <v>233.78</v>
      </c>
      <c r="P1556">
        <v>0</v>
      </c>
      <c r="Q1556">
        <v>0</v>
      </c>
      <c r="S1556">
        <v>29</v>
      </c>
      <c r="T1556">
        <v>1</v>
      </c>
      <c r="U1556">
        <v>5</v>
      </c>
      <c r="V1556">
        <v>233.78</v>
      </c>
      <c r="W1556">
        <v>13130001554</v>
      </c>
    </row>
    <row r="1557" spans="1:23" x14ac:dyDescent="0.2">
      <c r="A1557" s="1">
        <v>44788</v>
      </c>
      <c r="B1557" s="2">
        <v>0.8043865740740741</v>
      </c>
      <c r="C1557">
        <v>2555</v>
      </c>
      <c r="D1557">
        <v>13002561</v>
      </c>
      <c r="E1557">
        <v>13</v>
      </c>
      <c r="F1557">
        <v>22589</v>
      </c>
      <c r="G1557" t="s">
        <v>23</v>
      </c>
      <c r="H1557">
        <v>18</v>
      </c>
      <c r="I1557">
        <v>29374</v>
      </c>
      <c r="J1557" t="s">
        <v>83</v>
      </c>
      <c r="K1557" t="s">
        <v>25</v>
      </c>
      <c r="L1557" t="s">
        <v>36</v>
      </c>
      <c r="M1557">
        <v>2</v>
      </c>
      <c r="N1557">
        <v>359.31</v>
      </c>
      <c r="O1557">
        <v>555.77</v>
      </c>
      <c r="P1557">
        <v>27.79</v>
      </c>
      <c r="Q1557">
        <v>27.79</v>
      </c>
      <c r="R1557" t="s">
        <v>30</v>
      </c>
      <c r="S1557">
        <v>29</v>
      </c>
      <c r="T1557">
        <v>1</v>
      </c>
      <c r="U1557">
        <v>2</v>
      </c>
      <c r="V1557">
        <v>527.98</v>
      </c>
      <c r="W1557">
        <v>13130001555</v>
      </c>
    </row>
    <row r="1558" spans="1:23" x14ac:dyDescent="0.2">
      <c r="A1558" s="1">
        <v>44795</v>
      </c>
      <c r="B1558" s="2">
        <v>0.52641203703703698</v>
      </c>
      <c r="C1558">
        <v>2556</v>
      </c>
      <c r="D1558">
        <v>13002561</v>
      </c>
      <c r="E1558">
        <v>13</v>
      </c>
      <c r="F1558">
        <v>22589</v>
      </c>
      <c r="G1558" t="s">
        <v>23</v>
      </c>
      <c r="H1558">
        <v>15</v>
      </c>
      <c r="I1558">
        <v>18857</v>
      </c>
      <c r="J1558" t="s">
        <v>53</v>
      </c>
      <c r="K1558" t="s">
        <v>28</v>
      </c>
      <c r="L1558" t="s">
        <v>29</v>
      </c>
      <c r="M1558">
        <v>2</v>
      </c>
      <c r="N1558">
        <v>176.59</v>
      </c>
      <c r="O1558">
        <v>263.44</v>
      </c>
      <c r="P1558">
        <v>0</v>
      </c>
      <c r="Q1558">
        <v>0</v>
      </c>
      <c r="S1558">
        <v>29</v>
      </c>
      <c r="T1558">
        <v>1</v>
      </c>
      <c r="U1558">
        <v>1</v>
      </c>
      <c r="V1558">
        <v>263.44</v>
      </c>
      <c r="W1558">
        <v>13130001556</v>
      </c>
    </row>
    <row r="1559" spans="1:23" x14ac:dyDescent="0.2">
      <c r="A1559" s="1">
        <v>44795</v>
      </c>
      <c r="B1559" s="2">
        <v>0.60491898148148149</v>
      </c>
      <c r="C1559">
        <v>2557</v>
      </c>
      <c r="D1559">
        <v>13002561</v>
      </c>
      <c r="E1559">
        <v>13</v>
      </c>
      <c r="F1559">
        <v>22589</v>
      </c>
      <c r="G1559" t="s">
        <v>23</v>
      </c>
      <c r="H1559">
        <v>15</v>
      </c>
      <c r="I1559">
        <v>10473</v>
      </c>
      <c r="J1559" t="s">
        <v>125</v>
      </c>
      <c r="K1559" t="s">
        <v>38</v>
      </c>
      <c r="L1559" t="s">
        <v>39</v>
      </c>
      <c r="M1559">
        <v>1</v>
      </c>
      <c r="N1559">
        <v>581.41</v>
      </c>
      <c r="O1559">
        <v>930.56</v>
      </c>
      <c r="P1559">
        <v>46.53</v>
      </c>
      <c r="Q1559">
        <v>46.53</v>
      </c>
      <c r="R1559" t="s">
        <v>30</v>
      </c>
      <c r="S1559">
        <v>29</v>
      </c>
      <c r="T1559">
        <v>1</v>
      </c>
      <c r="U1559">
        <v>6</v>
      </c>
      <c r="V1559">
        <v>884.03</v>
      </c>
      <c r="W1559">
        <v>13130001557</v>
      </c>
    </row>
    <row r="1560" spans="1:23" x14ac:dyDescent="0.2">
      <c r="A1560" s="1">
        <v>44786</v>
      </c>
      <c r="B1560" s="2">
        <v>0.52118055555555554</v>
      </c>
      <c r="C1560">
        <v>2558</v>
      </c>
      <c r="D1560">
        <v>13002561</v>
      </c>
      <c r="E1560">
        <v>13</v>
      </c>
      <c r="F1560">
        <v>22589</v>
      </c>
      <c r="G1560" t="s">
        <v>23</v>
      </c>
      <c r="H1560">
        <v>15</v>
      </c>
      <c r="I1560">
        <v>56114</v>
      </c>
      <c r="J1560" t="s">
        <v>86</v>
      </c>
      <c r="K1560" t="s">
        <v>60</v>
      </c>
      <c r="L1560" t="s">
        <v>47</v>
      </c>
      <c r="M1560">
        <v>1</v>
      </c>
      <c r="N1560">
        <v>351.21</v>
      </c>
      <c r="O1560">
        <v>577.58000000000004</v>
      </c>
      <c r="P1560">
        <v>0</v>
      </c>
      <c r="Q1560">
        <v>0</v>
      </c>
      <c r="S1560">
        <v>29</v>
      </c>
      <c r="T1560">
        <v>1</v>
      </c>
      <c r="U1560">
        <v>5</v>
      </c>
      <c r="V1560">
        <v>577.58000000000004</v>
      </c>
      <c r="W1560">
        <v>13130001558</v>
      </c>
    </row>
    <row r="1561" spans="1:23" x14ac:dyDescent="0.2">
      <c r="A1561" s="1">
        <v>44796</v>
      </c>
      <c r="B1561" s="2">
        <v>0.61003472222222221</v>
      </c>
      <c r="C1561">
        <v>2559</v>
      </c>
      <c r="D1561">
        <v>13002561</v>
      </c>
      <c r="E1561">
        <v>13</v>
      </c>
      <c r="F1561">
        <v>22589</v>
      </c>
      <c r="G1561" t="s">
        <v>23</v>
      </c>
      <c r="H1561">
        <v>15</v>
      </c>
      <c r="I1561">
        <v>65169</v>
      </c>
      <c r="J1561" t="s">
        <v>120</v>
      </c>
      <c r="K1561" t="s">
        <v>60</v>
      </c>
      <c r="L1561" t="s">
        <v>32</v>
      </c>
      <c r="M1561">
        <v>3</v>
      </c>
      <c r="N1561">
        <v>102.67</v>
      </c>
      <c r="O1561">
        <v>148.94999999999999</v>
      </c>
      <c r="P1561">
        <v>14.89</v>
      </c>
      <c r="Q1561">
        <v>14.89</v>
      </c>
      <c r="R1561" t="s">
        <v>30</v>
      </c>
      <c r="S1561">
        <v>29</v>
      </c>
      <c r="T1561">
        <v>1</v>
      </c>
      <c r="U1561">
        <v>2</v>
      </c>
      <c r="V1561">
        <v>134.06</v>
      </c>
      <c r="W1561">
        <v>13130001559</v>
      </c>
    </row>
    <row r="1562" spans="1:23" x14ac:dyDescent="0.2">
      <c r="A1562" s="1">
        <v>44792</v>
      </c>
      <c r="B1562" s="2">
        <v>0.49657407407407411</v>
      </c>
      <c r="C1562">
        <v>2560</v>
      </c>
      <c r="D1562">
        <v>13002561</v>
      </c>
      <c r="E1562">
        <v>13</v>
      </c>
      <c r="F1562">
        <v>22589</v>
      </c>
      <c r="G1562" t="s">
        <v>23</v>
      </c>
      <c r="H1562">
        <v>18</v>
      </c>
      <c r="I1562">
        <v>96220</v>
      </c>
      <c r="J1562" t="s">
        <v>67</v>
      </c>
      <c r="K1562" t="s">
        <v>60</v>
      </c>
      <c r="L1562" t="s">
        <v>47</v>
      </c>
      <c r="M1562">
        <v>1</v>
      </c>
      <c r="N1562">
        <v>65.22</v>
      </c>
      <c r="O1562">
        <v>90.03</v>
      </c>
      <c r="P1562">
        <v>4.5</v>
      </c>
      <c r="Q1562">
        <v>4.5</v>
      </c>
      <c r="R1562" t="s">
        <v>30</v>
      </c>
      <c r="S1562">
        <v>29</v>
      </c>
      <c r="T1562">
        <v>1</v>
      </c>
      <c r="U1562">
        <v>3</v>
      </c>
      <c r="V1562">
        <v>85.53</v>
      </c>
      <c r="W1562">
        <v>13130001560</v>
      </c>
    </row>
    <row r="1563" spans="1:23" x14ac:dyDescent="0.2">
      <c r="A1563" s="1">
        <v>44797</v>
      </c>
      <c r="B1563" s="2">
        <v>0.90128472222222222</v>
      </c>
      <c r="C1563">
        <v>2561</v>
      </c>
      <c r="D1563">
        <v>13002561</v>
      </c>
      <c r="E1563">
        <v>13</v>
      </c>
      <c r="F1563">
        <v>22589</v>
      </c>
      <c r="G1563" t="s">
        <v>23</v>
      </c>
      <c r="H1563">
        <v>15</v>
      </c>
      <c r="I1563">
        <v>88466</v>
      </c>
      <c r="J1563" t="s">
        <v>69</v>
      </c>
      <c r="K1563" t="s">
        <v>45</v>
      </c>
      <c r="L1563" t="s">
        <v>39</v>
      </c>
      <c r="M1563">
        <v>1</v>
      </c>
      <c r="N1563">
        <v>308.63</v>
      </c>
      <c r="O1563">
        <v>494.66</v>
      </c>
      <c r="P1563">
        <v>49.47</v>
      </c>
      <c r="Q1563">
        <v>49.47</v>
      </c>
      <c r="R1563" t="s">
        <v>30</v>
      </c>
      <c r="S1563">
        <v>29</v>
      </c>
      <c r="T1563">
        <v>1</v>
      </c>
      <c r="U1563">
        <v>3</v>
      </c>
      <c r="V1563">
        <v>445.19</v>
      </c>
      <c r="W1563">
        <v>13130001561</v>
      </c>
    </row>
    <row r="1564" spans="1:23" x14ac:dyDescent="0.2">
      <c r="A1564" s="1">
        <v>44779</v>
      </c>
      <c r="B1564" s="2">
        <v>0.48055555555555562</v>
      </c>
      <c r="C1564">
        <v>2562</v>
      </c>
      <c r="D1564">
        <v>13002561</v>
      </c>
      <c r="E1564">
        <v>13</v>
      </c>
      <c r="F1564">
        <v>22589</v>
      </c>
      <c r="G1564" t="s">
        <v>23</v>
      </c>
      <c r="H1564">
        <v>15</v>
      </c>
      <c r="I1564">
        <v>98410</v>
      </c>
      <c r="J1564" t="s">
        <v>49</v>
      </c>
      <c r="K1564" t="s">
        <v>28</v>
      </c>
      <c r="L1564" t="s">
        <v>34</v>
      </c>
      <c r="M1564">
        <v>1</v>
      </c>
      <c r="N1564">
        <v>97.49</v>
      </c>
      <c r="O1564">
        <v>153.72</v>
      </c>
      <c r="P1564">
        <v>7.69</v>
      </c>
      <c r="Q1564">
        <v>7.69</v>
      </c>
      <c r="R1564" t="s">
        <v>30</v>
      </c>
      <c r="S1564">
        <v>29</v>
      </c>
      <c r="T1564">
        <v>1</v>
      </c>
      <c r="U1564">
        <v>6</v>
      </c>
      <c r="V1564">
        <v>146.03</v>
      </c>
      <c r="W1564">
        <v>13130001562</v>
      </c>
    </row>
    <row r="1565" spans="1:23" x14ac:dyDescent="0.2">
      <c r="A1565" s="1">
        <v>44801</v>
      </c>
      <c r="B1565" s="2">
        <v>0.79545138888888889</v>
      </c>
      <c r="C1565">
        <v>2563</v>
      </c>
      <c r="D1565">
        <v>13002561</v>
      </c>
      <c r="E1565">
        <v>13</v>
      </c>
      <c r="F1565">
        <v>22589</v>
      </c>
      <c r="G1565" t="s">
        <v>23</v>
      </c>
      <c r="H1565">
        <v>18</v>
      </c>
      <c r="I1565">
        <v>63624</v>
      </c>
      <c r="J1565" t="s">
        <v>110</v>
      </c>
      <c r="K1565" t="s">
        <v>60</v>
      </c>
      <c r="L1565" t="s">
        <v>34</v>
      </c>
      <c r="M1565">
        <v>1</v>
      </c>
      <c r="N1565">
        <v>409.32</v>
      </c>
      <c r="O1565">
        <v>576.75</v>
      </c>
      <c r="P1565">
        <v>57.68</v>
      </c>
      <c r="Q1565">
        <v>57.68</v>
      </c>
      <c r="R1565" t="s">
        <v>30</v>
      </c>
      <c r="S1565">
        <v>29</v>
      </c>
      <c r="T1565">
        <v>1</v>
      </c>
      <c r="U1565">
        <v>2</v>
      </c>
      <c r="V1565">
        <v>519.07000000000005</v>
      </c>
      <c r="W1565">
        <v>13130001563</v>
      </c>
    </row>
    <row r="1566" spans="1:23" x14ac:dyDescent="0.2">
      <c r="A1566" s="1">
        <v>44790</v>
      </c>
      <c r="B1566" s="2">
        <v>0.91509259259259257</v>
      </c>
      <c r="C1566">
        <v>2564</v>
      </c>
      <c r="D1566">
        <v>13002561</v>
      </c>
      <c r="E1566">
        <v>13</v>
      </c>
      <c r="F1566">
        <v>22589</v>
      </c>
      <c r="G1566" t="s">
        <v>23</v>
      </c>
      <c r="H1566">
        <v>15</v>
      </c>
      <c r="I1566">
        <v>80330</v>
      </c>
      <c r="J1566" t="s">
        <v>64</v>
      </c>
      <c r="K1566" t="s">
        <v>45</v>
      </c>
      <c r="L1566" t="s">
        <v>39</v>
      </c>
      <c r="M1566">
        <v>2</v>
      </c>
      <c r="N1566">
        <v>491.74</v>
      </c>
      <c r="O1566">
        <v>791.69</v>
      </c>
      <c r="P1566">
        <v>79.17</v>
      </c>
      <c r="Q1566">
        <v>79.17</v>
      </c>
      <c r="R1566" t="s">
        <v>30</v>
      </c>
      <c r="S1566">
        <v>29</v>
      </c>
      <c r="T1566">
        <v>1</v>
      </c>
      <c r="U1566">
        <v>4</v>
      </c>
      <c r="V1566">
        <v>712.52</v>
      </c>
      <c r="W1566">
        <v>13130001564</v>
      </c>
    </row>
    <row r="1567" spans="1:23" x14ac:dyDescent="0.2">
      <c r="A1567" s="1">
        <v>44794</v>
      </c>
      <c r="B1567" s="2">
        <v>0.82682870370370365</v>
      </c>
      <c r="C1567">
        <v>2565</v>
      </c>
      <c r="D1567">
        <v>13002561</v>
      </c>
      <c r="E1567">
        <v>13</v>
      </c>
      <c r="F1567">
        <v>22589</v>
      </c>
      <c r="G1567" t="s">
        <v>23</v>
      </c>
      <c r="H1567">
        <v>15</v>
      </c>
      <c r="I1567">
        <v>91879</v>
      </c>
      <c r="J1567" t="s">
        <v>102</v>
      </c>
      <c r="K1567" t="s">
        <v>45</v>
      </c>
      <c r="L1567" t="s">
        <v>26</v>
      </c>
      <c r="M1567">
        <v>2</v>
      </c>
      <c r="N1567">
        <v>512.55999999999995</v>
      </c>
      <c r="O1567">
        <v>815.07</v>
      </c>
      <c r="P1567">
        <v>40.75</v>
      </c>
      <c r="Q1567">
        <v>40.75</v>
      </c>
      <c r="R1567" t="s">
        <v>30</v>
      </c>
      <c r="S1567">
        <v>29</v>
      </c>
      <c r="T1567">
        <v>1</v>
      </c>
      <c r="U1567">
        <v>5</v>
      </c>
      <c r="V1567">
        <v>774.32</v>
      </c>
      <c r="W1567">
        <v>13130001565</v>
      </c>
    </row>
    <row r="1568" spans="1:23" x14ac:dyDescent="0.2">
      <c r="A1568" s="1">
        <v>44796</v>
      </c>
      <c r="B1568" s="2">
        <v>0.7457407407407407</v>
      </c>
      <c r="C1568">
        <v>2566</v>
      </c>
      <c r="D1568">
        <v>13002561</v>
      </c>
      <c r="E1568">
        <v>13</v>
      </c>
      <c r="F1568">
        <v>22589</v>
      </c>
      <c r="G1568" t="s">
        <v>23</v>
      </c>
      <c r="H1568">
        <v>18</v>
      </c>
      <c r="I1568">
        <v>41191</v>
      </c>
      <c r="J1568" t="s">
        <v>55</v>
      </c>
      <c r="K1568" t="s">
        <v>25</v>
      </c>
      <c r="L1568" t="s">
        <v>36</v>
      </c>
      <c r="M1568">
        <v>2</v>
      </c>
      <c r="N1568">
        <v>101.31</v>
      </c>
      <c r="O1568">
        <v>132.35</v>
      </c>
      <c r="P1568">
        <v>6.62</v>
      </c>
      <c r="Q1568">
        <v>6.62</v>
      </c>
      <c r="R1568" t="s">
        <v>30</v>
      </c>
      <c r="S1568">
        <v>29</v>
      </c>
      <c r="T1568">
        <v>1</v>
      </c>
      <c r="U1568">
        <v>5</v>
      </c>
      <c r="V1568">
        <v>125.73</v>
      </c>
      <c r="W1568">
        <v>13130001566</v>
      </c>
    </row>
    <row r="1569" spans="1:23" x14ac:dyDescent="0.2">
      <c r="A1569" s="1">
        <v>44777</v>
      </c>
      <c r="B1569" s="2">
        <v>0.71444444444444444</v>
      </c>
      <c r="C1569">
        <v>2567</v>
      </c>
      <c r="D1569">
        <v>13002561</v>
      </c>
      <c r="E1569">
        <v>13</v>
      </c>
      <c r="F1569">
        <v>22589</v>
      </c>
      <c r="G1569" t="s">
        <v>23</v>
      </c>
      <c r="H1569">
        <v>18</v>
      </c>
      <c r="I1569">
        <v>79688</v>
      </c>
      <c r="J1569" t="s">
        <v>127</v>
      </c>
      <c r="K1569" t="s">
        <v>44</v>
      </c>
      <c r="L1569" t="s">
        <v>51</v>
      </c>
      <c r="M1569">
        <v>2</v>
      </c>
      <c r="N1569">
        <v>413.45</v>
      </c>
      <c r="O1569">
        <v>700.87</v>
      </c>
      <c r="P1569">
        <v>70.09</v>
      </c>
      <c r="Q1569">
        <v>70.09</v>
      </c>
      <c r="R1569" t="s">
        <v>30</v>
      </c>
      <c r="S1569">
        <v>29</v>
      </c>
      <c r="T1569">
        <v>1</v>
      </c>
      <c r="U1569">
        <v>3</v>
      </c>
      <c r="V1569">
        <v>630.78</v>
      </c>
      <c r="W1569">
        <v>13130001567</v>
      </c>
    </row>
    <row r="1570" spans="1:23" x14ac:dyDescent="0.2">
      <c r="A1570" s="1">
        <v>44776</v>
      </c>
      <c r="B1570" s="2">
        <v>0.90873842592592591</v>
      </c>
      <c r="C1570">
        <v>2568</v>
      </c>
      <c r="D1570">
        <v>13002561</v>
      </c>
      <c r="E1570">
        <v>13</v>
      </c>
      <c r="F1570">
        <v>22589</v>
      </c>
      <c r="G1570" t="s">
        <v>23</v>
      </c>
      <c r="H1570">
        <v>15</v>
      </c>
      <c r="I1570">
        <v>41038</v>
      </c>
      <c r="J1570" t="s">
        <v>95</v>
      </c>
      <c r="K1570" t="s">
        <v>25</v>
      </c>
      <c r="L1570" t="s">
        <v>47</v>
      </c>
      <c r="M1570">
        <v>1</v>
      </c>
      <c r="N1570">
        <v>403.41</v>
      </c>
      <c r="O1570">
        <v>602.67999999999995</v>
      </c>
      <c r="P1570">
        <v>0</v>
      </c>
      <c r="Q1570">
        <v>0</v>
      </c>
      <c r="S1570">
        <v>29</v>
      </c>
      <c r="T1570">
        <v>1</v>
      </c>
      <c r="U1570">
        <v>5</v>
      </c>
      <c r="V1570">
        <v>602.67999999999995</v>
      </c>
      <c r="W1570">
        <v>13130001568</v>
      </c>
    </row>
    <row r="1571" spans="1:23" x14ac:dyDescent="0.2">
      <c r="A1571" s="1">
        <v>44796</v>
      </c>
      <c r="B1571" s="2">
        <v>0.7588773148148148</v>
      </c>
      <c r="C1571">
        <v>2569</v>
      </c>
      <c r="D1571">
        <v>13002561</v>
      </c>
      <c r="E1571">
        <v>13</v>
      </c>
      <c r="F1571">
        <v>22589</v>
      </c>
      <c r="G1571" t="s">
        <v>23</v>
      </c>
      <c r="H1571">
        <v>18</v>
      </c>
      <c r="I1571">
        <v>39007</v>
      </c>
      <c r="J1571" t="s">
        <v>103</v>
      </c>
      <c r="K1571" t="s">
        <v>44</v>
      </c>
      <c r="L1571" t="s">
        <v>47</v>
      </c>
      <c r="M1571">
        <v>3</v>
      </c>
      <c r="N1571">
        <v>55.06</v>
      </c>
      <c r="O1571">
        <v>70.260000000000005</v>
      </c>
      <c r="P1571">
        <v>7.03</v>
      </c>
      <c r="Q1571">
        <v>7.03</v>
      </c>
      <c r="R1571" t="s">
        <v>30</v>
      </c>
      <c r="S1571">
        <v>29</v>
      </c>
      <c r="T1571">
        <v>1</v>
      </c>
      <c r="U1571">
        <v>5</v>
      </c>
      <c r="V1571">
        <v>63.23</v>
      </c>
      <c r="W1571">
        <v>13130001569</v>
      </c>
    </row>
    <row r="1572" spans="1:23" x14ac:dyDescent="0.2">
      <c r="A1572" s="1">
        <v>44804</v>
      </c>
      <c r="B1572" s="2">
        <v>0.8284259259259259</v>
      </c>
      <c r="C1572">
        <v>2570</v>
      </c>
      <c r="D1572">
        <v>13002561</v>
      </c>
      <c r="E1572">
        <v>13</v>
      </c>
      <c r="F1572">
        <v>22589</v>
      </c>
      <c r="G1572" t="s">
        <v>23</v>
      </c>
      <c r="H1572">
        <v>18</v>
      </c>
      <c r="I1572">
        <v>90153</v>
      </c>
      <c r="J1572" t="s">
        <v>72</v>
      </c>
      <c r="K1572" t="s">
        <v>44</v>
      </c>
      <c r="L1572" t="s">
        <v>47</v>
      </c>
      <c r="M1572">
        <v>3</v>
      </c>
      <c r="N1572">
        <v>131.68</v>
      </c>
      <c r="O1572">
        <v>166.66</v>
      </c>
      <c r="P1572">
        <v>16.670000000000002</v>
      </c>
      <c r="Q1572">
        <v>16.670000000000002</v>
      </c>
      <c r="R1572" t="s">
        <v>30</v>
      </c>
      <c r="S1572">
        <v>29</v>
      </c>
      <c r="T1572">
        <v>1</v>
      </c>
      <c r="U1572">
        <v>1</v>
      </c>
      <c r="V1572">
        <v>149.99</v>
      </c>
      <c r="W1572">
        <v>13130001570</v>
      </c>
    </row>
    <row r="1573" spans="1:23" x14ac:dyDescent="0.2">
      <c r="A1573" s="1">
        <v>44794</v>
      </c>
      <c r="B1573" s="2">
        <v>0.45826388888888892</v>
      </c>
      <c r="C1573">
        <v>2571</v>
      </c>
      <c r="D1573">
        <v>13002561</v>
      </c>
      <c r="E1573">
        <v>13</v>
      </c>
      <c r="F1573">
        <v>22589</v>
      </c>
      <c r="G1573" t="s">
        <v>23</v>
      </c>
      <c r="H1573">
        <v>15</v>
      </c>
      <c r="I1573">
        <v>11784</v>
      </c>
      <c r="J1573" t="s">
        <v>55</v>
      </c>
      <c r="K1573" t="s">
        <v>45</v>
      </c>
      <c r="L1573" t="s">
        <v>34</v>
      </c>
      <c r="M1573">
        <v>3</v>
      </c>
      <c r="N1573">
        <v>510.85</v>
      </c>
      <c r="O1573">
        <v>761.71</v>
      </c>
      <c r="P1573">
        <v>38.090000000000003</v>
      </c>
      <c r="Q1573">
        <v>38.090000000000003</v>
      </c>
      <c r="R1573" t="s">
        <v>30</v>
      </c>
      <c r="S1573">
        <v>29</v>
      </c>
      <c r="T1573">
        <v>1</v>
      </c>
      <c r="U1573">
        <v>3</v>
      </c>
      <c r="V1573">
        <v>723.62</v>
      </c>
      <c r="W1573">
        <v>13130001571</v>
      </c>
    </row>
    <row r="1574" spans="1:23" x14ac:dyDescent="0.2">
      <c r="A1574" s="1">
        <v>44789</v>
      </c>
      <c r="B1574" s="2">
        <v>0.85417824074074078</v>
      </c>
      <c r="C1574">
        <v>2572</v>
      </c>
      <c r="D1574">
        <v>13002561</v>
      </c>
      <c r="E1574">
        <v>13</v>
      </c>
      <c r="F1574">
        <v>22589</v>
      </c>
      <c r="G1574" t="s">
        <v>23</v>
      </c>
      <c r="H1574">
        <v>18</v>
      </c>
      <c r="I1574">
        <v>79848</v>
      </c>
      <c r="J1574" t="s">
        <v>59</v>
      </c>
      <c r="K1574" t="s">
        <v>38</v>
      </c>
      <c r="L1574" t="s">
        <v>26</v>
      </c>
      <c r="M1574">
        <v>2</v>
      </c>
      <c r="N1574">
        <v>14.86</v>
      </c>
      <c r="O1574">
        <v>25</v>
      </c>
      <c r="P1574">
        <v>2.5</v>
      </c>
      <c r="Q1574">
        <v>2.5</v>
      </c>
      <c r="R1574" t="s">
        <v>30</v>
      </c>
      <c r="S1574">
        <v>29</v>
      </c>
      <c r="T1574">
        <v>1</v>
      </c>
      <c r="U1574">
        <v>1</v>
      </c>
      <c r="V1574">
        <v>22.5</v>
      </c>
      <c r="W1574">
        <v>13130001572</v>
      </c>
    </row>
    <row r="1575" spans="1:23" x14ac:dyDescent="0.2">
      <c r="A1575" s="1">
        <v>44802</v>
      </c>
      <c r="B1575" s="2">
        <v>0.74190972222222218</v>
      </c>
      <c r="C1575">
        <v>2573</v>
      </c>
      <c r="D1575">
        <v>13002561</v>
      </c>
      <c r="E1575">
        <v>13</v>
      </c>
      <c r="F1575">
        <v>22589</v>
      </c>
      <c r="G1575" t="s">
        <v>23</v>
      </c>
      <c r="H1575">
        <v>15</v>
      </c>
      <c r="I1575">
        <v>16697</v>
      </c>
      <c r="J1575" t="s">
        <v>76</v>
      </c>
      <c r="K1575" t="s">
        <v>25</v>
      </c>
      <c r="L1575" t="s">
        <v>26</v>
      </c>
      <c r="M1575">
        <v>1</v>
      </c>
      <c r="N1575">
        <v>281.08999999999997</v>
      </c>
      <c r="O1575">
        <v>393.41</v>
      </c>
      <c r="P1575">
        <v>0</v>
      </c>
      <c r="Q1575">
        <v>0</v>
      </c>
      <c r="S1575">
        <v>29</v>
      </c>
      <c r="T1575">
        <v>1</v>
      </c>
      <c r="U1575">
        <v>6</v>
      </c>
      <c r="V1575">
        <v>393.41</v>
      </c>
      <c r="W1575">
        <v>13130001573</v>
      </c>
    </row>
    <row r="1576" spans="1:23" x14ac:dyDescent="0.2">
      <c r="A1576" s="1">
        <v>44784</v>
      </c>
      <c r="B1576" s="2">
        <v>0.48515046296296288</v>
      </c>
      <c r="C1576">
        <v>2574</v>
      </c>
      <c r="D1576">
        <v>13002561</v>
      </c>
      <c r="E1576">
        <v>13</v>
      </c>
      <c r="F1576">
        <v>22589</v>
      </c>
      <c r="G1576" t="s">
        <v>23</v>
      </c>
      <c r="H1576">
        <v>15</v>
      </c>
      <c r="I1576">
        <v>93618</v>
      </c>
      <c r="J1576" t="s">
        <v>53</v>
      </c>
      <c r="K1576" t="s">
        <v>45</v>
      </c>
      <c r="L1576" t="s">
        <v>36</v>
      </c>
      <c r="M1576">
        <v>3</v>
      </c>
      <c r="N1576">
        <v>546.30999999999995</v>
      </c>
      <c r="O1576">
        <v>769.4</v>
      </c>
      <c r="P1576">
        <v>0</v>
      </c>
      <c r="Q1576">
        <v>0</v>
      </c>
      <c r="S1576">
        <v>29</v>
      </c>
      <c r="T1576">
        <v>1</v>
      </c>
      <c r="U1576">
        <v>1</v>
      </c>
      <c r="V1576">
        <v>769.4</v>
      </c>
      <c r="W1576">
        <v>13130001574</v>
      </c>
    </row>
    <row r="1577" spans="1:23" x14ac:dyDescent="0.2">
      <c r="A1577" s="1">
        <v>44804</v>
      </c>
      <c r="B1577" s="2">
        <v>0.63173611111111116</v>
      </c>
      <c r="C1577">
        <v>2575</v>
      </c>
      <c r="D1577">
        <v>13002561</v>
      </c>
      <c r="E1577">
        <v>13</v>
      </c>
      <c r="F1577">
        <v>22589</v>
      </c>
      <c r="G1577" t="s">
        <v>23</v>
      </c>
      <c r="H1577">
        <v>15</v>
      </c>
      <c r="I1577">
        <v>66329</v>
      </c>
      <c r="J1577" t="s">
        <v>68</v>
      </c>
      <c r="K1577" t="s">
        <v>45</v>
      </c>
      <c r="L1577" t="s">
        <v>34</v>
      </c>
      <c r="M1577">
        <v>3</v>
      </c>
      <c r="N1577">
        <v>282.58</v>
      </c>
      <c r="O1577">
        <v>462.48</v>
      </c>
      <c r="P1577">
        <v>46.25</v>
      </c>
      <c r="Q1577">
        <v>46.25</v>
      </c>
      <c r="R1577" t="s">
        <v>30</v>
      </c>
      <c r="S1577">
        <v>29</v>
      </c>
      <c r="T1577">
        <v>1</v>
      </c>
      <c r="U1577">
        <v>2</v>
      </c>
      <c r="V1577">
        <v>416.23</v>
      </c>
      <c r="W1577">
        <v>13130001575</v>
      </c>
    </row>
    <row r="1578" spans="1:23" x14ac:dyDescent="0.2">
      <c r="A1578" s="1">
        <v>44780</v>
      </c>
      <c r="B1578" s="2">
        <v>0.86474537037037036</v>
      </c>
      <c r="C1578">
        <v>2576</v>
      </c>
      <c r="D1578">
        <v>13002561</v>
      </c>
      <c r="E1578">
        <v>13</v>
      </c>
      <c r="F1578">
        <v>22589</v>
      </c>
      <c r="G1578" t="s">
        <v>23</v>
      </c>
      <c r="H1578">
        <v>18</v>
      </c>
      <c r="I1578">
        <v>28339</v>
      </c>
      <c r="J1578" t="s">
        <v>31</v>
      </c>
      <c r="K1578" t="s">
        <v>60</v>
      </c>
      <c r="L1578" t="s">
        <v>47</v>
      </c>
      <c r="M1578">
        <v>2</v>
      </c>
      <c r="N1578">
        <v>85.65</v>
      </c>
      <c r="O1578">
        <v>121.34</v>
      </c>
      <c r="P1578">
        <v>6.07</v>
      </c>
      <c r="Q1578">
        <v>6.07</v>
      </c>
      <c r="R1578" t="s">
        <v>30</v>
      </c>
      <c r="S1578">
        <v>29</v>
      </c>
      <c r="T1578">
        <v>1</v>
      </c>
      <c r="U1578">
        <v>3</v>
      </c>
      <c r="V1578">
        <v>115.27</v>
      </c>
      <c r="W1578">
        <v>13130001576</v>
      </c>
    </row>
    <row r="1579" spans="1:23" x14ac:dyDescent="0.2">
      <c r="A1579" s="1">
        <v>44796</v>
      </c>
      <c r="B1579" s="2">
        <v>0.61846064814814816</v>
      </c>
      <c r="C1579">
        <v>2577</v>
      </c>
      <c r="D1579">
        <v>13002561</v>
      </c>
      <c r="E1579">
        <v>13</v>
      </c>
      <c r="F1579">
        <v>22589</v>
      </c>
      <c r="G1579" t="s">
        <v>23</v>
      </c>
      <c r="H1579">
        <v>18</v>
      </c>
      <c r="I1579">
        <v>42219</v>
      </c>
      <c r="J1579" t="s">
        <v>35</v>
      </c>
      <c r="K1579" t="s">
        <v>44</v>
      </c>
      <c r="L1579" t="s">
        <v>39</v>
      </c>
      <c r="M1579">
        <v>2</v>
      </c>
      <c r="N1579">
        <v>28.8</v>
      </c>
      <c r="O1579">
        <v>44.13</v>
      </c>
      <c r="P1579">
        <v>0</v>
      </c>
      <c r="Q1579">
        <v>0</v>
      </c>
      <c r="S1579">
        <v>29</v>
      </c>
      <c r="T1579">
        <v>1</v>
      </c>
      <c r="U1579">
        <v>2</v>
      </c>
      <c r="V1579">
        <v>44.13</v>
      </c>
      <c r="W1579">
        <v>13130001577</v>
      </c>
    </row>
    <row r="1580" spans="1:23" x14ac:dyDescent="0.2">
      <c r="A1580" s="1">
        <v>44802</v>
      </c>
      <c r="B1580" s="2">
        <v>0.47054398148148152</v>
      </c>
      <c r="C1580">
        <v>2578</v>
      </c>
      <c r="D1580">
        <v>13002561</v>
      </c>
      <c r="E1580">
        <v>13</v>
      </c>
      <c r="F1580">
        <v>22589</v>
      </c>
      <c r="G1580" t="s">
        <v>23</v>
      </c>
      <c r="H1580">
        <v>15</v>
      </c>
      <c r="I1580">
        <v>71483</v>
      </c>
      <c r="J1580" t="s">
        <v>97</v>
      </c>
      <c r="K1580" t="s">
        <v>60</v>
      </c>
      <c r="L1580" t="s">
        <v>36</v>
      </c>
      <c r="M1580">
        <v>1</v>
      </c>
      <c r="N1580">
        <v>144.19999999999999</v>
      </c>
      <c r="O1580">
        <v>228.62</v>
      </c>
      <c r="P1580">
        <v>0</v>
      </c>
      <c r="Q1580">
        <v>0</v>
      </c>
      <c r="S1580">
        <v>29</v>
      </c>
      <c r="T1580">
        <v>1</v>
      </c>
      <c r="U1580">
        <v>6</v>
      </c>
      <c r="V1580">
        <v>228.62</v>
      </c>
      <c r="W1580">
        <v>13130001578</v>
      </c>
    </row>
    <row r="1581" spans="1:23" x14ac:dyDescent="0.2">
      <c r="A1581" s="1">
        <v>44796</v>
      </c>
      <c r="B1581" s="2">
        <v>0.58846064814814814</v>
      </c>
      <c r="C1581">
        <v>2579</v>
      </c>
      <c r="D1581">
        <v>13002561</v>
      </c>
      <c r="E1581">
        <v>13</v>
      </c>
      <c r="F1581">
        <v>22589</v>
      </c>
      <c r="G1581" t="s">
        <v>23</v>
      </c>
      <c r="H1581">
        <v>15</v>
      </c>
      <c r="I1581">
        <v>25759</v>
      </c>
      <c r="J1581" t="s">
        <v>48</v>
      </c>
      <c r="K1581" t="s">
        <v>25</v>
      </c>
      <c r="L1581" t="s">
        <v>32</v>
      </c>
      <c r="M1581">
        <v>2</v>
      </c>
      <c r="N1581">
        <v>270.92</v>
      </c>
      <c r="O1581">
        <v>386.21</v>
      </c>
      <c r="P1581">
        <v>38.619999999999997</v>
      </c>
      <c r="Q1581">
        <v>38.619999999999997</v>
      </c>
      <c r="R1581" t="s">
        <v>30</v>
      </c>
      <c r="S1581">
        <v>29</v>
      </c>
      <c r="T1581">
        <v>1</v>
      </c>
      <c r="U1581">
        <v>4</v>
      </c>
      <c r="V1581">
        <v>347.59</v>
      </c>
      <c r="W1581">
        <v>13130001579</v>
      </c>
    </row>
    <row r="1582" spans="1:23" x14ac:dyDescent="0.2">
      <c r="A1582" s="1">
        <v>44787</v>
      </c>
      <c r="B1582" s="2">
        <v>0.63207175925925929</v>
      </c>
      <c r="C1582">
        <v>2580</v>
      </c>
      <c r="D1582">
        <v>13002561</v>
      </c>
      <c r="E1582">
        <v>13</v>
      </c>
      <c r="F1582">
        <v>22589</v>
      </c>
      <c r="G1582" t="s">
        <v>23</v>
      </c>
      <c r="H1582">
        <v>15</v>
      </c>
      <c r="I1582">
        <v>70789</v>
      </c>
      <c r="J1582" t="s">
        <v>42</v>
      </c>
      <c r="K1582" t="s">
        <v>25</v>
      </c>
      <c r="L1582" t="s">
        <v>51</v>
      </c>
      <c r="M1582">
        <v>1</v>
      </c>
      <c r="N1582">
        <v>511.53</v>
      </c>
      <c r="O1582">
        <v>802.26</v>
      </c>
      <c r="P1582">
        <v>80.23</v>
      </c>
      <c r="Q1582">
        <v>80.23</v>
      </c>
      <c r="R1582" t="s">
        <v>30</v>
      </c>
      <c r="S1582">
        <v>29</v>
      </c>
      <c r="T1582">
        <v>1</v>
      </c>
      <c r="U1582">
        <v>4</v>
      </c>
      <c r="V1582">
        <v>722.03</v>
      </c>
      <c r="W1582">
        <v>13130001580</v>
      </c>
    </row>
    <row r="1583" spans="1:23" x14ac:dyDescent="0.2">
      <c r="A1583" s="1">
        <v>44787</v>
      </c>
      <c r="B1583" s="2">
        <v>0.67288194444444449</v>
      </c>
      <c r="C1583">
        <v>2581</v>
      </c>
      <c r="D1583">
        <v>13002561</v>
      </c>
      <c r="E1583">
        <v>13</v>
      </c>
      <c r="F1583">
        <v>22589</v>
      </c>
      <c r="G1583" t="s">
        <v>23</v>
      </c>
      <c r="H1583">
        <v>18</v>
      </c>
      <c r="I1583">
        <v>20390</v>
      </c>
      <c r="J1583" t="s">
        <v>105</v>
      </c>
      <c r="K1583" t="s">
        <v>60</v>
      </c>
      <c r="L1583" t="s">
        <v>29</v>
      </c>
      <c r="M1583">
        <v>2</v>
      </c>
      <c r="N1583">
        <v>551.48</v>
      </c>
      <c r="O1583">
        <v>732.5</v>
      </c>
      <c r="P1583">
        <v>36.619999999999997</v>
      </c>
      <c r="Q1583">
        <v>36.619999999999997</v>
      </c>
      <c r="R1583" t="s">
        <v>30</v>
      </c>
      <c r="S1583">
        <v>29</v>
      </c>
      <c r="T1583">
        <v>1</v>
      </c>
      <c r="U1583">
        <v>6</v>
      </c>
      <c r="V1583">
        <v>695.88</v>
      </c>
      <c r="W1583">
        <v>13130001581</v>
      </c>
    </row>
    <row r="1584" spans="1:23" x14ac:dyDescent="0.2">
      <c r="A1584" s="1">
        <v>44794</v>
      </c>
      <c r="B1584" s="2">
        <v>0.68452546296296302</v>
      </c>
      <c r="C1584">
        <v>2582</v>
      </c>
      <c r="D1584">
        <v>13002561</v>
      </c>
      <c r="E1584">
        <v>13</v>
      </c>
      <c r="F1584">
        <v>22589</v>
      </c>
      <c r="G1584" t="s">
        <v>23</v>
      </c>
      <c r="H1584">
        <v>18</v>
      </c>
      <c r="I1584">
        <v>67602</v>
      </c>
      <c r="J1584" t="s">
        <v>113</v>
      </c>
      <c r="K1584" t="s">
        <v>38</v>
      </c>
      <c r="L1584" t="s">
        <v>29</v>
      </c>
      <c r="M1584">
        <v>2</v>
      </c>
      <c r="N1584">
        <v>201.97</v>
      </c>
      <c r="O1584">
        <v>283.83999999999997</v>
      </c>
      <c r="P1584">
        <v>14.19</v>
      </c>
      <c r="Q1584">
        <v>14.19</v>
      </c>
      <c r="R1584" t="s">
        <v>30</v>
      </c>
      <c r="S1584">
        <v>29</v>
      </c>
      <c r="T1584">
        <v>1</v>
      </c>
      <c r="U1584">
        <v>1</v>
      </c>
      <c r="V1584">
        <v>269.64999999999998</v>
      </c>
      <c r="W1584">
        <v>13130001582</v>
      </c>
    </row>
    <row r="1585" spans="1:23" x14ac:dyDescent="0.2">
      <c r="A1585" s="1">
        <v>44792</v>
      </c>
      <c r="B1585" s="2">
        <v>0.6860532407407407</v>
      </c>
      <c r="C1585">
        <v>2583</v>
      </c>
      <c r="D1585">
        <v>13002561</v>
      </c>
      <c r="E1585">
        <v>13</v>
      </c>
      <c r="F1585">
        <v>22589</v>
      </c>
      <c r="G1585" t="s">
        <v>23</v>
      </c>
      <c r="H1585">
        <v>18</v>
      </c>
      <c r="I1585">
        <v>13911</v>
      </c>
      <c r="J1585" t="s">
        <v>67</v>
      </c>
      <c r="K1585" t="s">
        <v>44</v>
      </c>
      <c r="L1585" t="s">
        <v>34</v>
      </c>
      <c r="M1585">
        <v>3</v>
      </c>
      <c r="N1585">
        <v>207.14</v>
      </c>
      <c r="O1585">
        <v>311.38</v>
      </c>
      <c r="P1585">
        <v>15.57</v>
      </c>
      <c r="Q1585">
        <v>15.57</v>
      </c>
      <c r="R1585" t="s">
        <v>30</v>
      </c>
      <c r="S1585">
        <v>29</v>
      </c>
      <c r="T1585">
        <v>1</v>
      </c>
      <c r="U1585">
        <v>6</v>
      </c>
      <c r="V1585">
        <v>295.81</v>
      </c>
      <c r="W1585">
        <v>13130001583</v>
      </c>
    </row>
    <row r="1586" spans="1:23" x14ac:dyDescent="0.2">
      <c r="A1586" s="1">
        <v>44786</v>
      </c>
      <c r="B1586" s="2">
        <v>0.51364583333333336</v>
      </c>
      <c r="C1586">
        <v>2584</v>
      </c>
      <c r="D1586">
        <v>13002561</v>
      </c>
      <c r="E1586">
        <v>13</v>
      </c>
      <c r="F1586">
        <v>22589</v>
      </c>
      <c r="G1586" t="s">
        <v>23</v>
      </c>
      <c r="H1586">
        <v>18</v>
      </c>
      <c r="I1586">
        <v>53791</v>
      </c>
      <c r="J1586" t="s">
        <v>86</v>
      </c>
      <c r="K1586" t="s">
        <v>45</v>
      </c>
      <c r="L1586" t="s">
        <v>39</v>
      </c>
      <c r="M1586">
        <v>2</v>
      </c>
      <c r="N1586">
        <v>130.63999999999999</v>
      </c>
      <c r="O1586">
        <v>186.9</v>
      </c>
      <c r="P1586">
        <v>0</v>
      </c>
      <c r="Q1586">
        <v>0</v>
      </c>
      <c r="S1586">
        <v>29</v>
      </c>
      <c r="T1586">
        <v>1</v>
      </c>
      <c r="U1586">
        <v>3</v>
      </c>
      <c r="V1586">
        <v>186.9</v>
      </c>
      <c r="W1586">
        <v>13130001584</v>
      </c>
    </row>
    <row r="1587" spans="1:23" x14ac:dyDescent="0.2">
      <c r="A1587" s="1">
        <v>44774</v>
      </c>
      <c r="B1587" s="2">
        <v>0.81893518518518515</v>
      </c>
      <c r="C1587">
        <v>2585</v>
      </c>
      <c r="D1587">
        <v>13002561</v>
      </c>
      <c r="E1587">
        <v>13</v>
      </c>
      <c r="F1587">
        <v>22589</v>
      </c>
      <c r="G1587" t="s">
        <v>23</v>
      </c>
      <c r="H1587">
        <v>18</v>
      </c>
      <c r="I1587">
        <v>38602</v>
      </c>
      <c r="J1587" t="s">
        <v>128</v>
      </c>
      <c r="K1587" t="s">
        <v>28</v>
      </c>
      <c r="L1587" t="s">
        <v>32</v>
      </c>
      <c r="M1587">
        <v>2</v>
      </c>
      <c r="N1587">
        <v>177.42</v>
      </c>
      <c r="O1587">
        <v>241.31</v>
      </c>
      <c r="P1587">
        <v>0</v>
      </c>
      <c r="Q1587">
        <v>0</v>
      </c>
      <c r="S1587">
        <v>29</v>
      </c>
      <c r="T1587">
        <v>1</v>
      </c>
      <c r="U1587">
        <v>2</v>
      </c>
      <c r="V1587">
        <v>241.31</v>
      </c>
      <c r="W1587">
        <v>13130001585</v>
      </c>
    </row>
    <row r="1588" spans="1:23" x14ac:dyDescent="0.2">
      <c r="A1588" s="1">
        <v>44802</v>
      </c>
      <c r="B1588" s="2">
        <v>0.59884259259259254</v>
      </c>
      <c r="C1588">
        <v>2586</v>
      </c>
      <c r="D1588">
        <v>13002561</v>
      </c>
      <c r="E1588">
        <v>13</v>
      </c>
      <c r="F1588">
        <v>22589</v>
      </c>
      <c r="G1588" t="s">
        <v>23</v>
      </c>
      <c r="H1588">
        <v>18</v>
      </c>
      <c r="I1588">
        <v>42063</v>
      </c>
      <c r="J1588" t="s">
        <v>78</v>
      </c>
      <c r="K1588" t="s">
        <v>60</v>
      </c>
      <c r="L1588" t="s">
        <v>32</v>
      </c>
      <c r="M1588">
        <v>2</v>
      </c>
      <c r="N1588">
        <v>555.09</v>
      </c>
      <c r="O1588">
        <v>865.81</v>
      </c>
      <c r="P1588">
        <v>86.58</v>
      </c>
      <c r="Q1588">
        <v>86.58</v>
      </c>
      <c r="R1588" t="s">
        <v>30</v>
      </c>
      <c r="S1588">
        <v>29</v>
      </c>
      <c r="T1588">
        <v>1</v>
      </c>
      <c r="U1588">
        <v>1</v>
      </c>
      <c r="V1588">
        <v>779.23</v>
      </c>
      <c r="W1588">
        <v>13130001586</v>
      </c>
    </row>
    <row r="1589" spans="1:23" x14ac:dyDescent="0.2">
      <c r="A1589" s="1">
        <v>44776</v>
      </c>
      <c r="B1589" s="2">
        <v>0.84280092592592593</v>
      </c>
      <c r="C1589">
        <v>2587</v>
      </c>
      <c r="D1589">
        <v>13002561</v>
      </c>
      <c r="E1589">
        <v>13</v>
      </c>
      <c r="F1589">
        <v>22589</v>
      </c>
      <c r="G1589" t="s">
        <v>23</v>
      </c>
      <c r="H1589">
        <v>15</v>
      </c>
      <c r="I1589">
        <v>84464</v>
      </c>
      <c r="J1589" t="s">
        <v>43</v>
      </c>
      <c r="K1589" t="s">
        <v>44</v>
      </c>
      <c r="L1589" t="s">
        <v>29</v>
      </c>
      <c r="M1589">
        <v>1</v>
      </c>
      <c r="N1589">
        <v>555.1</v>
      </c>
      <c r="O1589">
        <v>900.9</v>
      </c>
      <c r="P1589">
        <v>90.09</v>
      </c>
      <c r="Q1589">
        <v>90.09</v>
      </c>
      <c r="R1589" t="s">
        <v>30</v>
      </c>
      <c r="S1589">
        <v>29</v>
      </c>
      <c r="T1589">
        <v>1</v>
      </c>
      <c r="U1589">
        <v>4</v>
      </c>
      <c r="V1589">
        <v>810.81</v>
      </c>
      <c r="W1589">
        <v>13130001587</v>
      </c>
    </row>
    <row r="1590" spans="1:23" x14ac:dyDescent="0.2">
      <c r="A1590" s="1">
        <v>44778</v>
      </c>
      <c r="B1590" s="2">
        <v>0.71231481481481485</v>
      </c>
      <c r="C1590">
        <v>2588</v>
      </c>
      <c r="D1590">
        <v>13002561</v>
      </c>
      <c r="E1590">
        <v>13</v>
      </c>
      <c r="F1590">
        <v>22589</v>
      </c>
      <c r="G1590" t="s">
        <v>23</v>
      </c>
      <c r="H1590">
        <v>18</v>
      </c>
      <c r="I1590">
        <v>64614</v>
      </c>
      <c r="J1590" t="s">
        <v>121</v>
      </c>
      <c r="K1590" t="s">
        <v>25</v>
      </c>
      <c r="L1590" t="s">
        <v>29</v>
      </c>
      <c r="M1590">
        <v>2</v>
      </c>
      <c r="N1590">
        <v>253.26</v>
      </c>
      <c r="O1590">
        <v>398.45</v>
      </c>
      <c r="P1590">
        <v>0</v>
      </c>
      <c r="Q1590">
        <v>0</v>
      </c>
      <c r="S1590">
        <v>29</v>
      </c>
      <c r="T1590">
        <v>1</v>
      </c>
      <c r="U1590">
        <v>4</v>
      </c>
      <c r="V1590">
        <v>398.45</v>
      </c>
      <c r="W1590">
        <v>13130001588</v>
      </c>
    </row>
    <row r="1591" spans="1:23" x14ac:dyDescent="0.2">
      <c r="A1591" s="1">
        <v>44804</v>
      </c>
      <c r="B1591" s="2">
        <v>0.39954861111111112</v>
      </c>
      <c r="C1591">
        <v>2589</v>
      </c>
      <c r="D1591">
        <v>13002561</v>
      </c>
      <c r="E1591">
        <v>13</v>
      </c>
      <c r="F1591">
        <v>22589</v>
      </c>
      <c r="G1591" t="s">
        <v>23</v>
      </c>
      <c r="H1591">
        <v>18</v>
      </c>
      <c r="I1591">
        <v>18395</v>
      </c>
      <c r="J1591" t="s">
        <v>121</v>
      </c>
      <c r="K1591" t="s">
        <v>60</v>
      </c>
      <c r="L1591" t="s">
        <v>29</v>
      </c>
      <c r="M1591">
        <v>1</v>
      </c>
      <c r="N1591">
        <v>340.22</v>
      </c>
      <c r="O1591">
        <v>558.79999999999995</v>
      </c>
      <c r="P1591">
        <v>27.94</v>
      </c>
      <c r="Q1591">
        <v>27.94</v>
      </c>
      <c r="R1591" t="s">
        <v>30</v>
      </c>
      <c r="S1591">
        <v>29</v>
      </c>
      <c r="T1591">
        <v>1</v>
      </c>
      <c r="U1591">
        <v>3</v>
      </c>
      <c r="V1591">
        <v>530.86</v>
      </c>
      <c r="W1591">
        <v>13130001589</v>
      </c>
    </row>
    <row r="1592" spans="1:23" x14ac:dyDescent="0.2">
      <c r="A1592" s="1">
        <v>44780</v>
      </c>
      <c r="B1592" s="2">
        <v>0.4906712962962963</v>
      </c>
      <c r="C1592">
        <v>2590</v>
      </c>
      <c r="D1592">
        <v>13002561</v>
      </c>
      <c r="E1592">
        <v>13</v>
      </c>
      <c r="F1592">
        <v>22589</v>
      </c>
      <c r="G1592" t="s">
        <v>23</v>
      </c>
      <c r="H1592">
        <v>18</v>
      </c>
      <c r="I1592">
        <v>32976</v>
      </c>
      <c r="J1592" t="s">
        <v>42</v>
      </c>
      <c r="K1592" t="s">
        <v>45</v>
      </c>
      <c r="L1592" t="s">
        <v>36</v>
      </c>
      <c r="M1592">
        <v>3</v>
      </c>
      <c r="N1592">
        <v>410.16</v>
      </c>
      <c r="O1592">
        <v>689.23</v>
      </c>
      <c r="P1592">
        <v>34.46</v>
      </c>
      <c r="Q1592">
        <v>34.46</v>
      </c>
      <c r="R1592" t="s">
        <v>30</v>
      </c>
      <c r="S1592">
        <v>29</v>
      </c>
      <c r="T1592">
        <v>1</v>
      </c>
      <c r="U1592">
        <v>1</v>
      </c>
      <c r="V1592">
        <v>654.77</v>
      </c>
      <c r="W1592">
        <v>13130001590</v>
      </c>
    </row>
    <row r="1593" spans="1:23" x14ac:dyDescent="0.2">
      <c r="A1593" s="1">
        <v>44792</v>
      </c>
      <c r="B1593" s="2">
        <v>0.68828703703703709</v>
      </c>
      <c r="C1593">
        <v>2591</v>
      </c>
      <c r="D1593">
        <v>13002561</v>
      </c>
      <c r="E1593">
        <v>13</v>
      </c>
      <c r="F1593">
        <v>22589</v>
      </c>
      <c r="G1593" t="s">
        <v>23</v>
      </c>
      <c r="H1593">
        <v>15</v>
      </c>
      <c r="I1593">
        <v>14147</v>
      </c>
      <c r="J1593" t="s">
        <v>102</v>
      </c>
      <c r="K1593" t="s">
        <v>44</v>
      </c>
      <c r="L1593" t="s">
        <v>34</v>
      </c>
      <c r="M1593">
        <v>1</v>
      </c>
      <c r="N1593">
        <v>318.25</v>
      </c>
      <c r="O1593">
        <v>452.87</v>
      </c>
      <c r="P1593">
        <v>45.29</v>
      </c>
      <c r="Q1593">
        <v>45.29</v>
      </c>
      <c r="R1593" t="s">
        <v>30</v>
      </c>
      <c r="S1593">
        <v>29</v>
      </c>
      <c r="T1593">
        <v>1</v>
      </c>
      <c r="U1593">
        <v>2</v>
      </c>
      <c r="V1593">
        <v>407.58</v>
      </c>
      <c r="W1593">
        <v>13130001591</v>
      </c>
    </row>
    <row r="1594" spans="1:23" x14ac:dyDescent="0.2">
      <c r="A1594" s="1">
        <v>44786</v>
      </c>
      <c r="B1594" s="2">
        <v>0.9170949074074074</v>
      </c>
      <c r="C1594">
        <v>2592</v>
      </c>
      <c r="D1594">
        <v>13002561</v>
      </c>
      <c r="E1594">
        <v>13</v>
      </c>
      <c r="F1594">
        <v>22589</v>
      </c>
      <c r="G1594" t="s">
        <v>23</v>
      </c>
      <c r="H1594">
        <v>18</v>
      </c>
      <c r="I1594">
        <v>77457</v>
      </c>
      <c r="J1594" t="s">
        <v>57</v>
      </c>
      <c r="K1594" t="s">
        <v>44</v>
      </c>
      <c r="L1594" t="s">
        <v>36</v>
      </c>
      <c r="M1594">
        <v>2</v>
      </c>
      <c r="N1594">
        <v>538.52</v>
      </c>
      <c r="O1594">
        <v>744.74</v>
      </c>
      <c r="P1594">
        <v>37.24</v>
      </c>
      <c r="Q1594">
        <v>37.24</v>
      </c>
      <c r="R1594" t="s">
        <v>30</v>
      </c>
      <c r="S1594">
        <v>29</v>
      </c>
      <c r="T1594">
        <v>1</v>
      </c>
      <c r="U1594">
        <v>4</v>
      </c>
      <c r="V1594">
        <v>707.5</v>
      </c>
      <c r="W1594">
        <v>13130001592</v>
      </c>
    </row>
    <row r="1595" spans="1:23" x14ac:dyDescent="0.2">
      <c r="A1595" s="1">
        <v>44792</v>
      </c>
      <c r="B1595" s="2">
        <v>0.51380787037037035</v>
      </c>
      <c r="C1595">
        <v>2593</v>
      </c>
      <c r="D1595">
        <v>13002561</v>
      </c>
      <c r="E1595">
        <v>13</v>
      </c>
      <c r="F1595">
        <v>22589</v>
      </c>
      <c r="G1595" t="s">
        <v>23</v>
      </c>
      <c r="H1595">
        <v>18</v>
      </c>
      <c r="I1595">
        <v>58717</v>
      </c>
      <c r="J1595" t="s">
        <v>94</v>
      </c>
      <c r="K1595" t="s">
        <v>38</v>
      </c>
      <c r="L1595" t="s">
        <v>36</v>
      </c>
      <c r="M1595">
        <v>2</v>
      </c>
      <c r="N1595">
        <v>108.47</v>
      </c>
      <c r="O1595">
        <v>181.12</v>
      </c>
      <c r="P1595">
        <v>18.11</v>
      </c>
      <c r="Q1595">
        <v>18.11</v>
      </c>
      <c r="R1595" t="s">
        <v>30</v>
      </c>
      <c r="S1595">
        <v>29</v>
      </c>
      <c r="T1595">
        <v>1</v>
      </c>
      <c r="U1595">
        <v>1</v>
      </c>
      <c r="V1595">
        <v>163.01</v>
      </c>
      <c r="W1595">
        <v>13130001593</v>
      </c>
    </row>
    <row r="1596" spans="1:23" x14ac:dyDescent="0.2">
      <c r="A1596" s="1">
        <v>44797</v>
      </c>
      <c r="B1596" s="2">
        <v>0.33961805555555558</v>
      </c>
      <c r="C1596">
        <v>2594</v>
      </c>
      <c r="D1596">
        <v>13002561</v>
      </c>
      <c r="E1596">
        <v>13</v>
      </c>
      <c r="F1596">
        <v>22589</v>
      </c>
      <c r="G1596" t="s">
        <v>23</v>
      </c>
      <c r="H1596">
        <v>18</v>
      </c>
      <c r="I1596">
        <v>30980</v>
      </c>
      <c r="J1596" t="s">
        <v>88</v>
      </c>
      <c r="K1596" t="s">
        <v>60</v>
      </c>
      <c r="L1596" t="s">
        <v>47</v>
      </c>
      <c r="M1596">
        <v>1</v>
      </c>
      <c r="N1596">
        <v>52.93</v>
      </c>
      <c r="O1596">
        <v>70.400000000000006</v>
      </c>
      <c r="P1596">
        <v>0</v>
      </c>
      <c r="Q1596">
        <v>0</v>
      </c>
      <c r="S1596">
        <v>29</v>
      </c>
      <c r="T1596">
        <v>1</v>
      </c>
      <c r="U1596">
        <v>1</v>
      </c>
      <c r="V1596">
        <v>70.400000000000006</v>
      </c>
      <c r="W1596">
        <v>13130001594</v>
      </c>
    </row>
    <row r="1597" spans="1:23" x14ac:dyDescent="0.2">
      <c r="A1597" s="1">
        <v>44801</v>
      </c>
      <c r="B1597" s="2">
        <v>0.75261574074074078</v>
      </c>
      <c r="C1597">
        <v>2595</v>
      </c>
      <c r="D1597">
        <v>13002561</v>
      </c>
      <c r="E1597">
        <v>13</v>
      </c>
      <c r="F1597">
        <v>22589</v>
      </c>
      <c r="G1597" t="s">
        <v>23</v>
      </c>
      <c r="H1597">
        <v>15</v>
      </c>
      <c r="I1597">
        <v>16996</v>
      </c>
      <c r="J1597" t="s">
        <v>50</v>
      </c>
      <c r="K1597" t="s">
        <v>45</v>
      </c>
      <c r="L1597" t="s">
        <v>34</v>
      </c>
      <c r="M1597">
        <v>3</v>
      </c>
      <c r="N1597">
        <v>22.93</v>
      </c>
      <c r="O1597">
        <v>29.15</v>
      </c>
      <c r="P1597">
        <v>2.92</v>
      </c>
      <c r="Q1597">
        <v>2.92</v>
      </c>
      <c r="R1597" t="s">
        <v>30</v>
      </c>
      <c r="S1597">
        <v>29</v>
      </c>
      <c r="T1597">
        <v>1</v>
      </c>
      <c r="U1597">
        <v>2</v>
      </c>
      <c r="V1597">
        <v>26.23</v>
      </c>
      <c r="W1597">
        <v>13130001595</v>
      </c>
    </row>
    <row r="1598" spans="1:23" x14ac:dyDescent="0.2">
      <c r="A1598" s="1">
        <v>44794</v>
      </c>
      <c r="B1598" s="2">
        <v>0.57305555555555554</v>
      </c>
      <c r="C1598">
        <v>2596</v>
      </c>
      <c r="D1598">
        <v>13002561</v>
      </c>
      <c r="E1598">
        <v>13</v>
      </c>
      <c r="F1598">
        <v>22589</v>
      </c>
      <c r="G1598" t="s">
        <v>23</v>
      </c>
      <c r="H1598">
        <v>18</v>
      </c>
      <c r="I1598">
        <v>95809</v>
      </c>
      <c r="J1598" t="s">
        <v>91</v>
      </c>
      <c r="K1598" t="s">
        <v>44</v>
      </c>
      <c r="L1598" t="s">
        <v>32</v>
      </c>
      <c r="M1598">
        <v>2</v>
      </c>
      <c r="N1598">
        <v>341.86</v>
      </c>
      <c r="O1598">
        <v>500.62</v>
      </c>
      <c r="P1598">
        <v>50.06</v>
      </c>
      <c r="Q1598">
        <v>50.06</v>
      </c>
      <c r="R1598" t="s">
        <v>30</v>
      </c>
      <c r="S1598">
        <v>29</v>
      </c>
      <c r="T1598">
        <v>1</v>
      </c>
      <c r="U1598">
        <v>5</v>
      </c>
      <c r="V1598">
        <v>450.56</v>
      </c>
      <c r="W1598">
        <v>13130001596</v>
      </c>
    </row>
    <row r="1599" spans="1:23" x14ac:dyDescent="0.2">
      <c r="A1599" s="1">
        <v>44804</v>
      </c>
      <c r="B1599" s="2">
        <v>0.66922453703703699</v>
      </c>
      <c r="C1599">
        <v>2597</v>
      </c>
      <c r="D1599">
        <v>13002561</v>
      </c>
      <c r="E1599">
        <v>13</v>
      </c>
      <c r="F1599">
        <v>22589</v>
      </c>
      <c r="G1599" t="s">
        <v>23</v>
      </c>
      <c r="H1599">
        <v>18</v>
      </c>
      <c r="I1599">
        <v>53579</v>
      </c>
      <c r="J1599" t="s">
        <v>48</v>
      </c>
      <c r="K1599" t="s">
        <v>28</v>
      </c>
      <c r="L1599" t="s">
        <v>29</v>
      </c>
      <c r="M1599">
        <v>3</v>
      </c>
      <c r="N1599">
        <v>297.31</v>
      </c>
      <c r="O1599">
        <v>436.11</v>
      </c>
      <c r="P1599">
        <v>0</v>
      </c>
      <c r="Q1599">
        <v>0</v>
      </c>
      <c r="S1599">
        <v>29</v>
      </c>
      <c r="T1599">
        <v>1</v>
      </c>
      <c r="U1599">
        <v>6</v>
      </c>
      <c r="V1599">
        <v>436.11</v>
      </c>
      <c r="W1599">
        <v>13130001597</v>
      </c>
    </row>
    <row r="1600" spans="1:23" x14ac:dyDescent="0.2">
      <c r="A1600" s="1">
        <v>44791</v>
      </c>
      <c r="B1600" s="2">
        <v>0.39414351851851848</v>
      </c>
      <c r="C1600">
        <v>2598</v>
      </c>
      <c r="D1600">
        <v>13002561</v>
      </c>
      <c r="E1600">
        <v>13</v>
      </c>
      <c r="F1600">
        <v>22589</v>
      </c>
      <c r="G1600" t="s">
        <v>23</v>
      </c>
      <c r="H1600">
        <v>18</v>
      </c>
      <c r="I1600">
        <v>96348</v>
      </c>
      <c r="J1600" t="s">
        <v>49</v>
      </c>
      <c r="K1600" t="s">
        <v>38</v>
      </c>
      <c r="L1600" t="s">
        <v>47</v>
      </c>
      <c r="M1600">
        <v>1</v>
      </c>
      <c r="N1600">
        <v>395.25</v>
      </c>
      <c r="O1600">
        <v>577.64</v>
      </c>
      <c r="P1600">
        <v>28.88</v>
      </c>
      <c r="Q1600">
        <v>28.88</v>
      </c>
      <c r="R1600" t="s">
        <v>30</v>
      </c>
      <c r="S1600">
        <v>29</v>
      </c>
      <c r="T1600">
        <v>1</v>
      </c>
      <c r="U1600">
        <v>1</v>
      </c>
      <c r="V1600">
        <v>548.76</v>
      </c>
      <c r="W1600">
        <v>13130001598</v>
      </c>
    </row>
    <row r="1601" spans="1:23" x14ac:dyDescent="0.2">
      <c r="A1601" s="1">
        <v>44778</v>
      </c>
      <c r="B1601" s="2">
        <v>0.67715277777777783</v>
      </c>
      <c r="C1601">
        <v>2599</v>
      </c>
      <c r="D1601">
        <v>13002561</v>
      </c>
      <c r="E1601">
        <v>13</v>
      </c>
      <c r="F1601">
        <v>22589</v>
      </c>
      <c r="G1601" t="s">
        <v>23</v>
      </c>
      <c r="H1601">
        <v>18</v>
      </c>
      <c r="I1601">
        <v>79389</v>
      </c>
      <c r="J1601" t="s">
        <v>118</v>
      </c>
      <c r="K1601" t="s">
        <v>60</v>
      </c>
      <c r="L1601" t="s">
        <v>29</v>
      </c>
      <c r="M1601">
        <v>2</v>
      </c>
      <c r="N1601">
        <v>63.24</v>
      </c>
      <c r="O1601">
        <v>84.49</v>
      </c>
      <c r="P1601">
        <v>8.4499999999999993</v>
      </c>
      <c r="Q1601">
        <v>8.4499999999999993</v>
      </c>
      <c r="R1601" t="s">
        <v>30</v>
      </c>
      <c r="S1601">
        <v>29</v>
      </c>
      <c r="T1601">
        <v>1</v>
      </c>
      <c r="U1601">
        <v>4</v>
      </c>
      <c r="V1601">
        <v>76.040000000000006</v>
      </c>
      <c r="W1601">
        <v>13130001599</v>
      </c>
    </row>
    <row r="1602" spans="1:23" x14ac:dyDescent="0.2">
      <c r="A1602" s="1">
        <v>44785</v>
      </c>
      <c r="B1602" s="2">
        <v>0.80153935185185188</v>
      </c>
      <c r="C1602">
        <v>2600</v>
      </c>
      <c r="D1602">
        <v>13002561</v>
      </c>
      <c r="E1602">
        <v>13</v>
      </c>
      <c r="F1602">
        <v>22589</v>
      </c>
      <c r="G1602" t="s">
        <v>23</v>
      </c>
      <c r="H1602">
        <v>15</v>
      </c>
      <c r="I1602">
        <v>66508</v>
      </c>
      <c r="J1602" t="s">
        <v>33</v>
      </c>
      <c r="K1602" t="s">
        <v>45</v>
      </c>
      <c r="L1602" t="s">
        <v>34</v>
      </c>
      <c r="M1602">
        <v>3</v>
      </c>
      <c r="N1602">
        <v>113.33</v>
      </c>
      <c r="O1602">
        <v>144.30000000000001</v>
      </c>
      <c r="P1602">
        <v>0</v>
      </c>
      <c r="Q1602">
        <v>0</v>
      </c>
      <c r="S1602">
        <v>29</v>
      </c>
      <c r="T1602">
        <v>1</v>
      </c>
      <c r="U1602">
        <v>4</v>
      </c>
      <c r="V1602">
        <v>144.30000000000001</v>
      </c>
      <c r="W1602">
        <v>13130001600</v>
      </c>
    </row>
    <row r="1603" spans="1:23" x14ac:dyDescent="0.2">
      <c r="A1603" s="1">
        <v>44782</v>
      </c>
      <c r="B1603" s="2">
        <v>0.86135416666666664</v>
      </c>
      <c r="C1603">
        <v>2601</v>
      </c>
      <c r="D1603">
        <v>13002561</v>
      </c>
      <c r="E1603">
        <v>13</v>
      </c>
      <c r="F1603">
        <v>22589</v>
      </c>
      <c r="G1603" t="s">
        <v>23</v>
      </c>
      <c r="H1603">
        <v>18</v>
      </c>
      <c r="I1603">
        <v>17964</v>
      </c>
      <c r="J1603" t="s">
        <v>50</v>
      </c>
      <c r="K1603" t="s">
        <v>45</v>
      </c>
      <c r="L1603" t="s">
        <v>32</v>
      </c>
      <c r="M1603">
        <v>2</v>
      </c>
      <c r="N1603">
        <v>467.2</v>
      </c>
      <c r="O1603">
        <v>584.39</v>
      </c>
      <c r="P1603">
        <v>58.44</v>
      </c>
      <c r="Q1603">
        <v>58.44</v>
      </c>
      <c r="R1603" t="s">
        <v>30</v>
      </c>
      <c r="S1603">
        <v>29</v>
      </c>
      <c r="T1603">
        <v>1</v>
      </c>
      <c r="U1603">
        <v>3</v>
      </c>
      <c r="V1603">
        <v>525.95000000000005</v>
      </c>
      <c r="W1603">
        <v>13130001601</v>
      </c>
    </row>
    <row r="1604" spans="1:23" x14ac:dyDescent="0.2">
      <c r="A1604" s="1">
        <v>44803</v>
      </c>
      <c r="B1604" s="2">
        <v>0.61902777777777773</v>
      </c>
      <c r="C1604">
        <v>2602</v>
      </c>
      <c r="D1604">
        <v>13002561</v>
      </c>
      <c r="E1604">
        <v>13</v>
      </c>
      <c r="F1604">
        <v>22589</v>
      </c>
      <c r="G1604" t="s">
        <v>23</v>
      </c>
      <c r="H1604">
        <v>15</v>
      </c>
      <c r="I1604">
        <v>52295</v>
      </c>
      <c r="J1604" t="s">
        <v>41</v>
      </c>
      <c r="K1604" t="s">
        <v>45</v>
      </c>
      <c r="L1604" t="s">
        <v>34</v>
      </c>
      <c r="M1604">
        <v>1</v>
      </c>
      <c r="N1604">
        <v>305.02999999999997</v>
      </c>
      <c r="O1604">
        <v>481.11</v>
      </c>
      <c r="P1604">
        <v>48.11</v>
      </c>
      <c r="Q1604">
        <v>48.11</v>
      </c>
      <c r="R1604" t="s">
        <v>30</v>
      </c>
      <c r="S1604">
        <v>29</v>
      </c>
      <c r="T1604">
        <v>1</v>
      </c>
      <c r="U1604">
        <v>4</v>
      </c>
      <c r="V1604">
        <v>433</v>
      </c>
      <c r="W1604">
        <v>13130001602</v>
      </c>
    </row>
    <row r="1605" spans="1:23" x14ac:dyDescent="0.2">
      <c r="A1605" s="1">
        <v>44778</v>
      </c>
      <c r="B1605" s="2">
        <v>0.40714120370370371</v>
      </c>
      <c r="C1605">
        <v>2603</v>
      </c>
      <c r="D1605">
        <v>13002561</v>
      </c>
      <c r="E1605">
        <v>13</v>
      </c>
      <c r="F1605">
        <v>22589</v>
      </c>
      <c r="G1605" t="s">
        <v>23</v>
      </c>
      <c r="H1605">
        <v>15</v>
      </c>
      <c r="I1605">
        <v>82155</v>
      </c>
      <c r="J1605" t="s">
        <v>102</v>
      </c>
      <c r="K1605" t="s">
        <v>28</v>
      </c>
      <c r="L1605" t="s">
        <v>26</v>
      </c>
      <c r="M1605">
        <v>1</v>
      </c>
      <c r="N1605">
        <v>222.82</v>
      </c>
      <c r="O1605">
        <v>341.95</v>
      </c>
      <c r="P1605">
        <v>0</v>
      </c>
      <c r="Q1605">
        <v>0</v>
      </c>
      <c r="S1605">
        <v>29</v>
      </c>
      <c r="T1605">
        <v>1</v>
      </c>
      <c r="U1605">
        <v>1</v>
      </c>
      <c r="V1605">
        <v>341.95</v>
      </c>
      <c r="W1605">
        <v>13130001603</v>
      </c>
    </row>
    <row r="1606" spans="1:23" x14ac:dyDescent="0.2">
      <c r="A1606" s="1">
        <v>44774</v>
      </c>
      <c r="B1606" s="2">
        <v>0.48978009259259259</v>
      </c>
      <c r="C1606">
        <v>2604</v>
      </c>
      <c r="D1606">
        <v>13002561</v>
      </c>
      <c r="E1606">
        <v>13</v>
      </c>
      <c r="F1606">
        <v>22589</v>
      </c>
      <c r="G1606" t="s">
        <v>23</v>
      </c>
      <c r="H1606">
        <v>18</v>
      </c>
      <c r="I1606">
        <v>17367</v>
      </c>
      <c r="J1606" t="s">
        <v>89</v>
      </c>
      <c r="K1606" t="s">
        <v>28</v>
      </c>
      <c r="L1606" t="s">
        <v>47</v>
      </c>
      <c r="M1606">
        <v>1</v>
      </c>
      <c r="N1606">
        <v>156.58000000000001</v>
      </c>
      <c r="O1606">
        <v>263.85000000000002</v>
      </c>
      <c r="P1606">
        <v>13.19</v>
      </c>
      <c r="Q1606">
        <v>13.19</v>
      </c>
      <c r="R1606" t="s">
        <v>30</v>
      </c>
      <c r="S1606">
        <v>29</v>
      </c>
      <c r="T1606">
        <v>1</v>
      </c>
      <c r="U1606">
        <v>2</v>
      </c>
      <c r="V1606">
        <v>250.66</v>
      </c>
      <c r="W1606">
        <v>13130001604</v>
      </c>
    </row>
    <row r="1607" spans="1:23" x14ac:dyDescent="0.2">
      <c r="A1607" s="1">
        <v>44777</v>
      </c>
      <c r="B1607" s="2">
        <v>0.69233796296296302</v>
      </c>
      <c r="C1607">
        <v>2605</v>
      </c>
      <c r="D1607">
        <v>13002561</v>
      </c>
      <c r="E1607">
        <v>13</v>
      </c>
      <c r="F1607">
        <v>22589</v>
      </c>
      <c r="G1607" t="s">
        <v>23</v>
      </c>
      <c r="H1607">
        <v>18</v>
      </c>
      <c r="I1607">
        <v>47152</v>
      </c>
      <c r="J1607" t="s">
        <v>56</v>
      </c>
      <c r="K1607" t="s">
        <v>45</v>
      </c>
      <c r="L1607" t="s">
        <v>51</v>
      </c>
      <c r="M1607">
        <v>2</v>
      </c>
      <c r="N1607">
        <v>38.44</v>
      </c>
      <c r="O1607">
        <v>48.54</v>
      </c>
      <c r="P1607">
        <v>4.8499999999999996</v>
      </c>
      <c r="Q1607">
        <v>4.8499999999999996</v>
      </c>
      <c r="R1607" t="s">
        <v>30</v>
      </c>
      <c r="S1607">
        <v>29</v>
      </c>
      <c r="T1607">
        <v>1</v>
      </c>
      <c r="U1607">
        <v>2</v>
      </c>
      <c r="V1607">
        <v>43.69</v>
      </c>
      <c r="W1607">
        <v>13130001605</v>
      </c>
    </row>
    <row r="1608" spans="1:23" x14ac:dyDescent="0.2">
      <c r="A1608" s="1">
        <v>44785</v>
      </c>
      <c r="B1608" s="2">
        <v>0.56509259259259259</v>
      </c>
      <c r="C1608">
        <v>2606</v>
      </c>
      <c r="D1608">
        <v>13002561</v>
      </c>
      <c r="E1608">
        <v>13</v>
      </c>
      <c r="F1608">
        <v>22589</v>
      </c>
      <c r="G1608" t="s">
        <v>23</v>
      </c>
      <c r="H1608">
        <v>18</v>
      </c>
      <c r="I1608">
        <v>20041</v>
      </c>
      <c r="J1608" t="s">
        <v>111</v>
      </c>
      <c r="K1608" t="s">
        <v>45</v>
      </c>
      <c r="L1608" t="s">
        <v>32</v>
      </c>
      <c r="M1608">
        <v>1</v>
      </c>
      <c r="N1608">
        <v>221.56</v>
      </c>
      <c r="O1608">
        <v>305.99</v>
      </c>
      <c r="P1608">
        <v>15.3</v>
      </c>
      <c r="Q1608">
        <v>15.3</v>
      </c>
      <c r="R1608" t="s">
        <v>30</v>
      </c>
      <c r="S1608">
        <v>29</v>
      </c>
      <c r="T1608">
        <v>1</v>
      </c>
      <c r="U1608">
        <v>2</v>
      </c>
      <c r="V1608">
        <v>290.69</v>
      </c>
      <c r="W1608">
        <v>13130001606</v>
      </c>
    </row>
    <row r="1609" spans="1:23" x14ac:dyDescent="0.2">
      <c r="A1609" s="1">
        <v>44800</v>
      </c>
      <c r="B1609" s="2">
        <v>0.41859953703703712</v>
      </c>
      <c r="C1609">
        <v>2607</v>
      </c>
      <c r="D1609">
        <v>13002561</v>
      </c>
      <c r="E1609">
        <v>13</v>
      </c>
      <c r="F1609">
        <v>22589</v>
      </c>
      <c r="G1609" t="s">
        <v>23</v>
      </c>
      <c r="H1609">
        <v>18</v>
      </c>
      <c r="I1609">
        <v>77311</v>
      </c>
      <c r="J1609" t="s">
        <v>59</v>
      </c>
      <c r="K1609" t="s">
        <v>60</v>
      </c>
      <c r="L1609" t="s">
        <v>51</v>
      </c>
      <c r="M1609">
        <v>3</v>
      </c>
      <c r="N1609">
        <v>582.95000000000005</v>
      </c>
      <c r="O1609">
        <v>958.94</v>
      </c>
      <c r="P1609">
        <v>47.95</v>
      </c>
      <c r="Q1609">
        <v>47.95</v>
      </c>
      <c r="R1609" t="s">
        <v>30</v>
      </c>
      <c r="S1609">
        <v>29</v>
      </c>
      <c r="T1609">
        <v>1</v>
      </c>
      <c r="U1609">
        <v>1</v>
      </c>
      <c r="V1609">
        <v>910.99</v>
      </c>
      <c r="W1609">
        <v>13130001607</v>
      </c>
    </row>
    <row r="1610" spans="1:23" x14ac:dyDescent="0.2">
      <c r="A1610" s="1">
        <v>44801</v>
      </c>
      <c r="B1610" s="2">
        <v>0.71994212962962967</v>
      </c>
      <c r="C1610">
        <v>2608</v>
      </c>
      <c r="D1610">
        <v>13002561</v>
      </c>
      <c r="E1610">
        <v>13</v>
      </c>
      <c r="F1610">
        <v>22589</v>
      </c>
      <c r="G1610" t="s">
        <v>23</v>
      </c>
      <c r="H1610">
        <v>15</v>
      </c>
      <c r="I1610">
        <v>39616</v>
      </c>
      <c r="J1610" t="s">
        <v>109</v>
      </c>
      <c r="K1610" t="s">
        <v>25</v>
      </c>
      <c r="L1610" t="s">
        <v>32</v>
      </c>
      <c r="M1610">
        <v>1</v>
      </c>
      <c r="N1610">
        <v>317.82</v>
      </c>
      <c r="O1610">
        <v>530.73</v>
      </c>
      <c r="P1610">
        <v>26.54</v>
      </c>
      <c r="Q1610">
        <v>26.54</v>
      </c>
      <c r="R1610" t="s">
        <v>30</v>
      </c>
      <c r="S1610">
        <v>29</v>
      </c>
      <c r="T1610">
        <v>1</v>
      </c>
      <c r="U1610">
        <v>5</v>
      </c>
      <c r="V1610">
        <v>504.19</v>
      </c>
      <c r="W1610">
        <v>13130001608</v>
      </c>
    </row>
    <row r="1611" spans="1:23" x14ac:dyDescent="0.2">
      <c r="A1611" s="1">
        <v>44787</v>
      </c>
      <c r="B1611" s="2">
        <v>0.4054861111111111</v>
      </c>
      <c r="C1611">
        <v>2609</v>
      </c>
      <c r="D1611">
        <v>13002561</v>
      </c>
      <c r="E1611">
        <v>13</v>
      </c>
      <c r="F1611">
        <v>22589</v>
      </c>
      <c r="G1611" t="s">
        <v>23</v>
      </c>
      <c r="H1611">
        <v>18</v>
      </c>
      <c r="I1611">
        <v>79094</v>
      </c>
      <c r="J1611" t="s">
        <v>58</v>
      </c>
      <c r="K1611" t="s">
        <v>45</v>
      </c>
      <c r="L1611" t="s">
        <v>29</v>
      </c>
      <c r="M1611">
        <v>1</v>
      </c>
      <c r="N1611">
        <v>460.24</v>
      </c>
      <c r="O1611">
        <v>645.33000000000004</v>
      </c>
      <c r="P1611">
        <v>0</v>
      </c>
      <c r="Q1611">
        <v>0</v>
      </c>
      <c r="S1611">
        <v>29</v>
      </c>
      <c r="T1611">
        <v>1</v>
      </c>
      <c r="U1611">
        <v>2</v>
      </c>
      <c r="V1611">
        <v>645.33000000000004</v>
      </c>
      <c r="W1611">
        <v>13130001609</v>
      </c>
    </row>
    <row r="1612" spans="1:23" x14ac:dyDescent="0.2">
      <c r="A1612" s="1">
        <v>44781</v>
      </c>
      <c r="B1612" s="2">
        <v>0.40068287037037043</v>
      </c>
      <c r="C1612">
        <v>2610</v>
      </c>
      <c r="D1612">
        <v>13002561</v>
      </c>
      <c r="E1612">
        <v>13</v>
      </c>
      <c r="F1612">
        <v>22589</v>
      </c>
      <c r="G1612" t="s">
        <v>23</v>
      </c>
      <c r="H1612">
        <v>15</v>
      </c>
      <c r="I1612">
        <v>66551</v>
      </c>
      <c r="J1612" t="s">
        <v>74</v>
      </c>
      <c r="K1612" t="s">
        <v>45</v>
      </c>
      <c r="L1612" t="s">
        <v>32</v>
      </c>
      <c r="M1612">
        <v>1</v>
      </c>
      <c r="N1612">
        <v>594.96</v>
      </c>
      <c r="O1612">
        <v>916.65</v>
      </c>
      <c r="P1612">
        <v>0</v>
      </c>
      <c r="Q1612">
        <v>0</v>
      </c>
      <c r="S1612">
        <v>29</v>
      </c>
      <c r="T1612">
        <v>1</v>
      </c>
      <c r="U1612">
        <v>2</v>
      </c>
      <c r="V1612">
        <v>916.65</v>
      </c>
      <c r="W1612">
        <v>13130001610</v>
      </c>
    </row>
    <row r="1613" spans="1:23" x14ac:dyDescent="0.2">
      <c r="A1613" s="1">
        <v>44787</v>
      </c>
      <c r="B1613" s="2">
        <v>0.45266203703703711</v>
      </c>
      <c r="C1613">
        <v>2611</v>
      </c>
      <c r="D1613">
        <v>13002561</v>
      </c>
      <c r="E1613">
        <v>13</v>
      </c>
      <c r="F1613">
        <v>22589</v>
      </c>
      <c r="G1613" t="s">
        <v>23</v>
      </c>
      <c r="H1613">
        <v>15</v>
      </c>
      <c r="I1613">
        <v>47855</v>
      </c>
      <c r="J1613" t="s">
        <v>90</v>
      </c>
      <c r="K1613" t="s">
        <v>45</v>
      </c>
      <c r="L1613" t="s">
        <v>29</v>
      </c>
      <c r="M1613">
        <v>3</v>
      </c>
      <c r="N1613">
        <v>493.06</v>
      </c>
      <c r="O1613">
        <v>681.72</v>
      </c>
      <c r="P1613">
        <v>34.090000000000003</v>
      </c>
      <c r="Q1613">
        <v>34.090000000000003</v>
      </c>
      <c r="R1613" t="s">
        <v>30</v>
      </c>
      <c r="S1613">
        <v>29</v>
      </c>
      <c r="T1613">
        <v>1</v>
      </c>
      <c r="U1613">
        <v>4</v>
      </c>
      <c r="V1613">
        <v>647.63</v>
      </c>
      <c r="W1613">
        <v>13130001611</v>
      </c>
    </row>
    <row r="1614" spans="1:23" x14ac:dyDescent="0.2">
      <c r="A1614" s="1">
        <v>44796</v>
      </c>
      <c r="B1614" s="2">
        <v>0.59401620370370367</v>
      </c>
      <c r="C1614">
        <v>2612</v>
      </c>
      <c r="D1614">
        <v>13002561</v>
      </c>
      <c r="E1614">
        <v>13</v>
      </c>
      <c r="F1614">
        <v>22589</v>
      </c>
      <c r="G1614" t="s">
        <v>23</v>
      </c>
      <c r="H1614">
        <v>15</v>
      </c>
      <c r="I1614">
        <v>27596</v>
      </c>
      <c r="J1614" t="s">
        <v>106</v>
      </c>
      <c r="K1614" t="s">
        <v>25</v>
      </c>
      <c r="L1614" t="s">
        <v>36</v>
      </c>
      <c r="M1614">
        <v>3</v>
      </c>
      <c r="N1614">
        <v>493.45</v>
      </c>
      <c r="O1614">
        <v>625.51</v>
      </c>
      <c r="P1614">
        <v>31.28</v>
      </c>
      <c r="Q1614">
        <v>31.28</v>
      </c>
      <c r="R1614" t="s">
        <v>30</v>
      </c>
      <c r="S1614">
        <v>29</v>
      </c>
      <c r="T1614">
        <v>1</v>
      </c>
      <c r="U1614">
        <v>1</v>
      </c>
      <c r="V1614">
        <v>594.23</v>
      </c>
      <c r="W1614">
        <v>13130001612</v>
      </c>
    </row>
    <row r="1615" spans="1:23" x14ac:dyDescent="0.2">
      <c r="A1615" s="1">
        <v>44776</v>
      </c>
      <c r="B1615" s="2">
        <v>0.92077546296296298</v>
      </c>
      <c r="C1615">
        <v>2613</v>
      </c>
      <c r="D1615">
        <v>13002561</v>
      </c>
      <c r="E1615">
        <v>13</v>
      </c>
      <c r="F1615">
        <v>22589</v>
      </c>
      <c r="G1615" t="s">
        <v>23</v>
      </c>
      <c r="H1615">
        <v>15</v>
      </c>
      <c r="I1615">
        <v>60979</v>
      </c>
      <c r="J1615" t="s">
        <v>50</v>
      </c>
      <c r="K1615" t="s">
        <v>28</v>
      </c>
      <c r="L1615" t="s">
        <v>47</v>
      </c>
      <c r="M1615">
        <v>2</v>
      </c>
      <c r="N1615">
        <v>490.53</v>
      </c>
      <c r="O1615">
        <v>766.66</v>
      </c>
      <c r="P1615">
        <v>0</v>
      </c>
      <c r="Q1615">
        <v>0</v>
      </c>
      <c r="S1615">
        <v>29</v>
      </c>
      <c r="T1615">
        <v>1</v>
      </c>
      <c r="U1615">
        <v>4</v>
      </c>
      <c r="V1615">
        <v>766.66</v>
      </c>
      <c r="W1615">
        <v>13130001613</v>
      </c>
    </row>
    <row r="1616" spans="1:23" x14ac:dyDescent="0.2">
      <c r="A1616" s="1">
        <v>44793</v>
      </c>
      <c r="B1616" s="2">
        <v>0.41335648148148152</v>
      </c>
      <c r="C1616">
        <v>2614</v>
      </c>
      <c r="D1616">
        <v>13002561</v>
      </c>
      <c r="E1616">
        <v>13</v>
      </c>
      <c r="F1616">
        <v>22589</v>
      </c>
      <c r="G1616" t="s">
        <v>23</v>
      </c>
      <c r="H1616">
        <v>15</v>
      </c>
      <c r="I1616">
        <v>85064</v>
      </c>
      <c r="J1616" t="s">
        <v>56</v>
      </c>
      <c r="K1616" t="s">
        <v>28</v>
      </c>
      <c r="L1616" t="s">
        <v>51</v>
      </c>
      <c r="M1616">
        <v>2</v>
      </c>
      <c r="N1616">
        <v>154.44</v>
      </c>
      <c r="O1616">
        <v>199.53</v>
      </c>
      <c r="P1616">
        <v>19.95</v>
      </c>
      <c r="Q1616">
        <v>19.95</v>
      </c>
      <c r="R1616" t="s">
        <v>30</v>
      </c>
      <c r="S1616">
        <v>29</v>
      </c>
      <c r="T1616">
        <v>1</v>
      </c>
      <c r="U1616">
        <v>2</v>
      </c>
      <c r="V1616">
        <v>179.58</v>
      </c>
      <c r="W1616">
        <v>13130001614</v>
      </c>
    </row>
    <row r="1617" spans="1:23" x14ac:dyDescent="0.2">
      <c r="A1617" s="1">
        <v>44800</v>
      </c>
      <c r="B1617" s="2">
        <v>0.87200231481481483</v>
      </c>
      <c r="C1617">
        <v>2615</v>
      </c>
      <c r="D1617">
        <v>13002561</v>
      </c>
      <c r="E1617">
        <v>13</v>
      </c>
      <c r="F1617">
        <v>22589</v>
      </c>
      <c r="G1617" t="s">
        <v>23</v>
      </c>
      <c r="H1617">
        <v>18</v>
      </c>
      <c r="I1617">
        <v>83804</v>
      </c>
      <c r="J1617" t="s">
        <v>35</v>
      </c>
      <c r="K1617" t="s">
        <v>25</v>
      </c>
      <c r="L1617" t="s">
        <v>26</v>
      </c>
      <c r="M1617">
        <v>3</v>
      </c>
      <c r="N1617">
        <v>517.49</v>
      </c>
      <c r="O1617">
        <v>837</v>
      </c>
      <c r="P1617">
        <v>0</v>
      </c>
      <c r="Q1617">
        <v>0</v>
      </c>
      <c r="S1617">
        <v>29</v>
      </c>
      <c r="T1617">
        <v>1</v>
      </c>
      <c r="U1617">
        <v>6</v>
      </c>
      <c r="V1617">
        <v>837</v>
      </c>
      <c r="W1617">
        <v>13130001615</v>
      </c>
    </row>
    <row r="1618" spans="1:23" x14ac:dyDescent="0.2">
      <c r="A1618" s="1">
        <v>44777</v>
      </c>
      <c r="B1618" s="2">
        <v>0.86958333333333337</v>
      </c>
      <c r="C1618">
        <v>2616</v>
      </c>
      <c r="D1618">
        <v>13002561</v>
      </c>
      <c r="E1618">
        <v>13</v>
      </c>
      <c r="F1618">
        <v>22589</v>
      </c>
      <c r="G1618" t="s">
        <v>23</v>
      </c>
      <c r="H1618">
        <v>18</v>
      </c>
      <c r="I1618">
        <v>74282</v>
      </c>
      <c r="J1618" t="s">
        <v>33</v>
      </c>
      <c r="K1618" t="s">
        <v>25</v>
      </c>
      <c r="L1618" t="s">
        <v>47</v>
      </c>
      <c r="M1618">
        <v>3</v>
      </c>
      <c r="N1618">
        <v>409.94</v>
      </c>
      <c r="O1618">
        <v>568.59</v>
      </c>
      <c r="P1618">
        <v>28.43</v>
      </c>
      <c r="Q1618">
        <v>28.43</v>
      </c>
      <c r="R1618" t="s">
        <v>30</v>
      </c>
      <c r="S1618">
        <v>29</v>
      </c>
      <c r="T1618">
        <v>1</v>
      </c>
      <c r="U1618">
        <v>4</v>
      </c>
      <c r="V1618">
        <v>540.16</v>
      </c>
      <c r="W1618">
        <v>13130001616</v>
      </c>
    </row>
    <row r="1619" spans="1:23" x14ac:dyDescent="0.2">
      <c r="A1619" s="1">
        <v>44780</v>
      </c>
      <c r="B1619" s="2">
        <v>0.41393518518518518</v>
      </c>
      <c r="C1619">
        <v>2617</v>
      </c>
      <c r="D1619">
        <v>13002561</v>
      </c>
      <c r="E1619">
        <v>13</v>
      </c>
      <c r="F1619">
        <v>22589</v>
      </c>
      <c r="G1619" t="s">
        <v>23</v>
      </c>
      <c r="H1619">
        <v>15</v>
      </c>
      <c r="I1619">
        <v>39865</v>
      </c>
      <c r="J1619" t="s">
        <v>74</v>
      </c>
      <c r="K1619" t="s">
        <v>25</v>
      </c>
      <c r="L1619" t="s">
        <v>47</v>
      </c>
      <c r="M1619">
        <v>3</v>
      </c>
      <c r="N1619">
        <v>7.18</v>
      </c>
      <c r="O1619">
        <v>11.07</v>
      </c>
      <c r="P1619">
        <v>0.55000000000000004</v>
      </c>
      <c r="Q1619">
        <v>0.55000000000000004</v>
      </c>
      <c r="R1619" t="s">
        <v>30</v>
      </c>
      <c r="S1619">
        <v>29</v>
      </c>
      <c r="T1619">
        <v>1</v>
      </c>
      <c r="U1619">
        <v>1</v>
      </c>
      <c r="V1619">
        <v>10.52</v>
      </c>
      <c r="W1619">
        <v>13130001617</v>
      </c>
    </row>
    <row r="1620" spans="1:23" x14ac:dyDescent="0.2">
      <c r="A1620" s="1">
        <v>44794</v>
      </c>
      <c r="B1620" s="2">
        <v>0.87987268518518513</v>
      </c>
      <c r="C1620">
        <v>2618</v>
      </c>
      <c r="D1620">
        <v>13002561</v>
      </c>
      <c r="E1620">
        <v>13</v>
      </c>
      <c r="F1620">
        <v>22589</v>
      </c>
      <c r="G1620" t="s">
        <v>23</v>
      </c>
      <c r="H1620">
        <v>15</v>
      </c>
      <c r="I1620">
        <v>72251</v>
      </c>
      <c r="J1620" t="s">
        <v>100</v>
      </c>
      <c r="K1620" t="s">
        <v>25</v>
      </c>
      <c r="L1620" t="s">
        <v>51</v>
      </c>
      <c r="M1620">
        <v>3</v>
      </c>
      <c r="N1620">
        <v>92.1</v>
      </c>
      <c r="O1620">
        <v>131.47</v>
      </c>
      <c r="P1620">
        <v>13.15</v>
      </c>
      <c r="Q1620">
        <v>13.15</v>
      </c>
      <c r="R1620" t="s">
        <v>30</v>
      </c>
      <c r="S1620">
        <v>29</v>
      </c>
      <c r="T1620">
        <v>1</v>
      </c>
      <c r="U1620">
        <v>5</v>
      </c>
      <c r="V1620">
        <v>118.32</v>
      </c>
      <c r="W1620">
        <v>13130001618</v>
      </c>
    </row>
    <row r="1621" spans="1:23" x14ac:dyDescent="0.2">
      <c r="A1621" s="1">
        <v>44774</v>
      </c>
      <c r="B1621" s="2">
        <v>0.86137731481481483</v>
      </c>
      <c r="C1621">
        <v>2619</v>
      </c>
      <c r="D1621">
        <v>13002561</v>
      </c>
      <c r="E1621">
        <v>13</v>
      </c>
      <c r="F1621">
        <v>22589</v>
      </c>
      <c r="G1621" t="s">
        <v>23</v>
      </c>
      <c r="H1621">
        <v>18</v>
      </c>
      <c r="I1621">
        <v>80612</v>
      </c>
      <c r="J1621" t="s">
        <v>97</v>
      </c>
      <c r="K1621" t="s">
        <v>38</v>
      </c>
      <c r="L1621" t="s">
        <v>47</v>
      </c>
      <c r="M1621">
        <v>2</v>
      </c>
      <c r="N1621">
        <v>482.88</v>
      </c>
      <c r="O1621">
        <v>737.4</v>
      </c>
      <c r="P1621">
        <v>73.739999999999995</v>
      </c>
      <c r="Q1621">
        <v>73.739999999999995</v>
      </c>
      <c r="R1621" t="s">
        <v>30</v>
      </c>
      <c r="S1621">
        <v>29</v>
      </c>
      <c r="T1621">
        <v>1</v>
      </c>
      <c r="U1621">
        <v>1</v>
      </c>
      <c r="V1621">
        <v>663.66</v>
      </c>
      <c r="W1621">
        <v>13130001619</v>
      </c>
    </row>
    <row r="1622" spans="1:23" x14ac:dyDescent="0.2">
      <c r="A1622" s="1">
        <v>44792</v>
      </c>
      <c r="B1622" s="2">
        <v>0.6903125</v>
      </c>
      <c r="C1622">
        <v>2620</v>
      </c>
      <c r="D1622">
        <v>13002561</v>
      </c>
      <c r="E1622">
        <v>13</v>
      </c>
      <c r="F1622">
        <v>22589</v>
      </c>
      <c r="G1622" t="s">
        <v>23</v>
      </c>
      <c r="H1622">
        <v>18</v>
      </c>
      <c r="I1622">
        <v>74246</v>
      </c>
      <c r="J1622" t="s">
        <v>113</v>
      </c>
      <c r="K1622" t="s">
        <v>44</v>
      </c>
      <c r="L1622" t="s">
        <v>39</v>
      </c>
      <c r="M1622">
        <v>3</v>
      </c>
      <c r="N1622">
        <v>259.33999999999997</v>
      </c>
      <c r="O1622">
        <v>364.42</v>
      </c>
      <c r="P1622">
        <v>36.44</v>
      </c>
      <c r="Q1622">
        <v>36.44</v>
      </c>
      <c r="R1622" t="s">
        <v>30</v>
      </c>
      <c r="S1622">
        <v>29</v>
      </c>
      <c r="T1622">
        <v>1</v>
      </c>
      <c r="U1622">
        <v>5</v>
      </c>
      <c r="V1622">
        <v>327.98</v>
      </c>
      <c r="W1622">
        <v>13130001620</v>
      </c>
    </row>
    <row r="1623" spans="1:23" x14ac:dyDescent="0.2">
      <c r="A1623" s="1">
        <v>44783</v>
      </c>
      <c r="B1623" s="2">
        <v>0.749537037037037</v>
      </c>
      <c r="C1623">
        <v>2621</v>
      </c>
      <c r="D1623">
        <v>13002561</v>
      </c>
      <c r="E1623">
        <v>13</v>
      </c>
      <c r="F1623">
        <v>22589</v>
      </c>
      <c r="G1623" t="s">
        <v>23</v>
      </c>
      <c r="H1623">
        <v>18</v>
      </c>
      <c r="I1623">
        <v>15193</v>
      </c>
      <c r="J1623" t="s">
        <v>78</v>
      </c>
      <c r="K1623" t="s">
        <v>28</v>
      </c>
      <c r="L1623" t="s">
        <v>32</v>
      </c>
      <c r="M1623">
        <v>3</v>
      </c>
      <c r="N1623">
        <v>115.52</v>
      </c>
      <c r="O1623">
        <v>179.09</v>
      </c>
      <c r="P1623">
        <v>0</v>
      </c>
      <c r="Q1623">
        <v>0</v>
      </c>
      <c r="S1623">
        <v>29</v>
      </c>
      <c r="T1623">
        <v>1</v>
      </c>
      <c r="U1623">
        <v>5</v>
      </c>
      <c r="V1623">
        <v>179.09</v>
      </c>
      <c r="W1623">
        <v>13130001621</v>
      </c>
    </row>
    <row r="1624" spans="1:23" x14ac:dyDescent="0.2">
      <c r="A1624" s="1">
        <v>44776</v>
      </c>
      <c r="B1624" s="2">
        <v>0.34684027777777782</v>
      </c>
      <c r="C1624">
        <v>2622</v>
      </c>
      <c r="D1624">
        <v>13002561</v>
      </c>
      <c r="E1624">
        <v>13</v>
      </c>
      <c r="F1624">
        <v>22589</v>
      </c>
      <c r="G1624" t="s">
        <v>23</v>
      </c>
      <c r="H1624">
        <v>18</v>
      </c>
      <c r="I1624">
        <v>80872</v>
      </c>
      <c r="J1624" t="s">
        <v>80</v>
      </c>
      <c r="K1624" t="s">
        <v>38</v>
      </c>
      <c r="L1624" t="s">
        <v>39</v>
      </c>
      <c r="M1624">
        <v>2</v>
      </c>
      <c r="N1624">
        <v>248.45</v>
      </c>
      <c r="O1624">
        <v>351.61</v>
      </c>
      <c r="P1624">
        <v>35.159999999999997</v>
      </c>
      <c r="Q1624">
        <v>35.159999999999997</v>
      </c>
      <c r="R1624" t="s">
        <v>30</v>
      </c>
      <c r="S1624">
        <v>29</v>
      </c>
      <c r="T1624">
        <v>1</v>
      </c>
      <c r="U1624">
        <v>1</v>
      </c>
      <c r="V1624">
        <v>316.45</v>
      </c>
      <c r="W1624">
        <v>13130001622</v>
      </c>
    </row>
    <row r="1625" spans="1:23" x14ac:dyDescent="0.2">
      <c r="A1625" s="1">
        <v>44804</v>
      </c>
      <c r="B1625" s="2">
        <v>0.77254629629629634</v>
      </c>
      <c r="C1625">
        <v>2623</v>
      </c>
      <c r="D1625">
        <v>13002561</v>
      </c>
      <c r="E1625">
        <v>13</v>
      </c>
      <c r="F1625">
        <v>22589</v>
      </c>
      <c r="G1625" t="s">
        <v>23</v>
      </c>
      <c r="H1625">
        <v>15</v>
      </c>
      <c r="I1625">
        <v>73270</v>
      </c>
      <c r="J1625" t="s">
        <v>78</v>
      </c>
      <c r="K1625" t="s">
        <v>25</v>
      </c>
      <c r="L1625" t="s">
        <v>34</v>
      </c>
      <c r="M1625">
        <v>1</v>
      </c>
      <c r="N1625">
        <v>150.83000000000001</v>
      </c>
      <c r="O1625">
        <v>194.49</v>
      </c>
      <c r="P1625">
        <v>0</v>
      </c>
      <c r="Q1625">
        <v>0</v>
      </c>
      <c r="S1625">
        <v>29</v>
      </c>
      <c r="T1625">
        <v>1</v>
      </c>
      <c r="U1625">
        <v>6</v>
      </c>
      <c r="V1625">
        <v>194.49</v>
      </c>
      <c r="W1625">
        <v>13130001623</v>
      </c>
    </row>
    <row r="1626" spans="1:23" x14ac:dyDescent="0.2">
      <c r="A1626" s="1">
        <v>44802</v>
      </c>
      <c r="B1626" s="2">
        <v>0.5894328703703704</v>
      </c>
      <c r="C1626">
        <v>2624</v>
      </c>
      <c r="D1626">
        <v>13002561</v>
      </c>
      <c r="E1626">
        <v>13</v>
      </c>
      <c r="F1626">
        <v>22589</v>
      </c>
      <c r="G1626" t="s">
        <v>23</v>
      </c>
      <c r="H1626">
        <v>18</v>
      </c>
      <c r="I1626">
        <v>69016</v>
      </c>
      <c r="J1626" t="s">
        <v>127</v>
      </c>
      <c r="K1626" t="s">
        <v>60</v>
      </c>
      <c r="L1626" t="s">
        <v>36</v>
      </c>
      <c r="M1626">
        <v>2</v>
      </c>
      <c r="N1626">
        <v>590.92999999999995</v>
      </c>
      <c r="O1626">
        <v>928.95</v>
      </c>
      <c r="P1626">
        <v>46.45</v>
      </c>
      <c r="Q1626">
        <v>46.45</v>
      </c>
      <c r="R1626" t="s">
        <v>30</v>
      </c>
      <c r="S1626">
        <v>29</v>
      </c>
      <c r="T1626">
        <v>1</v>
      </c>
      <c r="U1626">
        <v>6</v>
      </c>
      <c r="V1626">
        <v>882.5</v>
      </c>
      <c r="W1626">
        <v>13130001624</v>
      </c>
    </row>
    <row r="1627" spans="1:23" x14ac:dyDescent="0.2">
      <c r="A1627" s="1">
        <v>44796</v>
      </c>
      <c r="B1627" s="2">
        <v>0.57540509259259254</v>
      </c>
      <c r="C1627">
        <v>2625</v>
      </c>
      <c r="D1627">
        <v>13002561</v>
      </c>
      <c r="E1627">
        <v>13</v>
      </c>
      <c r="F1627">
        <v>22589</v>
      </c>
      <c r="G1627" t="s">
        <v>23</v>
      </c>
      <c r="H1627">
        <v>15</v>
      </c>
      <c r="I1627">
        <v>17914</v>
      </c>
      <c r="J1627" t="s">
        <v>33</v>
      </c>
      <c r="K1627" t="s">
        <v>44</v>
      </c>
      <c r="L1627" t="s">
        <v>51</v>
      </c>
      <c r="M1627">
        <v>3</v>
      </c>
      <c r="N1627">
        <v>59.44</v>
      </c>
      <c r="O1627">
        <v>84.65</v>
      </c>
      <c r="P1627">
        <v>4.2300000000000004</v>
      </c>
      <c r="Q1627">
        <v>4.2300000000000004</v>
      </c>
      <c r="R1627" t="s">
        <v>30</v>
      </c>
      <c r="S1627">
        <v>29</v>
      </c>
      <c r="T1627">
        <v>1</v>
      </c>
      <c r="U1627">
        <v>4</v>
      </c>
      <c r="V1627">
        <v>80.42</v>
      </c>
      <c r="W1627">
        <v>13130001625</v>
      </c>
    </row>
    <row r="1628" spans="1:23" x14ac:dyDescent="0.2">
      <c r="A1628" s="1">
        <v>44792</v>
      </c>
      <c r="B1628" s="2">
        <v>0.56839120370370366</v>
      </c>
      <c r="C1628">
        <v>2626</v>
      </c>
      <c r="D1628">
        <v>13002561</v>
      </c>
      <c r="E1628">
        <v>13</v>
      </c>
      <c r="F1628">
        <v>22589</v>
      </c>
      <c r="G1628" t="s">
        <v>23</v>
      </c>
      <c r="H1628">
        <v>15</v>
      </c>
      <c r="I1628">
        <v>85531</v>
      </c>
      <c r="J1628" t="s">
        <v>111</v>
      </c>
      <c r="K1628" t="s">
        <v>25</v>
      </c>
      <c r="L1628" t="s">
        <v>32</v>
      </c>
      <c r="M1628">
        <v>1</v>
      </c>
      <c r="N1628">
        <v>354.92</v>
      </c>
      <c r="O1628">
        <v>519.32000000000005</v>
      </c>
      <c r="P1628">
        <v>51.93</v>
      </c>
      <c r="Q1628">
        <v>51.93</v>
      </c>
      <c r="R1628" t="s">
        <v>30</v>
      </c>
      <c r="S1628">
        <v>29</v>
      </c>
      <c r="T1628">
        <v>1</v>
      </c>
      <c r="U1628">
        <v>6</v>
      </c>
      <c r="V1628">
        <v>467.39</v>
      </c>
      <c r="W1628">
        <v>13130001626</v>
      </c>
    </row>
    <row r="1629" spans="1:23" x14ac:dyDescent="0.2">
      <c r="A1629" s="1">
        <v>44798</v>
      </c>
      <c r="B1629" s="2">
        <v>0.85758101851851853</v>
      </c>
      <c r="C1629">
        <v>2627</v>
      </c>
      <c r="D1629">
        <v>13002561</v>
      </c>
      <c r="E1629">
        <v>13</v>
      </c>
      <c r="F1629">
        <v>22589</v>
      </c>
      <c r="G1629" t="s">
        <v>23</v>
      </c>
      <c r="H1629">
        <v>15</v>
      </c>
      <c r="I1629">
        <v>25768</v>
      </c>
      <c r="J1629" t="s">
        <v>80</v>
      </c>
      <c r="K1629" t="s">
        <v>25</v>
      </c>
      <c r="L1629" t="s">
        <v>47</v>
      </c>
      <c r="M1629">
        <v>2</v>
      </c>
      <c r="N1629">
        <v>588.46</v>
      </c>
      <c r="O1629">
        <v>827.47</v>
      </c>
      <c r="P1629">
        <v>82.75</v>
      </c>
      <c r="Q1629">
        <v>82.75</v>
      </c>
      <c r="R1629" t="s">
        <v>30</v>
      </c>
      <c r="S1629">
        <v>29</v>
      </c>
      <c r="T1629">
        <v>1</v>
      </c>
      <c r="U1629">
        <v>2</v>
      </c>
      <c r="V1629">
        <v>744.72</v>
      </c>
      <c r="W1629">
        <v>13130001627</v>
      </c>
    </row>
    <row r="1630" spans="1:23" x14ac:dyDescent="0.2">
      <c r="A1630" s="1">
        <v>44786</v>
      </c>
      <c r="B1630" s="2">
        <v>0.74721064814814819</v>
      </c>
      <c r="C1630">
        <v>2628</v>
      </c>
      <c r="D1630">
        <v>13002561</v>
      </c>
      <c r="E1630">
        <v>13</v>
      </c>
      <c r="F1630">
        <v>22589</v>
      </c>
      <c r="G1630" t="s">
        <v>23</v>
      </c>
      <c r="H1630">
        <v>15</v>
      </c>
      <c r="I1630">
        <v>54389</v>
      </c>
      <c r="J1630" t="s">
        <v>49</v>
      </c>
      <c r="K1630" t="s">
        <v>25</v>
      </c>
      <c r="L1630" t="s">
        <v>51</v>
      </c>
      <c r="M1630">
        <v>1</v>
      </c>
      <c r="N1630">
        <v>315.45999999999998</v>
      </c>
      <c r="O1630">
        <v>520.58000000000004</v>
      </c>
      <c r="P1630">
        <v>26.03</v>
      </c>
      <c r="Q1630">
        <v>26.03</v>
      </c>
      <c r="R1630" t="s">
        <v>30</v>
      </c>
      <c r="S1630">
        <v>29</v>
      </c>
      <c r="T1630">
        <v>1</v>
      </c>
      <c r="U1630">
        <v>3</v>
      </c>
      <c r="V1630">
        <v>494.55</v>
      </c>
      <c r="W1630">
        <v>13130001628</v>
      </c>
    </row>
    <row r="1631" spans="1:23" x14ac:dyDescent="0.2">
      <c r="A1631" s="1">
        <v>44782</v>
      </c>
      <c r="B1631" s="2">
        <v>0.64354166666666668</v>
      </c>
      <c r="C1631">
        <v>2629</v>
      </c>
      <c r="D1631">
        <v>13002561</v>
      </c>
      <c r="E1631">
        <v>13</v>
      </c>
      <c r="F1631">
        <v>22589</v>
      </c>
      <c r="G1631" t="s">
        <v>23</v>
      </c>
      <c r="H1631">
        <v>15</v>
      </c>
      <c r="I1631">
        <v>94613</v>
      </c>
      <c r="J1631" t="s">
        <v>96</v>
      </c>
      <c r="K1631" t="s">
        <v>45</v>
      </c>
      <c r="L1631" t="s">
        <v>47</v>
      </c>
      <c r="M1631">
        <v>3</v>
      </c>
      <c r="N1631">
        <v>572.88</v>
      </c>
      <c r="O1631">
        <v>794.17</v>
      </c>
      <c r="P1631">
        <v>39.71</v>
      </c>
      <c r="Q1631">
        <v>39.71</v>
      </c>
      <c r="R1631" t="s">
        <v>30</v>
      </c>
      <c r="S1631">
        <v>29</v>
      </c>
      <c r="T1631">
        <v>1</v>
      </c>
      <c r="U1631">
        <v>4</v>
      </c>
      <c r="V1631">
        <v>754.46</v>
      </c>
      <c r="W1631">
        <v>13130001629</v>
      </c>
    </row>
    <row r="1632" spans="1:23" x14ac:dyDescent="0.2">
      <c r="A1632" s="1">
        <v>44784</v>
      </c>
      <c r="B1632" s="2">
        <v>0.40086805555555549</v>
      </c>
      <c r="C1632">
        <v>2630</v>
      </c>
      <c r="D1632">
        <v>13002561</v>
      </c>
      <c r="E1632">
        <v>13</v>
      </c>
      <c r="F1632">
        <v>22589</v>
      </c>
      <c r="G1632" t="s">
        <v>23</v>
      </c>
      <c r="H1632">
        <v>18</v>
      </c>
      <c r="I1632">
        <v>13547</v>
      </c>
      <c r="J1632" t="s">
        <v>50</v>
      </c>
      <c r="K1632" t="s">
        <v>25</v>
      </c>
      <c r="L1632" t="s">
        <v>36</v>
      </c>
      <c r="M1632">
        <v>1</v>
      </c>
      <c r="N1632">
        <v>311.93</v>
      </c>
      <c r="O1632">
        <v>518.98</v>
      </c>
      <c r="P1632">
        <v>0</v>
      </c>
      <c r="Q1632">
        <v>0</v>
      </c>
      <c r="S1632">
        <v>29</v>
      </c>
      <c r="T1632">
        <v>1</v>
      </c>
      <c r="U1632">
        <v>1</v>
      </c>
      <c r="V1632">
        <v>518.98</v>
      </c>
      <c r="W1632">
        <v>13130001630</v>
      </c>
    </row>
    <row r="1633" spans="1:23" x14ac:dyDescent="0.2">
      <c r="A1633" s="1">
        <v>44800</v>
      </c>
      <c r="B1633" s="2">
        <v>0.76339120370370372</v>
      </c>
      <c r="C1633">
        <v>2631</v>
      </c>
      <c r="D1633">
        <v>13002561</v>
      </c>
      <c r="E1633">
        <v>13</v>
      </c>
      <c r="F1633">
        <v>22589</v>
      </c>
      <c r="G1633" t="s">
        <v>23</v>
      </c>
      <c r="H1633">
        <v>18</v>
      </c>
      <c r="I1633">
        <v>22830</v>
      </c>
      <c r="J1633" t="s">
        <v>89</v>
      </c>
      <c r="K1633" t="s">
        <v>44</v>
      </c>
      <c r="L1633" t="s">
        <v>26</v>
      </c>
      <c r="M1633">
        <v>2</v>
      </c>
      <c r="N1633">
        <v>443.96</v>
      </c>
      <c r="O1633">
        <v>593.88</v>
      </c>
      <c r="P1633">
        <v>0</v>
      </c>
      <c r="Q1633">
        <v>0</v>
      </c>
      <c r="S1633">
        <v>29</v>
      </c>
      <c r="T1633">
        <v>1</v>
      </c>
      <c r="U1633">
        <v>5</v>
      </c>
      <c r="V1633">
        <v>593.88</v>
      </c>
      <c r="W1633">
        <v>13130001631</v>
      </c>
    </row>
    <row r="1634" spans="1:23" x14ac:dyDescent="0.2">
      <c r="A1634" s="1">
        <v>44775</v>
      </c>
      <c r="B1634" s="2">
        <v>0.38743055555555561</v>
      </c>
      <c r="C1634">
        <v>2632</v>
      </c>
      <c r="D1634">
        <v>13002561</v>
      </c>
      <c r="E1634">
        <v>13</v>
      </c>
      <c r="F1634">
        <v>22589</v>
      </c>
      <c r="G1634" t="s">
        <v>23</v>
      </c>
      <c r="H1634">
        <v>18</v>
      </c>
      <c r="I1634">
        <v>69153</v>
      </c>
      <c r="J1634" t="s">
        <v>100</v>
      </c>
      <c r="K1634" t="s">
        <v>45</v>
      </c>
      <c r="L1634" t="s">
        <v>34</v>
      </c>
      <c r="M1634">
        <v>3</v>
      </c>
      <c r="N1634">
        <v>285.94</v>
      </c>
      <c r="O1634">
        <v>471.91</v>
      </c>
      <c r="P1634">
        <v>0</v>
      </c>
      <c r="Q1634">
        <v>0</v>
      </c>
      <c r="S1634">
        <v>29</v>
      </c>
      <c r="T1634">
        <v>1</v>
      </c>
      <c r="U1634">
        <v>3</v>
      </c>
      <c r="V1634">
        <v>471.91</v>
      </c>
      <c r="W1634">
        <v>13130001632</v>
      </c>
    </row>
    <row r="1635" spans="1:23" x14ac:dyDescent="0.2">
      <c r="A1635" s="1">
        <v>44804</v>
      </c>
      <c r="B1635" s="2">
        <v>0.68962962962962959</v>
      </c>
      <c r="C1635">
        <v>2633</v>
      </c>
      <c r="D1635">
        <v>13002561</v>
      </c>
      <c r="E1635">
        <v>13</v>
      </c>
      <c r="F1635">
        <v>22589</v>
      </c>
      <c r="G1635" t="s">
        <v>23</v>
      </c>
      <c r="H1635">
        <v>15</v>
      </c>
      <c r="I1635">
        <v>87435</v>
      </c>
      <c r="J1635" t="s">
        <v>99</v>
      </c>
      <c r="K1635" t="s">
        <v>60</v>
      </c>
      <c r="L1635" t="s">
        <v>34</v>
      </c>
      <c r="M1635">
        <v>3</v>
      </c>
      <c r="N1635">
        <v>232.08</v>
      </c>
      <c r="O1635">
        <v>309.68</v>
      </c>
      <c r="P1635">
        <v>30.97</v>
      </c>
      <c r="Q1635">
        <v>30.97</v>
      </c>
      <c r="R1635" t="s">
        <v>30</v>
      </c>
      <c r="S1635">
        <v>29</v>
      </c>
      <c r="T1635">
        <v>1</v>
      </c>
      <c r="U1635">
        <v>4</v>
      </c>
      <c r="V1635">
        <v>278.70999999999998</v>
      </c>
      <c r="W1635">
        <v>13130001633</v>
      </c>
    </row>
    <row r="1636" spans="1:23" x14ac:dyDescent="0.2">
      <c r="A1636" s="1">
        <v>44795</v>
      </c>
      <c r="B1636" s="2">
        <v>0.90692129629629625</v>
      </c>
      <c r="C1636">
        <v>2634</v>
      </c>
      <c r="D1636">
        <v>13002561</v>
      </c>
      <c r="E1636">
        <v>13</v>
      </c>
      <c r="F1636">
        <v>22589</v>
      </c>
      <c r="G1636" t="s">
        <v>23</v>
      </c>
      <c r="H1636">
        <v>15</v>
      </c>
      <c r="I1636">
        <v>71796</v>
      </c>
      <c r="J1636" t="s">
        <v>53</v>
      </c>
      <c r="K1636" t="s">
        <v>44</v>
      </c>
      <c r="L1636" t="s">
        <v>36</v>
      </c>
      <c r="M1636">
        <v>2</v>
      </c>
      <c r="N1636">
        <v>111.05</v>
      </c>
      <c r="O1636">
        <v>160.53</v>
      </c>
      <c r="P1636">
        <v>0</v>
      </c>
      <c r="Q1636">
        <v>0</v>
      </c>
      <c r="S1636">
        <v>29</v>
      </c>
      <c r="T1636">
        <v>1</v>
      </c>
      <c r="U1636">
        <v>4</v>
      </c>
      <c r="V1636">
        <v>160.53</v>
      </c>
      <c r="W1636">
        <v>13130001634</v>
      </c>
    </row>
    <row r="1637" spans="1:23" x14ac:dyDescent="0.2">
      <c r="A1637" s="1">
        <v>44777</v>
      </c>
      <c r="B1637" s="2">
        <v>0.66203703703703709</v>
      </c>
      <c r="C1637">
        <v>2635</v>
      </c>
      <c r="D1637">
        <v>13002561</v>
      </c>
      <c r="E1637">
        <v>13</v>
      </c>
      <c r="F1637">
        <v>22589</v>
      </c>
      <c r="G1637" t="s">
        <v>23</v>
      </c>
      <c r="H1637">
        <v>18</v>
      </c>
      <c r="I1637">
        <v>65571</v>
      </c>
      <c r="J1637" t="s">
        <v>96</v>
      </c>
      <c r="K1637" t="s">
        <v>44</v>
      </c>
      <c r="L1637" t="s">
        <v>36</v>
      </c>
      <c r="M1637">
        <v>1</v>
      </c>
      <c r="N1637">
        <v>308.31</v>
      </c>
      <c r="O1637">
        <v>499.75</v>
      </c>
      <c r="P1637">
        <v>0</v>
      </c>
      <c r="Q1637">
        <v>0</v>
      </c>
      <c r="S1637">
        <v>29</v>
      </c>
      <c r="T1637">
        <v>1</v>
      </c>
      <c r="U1637">
        <v>1</v>
      </c>
      <c r="V1637">
        <v>499.75</v>
      </c>
      <c r="W1637">
        <v>13130001635</v>
      </c>
    </row>
    <row r="1638" spans="1:23" x14ac:dyDescent="0.2">
      <c r="A1638" s="1">
        <v>44795</v>
      </c>
      <c r="B1638" s="2">
        <v>0.37289351851851849</v>
      </c>
      <c r="C1638">
        <v>2636</v>
      </c>
      <c r="D1638">
        <v>13002561</v>
      </c>
      <c r="E1638">
        <v>13</v>
      </c>
      <c r="F1638">
        <v>22589</v>
      </c>
      <c r="G1638" t="s">
        <v>23</v>
      </c>
      <c r="H1638">
        <v>15</v>
      </c>
      <c r="I1638">
        <v>81455</v>
      </c>
      <c r="J1638" t="s">
        <v>124</v>
      </c>
      <c r="K1638" t="s">
        <v>60</v>
      </c>
      <c r="L1638" t="s">
        <v>47</v>
      </c>
      <c r="M1638">
        <v>1</v>
      </c>
      <c r="N1638">
        <v>522.76</v>
      </c>
      <c r="O1638">
        <v>887.22</v>
      </c>
      <c r="P1638">
        <v>88.72</v>
      </c>
      <c r="Q1638">
        <v>88.72</v>
      </c>
      <c r="R1638" t="s">
        <v>30</v>
      </c>
      <c r="S1638">
        <v>29</v>
      </c>
      <c r="T1638">
        <v>1</v>
      </c>
      <c r="U1638">
        <v>4</v>
      </c>
      <c r="V1638">
        <v>798.5</v>
      </c>
      <c r="W1638">
        <v>13130001636</v>
      </c>
    </row>
    <row r="1639" spans="1:23" x14ac:dyDescent="0.2">
      <c r="A1639" s="1">
        <v>44800</v>
      </c>
      <c r="B1639" s="2">
        <v>0.82718749999999996</v>
      </c>
      <c r="C1639">
        <v>2637</v>
      </c>
      <c r="D1639">
        <v>13002561</v>
      </c>
      <c r="E1639">
        <v>13</v>
      </c>
      <c r="F1639">
        <v>22589</v>
      </c>
      <c r="G1639" t="s">
        <v>23</v>
      </c>
      <c r="H1639">
        <v>15</v>
      </c>
      <c r="I1639">
        <v>35405</v>
      </c>
      <c r="J1639" t="s">
        <v>97</v>
      </c>
      <c r="K1639" t="s">
        <v>28</v>
      </c>
      <c r="L1639" t="s">
        <v>34</v>
      </c>
      <c r="M1639">
        <v>1</v>
      </c>
      <c r="N1639">
        <v>31</v>
      </c>
      <c r="O1639">
        <v>40.369999999999997</v>
      </c>
      <c r="P1639">
        <v>4.04</v>
      </c>
      <c r="Q1639">
        <v>4.04</v>
      </c>
      <c r="R1639" t="s">
        <v>30</v>
      </c>
      <c r="S1639">
        <v>29</v>
      </c>
      <c r="T1639">
        <v>1</v>
      </c>
      <c r="U1639">
        <v>1</v>
      </c>
      <c r="V1639">
        <v>36.33</v>
      </c>
      <c r="W1639">
        <v>13130001637</v>
      </c>
    </row>
    <row r="1640" spans="1:23" x14ac:dyDescent="0.2">
      <c r="A1640" s="1">
        <v>44799</v>
      </c>
      <c r="B1640" s="2">
        <v>0.77957175925925926</v>
      </c>
      <c r="C1640">
        <v>2638</v>
      </c>
      <c r="D1640">
        <v>13002561</v>
      </c>
      <c r="E1640">
        <v>13</v>
      </c>
      <c r="F1640">
        <v>22589</v>
      </c>
      <c r="G1640" t="s">
        <v>23</v>
      </c>
      <c r="H1640">
        <v>15</v>
      </c>
      <c r="I1640">
        <v>97275</v>
      </c>
      <c r="J1640" t="s">
        <v>86</v>
      </c>
      <c r="K1640" t="s">
        <v>44</v>
      </c>
      <c r="L1640" t="s">
        <v>34</v>
      </c>
      <c r="M1640">
        <v>1</v>
      </c>
      <c r="N1640">
        <v>532.41</v>
      </c>
      <c r="O1640">
        <v>886.69</v>
      </c>
      <c r="P1640">
        <v>44.33</v>
      </c>
      <c r="Q1640">
        <v>44.33</v>
      </c>
      <c r="R1640" t="s">
        <v>30</v>
      </c>
      <c r="S1640">
        <v>29</v>
      </c>
      <c r="T1640">
        <v>1</v>
      </c>
      <c r="U1640">
        <v>5</v>
      </c>
      <c r="V1640">
        <v>842.36</v>
      </c>
      <c r="W1640">
        <v>13130001638</v>
      </c>
    </row>
    <row r="1641" spans="1:23" x14ac:dyDescent="0.2">
      <c r="A1641" s="1">
        <v>44782</v>
      </c>
      <c r="B1641" s="2">
        <v>0.69340277777777781</v>
      </c>
      <c r="C1641">
        <v>2639</v>
      </c>
      <c r="D1641">
        <v>13002561</v>
      </c>
      <c r="E1641">
        <v>13</v>
      </c>
      <c r="F1641">
        <v>22589</v>
      </c>
      <c r="G1641" t="s">
        <v>23</v>
      </c>
      <c r="H1641">
        <v>18</v>
      </c>
      <c r="I1641">
        <v>89684</v>
      </c>
      <c r="J1641" t="s">
        <v>103</v>
      </c>
      <c r="K1641" t="s">
        <v>38</v>
      </c>
      <c r="L1641" t="s">
        <v>51</v>
      </c>
      <c r="M1641">
        <v>3</v>
      </c>
      <c r="N1641">
        <v>350.38</v>
      </c>
      <c r="O1641">
        <v>462.94</v>
      </c>
      <c r="P1641">
        <v>0</v>
      </c>
      <c r="Q1641">
        <v>0</v>
      </c>
      <c r="S1641">
        <v>29</v>
      </c>
      <c r="T1641">
        <v>1</v>
      </c>
      <c r="U1641">
        <v>2</v>
      </c>
      <c r="V1641">
        <v>462.94</v>
      </c>
      <c r="W1641">
        <v>13130001639</v>
      </c>
    </row>
    <row r="1642" spans="1:23" x14ac:dyDescent="0.2">
      <c r="A1642" s="1">
        <v>44803</v>
      </c>
      <c r="B1642" s="2">
        <v>0.79797453703703702</v>
      </c>
      <c r="C1642">
        <v>2640</v>
      </c>
      <c r="D1642">
        <v>13002561</v>
      </c>
      <c r="E1642">
        <v>13</v>
      </c>
      <c r="F1642">
        <v>22589</v>
      </c>
      <c r="G1642" t="s">
        <v>23</v>
      </c>
      <c r="H1642">
        <v>18</v>
      </c>
      <c r="I1642">
        <v>26997</v>
      </c>
      <c r="J1642" t="s">
        <v>107</v>
      </c>
      <c r="K1642" t="s">
        <v>38</v>
      </c>
      <c r="L1642" t="s">
        <v>29</v>
      </c>
      <c r="M1642">
        <v>1</v>
      </c>
      <c r="N1642">
        <v>261.37</v>
      </c>
      <c r="O1642">
        <v>346.81</v>
      </c>
      <c r="P1642">
        <v>17.34</v>
      </c>
      <c r="Q1642">
        <v>17.34</v>
      </c>
      <c r="R1642" t="s">
        <v>30</v>
      </c>
      <c r="S1642">
        <v>29</v>
      </c>
      <c r="T1642">
        <v>1</v>
      </c>
      <c r="U1642">
        <v>5</v>
      </c>
      <c r="V1642">
        <v>329.47</v>
      </c>
      <c r="W1642">
        <v>13130001640</v>
      </c>
    </row>
    <row r="1643" spans="1:23" x14ac:dyDescent="0.2">
      <c r="A1643" s="1">
        <v>44804</v>
      </c>
      <c r="B1643" s="2">
        <v>0.45726851851851852</v>
      </c>
      <c r="C1643">
        <v>2641</v>
      </c>
      <c r="D1643">
        <v>13002561</v>
      </c>
      <c r="E1643">
        <v>13</v>
      </c>
      <c r="F1643">
        <v>22589</v>
      </c>
      <c r="G1643" t="s">
        <v>23</v>
      </c>
      <c r="H1643">
        <v>18</v>
      </c>
      <c r="I1643">
        <v>49043</v>
      </c>
      <c r="J1643" t="s">
        <v>82</v>
      </c>
      <c r="K1643" t="s">
        <v>25</v>
      </c>
      <c r="L1643" t="s">
        <v>51</v>
      </c>
      <c r="M1643">
        <v>1</v>
      </c>
      <c r="N1643">
        <v>161.31</v>
      </c>
      <c r="O1643">
        <v>204.63</v>
      </c>
      <c r="P1643">
        <v>20.46</v>
      </c>
      <c r="Q1643">
        <v>20.46</v>
      </c>
      <c r="R1643" t="s">
        <v>30</v>
      </c>
      <c r="S1643">
        <v>29</v>
      </c>
      <c r="T1643">
        <v>1</v>
      </c>
      <c r="U1643">
        <v>3</v>
      </c>
      <c r="V1643">
        <v>184.17</v>
      </c>
      <c r="W1643">
        <v>13130001641</v>
      </c>
    </row>
    <row r="1644" spans="1:23" x14ac:dyDescent="0.2">
      <c r="A1644" s="1">
        <v>44781</v>
      </c>
      <c r="B1644" s="2">
        <v>0.74997685185185181</v>
      </c>
      <c r="C1644">
        <v>2642</v>
      </c>
      <c r="D1644">
        <v>13002561</v>
      </c>
      <c r="E1644">
        <v>13</v>
      </c>
      <c r="F1644">
        <v>22589</v>
      </c>
      <c r="G1644" t="s">
        <v>23</v>
      </c>
      <c r="H1644">
        <v>15</v>
      </c>
      <c r="I1644">
        <v>49691</v>
      </c>
      <c r="J1644" t="s">
        <v>82</v>
      </c>
      <c r="K1644" t="s">
        <v>60</v>
      </c>
      <c r="L1644" t="s">
        <v>32</v>
      </c>
      <c r="M1644">
        <v>1</v>
      </c>
      <c r="N1644">
        <v>82.97</v>
      </c>
      <c r="O1644">
        <v>109.45</v>
      </c>
      <c r="P1644">
        <v>5.47</v>
      </c>
      <c r="Q1644">
        <v>5.47</v>
      </c>
      <c r="R1644" t="s">
        <v>30</v>
      </c>
      <c r="S1644">
        <v>29</v>
      </c>
      <c r="T1644">
        <v>1</v>
      </c>
      <c r="U1644">
        <v>4</v>
      </c>
      <c r="V1644">
        <v>103.98</v>
      </c>
      <c r="W1644">
        <v>13130001642</v>
      </c>
    </row>
    <row r="1645" spans="1:23" x14ac:dyDescent="0.2">
      <c r="A1645" s="1">
        <v>44788</v>
      </c>
      <c r="B1645" s="2">
        <v>0.51260416666666664</v>
      </c>
      <c r="C1645">
        <v>2643</v>
      </c>
      <c r="D1645">
        <v>13002561</v>
      </c>
      <c r="E1645">
        <v>13</v>
      </c>
      <c r="F1645">
        <v>22589</v>
      </c>
      <c r="G1645" t="s">
        <v>23</v>
      </c>
      <c r="H1645">
        <v>18</v>
      </c>
      <c r="I1645">
        <v>30546</v>
      </c>
      <c r="J1645" t="s">
        <v>114</v>
      </c>
      <c r="K1645" t="s">
        <v>25</v>
      </c>
      <c r="L1645" t="s">
        <v>26</v>
      </c>
      <c r="M1645">
        <v>1</v>
      </c>
      <c r="N1645">
        <v>575.49</v>
      </c>
      <c r="O1645">
        <v>971.54</v>
      </c>
      <c r="P1645">
        <v>48.58</v>
      </c>
      <c r="Q1645">
        <v>48.58</v>
      </c>
      <c r="R1645" t="s">
        <v>30</v>
      </c>
      <c r="S1645">
        <v>29</v>
      </c>
      <c r="T1645">
        <v>1</v>
      </c>
      <c r="U1645">
        <v>4</v>
      </c>
      <c r="V1645">
        <v>922.96</v>
      </c>
      <c r="W1645">
        <v>13130001643</v>
      </c>
    </row>
    <row r="1646" spans="1:23" x14ac:dyDescent="0.2">
      <c r="A1646" s="1">
        <v>44788</v>
      </c>
      <c r="B1646" s="2">
        <v>0.38143518518518521</v>
      </c>
      <c r="C1646">
        <v>2644</v>
      </c>
      <c r="D1646">
        <v>13002561</v>
      </c>
      <c r="E1646">
        <v>13</v>
      </c>
      <c r="F1646">
        <v>22589</v>
      </c>
      <c r="G1646" t="s">
        <v>23</v>
      </c>
      <c r="H1646">
        <v>15</v>
      </c>
      <c r="I1646">
        <v>94179</v>
      </c>
      <c r="J1646" t="s">
        <v>92</v>
      </c>
      <c r="K1646" t="s">
        <v>25</v>
      </c>
      <c r="L1646" t="s">
        <v>39</v>
      </c>
      <c r="M1646">
        <v>3</v>
      </c>
      <c r="N1646">
        <v>354.55</v>
      </c>
      <c r="O1646">
        <v>535.77</v>
      </c>
      <c r="P1646">
        <v>53.58</v>
      </c>
      <c r="Q1646">
        <v>53.58</v>
      </c>
      <c r="R1646" t="s">
        <v>30</v>
      </c>
      <c r="S1646">
        <v>29</v>
      </c>
      <c r="T1646">
        <v>1</v>
      </c>
      <c r="U1646">
        <v>1</v>
      </c>
      <c r="V1646">
        <v>482.19</v>
      </c>
      <c r="W1646">
        <v>13130001644</v>
      </c>
    </row>
    <row r="1647" spans="1:23" x14ac:dyDescent="0.2">
      <c r="A1647" s="1">
        <v>44785</v>
      </c>
      <c r="B1647" s="2">
        <v>0.82543981481481477</v>
      </c>
      <c r="C1647">
        <v>2645</v>
      </c>
      <c r="D1647">
        <v>13002561</v>
      </c>
      <c r="E1647">
        <v>13</v>
      </c>
      <c r="F1647">
        <v>22589</v>
      </c>
      <c r="G1647" t="s">
        <v>23</v>
      </c>
      <c r="H1647">
        <v>18</v>
      </c>
      <c r="I1647">
        <v>29291</v>
      </c>
      <c r="J1647" t="s">
        <v>82</v>
      </c>
      <c r="K1647" t="s">
        <v>44</v>
      </c>
      <c r="L1647" t="s">
        <v>32</v>
      </c>
      <c r="M1647">
        <v>3</v>
      </c>
      <c r="N1647">
        <v>472.56</v>
      </c>
      <c r="O1647">
        <v>764.56</v>
      </c>
      <c r="P1647">
        <v>76.459999999999994</v>
      </c>
      <c r="Q1647">
        <v>76.459999999999994</v>
      </c>
      <c r="R1647" t="s">
        <v>30</v>
      </c>
      <c r="S1647">
        <v>29</v>
      </c>
      <c r="T1647">
        <v>1</v>
      </c>
      <c r="U1647">
        <v>3</v>
      </c>
      <c r="V1647">
        <v>688.1</v>
      </c>
      <c r="W1647">
        <v>13130001645</v>
      </c>
    </row>
    <row r="1648" spans="1:23" x14ac:dyDescent="0.2">
      <c r="A1648" s="1">
        <v>44787</v>
      </c>
      <c r="B1648" s="2">
        <v>0.66258101851851847</v>
      </c>
      <c r="C1648">
        <v>2646</v>
      </c>
      <c r="D1648">
        <v>13002561</v>
      </c>
      <c r="E1648">
        <v>13</v>
      </c>
      <c r="F1648">
        <v>22589</v>
      </c>
      <c r="G1648" t="s">
        <v>23</v>
      </c>
      <c r="H1648">
        <v>18</v>
      </c>
      <c r="I1648">
        <v>70377</v>
      </c>
      <c r="J1648" t="s">
        <v>41</v>
      </c>
      <c r="K1648" t="s">
        <v>60</v>
      </c>
      <c r="L1648" t="s">
        <v>47</v>
      </c>
      <c r="M1648">
        <v>3</v>
      </c>
      <c r="N1648">
        <v>9.84</v>
      </c>
      <c r="O1648">
        <v>16.13</v>
      </c>
      <c r="P1648">
        <v>0.81</v>
      </c>
      <c r="Q1648">
        <v>0.81</v>
      </c>
      <c r="R1648" t="s">
        <v>30</v>
      </c>
      <c r="S1648">
        <v>29</v>
      </c>
      <c r="T1648">
        <v>1</v>
      </c>
      <c r="U1648">
        <v>6</v>
      </c>
      <c r="V1648">
        <v>15.32</v>
      </c>
      <c r="W1648">
        <v>13130001646</v>
      </c>
    </row>
    <row r="1649" spans="1:23" x14ac:dyDescent="0.2">
      <c r="A1649" s="1">
        <v>44782</v>
      </c>
      <c r="B1649" s="2">
        <v>0.45751157407407411</v>
      </c>
      <c r="C1649">
        <v>2647</v>
      </c>
      <c r="D1649">
        <v>13002561</v>
      </c>
      <c r="E1649">
        <v>13</v>
      </c>
      <c r="F1649">
        <v>22589</v>
      </c>
      <c r="G1649" t="s">
        <v>23</v>
      </c>
      <c r="H1649">
        <v>15</v>
      </c>
      <c r="I1649">
        <v>96199</v>
      </c>
      <c r="J1649" t="s">
        <v>96</v>
      </c>
      <c r="K1649" t="s">
        <v>38</v>
      </c>
      <c r="L1649" t="s">
        <v>51</v>
      </c>
      <c r="M1649">
        <v>3</v>
      </c>
      <c r="N1649">
        <v>517.34</v>
      </c>
      <c r="O1649">
        <v>685.24</v>
      </c>
      <c r="P1649">
        <v>68.52</v>
      </c>
      <c r="Q1649">
        <v>68.52</v>
      </c>
      <c r="R1649" t="s">
        <v>30</v>
      </c>
      <c r="S1649">
        <v>29</v>
      </c>
      <c r="T1649">
        <v>1</v>
      </c>
      <c r="U1649">
        <v>3</v>
      </c>
      <c r="V1649">
        <v>616.72</v>
      </c>
      <c r="W1649">
        <v>13130001647</v>
      </c>
    </row>
    <row r="1650" spans="1:23" x14ac:dyDescent="0.2">
      <c r="A1650" s="1">
        <v>44785</v>
      </c>
      <c r="B1650" s="2">
        <v>0.55234953703703704</v>
      </c>
      <c r="C1650">
        <v>2648</v>
      </c>
      <c r="D1650">
        <v>13002561</v>
      </c>
      <c r="E1650">
        <v>13</v>
      </c>
      <c r="F1650">
        <v>22589</v>
      </c>
      <c r="G1650" t="s">
        <v>23</v>
      </c>
      <c r="H1650">
        <v>15</v>
      </c>
      <c r="I1650">
        <v>77678</v>
      </c>
      <c r="J1650" t="s">
        <v>126</v>
      </c>
      <c r="K1650" t="s">
        <v>25</v>
      </c>
      <c r="L1650" t="s">
        <v>39</v>
      </c>
      <c r="M1650">
        <v>1</v>
      </c>
      <c r="N1650">
        <v>322.33999999999997</v>
      </c>
      <c r="O1650">
        <v>515.99</v>
      </c>
      <c r="P1650">
        <v>51.6</v>
      </c>
      <c r="Q1650">
        <v>51.6</v>
      </c>
      <c r="R1650" t="s">
        <v>30</v>
      </c>
      <c r="S1650">
        <v>29</v>
      </c>
      <c r="T1650">
        <v>1</v>
      </c>
      <c r="U1650">
        <v>3</v>
      </c>
      <c r="V1650">
        <v>464.39</v>
      </c>
      <c r="W1650">
        <v>13130001648</v>
      </c>
    </row>
    <row r="1651" spans="1:23" x14ac:dyDescent="0.2">
      <c r="A1651" s="1">
        <v>44775</v>
      </c>
      <c r="B1651" s="2">
        <v>0.87921296296296292</v>
      </c>
      <c r="C1651">
        <v>2649</v>
      </c>
      <c r="D1651">
        <v>13002561</v>
      </c>
      <c r="E1651">
        <v>13</v>
      </c>
      <c r="F1651">
        <v>22589</v>
      </c>
      <c r="G1651" t="s">
        <v>23</v>
      </c>
      <c r="H1651">
        <v>18</v>
      </c>
      <c r="I1651">
        <v>12999</v>
      </c>
      <c r="J1651" t="s">
        <v>31</v>
      </c>
      <c r="K1651" t="s">
        <v>38</v>
      </c>
      <c r="L1651" t="s">
        <v>29</v>
      </c>
      <c r="M1651">
        <v>3</v>
      </c>
      <c r="N1651">
        <v>43.24</v>
      </c>
      <c r="O1651">
        <v>70.39</v>
      </c>
      <c r="P1651">
        <v>3.52</v>
      </c>
      <c r="Q1651">
        <v>3.52</v>
      </c>
      <c r="R1651" t="s">
        <v>30</v>
      </c>
      <c r="S1651">
        <v>29</v>
      </c>
      <c r="T1651">
        <v>1</v>
      </c>
      <c r="U1651">
        <v>6</v>
      </c>
      <c r="V1651">
        <v>66.87</v>
      </c>
      <c r="W1651">
        <v>13130001649</v>
      </c>
    </row>
    <row r="1652" spans="1:23" x14ac:dyDescent="0.2">
      <c r="A1652" s="1">
        <v>44793</v>
      </c>
      <c r="B1652" s="2">
        <v>0.70442129629629635</v>
      </c>
      <c r="C1652">
        <v>2650</v>
      </c>
      <c r="D1652">
        <v>13002561</v>
      </c>
      <c r="E1652">
        <v>13</v>
      </c>
      <c r="F1652">
        <v>22589</v>
      </c>
      <c r="G1652" t="s">
        <v>23</v>
      </c>
      <c r="H1652">
        <v>15</v>
      </c>
      <c r="I1652">
        <v>33644</v>
      </c>
      <c r="J1652" t="s">
        <v>67</v>
      </c>
      <c r="K1652" t="s">
        <v>60</v>
      </c>
      <c r="L1652" t="s">
        <v>32</v>
      </c>
      <c r="M1652">
        <v>1</v>
      </c>
      <c r="N1652">
        <v>5.52</v>
      </c>
      <c r="O1652">
        <v>9.3800000000000008</v>
      </c>
      <c r="P1652">
        <v>0.94</v>
      </c>
      <c r="Q1652">
        <v>0.94</v>
      </c>
      <c r="R1652" t="s">
        <v>30</v>
      </c>
      <c r="S1652">
        <v>29</v>
      </c>
      <c r="T1652">
        <v>1</v>
      </c>
      <c r="U1652">
        <v>1</v>
      </c>
      <c r="V1652">
        <v>8.44</v>
      </c>
      <c r="W1652">
        <v>13130001650</v>
      </c>
    </row>
    <row r="1653" spans="1:23" x14ac:dyDescent="0.2">
      <c r="A1653" s="1">
        <v>44781</v>
      </c>
      <c r="B1653" s="2">
        <v>0.76621527777777776</v>
      </c>
      <c r="C1653">
        <v>2651</v>
      </c>
      <c r="D1653">
        <v>13002561</v>
      </c>
      <c r="E1653">
        <v>13</v>
      </c>
      <c r="F1653">
        <v>22589</v>
      </c>
      <c r="G1653" t="s">
        <v>23</v>
      </c>
      <c r="H1653">
        <v>18</v>
      </c>
      <c r="I1653">
        <v>40740</v>
      </c>
      <c r="J1653" t="s">
        <v>33</v>
      </c>
      <c r="K1653" t="s">
        <v>28</v>
      </c>
      <c r="L1653" t="s">
        <v>34</v>
      </c>
      <c r="M1653">
        <v>1</v>
      </c>
      <c r="N1653">
        <v>424.58</v>
      </c>
      <c r="O1653">
        <v>568.24</v>
      </c>
      <c r="P1653">
        <v>28.41</v>
      </c>
      <c r="Q1653">
        <v>28.41</v>
      </c>
      <c r="R1653" t="s">
        <v>30</v>
      </c>
      <c r="S1653">
        <v>29</v>
      </c>
      <c r="T1653">
        <v>1</v>
      </c>
      <c r="U1653">
        <v>5</v>
      </c>
      <c r="V1653">
        <v>539.83000000000004</v>
      </c>
      <c r="W1653">
        <v>13130001651</v>
      </c>
    </row>
    <row r="1654" spans="1:23" x14ac:dyDescent="0.2">
      <c r="A1654" s="1">
        <v>44779</v>
      </c>
      <c r="B1654" s="2">
        <v>0.91270833333333334</v>
      </c>
      <c r="C1654">
        <v>2652</v>
      </c>
      <c r="D1654">
        <v>13002561</v>
      </c>
      <c r="E1654">
        <v>13</v>
      </c>
      <c r="F1654">
        <v>22589</v>
      </c>
      <c r="G1654" t="s">
        <v>23</v>
      </c>
      <c r="H1654">
        <v>18</v>
      </c>
      <c r="I1654">
        <v>10582</v>
      </c>
      <c r="J1654" t="s">
        <v>53</v>
      </c>
      <c r="K1654" t="s">
        <v>38</v>
      </c>
      <c r="L1654" t="s">
        <v>26</v>
      </c>
      <c r="M1654">
        <v>2</v>
      </c>
      <c r="N1654">
        <v>209.62</v>
      </c>
      <c r="O1654">
        <v>355.18</v>
      </c>
      <c r="P1654">
        <v>0</v>
      </c>
      <c r="Q1654">
        <v>0</v>
      </c>
      <c r="S1654">
        <v>29</v>
      </c>
      <c r="T1654">
        <v>1</v>
      </c>
      <c r="U1654">
        <v>6</v>
      </c>
      <c r="V1654">
        <v>355.18</v>
      </c>
      <c r="W1654">
        <v>13130001652</v>
      </c>
    </row>
    <row r="1655" spans="1:23" x14ac:dyDescent="0.2">
      <c r="A1655" s="1">
        <v>44788</v>
      </c>
      <c r="B1655" s="2">
        <v>0.82037037037037042</v>
      </c>
      <c r="C1655">
        <v>2653</v>
      </c>
      <c r="D1655">
        <v>13002561</v>
      </c>
      <c r="E1655">
        <v>13</v>
      </c>
      <c r="F1655">
        <v>22589</v>
      </c>
      <c r="G1655" t="s">
        <v>23</v>
      </c>
      <c r="H1655">
        <v>15</v>
      </c>
      <c r="I1655">
        <v>63342</v>
      </c>
      <c r="J1655" t="s">
        <v>102</v>
      </c>
      <c r="K1655" t="s">
        <v>38</v>
      </c>
      <c r="L1655" t="s">
        <v>26</v>
      </c>
      <c r="M1655">
        <v>3</v>
      </c>
      <c r="N1655">
        <v>428.63</v>
      </c>
      <c r="O1655">
        <v>635.54</v>
      </c>
      <c r="P1655">
        <v>0</v>
      </c>
      <c r="Q1655">
        <v>0</v>
      </c>
      <c r="S1655">
        <v>29</v>
      </c>
      <c r="T1655">
        <v>1</v>
      </c>
      <c r="U1655">
        <v>6</v>
      </c>
      <c r="V1655">
        <v>635.54</v>
      </c>
      <c r="W1655">
        <v>13130001653</v>
      </c>
    </row>
    <row r="1656" spans="1:23" x14ac:dyDescent="0.2">
      <c r="A1656" s="1">
        <v>44790</v>
      </c>
      <c r="B1656" s="2">
        <v>0.71908564814814813</v>
      </c>
      <c r="C1656">
        <v>2654</v>
      </c>
      <c r="D1656">
        <v>13002561</v>
      </c>
      <c r="E1656">
        <v>13</v>
      </c>
      <c r="F1656">
        <v>22589</v>
      </c>
      <c r="G1656" t="s">
        <v>23</v>
      </c>
      <c r="H1656">
        <v>15</v>
      </c>
      <c r="I1656">
        <v>72572</v>
      </c>
      <c r="J1656" t="s">
        <v>42</v>
      </c>
      <c r="K1656" t="s">
        <v>38</v>
      </c>
      <c r="L1656" t="s">
        <v>34</v>
      </c>
      <c r="M1656">
        <v>1</v>
      </c>
      <c r="N1656">
        <v>540.20000000000005</v>
      </c>
      <c r="O1656">
        <v>702.89</v>
      </c>
      <c r="P1656">
        <v>35.14</v>
      </c>
      <c r="Q1656">
        <v>35.14</v>
      </c>
      <c r="R1656" t="s">
        <v>30</v>
      </c>
      <c r="S1656">
        <v>29</v>
      </c>
      <c r="T1656">
        <v>1</v>
      </c>
      <c r="U1656">
        <v>4</v>
      </c>
      <c r="V1656">
        <v>667.75</v>
      </c>
      <c r="W1656">
        <v>13130001654</v>
      </c>
    </row>
    <row r="1657" spans="1:23" x14ac:dyDescent="0.2">
      <c r="A1657" s="1">
        <v>44792</v>
      </c>
      <c r="B1657" s="2">
        <v>0.9196643518518518</v>
      </c>
      <c r="C1657">
        <v>2655</v>
      </c>
      <c r="D1657">
        <v>13002561</v>
      </c>
      <c r="E1657">
        <v>13</v>
      </c>
      <c r="F1657">
        <v>22589</v>
      </c>
      <c r="G1657" t="s">
        <v>23</v>
      </c>
      <c r="H1657">
        <v>18</v>
      </c>
      <c r="I1657">
        <v>83588</v>
      </c>
      <c r="J1657" t="s">
        <v>121</v>
      </c>
      <c r="K1657" t="s">
        <v>44</v>
      </c>
      <c r="L1657" t="s">
        <v>51</v>
      </c>
      <c r="M1657">
        <v>2</v>
      </c>
      <c r="N1657">
        <v>374.06</v>
      </c>
      <c r="O1657">
        <v>528.97</v>
      </c>
      <c r="P1657">
        <v>0</v>
      </c>
      <c r="Q1657">
        <v>0</v>
      </c>
      <c r="S1657">
        <v>29</v>
      </c>
      <c r="T1657">
        <v>1</v>
      </c>
      <c r="U1657">
        <v>6</v>
      </c>
      <c r="V1657">
        <v>528.97</v>
      </c>
      <c r="W1657">
        <v>13130001655</v>
      </c>
    </row>
    <row r="1658" spans="1:23" x14ac:dyDescent="0.2">
      <c r="A1658" s="1">
        <v>44803</v>
      </c>
      <c r="B1658" s="2">
        <v>0.33359953703703699</v>
      </c>
      <c r="C1658">
        <v>2656</v>
      </c>
      <c r="D1658">
        <v>13002561</v>
      </c>
      <c r="E1658">
        <v>13</v>
      </c>
      <c r="F1658">
        <v>22589</v>
      </c>
      <c r="G1658" t="s">
        <v>23</v>
      </c>
      <c r="H1658">
        <v>18</v>
      </c>
      <c r="I1658">
        <v>89491</v>
      </c>
      <c r="J1658" t="s">
        <v>90</v>
      </c>
      <c r="K1658" t="s">
        <v>44</v>
      </c>
      <c r="L1658" t="s">
        <v>36</v>
      </c>
      <c r="M1658">
        <v>3</v>
      </c>
      <c r="N1658">
        <v>489.81</v>
      </c>
      <c r="O1658">
        <v>670.61</v>
      </c>
      <c r="P1658">
        <v>0</v>
      </c>
      <c r="Q1658">
        <v>0</v>
      </c>
      <c r="S1658">
        <v>29</v>
      </c>
      <c r="T1658">
        <v>1</v>
      </c>
      <c r="U1658">
        <v>4</v>
      </c>
      <c r="V1658">
        <v>670.61</v>
      </c>
      <c r="W1658">
        <v>13130001656</v>
      </c>
    </row>
    <row r="1659" spans="1:23" x14ac:dyDescent="0.2">
      <c r="A1659" s="1">
        <v>44778</v>
      </c>
      <c r="B1659" s="2">
        <v>0.35335648148148152</v>
      </c>
      <c r="C1659">
        <v>2657</v>
      </c>
      <c r="D1659">
        <v>13002561</v>
      </c>
      <c r="E1659">
        <v>13</v>
      </c>
      <c r="F1659">
        <v>22589</v>
      </c>
      <c r="G1659" t="s">
        <v>23</v>
      </c>
      <c r="H1659">
        <v>18</v>
      </c>
      <c r="I1659">
        <v>82511</v>
      </c>
      <c r="J1659" t="s">
        <v>100</v>
      </c>
      <c r="K1659" t="s">
        <v>44</v>
      </c>
      <c r="L1659" t="s">
        <v>26</v>
      </c>
      <c r="M1659">
        <v>2</v>
      </c>
      <c r="N1659">
        <v>122.06</v>
      </c>
      <c r="O1659">
        <v>187.79</v>
      </c>
      <c r="P1659">
        <v>0</v>
      </c>
      <c r="Q1659">
        <v>0</v>
      </c>
      <c r="S1659">
        <v>29</v>
      </c>
      <c r="T1659">
        <v>1</v>
      </c>
      <c r="U1659">
        <v>5</v>
      </c>
      <c r="V1659">
        <v>187.79</v>
      </c>
      <c r="W1659">
        <v>13130001657</v>
      </c>
    </row>
    <row r="1660" spans="1:23" x14ac:dyDescent="0.2">
      <c r="A1660" s="1">
        <v>44787</v>
      </c>
      <c r="B1660" s="2">
        <v>0.44016203703703699</v>
      </c>
      <c r="C1660">
        <v>2658</v>
      </c>
      <c r="D1660">
        <v>13002561</v>
      </c>
      <c r="E1660">
        <v>13</v>
      </c>
      <c r="F1660">
        <v>22589</v>
      </c>
      <c r="G1660" t="s">
        <v>23</v>
      </c>
      <c r="H1660">
        <v>15</v>
      </c>
      <c r="I1660">
        <v>82998</v>
      </c>
      <c r="J1660" t="s">
        <v>63</v>
      </c>
      <c r="K1660" t="s">
        <v>25</v>
      </c>
      <c r="L1660" t="s">
        <v>32</v>
      </c>
      <c r="M1660">
        <v>2</v>
      </c>
      <c r="N1660">
        <v>424.63</v>
      </c>
      <c r="O1660">
        <v>610.5</v>
      </c>
      <c r="P1660">
        <v>0</v>
      </c>
      <c r="Q1660">
        <v>0</v>
      </c>
      <c r="S1660">
        <v>29</v>
      </c>
      <c r="T1660">
        <v>1</v>
      </c>
      <c r="U1660">
        <v>3</v>
      </c>
      <c r="V1660">
        <v>610.5</v>
      </c>
      <c r="W1660">
        <v>13130001658</v>
      </c>
    </row>
    <row r="1661" spans="1:23" x14ac:dyDescent="0.2">
      <c r="A1661" s="1">
        <v>44784</v>
      </c>
      <c r="B1661" s="2">
        <v>0.91212962962962962</v>
      </c>
      <c r="C1661">
        <v>2659</v>
      </c>
      <c r="D1661">
        <v>13002561</v>
      </c>
      <c r="E1661">
        <v>13</v>
      </c>
      <c r="F1661">
        <v>22589</v>
      </c>
      <c r="G1661" t="s">
        <v>23</v>
      </c>
      <c r="H1661">
        <v>18</v>
      </c>
      <c r="I1661">
        <v>13639</v>
      </c>
      <c r="J1661" t="s">
        <v>110</v>
      </c>
      <c r="K1661" t="s">
        <v>38</v>
      </c>
      <c r="L1661" t="s">
        <v>47</v>
      </c>
      <c r="M1661">
        <v>1</v>
      </c>
      <c r="N1661">
        <v>273.97000000000003</v>
      </c>
      <c r="O1661">
        <v>383.68</v>
      </c>
      <c r="P1661">
        <v>19.18</v>
      </c>
      <c r="Q1661">
        <v>19.18</v>
      </c>
      <c r="R1661" t="s">
        <v>30</v>
      </c>
      <c r="S1661">
        <v>29</v>
      </c>
      <c r="T1661">
        <v>1</v>
      </c>
      <c r="U1661">
        <v>3</v>
      </c>
      <c r="V1661">
        <v>364.5</v>
      </c>
      <c r="W1661">
        <v>13130001659</v>
      </c>
    </row>
    <row r="1662" spans="1:23" x14ac:dyDescent="0.2">
      <c r="A1662" s="1">
        <v>44775</v>
      </c>
      <c r="B1662" s="2">
        <v>0.73453703703703699</v>
      </c>
      <c r="C1662">
        <v>2660</v>
      </c>
      <c r="D1662">
        <v>13002561</v>
      </c>
      <c r="E1662">
        <v>13</v>
      </c>
      <c r="F1662">
        <v>22589</v>
      </c>
      <c r="G1662" t="s">
        <v>23</v>
      </c>
      <c r="H1662">
        <v>18</v>
      </c>
      <c r="I1662">
        <v>38865</v>
      </c>
      <c r="J1662" t="s">
        <v>98</v>
      </c>
      <c r="K1662" t="s">
        <v>38</v>
      </c>
      <c r="L1662" t="s">
        <v>39</v>
      </c>
      <c r="M1662">
        <v>3</v>
      </c>
      <c r="N1662">
        <v>87.36</v>
      </c>
      <c r="O1662">
        <v>118.89</v>
      </c>
      <c r="P1662">
        <v>5.94</v>
      </c>
      <c r="Q1662">
        <v>5.94</v>
      </c>
      <c r="R1662" t="s">
        <v>30</v>
      </c>
      <c r="S1662">
        <v>29</v>
      </c>
      <c r="T1662">
        <v>1</v>
      </c>
      <c r="U1662">
        <v>4</v>
      </c>
      <c r="V1662">
        <v>112.95</v>
      </c>
      <c r="W1662">
        <v>13130001660</v>
      </c>
    </row>
    <row r="1663" spans="1:23" x14ac:dyDescent="0.2">
      <c r="A1663" s="1">
        <v>44795</v>
      </c>
      <c r="B1663" s="2">
        <v>0.42832175925925919</v>
      </c>
      <c r="C1663">
        <v>2661</v>
      </c>
      <c r="D1663">
        <v>13002561</v>
      </c>
      <c r="E1663">
        <v>13</v>
      </c>
      <c r="F1663">
        <v>22589</v>
      </c>
      <c r="G1663" t="s">
        <v>23</v>
      </c>
      <c r="H1663">
        <v>15</v>
      </c>
      <c r="I1663">
        <v>96811</v>
      </c>
      <c r="J1663" t="s">
        <v>50</v>
      </c>
      <c r="K1663" t="s">
        <v>28</v>
      </c>
      <c r="L1663" t="s">
        <v>29</v>
      </c>
      <c r="M1663">
        <v>1</v>
      </c>
      <c r="N1663">
        <v>347.26</v>
      </c>
      <c r="O1663">
        <v>564.14</v>
      </c>
      <c r="P1663">
        <v>28.21</v>
      </c>
      <c r="Q1663">
        <v>28.21</v>
      </c>
      <c r="R1663" t="s">
        <v>30</v>
      </c>
      <c r="S1663">
        <v>29</v>
      </c>
      <c r="T1663">
        <v>1</v>
      </c>
      <c r="U1663">
        <v>6</v>
      </c>
      <c r="V1663">
        <v>535.92999999999995</v>
      </c>
      <c r="W1663">
        <v>13130001661</v>
      </c>
    </row>
    <row r="1664" spans="1:23" x14ac:dyDescent="0.2">
      <c r="A1664" s="1">
        <v>44789</v>
      </c>
      <c r="B1664" s="2">
        <v>0.81739583333333332</v>
      </c>
      <c r="C1664">
        <v>2662</v>
      </c>
      <c r="D1664">
        <v>13002561</v>
      </c>
      <c r="E1664">
        <v>13</v>
      </c>
      <c r="F1664">
        <v>22589</v>
      </c>
      <c r="G1664" t="s">
        <v>23</v>
      </c>
      <c r="H1664">
        <v>15</v>
      </c>
      <c r="I1664">
        <v>45516</v>
      </c>
      <c r="J1664" t="s">
        <v>103</v>
      </c>
      <c r="K1664" t="s">
        <v>38</v>
      </c>
      <c r="L1664" t="s">
        <v>34</v>
      </c>
      <c r="M1664">
        <v>2</v>
      </c>
      <c r="N1664">
        <v>361.06</v>
      </c>
      <c r="O1664">
        <v>524.25</v>
      </c>
      <c r="P1664">
        <v>52.43</v>
      </c>
      <c r="Q1664">
        <v>52.43</v>
      </c>
      <c r="R1664" t="s">
        <v>30</v>
      </c>
      <c r="S1664">
        <v>29</v>
      </c>
      <c r="T1664">
        <v>1</v>
      </c>
      <c r="U1664">
        <v>4</v>
      </c>
      <c r="V1664">
        <v>471.82</v>
      </c>
      <c r="W1664">
        <v>13130001662</v>
      </c>
    </row>
    <row r="1665" spans="1:23" x14ac:dyDescent="0.2">
      <c r="A1665" s="1">
        <v>44787</v>
      </c>
      <c r="B1665" s="2">
        <v>0.34013888888888888</v>
      </c>
      <c r="C1665">
        <v>2663</v>
      </c>
      <c r="D1665">
        <v>13002561</v>
      </c>
      <c r="E1665">
        <v>13</v>
      </c>
      <c r="F1665">
        <v>22589</v>
      </c>
      <c r="G1665" t="s">
        <v>23</v>
      </c>
      <c r="H1665">
        <v>18</v>
      </c>
      <c r="I1665">
        <v>51989</v>
      </c>
      <c r="J1665" t="s">
        <v>81</v>
      </c>
      <c r="K1665" t="s">
        <v>60</v>
      </c>
      <c r="L1665" t="s">
        <v>32</v>
      </c>
      <c r="M1665">
        <v>2</v>
      </c>
      <c r="N1665">
        <v>318.58999999999997</v>
      </c>
      <c r="O1665">
        <v>494.65</v>
      </c>
      <c r="P1665">
        <v>49.47</v>
      </c>
      <c r="Q1665">
        <v>49.47</v>
      </c>
      <c r="R1665" t="s">
        <v>30</v>
      </c>
      <c r="S1665">
        <v>29</v>
      </c>
      <c r="T1665">
        <v>1</v>
      </c>
      <c r="U1665">
        <v>2</v>
      </c>
      <c r="V1665">
        <v>445.18</v>
      </c>
      <c r="W1665">
        <v>13130001663</v>
      </c>
    </row>
    <row r="1666" spans="1:23" x14ac:dyDescent="0.2">
      <c r="A1666" s="1">
        <v>44785</v>
      </c>
      <c r="B1666" s="2">
        <v>0.70854166666666663</v>
      </c>
      <c r="C1666">
        <v>2664</v>
      </c>
      <c r="D1666">
        <v>13002561</v>
      </c>
      <c r="E1666">
        <v>13</v>
      </c>
      <c r="F1666">
        <v>22589</v>
      </c>
      <c r="G1666" t="s">
        <v>23</v>
      </c>
      <c r="H1666">
        <v>18</v>
      </c>
      <c r="I1666">
        <v>10021</v>
      </c>
      <c r="J1666" t="s">
        <v>96</v>
      </c>
      <c r="K1666" t="s">
        <v>44</v>
      </c>
      <c r="L1666" t="s">
        <v>26</v>
      </c>
      <c r="M1666">
        <v>3</v>
      </c>
      <c r="N1666">
        <v>551.01</v>
      </c>
      <c r="O1666">
        <v>923.22</v>
      </c>
      <c r="P1666">
        <v>46.16</v>
      </c>
      <c r="Q1666">
        <v>46.16</v>
      </c>
      <c r="R1666" t="s">
        <v>30</v>
      </c>
      <c r="S1666">
        <v>29</v>
      </c>
      <c r="T1666">
        <v>1</v>
      </c>
      <c r="U1666">
        <v>4</v>
      </c>
      <c r="V1666">
        <v>877.06</v>
      </c>
      <c r="W1666">
        <v>13130001664</v>
      </c>
    </row>
    <row r="1667" spans="1:23" x14ac:dyDescent="0.2">
      <c r="A1667" s="1">
        <v>44803</v>
      </c>
      <c r="B1667" s="2">
        <v>0.75116898148148148</v>
      </c>
      <c r="C1667">
        <v>2665</v>
      </c>
      <c r="D1667">
        <v>13002561</v>
      </c>
      <c r="E1667">
        <v>13</v>
      </c>
      <c r="F1667">
        <v>22589</v>
      </c>
      <c r="G1667" t="s">
        <v>23</v>
      </c>
      <c r="H1667">
        <v>18</v>
      </c>
      <c r="I1667">
        <v>50598</v>
      </c>
      <c r="J1667" t="s">
        <v>50</v>
      </c>
      <c r="K1667" t="s">
        <v>45</v>
      </c>
      <c r="L1667" t="s">
        <v>36</v>
      </c>
      <c r="M1667">
        <v>3</v>
      </c>
      <c r="N1667">
        <v>382.59</v>
      </c>
      <c r="O1667">
        <v>533.45000000000005</v>
      </c>
      <c r="P1667">
        <v>0</v>
      </c>
      <c r="Q1667">
        <v>0</v>
      </c>
      <c r="S1667">
        <v>29</v>
      </c>
      <c r="T1667">
        <v>1</v>
      </c>
      <c r="U1667">
        <v>5</v>
      </c>
      <c r="V1667">
        <v>533.45000000000005</v>
      </c>
      <c r="W1667">
        <v>13130001665</v>
      </c>
    </row>
    <row r="1668" spans="1:23" x14ac:dyDescent="0.2">
      <c r="A1668" s="1">
        <v>44802</v>
      </c>
      <c r="B1668" s="2">
        <v>0.38793981481481482</v>
      </c>
      <c r="C1668">
        <v>2666</v>
      </c>
      <c r="D1668">
        <v>13002561</v>
      </c>
      <c r="E1668">
        <v>13</v>
      </c>
      <c r="F1668">
        <v>22589</v>
      </c>
      <c r="G1668" t="s">
        <v>23</v>
      </c>
      <c r="H1668">
        <v>15</v>
      </c>
      <c r="I1668">
        <v>58377</v>
      </c>
      <c r="J1668" t="s">
        <v>59</v>
      </c>
      <c r="K1668" t="s">
        <v>38</v>
      </c>
      <c r="L1668" t="s">
        <v>26</v>
      </c>
      <c r="M1668">
        <v>1</v>
      </c>
      <c r="N1668">
        <v>361.57</v>
      </c>
      <c r="O1668">
        <v>594.77</v>
      </c>
      <c r="P1668">
        <v>59.48</v>
      </c>
      <c r="Q1668">
        <v>59.48</v>
      </c>
      <c r="R1668" t="s">
        <v>30</v>
      </c>
      <c r="S1668">
        <v>29</v>
      </c>
      <c r="T1668">
        <v>1</v>
      </c>
      <c r="U1668">
        <v>6</v>
      </c>
      <c r="V1668">
        <v>535.29</v>
      </c>
      <c r="W1668">
        <v>13130001666</v>
      </c>
    </row>
    <row r="1669" spans="1:23" x14ac:dyDescent="0.2">
      <c r="A1669" s="1">
        <v>44795</v>
      </c>
      <c r="B1669" s="2">
        <v>0.53804398148148147</v>
      </c>
      <c r="C1669">
        <v>2667</v>
      </c>
      <c r="D1669">
        <v>13002561</v>
      </c>
      <c r="E1669">
        <v>13</v>
      </c>
      <c r="F1669">
        <v>22589</v>
      </c>
      <c r="G1669" t="s">
        <v>23</v>
      </c>
      <c r="H1669">
        <v>18</v>
      </c>
      <c r="I1669">
        <v>73019</v>
      </c>
      <c r="J1669" t="s">
        <v>106</v>
      </c>
      <c r="K1669" t="s">
        <v>38</v>
      </c>
      <c r="L1669" t="s">
        <v>39</v>
      </c>
      <c r="M1669">
        <v>3</v>
      </c>
      <c r="N1669">
        <v>438.31</v>
      </c>
      <c r="O1669">
        <v>605.89</v>
      </c>
      <c r="P1669">
        <v>60.59</v>
      </c>
      <c r="Q1669">
        <v>60.59</v>
      </c>
      <c r="R1669" t="s">
        <v>30</v>
      </c>
      <c r="S1669">
        <v>29</v>
      </c>
      <c r="T1669">
        <v>1</v>
      </c>
      <c r="U1669">
        <v>2</v>
      </c>
      <c r="V1669">
        <v>545.29999999999995</v>
      </c>
      <c r="W1669">
        <v>13130001667</v>
      </c>
    </row>
    <row r="1670" spans="1:23" x14ac:dyDescent="0.2">
      <c r="A1670" s="1">
        <v>44799</v>
      </c>
      <c r="B1670" s="2">
        <v>0.48474537037037041</v>
      </c>
      <c r="C1670">
        <v>2668</v>
      </c>
      <c r="D1670">
        <v>13002561</v>
      </c>
      <c r="E1670">
        <v>13</v>
      </c>
      <c r="F1670">
        <v>22589</v>
      </c>
      <c r="G1670" t="s">
        <v>23</v>
      </c>
      <c r="H1670">
        <v>15</v>
      </c>
      <c r="I1670">
        <v>20974</v>
      </c>
      <c r="J1670" t="s">
        <v>85</v>
      </c>
      <c r="K1670" t="s">
        <v>25</v>
      </c>
      <c r="L1670" t="s">
        <v>39</v>
      </c>
      <c r="M1670">
        <v>3</v>
      </c>
      <c r="N1670">
        <v>212.87</v>
      </c>
      <c r="O1670">
        <v>271.33999999999997</v>
      </c>
      <c r="P1670">
        <v>27.13</v>
      </c>
      <c r="Q1670">
        <v>27.13</v>
      </c>
      <c r="R1670" t="s">
        <v>30</v>
      </c>
      <c r="S1670">
        <v>29</v>
      </c>
      <c r="T1670">
        <v>1</v>
      </c>
      <c r="U1670">
        <v>4</v>
      </c>
      <c r="V1670">
        <v>244.21</v>
      </c>
      <c r="W1670">
        <v>13130001668</v>
      </c>
    </row>
    <row r="1671" spans="1:23" x14ac:dyDescent="0.2">
      <c r="A1671" s="1">
        <v>44780</v>
      </c>
      <c r="B1671" s="2">
        <v>0.39211805555555562</v>
      </c>
      <c r="C1671">
        <v>2669</v>
      </c>
      <c r="D1671">
        <v>13002561</v>
      </c>
      <c r="E1671">
        <v>13</v>
      </c>
      <c r="F1671">
        <v>22589</v>
      </c>
      <c r="G1671" t="s">
        <v>23</v>
      </c>
      <c r="H1671">
        <v>18</v>
      </c>
      <c r="I1671">
        <v>14443</v>
      </c>
      <c r="J1671" t="s">
        <v>74</v>
      </c>
      <c r="K1671" t="s">
        <v>38</v>
      </c>
      <c r="L1671" t="s">
        <v>32</v>
      </c>
      <c r="M1671">
        <v>1</v>
      </c>
      <c r="N1671">
        <v>110.43</v>
      </c>
      <c r="O1671">
        <v>179.18</v>
      </c>
      <c r="P1671">
        <v>8.9600000000000009</v>
      </c>
      <c r="Q1671">
        <v>8.9600000000000009</v>
      </c>
      <c r="R1671" t="s">
        <v>30</v>
      </c>
      <c r="S1671">
        <v>29</v>
      </c>
      <c r="T1671">
        <v>1</v>
      </c>
      <c r="U1671">
        <v>2</v>
      </c>
      <c r="V1671">
        <v>170.22</v>
      </c>
      <c r="W1671">
        <v>13130001669</v>
      </c>
    </row>
    <row r="1672" spans="1:23" x14ac:dyDescent="0.2">
      <c r="A1672" s="1">
        <v>44780</v>
      </c>
      <c r="B1672" s="2">
        <v>0.89324074074074078</v>
      </c>
      <c r="C1672">
        <v>2670</v>
      </c>
      <c r="D1672">
        <v>13002561</v>
      </c>
      <c r="E1672">
        <v>13</v>
      </c>
      <c r="F1672">
        <v>22589</v>
      </c>
      <c r="G1672" t="s">
        <v>23</v>
      </c>
      <c r="H1672">
        <v>15</v>
      </c>
      <c r="I1672">
        <v>99700</v>
      </c>
      <c r="J1672" t="s">
        <v>120</v>
      </c>
      <c r="K1672" t="s">
        <v>44</v>
      </c>
      <c r="L1672" t="s">
        <v>51</v>
      </c>
      <c r="M1672">
        <v>2</v>
      </c>
      <c r="N1672">
        <v>57.79</v>
      </c>
      <c r="O1672">
        <v>92.5</v>
      </c>
      <c r="P1672">
        <v>0</v>
      </c>
      <c r="Q1672">
        <v>0</v>
      </c>
      <c r="S1672">
        <v>29</v>
      </c>
      <c r="T1672">
        <v>1</v>
      </c>
      <c r="U1672">
        <v>1</v>
      </c>
      <c r="V1672">
        <v>92.5</v>
      </c>
      <c r="W1672">
        <v>13130001670</v>
      </c>
    </row>
    <row r="1673" spans="1:23" x14ac:dyDescent="0.2">
      <c r="A1673" s="1">
        <v>44795</v>
      </c>
      <c r="B1673" s="2">
        <v>0.50785879629629627</v>
      </c>
      <c r="C1673">
        <v>2671</v>
      </c>
      <c r="D1673">
        <v>13002561</v>
      </c>
      <c r="E1673">
        <v>13</v>
      </c>
      <c r="F1673">
        <v>22589</v>
      </c>
      <c r="G1673" t="s">
        <v>23</v>
      </c>
      <c r="H1673">
        <v>15</v>
      </c>
      <c r="I1673">
        <v>48082</v>
      </c>
      <c r="J1673" t="s">
        <v>56</v>
      </c>
      <c r="K1673" t="s">
        <v>44</v>
      </c>
      <c r="L1673" t="s">
        <v>29</v>
      </c>
      <c r="M1673">
        <v>2</v>
      </c>
      <c r="N1673">
        <v>334.08</v>
      </c>
      <c r="O1673">
        <v>465.69</v>
      </c>
      <c r="P1673">
        <v>46.57</v>
      </c>
      <c r="Q1673">
        <v>46.57</v>
      </c>
      <c r="R1673" t="s">
        <v>30</v>
      </c>
      <c r="S1673">
        <v>29</v>
      </c>
      <c r="T1673">
        <v>1</v>
      </c>
      <c r="U1673">
        <v>2</v>
      </c>
      <c r="V1673">
        <v>419.12</v>
      </c>
      <c r="W1673">
        <v>13130001671</v>
      </c>
    </row>
    <row r="1674" spans="1:23" x14ac:dyDescent="0.2">
      <c r="A1674" s="1">
        <v>44786</v>
      </c>
      <c r="B1674" s="2">
        <v>0.39690972222222221</v>
      </c>
      <c r="C1674">
        <v>2672</v>
      </c>
      <c r="D1674">
        <v>13002561</v>
      </c>
      <c r="E1674">
        <v>13</v>
      </c>
      <c r="F1674">
        <v>22589</v>
      </c>
      <c r="G1674" t="s">
        <v>23</v>
      </c>
      <c r="H1674">
        <v>15</v>
      </c>
      <c r="I1674">
        <v>57346</v>
      </c>
      <c r="J1674" t="s">
        <v>74</v>
      </c>
      <c r="K1674" t="s">
        <v>44</v>
      </c>
      <c r="L1674" t="s">
        <v>29</v>
      </c>
      <c r="M1674">
        <v>1</v>
      </c>
      <c r="N1674">
        <v>413.43</v>
      </c>
      <c r="O1674">
        <v>566.83000000000004</v>
      </c>
      <c r="P1674">
        <v>0</v>
      </c>
      <c r="Q1674">
        <v>0</v>
      </c>
      <c r="S1674">
        <v>29</v>
      </c>
      <c r="T1674">
        <v>1</v>
      </c>
      <c r="U1674">
        <v>6</v>
      </c>
      <c r="V1674">
        <v>566.83000000000004</v>
      </c>
      <c r="W1674">
        <v>13130001672</v>
      </c>
    </row>
    <row r="1675" spans="1:23" x14ac:dyDescent="0.2">
      <c r="A1675" s="1">
        <v>44801</v>
      </c>
      <c r="B1675" s="2">
        <v>0.48143518518518519</v>
      </c>
      <c r="C1675">
        <v>2673</v>
      </c>
      <c r="D1675">
        <v>13002561</v>
      </c>
      <c r="E1675">
        <v>13</v>
      </c>
      <c r="F1675">
        <v>22589</v>
      </c>
      <c r="G1675" t="s">
        <v>23</v>
      </c>
      <c r="H1675">
        <v>15</v>
      </c>
      <c r="I1675">
        <v>67352</v>
      </c>
      <c r="J1675" t="s">
        <v>122</v>
      </c>
      <c r="K1675" t="s">
        <v>45</v>
      </c>
      <c r="L1675" t="s">
        <v>26</v>
      </c>
      <c r="M1675">
        <v>3</v>
      </c>
      <c r="N1675">
        <v>434.83</v>
      </c>
      <c r="O1675">
        <v>623.16</v>
      </c>
      <c r="P1675">
        <v>0</v>
      </c>
      <c r="Q1675">
        <v>0</v>
      </c>
      <c r="S1675">
        <v>29</v>
      </c>
      <c r="T1675">
        <v>1</v>
      </c>
      <c r="U1675">
        <v>6</v>
      </c>
      <c r="V1675">
        <v>623.16</v>
      </c>
      <c r="W1675">
        <v>13130001673</v>
      </c>
    </row>
    <row r="1676" spans="1:23" x14ac:dyDescent="0.2">
      <c r="A1676" s="1">
        <v>44784</v>
      </c>
      <c r="B1676" s="2">
        <v>0.4226388888888889</v>
      </c>
      <c r="C1676">
        <v>2674</v>
      </c>
      <c r="D1676">
        <v>13002561</v>
      </c>
      <c r="E1676">
        <v>13</v>
      </c>
      <c r="F1676">
        <v>22589</v>
      </c>
      <c r="G1676" t="s">
        <v>23</v>
      </c>
      <c r="H1676">
        <v>15</v>
      </c>
      <c r="I1676">
        <v>42699</v>
      </c>
      <c r="J1676" t="s">
        <v>72</v>
      </c>
      <c r="K1676" t="s">
        <v>25</v>
      </c>
      <c r="L1676" t="s">
        <v>32</v>
      </c>
      <c r="M1676">
        <v>3</v>
      </c>
      <c r="N1676">
        <v>556.65</v>
      </c>
      <c r="O1676">
        <v>721.13</v>
      </c>
      <c r="P1676">
        <v>72.11</v>
      </c>
      <c r="Q1676">
        <v>72.11</v>
      </c>
      <c r="R1676" t="s">
        <v>30</v>
      </c>
      <c r="S1676">
        <v>29</v>
      </c>
      <c r="T1676">
        <v>1</v>
      </c>
      <c r="U1676">
        <v>6</v>
      </c>
      <c r="V1676">
        <v>649.02</v>
      </c>
      <c r="W1676">
        <v>13130001674</v>
      </c>
    </row>
    <row r="1677" spans="1:23" x14ac:dyDescent="0.2">
      <c r="A1677" s="1">
        <v>44774</v>
      </c>
      <c r="B1677" s="2">
        <v>0.56234953703703705</v>
      </c>
      <c r="C1677">
        <v>2675</v>
      </c>
      <c r="D1677">
        <v>13002561</v>
      </c>
      <c r="E1677">
        <v>13</v>
      </c>
      <c r="F1677">
        <v>22589</v>
      </c>
      <c r="G1677" t="s">
        <v>23</v>
      </c>
      <c r="H1677">
        <v>15</v>
      </c>
      <c r="I1677">
        <v>90189</v>
      </c>
      <c r="J1677" t="s">
        <v>77</v>
      </c>
      <c r="K1677" t="s">
        <v>44</v>
      </c>
      <c r="L1677" t="s">
        <v>32</v>
      </c>
      <c r="M1677">
        <v>2</v>
      </c>
      <c r="N1677">
        <v>324.10000000000002</v>
      </c>
      <c r="O1677">
        <v>425.23</v>
      </c>
      <c r="P1677">
        <v>0</v>
      </c>
      <c r="Q1677">
        <v>0</v>
      </c>
      <c r="S1677">
        <v>29</v>
      </c>
      <c r="T1677">
        <v>1</v>
      </c>
      <c r="U1677">
        <v>2</v>
      </c>
      <c r="V1677">
        <v>425.23</v>
      </c>
      <c r="W1677">
        <v>13130001675</v>
      </c>
    </row>
    <row r="1678" spans="1:23" x14ac:dyDescent="0.2">
      <c r="A1678" s="1">
        <v>44782</v>
      </c>
      <c r="B1678" s="2">
        <v>0.4327199074074074</v>
      </c>
      <c r="C1678">
        <v>2676</v>
      </c>
      <c r="D1678">
        <v>13002561</v>
      </c>
      <c r="E1678">
        <v>13</v>
      </c>
      <c r="F1678">
        <v>22589</v>
      </c>
      <c r="G1678" t="s">
        <v>23</v>
      </c>
      <c r="H1678">
        <v>18</v>
      </c>
      <c r="I1678">
        <v>94674</v>
      </c>
      <c r="J1678" t="s">
        <v>49</v>
      </c>
      <c r="K1678" t="s">
        <v>60</v>
      </c>
      <c r="L1678" t="s">
        <v>51</v>
      </c>
      <c r="M1678">
        <v>1</v>
      </c>
      <c r="N1678">
        <v>191.8</v>
      </c>
      <c r="O1678">
        <v>325.17</v>
      </c>
      <c r="P1678">
        <v>0</v>
      </c>
      <c r="Q1678">
        <v>0</v>
      </c>
      <c r="S1678">
        <v>29</v>
      </c>
      <c r="T1678">
        <v>1</v>
      </c>
      <c r="U1678">
        <v>6</v>
      </c>
      <c r="V1678">
        <v>325.17</v>
      </c>
      <c r="W1678">
        <v>13130001676</v>
      </c>
    </row>
    <row r="1679" spans="1:23" x14ac:dyDescent="0.2">
      <c r="A1679" s="1">
        <v>44785</v>
      </c>
      <c r="B1679" s="2">
        <v>0.63656250000000003</v>
      </c>
      <c r="C1679">
        <v>2677</v>
      </c>
      <c r="D1679">
        <v>13002561</v>
      </c>
      <c r="E1679">
        <v>13</v>
      </c>
      <c r="F1679">
        <v>22589</v>
      </c>
      <c r="G1679" t="s">
        <v>23</v>
      </c>
      <c r="H1679">
        <v>18</v>
      </c>
      <c r="I1679">
        <v>92086</v>
      </c>
      <c r="J1679" t="s">
        <v>101</v>
      </c>
      <c r="K1679" t="s">
        <v>44</v>
      </c>
      <c r="L1679" t="s">
        <v>39</v>
      </c>
      <c r="M1679">
        <v>3</v>
      </c>
      <c r="N1679">
        <v>288.42</v>
      </c>
      <c r="O1679">
        <v>384.04</v>
      </c>
      <c r="P1679">
        <v>38.4</v>
      </c>
      <c r="Q1679">
        <v>38.4</v>
      </c>
      <c r="R1679" t="s">
        <v>30</v>
      </c>
      <c r="S1679">
        <v>29</v>
      </c>
      <c r="T1679">
        <v>1</v>
      </c>
      <c r="U1679">
        <v>1</v>
      </c>
      <c r="V1679">
        <v>345.64</v>
      </c>
      <c r="W1679">
        <v>13130001677</v>
      </c>
    </row>
    <row r="1680" spans="1:23" x14ac:dyDescent="0.2">
      <c r="A1680" s="1">
        <v>44790</v>
      </c>
      <c r="B1680" s="2">
        <v>0.79837962962962961</v>
      </c>
      <c r="C1680">
        <v>2678</v>
      </c>
      <c r="D1680">
        <v>13002561</v>
      </c>
      <c r="E1680">
        <v>13</v>
      </c>
      <c r="F1680">
        <v>22589</v>
      </c>
      <c r="G1680" t="s">
        <v>23</v>
      </c>
      <c r="H1680">
        <v>18</v>
      </c>
      <c r="I1680">
        <v>25752</v>
      </c>
      <c r="J1680" t="s">
        <v>74</v>
      </c>
      <c r="K1680" t="s">
        <v>28</v>
      </c>
      <c r="L1680" t="s">
        <v>32</v>
      </c>
      <c r="M1680">
        <v>3</v>
      </c>
      <c r="N1680">
        <v>150.9</v>
      </c>
      <c r="O1680">
        <v>201.62</v>
      </c>
      <c r="P1680">
        <v>20.16</v>
      </c>
      <c r="Q1680">
        <v>20.16</v>
      </c>
      <c r="R1680" t="s">
        <v>30</v>
      </c>
      <c r="S1680">
        <v>29</v>
      </c>
      <c r="T1680">
        <v>1</v>
      </c>
      <c r="U1680">
        <v>6</v>
      </c>
      <c r="V1680">
        <v>181.46</v>
      </c>
      <c r="W1680">
        <v>13130001678</v>
      </c>
    </row>
    <row r="1681" spans="1:23" x14ac:dyDescent="0.2">
      <c r="A1681" s="1">
        <v>44801</v>
      </c>
      <c r="B1681" s="2">
        <v>0.80465277777777777</v>
      </c>
      <c r="C1681">
        <v>2679</v>
      </c>
      <c r="D1681">
        <v>13002561</v>
      </c>
      <c r="E1681">
        <v>13</v>
      </c>
      <c r="F1681">
        <v>22589</v>
      </c>
      <c r="G1681" t="s">
        <v>23</v>
      </c>
      <c r="H1681">
        <v>15</v>
      </c>
      <c r="I1681">
        <v>71361</v>
      </c>
      <c r="J1681" t="s">
        <v>126</v>
      </c>
      <c r="K1681" t="s">
        <v>60</v>
      </c>
      <c r="L1681" t="s">
        <v>51</v>
      </c>
      <c r="M1681">
        <v>2</v>
      </c>
      <c r="N1681">
        <v>572.67999999999995</v>
      </c>
      <c r="O1681">
        <v>829.27</v>
      </c>
      <c r="P1681">
        <v>0</v>
      </c>
      <c r="Q1681">
        <v>0</v>
      </c>
      <c r="S1681">
        <v>29</v>
      </c>
      <c r="T1681">
        <v>1</v>
      </c>
      <c r="U1681">
        <v>2</v>
      </c>
      <c r="V1681">
        <v>829.27</v>
      </c>
      <c r="W1681">
        <v>13130001679</v>
      </c>
    </row>
    <row r="1682" spans="1:23" x14ac:dyDescent="0.2">
      <c r="A1682" s="1">
        <v>44780</v>
      </c>
      <c r="B1682" s="2">
        <v>0.69090277777777775</v>
      </c>
      <c r="C1682">
        <v>2680</v>
      </c>
      <c r="D1682">
        <v>13002561</v>
      </c>
      <c r="E1682">
        <v>13</v>
      </c>
      <c r="F1682">
        <v>22589</v>
      </c>
      <c r="G1682" t="s">
        <v>23</v>
      </c>
      <c r="H1682">
        <v>18</v>
      </c>
      <c r="I1682">
        <v>40996</v>
      </c>
      <c r="J1682" t="s">
        <v>113</v>
      </c>
      <c r="K1682" t="s">
        <v>28</v>
      </c>
      <c r="L1682" t="s">
        <v>36</v>
      </c>
      <c r="M1682">
        <v>2</v>
      </c>
      <c r="N1682">
        <v>5.67</v>
      </c>
      <c r="O1682">
        <v>7.27</v>
      </c>
      <c r="P1682">
        <v>0.36</v>
      </c>
      <c r="Q1682">
        <v>0.36</v>
      </c>
      <c r="R1682" t="s">
        <v>30</v>
      </c>
      <c r="S1682">
        <v>29</v>
      </c>
      <c r="T1682">
        <v>1</v>
      </c>
      <c r="U1682">
        <v>2</v>
      </c>
      <c r="V1682">
        <v>6.91</v>
      </c>
      <c r="W1682">
        <v>13130001680</v>
      </c>
    </row>
    <row r="1683" spans="1:23" x14ac:dyDescent="0.2">
      <c r="A1683" s="1">
        <v>44786</v>
      </c>
      <c r="B1683" s="2">
        <v>0.34901620370370368</v>
      </c>
      <c r="C1683">
        <v>2681</v>
      </c>
      <c r="D1683">
        <v>13002561</v>
      </c>
      <c r="E1683">
        <v>13</v>
      </c>
      <c r="F1683">
        <v>22589</v>
      </c>
      <c r="G1683" t="s">
        <v>23</v>
      </c>
      <c r="H1683">
        <v>15</v>
      </c>
      <c r="I1683">
        <v>22413</v>
      </c>
      <c r="J1683" t="s">
        <v>55</v>
      </c>
      <c r="K1683" t="s">
        <v>44</v>
      </c>
      <c r="L1683" t="s">
        <v>26</v>
      </c>
      <c r="M1683">
        <v>3</v>
      </c>
      <c r="N1683">
        <v>291.02999999999997</v>
      </c>
      <c r="O1683">
        <v>465.59</v>
      </c>
      <c r="P1683">
        <v>23.28</v>
      </c>
      <c r="Q1683">
        <v>23.28</v>
      </c>
      <c r="R1683" t="s">
        <v>30</v>
      </c>
      <c r="S1683">
        <v>29</v>
      </c>
      <c r="T1683">
        <v>1</v>
      </c>
      <c r="U1683">
        <v>6</v>
      </c>
      <c r="V1683">
        <v>442.31</v>
      </c>
      <c r="W1683">
        <v>13130001681</v>
      </c>
    </row>
    <row r="1684" spans="1:23" x14ac:dyDescent="0.2">
      <c r="A1684" s="1">
        <v>44794</v>
      </c>
      <c r="B1684" s="2">
        <v>0.91402777777777777</v>
      </c>
      <c r="C1684">
        <v>2682</v>
      </c>
      <c r="D1684">
        <v>13002561</v>
      </c>
      <c r="E1684">
        <v>13</v>
      </c>
      <c r="F1684">
        <v>22589</v>
      </c>
      <c r="G1684" t="s">
        <v>23</v>
      </c>
      <c r="H1684">
        <v>15</v>
      </c>
      <c r="I1684">
        <v>52101</v>
      </c>
      <c r="J1684" t="s">
        <v>43</v>
      </c>
      <c r="K1684" t="s">
        <v>28</v>
      </c>
      <c r="L1684" t="s">
        <v>51</v>
      </c>
      <c r="M1684">
        <v>3</v>
      </c>
      <c r="N1684">
        <v>416.75</v>
      </c>
      <c r="O1684">
        <v>618.25</v>
      </c>
      <c r="P1684">
        <v>0</v>
      </c>
      <c r="Q1684">
        <v>0</v>
      </c>
      <c r="S1684">
        <v>29</v>
      </c>
      <c r="T1684">
        <v>1</v>
      </c>
      <c r="U1684">
        <v>1</v>
      </c>
      <c r="V1684">
        <v>618.25</v>
      </c>
      <c r="W1684">
        <v>13130001682</v>
      </c>
    </row>
    <row r="1685" spans="1:23" x14ac:dyDescent="0.2">
      <c r="A1685" s="1">
        <v>44776</v>
      </c>
      <c r="B1685" s="2">
        <v>0.57891203703703709</v>
      </c>
      <c r="C1685">
        <v>2683</v>
      </c>
      <c r="D1685">
        <v>13002561</v>
      </c>
      <c r="E1685">
        <v>13</v>
      </c>
      <c r="F1685">
        <v>22589</v>
      </c>
      <c r="G1685" t="s">
        <v>23</v>
      </c>
      <c r="H1685">
        <v>15</v>
      </c>
      <c r="I1685">
        <v>41825</v>
      </c>
      <c r="J1685" t="s">
        <v>49</v>
      </c>
      <c r="K1685" t="s">
        <v>60</v>
      </c>
      <c r="L1685" t="s">
        <v>39</v>
      </c>
      <c r="M1685">
        <v>2</v>
      </c>
      <c r="N1685">
        <v>92.12</v>
      </c>
      <c r="O1685">
        <v>139.83000000000001</v>
      </c>
      <c r="P1685">
        <v>0</v>
      </c>
      <c r="Q1685">
        <v>0</v>
      </c>
      <c r="S1685">
        <v>29</v>
      </c>
      <c r="T1685">
        <v>1</v>
      </c>
      <c r="U1685">
        <v>2</v>
      </c>
      <c r="V1685">
        <v>139.83000000000001</v>
      </c>
      <c r="W1685">
        <v>13130001683</v>
      </c>
    </row>
    <row r="1686" spans="1:23" x14ac:dyDescent="0.2">
      <c r="A1686" s="1">
        <v>44796</v>
      </c>
      <c r="B1686" s="2">
        <v>0.36449074074074073</v>
      </c>
      <c r="C1686">
        <v>2684</v>
      </c>
      <c r="D1686">
        <v>13002561</v>
      </c>
      <c r="E1686">
        <v>13</v>
      </c>
      <c r="F1686">
        <v>22589</v>
      </c>
      <c r="G1686" t="s">
        <v>23</v>
      </c>
      <c r="H1686">
        <v>18</v>
      </c>
      <c r="I1686">
        <v>87572</v>
      </c>
      <c r="J1686" t="s">
        <v>105</v>
      </c>
      <c r="K1686" t="s">
        <v>45</v>
      </c>
      <c r="L1686" t="s">
        <v>51</v>
      </c>
      <c r="M1686">
        <v>1</v>
      </c>
      <c r="N1686">
        <v>184.84</v>
      </c>
      <c r="O1686">
        <v>235.9</v>
      </c>
      <c r="P1686">
        <v>0</v>
      </c>
      <c r="Q1686">
        <v>0</v>
      </c>
      <c r="S1686">
        <v>29</v>
      </c>
      <c r="T1686">
        <v>1</v>
      </c>
      <c r="U1686">
        <v>4</v>
      </c>
      <c r="V1686">
        <v>235.9</v>
      </c>
      <c r="W1686">
        <v>13130001684</v>
      </c>
    </row>
    <row r="1687" spans="1:23" x14ac:dyDescent="0.2">
      <c r="A1687" s="1">
        <v>44791</v>
      </c>
      <c r="B1687" s="2">
        <v>0.37206018518518519</v>
      </c>
      <c r="C1687">
        <v>2685</v>
      </c>
      <c r="D1687">
        <v>13002561</v>
      </c>
      <c r="E1687">
        <v>13</v>
      </c>
      <c r="F1687">
        <v>22589</v>
      </c>
      <c r="G1687" t="s">
        <v>23</v>
      </c>
      <c r="H1687">
        <v>15</v>
      </c>
      <c r="I1687">
        <v>80240</v>
      </c>
      <c r="J1687" t="s">
        <v>31</v>
      </c>
      <c r="K1687" t="s">
        <v>60</v>
      </c>
      <c r="L1687" t="s">
        <v>26</v>
      </c>
      <c r="M1687">
        <v>1</v>
      </c>
      <c r="N1687">
        <v>518.87</v>
      </c>
      <c r="O1687">
        <v>692.18</v>
      </c>
      <c r="P1687">
        <v>0</v>
      </c>
      <c r="Q1687">
        <v>0</v>
      </c>
      <c r="S1687">
        <v>29</v>
      </c>
      <c r="T1687">
        <v>1</v>
      </c>
      <c r="U1687">
        <v>6</v>
      </c>
      <c r="V1687">
        <v>692.18</v>
      </c>
      <c r="W1687">
        <v>13130001685</v>
      </c>
    </row>
    <row r="1688" spans="1:23" x14ac:dyDescent="0.2">
      <c r="A1688" s="1">
        <v>44777</v>
      </c>
      <c r="B1688" s="2">
        <v>0.51844907407407403</v>
      </c>
      <c r="C1688">
        <v>2686</v>
      </c>
      <c r="D1688">
        <v>13002561</v>
      </c>
      <c r="E1688">
        <v>13</v>
      </c>
      <c r="F1688">
        <v>22589</v>
      </c>
      <c r="G1688" t="s">
        <v>23</v>
      </c>
      <c r="H1688">
        <v>15</v>
      </c>
      <c r="I1688">
        <v>33567</v>
      </c>
      <c r="J1688" t="s">
        <v>80</v>
      </c>
      <c r="K1688" t="s">
        <v>38</v>
      </c>
      <c r="L1688" t="s">
        <v>47</v>
      </c>
      <c r="M1688">
        <v>1</v>
      </c>
      <c r="N1688">
        <v>104.13</v>
      </c>
      <c r="O1688">
        <v>167.04</v>
      </c>
      <c r="P1688">
        <v>16.7</v>
      </c>
      <c r="Q1688">
        <v>16.7</v>
      </c>
      <c r="R1688" t="s">
        <v>30</v>
      </c>
      <c r="S1688">
        <v>29</v>
      </c>
      <c r="T1688">
        <v>1</v>
      </c>
      <c r="U1688">
        <v>2</v>
      </c>
      <c r="V1688">
        <v>150.34</v>
      </c>
      <c r="W1688">
        <v>13130001686</v>
      </c>
    </row>
    <row r="1689" spans="1:23" x14ac:dyDescent="0.2">
      <c r="A1689" s="1">
        <v>44803</v>
      </c>
      <c r="B1689" s="2">
        <v>0.7537962962962963</v>
      </c>
      <c r="C1689">
        <v>2687</v>
      </c>
      <c r="D1689">
        <v>13002561</v>
      </c>
      <c r="E1689">
        <v>13</v>
      </c>
      <c r="F1689">
        <v>22589</v>
      </c>
      <c r="G1689" t="s">
        <v>23</v>
      </c>
      <c r="H1689">
        <v>18</v>
      </c>
      <c r="I1689">
        <v>56152</v>
      </c>
      <c r="J1689" t="s">
        <v>24</v>
      </c>
      <c r="K1689" t="s">
        <v>45</v>
      </c>
      <c r="L1689" t="s">
        <v>29</v>
      </c>
      <c r="M1689">
        <v>1</v>
      </c>
      <c r="N1689">
        <v>380.77</v>
      </c>
      <c r="O1689">
        <v>563.16999999999996</v>
      </c>
      <c r="P1689">
        <v>56.32</v>
      </c>
      <c r="Q1689">
        <v>56.32</v>
      </c>
      <c r="R1689" t="s">
        <v>30</v>
      </c>
      <c r="S1689">
        <v>29</v>
      </c>
      <c r="T1689">
        <v>1</v>
      </c>
      <c r="U1689">
        <v>5</v>
      </c>
      <c r="V1689">
        <v>506.85</v>
      </c>
      <c r="W1689">
        <v>13130001687</v>
      </c>
    </row>
    <row r="1690" spans="1:23" x14ac:dyDescent="0.2">
      <c r="A1690" s="1">
        <v>44777</v>
      </c>
      <c r="B1690" s="2">
        <v>0.37681712962962971</v>
      </c>
      <c r="C1690">
        <v>2688</v>
      </c>
      <c r="D1690">
        <v>13002561</v>
      </c>
      <c r="E1690">
        <v>13</v>
      </c>
      <c r="F1690">
        <v>22589</v>
      </c>
      <c r="G1690" t="s">
        <v>23</v>
      </c>
      <c r="H1690">
        <v>15</v>
      </c>
      <c r="I1690">
        <v>46196</v>
      </c>
      <c r="J1690" t="s">
        <v>56</v>
      </c>
      <c r="K1690" t="s">
        <v>45</v>
      </c>
      <c r="L1690" t="s">
        <v>34</v>
      </c>
      <c r="M1690">
        <v>2</v>
      </c>
      <c r="N1690">
        <v>586.83000000000004</v>
      </c>
      <c r="O1690">
        <v>852.55</v>
      </c>
      <c r="P1690">
        <v>0</v>
      </c>
      <c r="Q1690">
        <v>0</v>
      </c>
      <c r="S1690">
        <v>29</v>
      </c>
      <c r="T1690">
        <v>1</v>
      </c>
      <c r="U1690">
        <v>6</v>
      </c>
      <c r="V1690">
        <v>852.55</v>
      </c>
      <c r="W1690">
        <v>13130001688</v>
      </c>
    </row>
    <row r="1691" spans="1:23" x14ac:dyDescent="0.2">
      <c r="A1691" s="1">
        <v>44784</v>
      </c>
      <c r="B1691" s="2">
        <v>0.92180555555555554</v>
      </c>
      <c r="C1691">
        <v>2689</v>
      </c>
      <c r="D1691">
        <v>13002561</v>
      </c>
      <c r="E1691">
        <v>13</v>
      </c>
      <c r="F1691">
        <v>22589</v>
      </c>
      <c r="G1691" t="s">
        <v>23</v>
      </c>
      <c r="H1691">
        <v>15</v>
      </c>
      <c r="I1691">
        <v>35571</v>
      </c>
      <c r="J1691" t="s">
        <v>109</v>
      </c>
      <c r="K1691" t="s">
        <v>28</v>
      </c>
      <c r="L1691" t="s">
        <v>32</v>
      </c>
      <c r="M1691">
        <v>2</v>
      </c>
      <c r="N1691">
        <v>599.08000000000004</v>
      </c>
      <c r="O1691">
        <v>918.92</v>
      </c>
      <c r="P1691">
        <v>91.89</v>
      </c>
      <c r="Q1691">
        <v>91.89</v>
      </c>
      <c r="R1691" t="s">
        <v>30</v>
      </c>
      <c r="S1691">
        <v>29</v>
      </c>
      <c r="T1691">
        <v>1</v>
      </c>
      <c r="U1691">
        <v>5</v>
      </c>
      <c r="V1691">
        <v>827.03</v>
      </c>
      <c r="W1691">
        <v>13130001689</v>
      </c>
    </row>
    <row r="1692" spans="1:23" x14ac:dyDescent="0.2">
      <c r="A1692" s="1">
        <v>44794</v>
      </c>
      <c r="B1692" s="2">
        <v>0.71357638888888886</v>
      </c>
      <c r="C1692">
        <v>2690</v>
      </c>
      <c r="D1692">
        <v>13002561</v>
      </c>
      <c r="E1692">
        <v>13</v>
      </c>
      <c r="F1692">
        <v>22589</v>
      </c>
      <c r="G1692" t="s">
        <v>23</v>
      </c>
      <c r="H1692">
        <v>18</v>
      </c>
      <c r="I1692">
        <v>38766</v>
      </c>
      <c r="J1692" t="s">
        <v>69</v>
      </c>
      <c r="K1692" t="s">
        <v>38</v>
      </c>
      <c r="L1692" t="s">
        <v>26</v>
      </c>
      <c r="M1692">
        <v>3</v>
      </c>
      <c r="N1692">
        <v>441.05</v>
      </c>
      <c r="O1692">
        <v>722.87</v>
      </c>
      <c r="P1692">
        <v>36.14</v>
      </c>
      <c r="Q1692">
        <v>36.14</v>
      </c>
      <c r="R1692" t="s">
        <v>30</v>
      </c>
      <c r="S1692">
        <v>29</v>
      </c>
      <c r="T1692">
        <v>1</v>
      </c>
      <c r="U1692">
        <v>4</v>
      </c>
      <c r="V1692">
        <v>686.73</v>
      </c>
      <c r="W1692">
        <v>13130001690</v>
      </c>
    </row>
    <row r="1693" spans="1:23" x14ac:dyDescent="0.2">
      <c r="A1693" s="1">
        <v>44785</v>
      </c>
      <c r="B1693" s="2">
        <v>0.72556712962962966</v>
      </c>
      <c r="C1693">
        <v>2691</v>
      </c>
      <c r="D1693">
        <v>13002561</v>
      </c>
      <c r="E1693">
        <v>13</v>
      </c>
      <c r="F1693">
        <v>22589</v>
      </c>
      <c r="G1693" t="s">
        <v>23</v>
      </c>
      <c r="H1693">
        <v>15</v>
      </c>
      <c r="I1693">
        <v>93412</v>
      </c>
      <c r="J1693" t="s">
        <v>59</v>
      </c>
      <c r="K1693" t="s">
        <v>28</v>
      </c>
      <c r="L1693" t="s">
        <v>32</v>
      </c>
      <c r="M1693">
        <v>2</v>
      </c>
      <c r="N1693">
        <v>411.51</v>
      </c>
      <c r="O1693">
        <v>565.53</v>
      </c>
      <c r="P1693">
        <v>56.55</v>
      </c>
      <c r="Q1693">
        <v>56.55</v>
      </c>
      <c r="R1693" t="s">
        <v>30</v>
      </c>
      <c r="S1693">
        <v>29</v>
      </c>
      <c r="T1693">
        <v>1</v>
      </c>
      <c r="U1693">
        <v>1</v>
      </c>
      <c r="V1693">
        <v>508.98</v>
      </c>
      <c r="W1693">
        <v>13130001691</v>
      </c>
    </row>
    <row r="1694" spans="1:23" x14ac:dyDescent="0.2">
      <c r="A1694" s="1">
        <v>44788</v>
      </c>
      <c r="B1694" s="2">
        <v>0.68432870370370369</v>
      </c>
      <c r="C1694">
        <v>2692</v>
      </c>
      <c r="D1694">
        <v>13002561</v>
      </c>
      <c r="E1694">
        <v>13</v>
      </c>
      <c r="F1694">
        <v>22589</v>
      </c>
      <c r="G1694" t="s">
        <v>23</v>
      </c>
      <c r="H1694">
        <v>18</v>
      </c>
      <c r="I1694">
        <v>70552</v>
      </c>
      <c r="J1694" t="s">
        <v>77</v>
      </c>
      <c r="K1694" t="s">
        <v>44</v>
      </c>
      <c r="L1694" t="s">
        <v>29</v>
      </c>
      <c r="M1694">
        <v>1</v>
      </c>
      <c r="N1694">
        <v>232.2</v>
      </c>
      <c r="O1694">
        <v>392.88</v>
      </c>
      <c r="P1694">
        <v>19.64</v>
      </c>
      <c r="Q1694">
        <v>19.64</v>
      </c>
      <c r="R1694" t="s">
        <v>30</v>
      </c>
      <c r="S1694">
        <v>29</v>
      </c>
      <c r="T1694">
        <v>1</v>
      </c>
      <c r="U1694">
        <v>6</v>
      </c>
      <c r="V1694">
        <v>373.24</v>
      </c>
      <c r="W1694">
        <v>13130001692</v>
      </c>
    </row>
    <row r="1695" spans="1:23" x14ac:dyDescent="0.2">
      <c r="A1695" s="1">
        <v>44781</v>
      </c>
      <c r="B1695" s="2">
        <v>0.40604166666666669</v>
      </c>
      <c r="C1695">
        <v>2693</v>
      </c>
      <c r="D1695">
        <v>13002561</v>
      </c>
      <c r="E1695">
        <v>13</v>
      </c>
      <c r="F1695">
        <v>22589</v>
      </c>
      <c r="G1695" t="s">
        <v>23</v>
      </c>
      <c r="H1695">
        <v>18</v>
      </c>
      <c r="I1695">
        <v>73687</v>
      </c>
      <c r="J1695" t="s">
        <v>61</v>
      </c>
      <c r="K1695" t="s">
        <v>28</v>
      </c>
      <c r="L1695" t="s">
        <v>39</v>
      </c>
      <c r="M1695">
        <v>3</v>
      </c>
      <c r="N1695">
        <v>532.41</v>
      </c>
      <c r="O1695">
        <v>748.83</v>
      </c>
      <c r="P1695">
        <v>74.88</v>
      </c>
      <c r="Q1695">
        <v>74.88</v>
      </c>
      <c r="R1695" t="s">
        <v>30</v>
      </c>
      <c r="S1695">
        <v>29</v>
      </c>
      <c r="T1695">
        <v>1</v>
      </c>
      <c r="U1695">
        <v>5</v>
      </c>
      <c r="V1695">
        <v>673.95</v>
      </c>
      <c r="W1695">
        <v>13130001693</v>
      </c>
    </row>
    <row r="1696" spans="1:23" x14ac:dyDescent="0.2">
      <c r="A1696" s="1">
        <v>44785</v>
      </c>
      <c r="B1696" s="2">
        <v>0.9459143518518518</v>
      </c>
      <c r="C1696">
        <v>2694</v>
      </c>
      <c r="D1696">
        <v>13002561</v>
      </c>
      <c r="E1696">
        <v>13</v>
      </c>
      <c r="F1696">
        <v>22589</v>
      </c>
      <c r="G1696" t="s">
        <v>23</v>
      </c>
      <c r="H1696">
        <v>15</v>
      </c>
      <c r="I1696">
        <v>16450</v>
      </c>
      <c r="J1696" t="s">
        <v>73</v>
      </c>
      <c r="K1696" t="s">
        <v>38</v>
      </c>
      <c r="L1696" t="s">
        <v>47</v>
      </c>
      <c r="M1696">
        <v>2</v>
      </c>
      <c r="N1696">
        <v>587.99</v>
      </c>
      <c r="O1696">
        <v>970.85</v>
      </c>
      <c r="P1696">
        <v>97.09</v>
      </c>
      <c r="Q1696">
        <v>97.09</v>
      </c>
      <c r="R1696" t="s">
        <v>30</v>
      </c>
      <c r="S1696">
        <v>29</v>
      </c>
      <c r="T1696">
        <v>1</v>
      </c>
      <c r="U1696">
        <v>2</v>
      </c>
      <c r="V1696">
        <v>873.76</v>
      </c>
      <c r="W1696">
        <v>13130001694</v>
      </c>
    </row>
    <row r="1697" spans="1:23" x14ac:dyDescent="0.2">
      <c r="A1697" s="1">
        <v>44804</v>
      </c>
      <c r="B1697" s="2">
        <v>0.54921296296296296</v>
      </c>
      <c r="C1697">
        <v>2695</v>
      </c>
      <c r="D1697">
        <v>13002561</v>
      </c>
      <c r="E1697">
        <v>13</v>
      </c>
      <c r="F1697">
        <v>22589</v>
      </c>
      <c r="G1697" t="s">
        <v>23</v>
      </c>
      <c r="H1697">
        <v>18</v>
      </c>
      <c r="I1697">
        <v>21344</v>
      </c>
      <c r="J1697" t="s">
        <v>73</v>
      </c>
      <c r="K1697" t="s">
        <v>38</v>
      </c>
      <c r="L1697" t="s">
        <v>39</v>
      </c>
      <c r="M1697">
        <v>2</v>
      </c>
      <c r="N1697">
        <v>464.87</v>
      </c>
      <c r="O1697">
        <v>603.25</v>
      </c>
      <c r="P1697">
        <v>60.33</v>
      </c>
      <c r="Q1697">
        <v>60.33</v>
      </c>
      <c r="R1697" t="s">
        <v>30</v>
      </c>
      <c r="S1697">
        <v>29</v>
      </c>
      <c r="T1697">
        <v>1</v>
      </c>
      <c r="U1697">
        <v>5</v>
      </c>
      <c r="V1697">
        <v>542.91999999999996</v>
      </c>
      <c r="W1697">
        <v>13130001695</v>
      </c>
    </row>
    <row r="1698" spans="1:23" x14ac:dyDescent="0.2">
      <c r="A1698" s="1">
        <v>44801</v>
      </c>
      <c r="B1698" s="2">
        <v>0.8869097222222222</v>
      </c>
      <c r="C1698">
        <v>2696</v>
      </c>
      <c r="D1698">
        <v>13002561</v>
      </c>
      <c r="E1698">
        <v>13</v>
      </c>
      <c r="F1698">
        <v>22589</v>
      </c>
      <c r="G1698" t="s">
        <v>23</v>
      </c>
      <c r="H1698">
        <v>15</v>
      </c>
      <c r="I1698">
        <v>28132</v>
      </c>
      <c r="J1698" t="s">
        <v>27</v>
      </c>
      <c r="K1698" t="s">
        <v>45</v>
      </c>
      <c r="L1698" t="s">
        <v>32</v>
      </c>
      <c r="M1698">
        <v>2</v>
      </c>
      <c r="N1698">
        <v>577.48</v>
      </c>
      <c r="O1698">
        <v>937.76</v>
      </c>
      <c r="P1698">
        <v>46.89</v>
      </c>
      <c r="Q1698">
        <v>46.89</v>
      </c>
      <c r="R1698" t="s">
        <v>30</v>
      </c>
      <c r="S1698">
        <v>29</v>
      </c>
      <c r="T1698">
        <v>1</v>
      </c>
      <c r="U1698">
        <v>3</v>
      </c>
      <c r="V1698">
        <v>890.87</v>
      </c>
      <c r="W1698">
        <v>13130001696</v>
      </c>
    </row>
    <row r="1699" spans="1:23" x14ac:dyDescent="0.2">
      <c r="A1699" s="1">
        <v>44780</v>
      </c>
      <c r="B1699" s="2">
        <v>0.73440972222222223</v>
      </c>
      <c r="C1699">
        <v>2697</v>
      </c>
      <c r="D1699">
        <v>13002561</v>
      </c>
      <c r="E1699">
        <v>13</v>
      </c>
      <c r="F1699">
        <v>22589</v>
      </c>
      <c r="G1699" t="s">
        <v>23</v>
      </c>
      <c r="H1699">
        <v>18</v>
      </c>
      <c r="I1699">
        <v>50245</v>
      </c>
      <c r="J1699" t="s">
        <v>115</v>
      </c>
      <c r="K1699" t="s">
        <v>60</v>
      </c>
      <c r="L1699" t="s">
        <v>47</v>
      </c>
      <c r="M1699">
        <v>1</v>
      </c>
      <c r="N1699">
        <v>300.14999999999998</v>
      </c>
      <c r="O1699">
        <v>393.29</v>
      </c>
      <c r="P1699">
        <v>0</v>
      </c>
      <c r="Q1699">
        <v>0</v>
      </c>
      <c r="S1699">
        <v>29</v>
      </c>
      <c r="T1699">
        <v>1</v>
      </c>
      <c r="U1699">
        <v>2</v>
      </c>
      <c r="V1699">
        <v>393.29</v>
      </c>
      <c r="W1699">
        <v>13130001697</v>
      </c>
    </row>
    <row r="1700" spans="1:23" x14ac:dyDescent="0.2">
      <c r="A1700" s="1">
        <v>44796</v>
      </c>
      <c r="B1700" s="2">
        <v>0.82504629629629633</v>
      </c>
      <c r="C1700">
        <v>2698</v>
      </c>
      <c r="D1700">
        <v>13002561</v>
      </c>
      <c r="E1700">
        <v>13</v>
      </c>
      <c r="F1700">
        <v>22589</v>
      </c>
      <c r="G1700" t="s">
        <v>23</v>
      </c>
      <c r="H1700">
        <v>18</v>
      </c>
      <c r="I1700">
        <v>66140</v>
      </c>
      <c r="J1700" t="s">
        <v>106</v>
      </c>
      <c r="K1700" t="s">
        <v>38</v>
      </c>
      <c r="L1700" t="s">
        <v>26</v>
      </c>
      <c r="M1700">
        <v>3</v>
      </c>
      <c r="N1700">
        <v>323.14999999999998</v>
      </c>
      <c r="O1700">
        <v>526.76</v>
      </c>
      <c r="P1700">
        <v>0</v>
      </c>
      <c r="Q1700">
        <v>0</v>
      </c>
      <c r="S1700">
        <v>29</v>
      </c>
      <c r="T1700">
        <v>1</v>
      </c>
      <c r="U1700">
        <v>3</v>
      </c>
      <c r="V1700">
        <v>526.76</v>
      </c>
      <c r="W1700">
        <v>13130001698</v>
      </c>
    </row>
    <row r="1701" spans="1:23" x14ac:dyDescent="0.2">
      <c r="A1701" s="1">
        <v>44779</v>
      </c>
      <c r="B1701" s="2">
        <v>0.69299768518518523</v>
      </c>
      <c r="C1701">
        <v>2699</v>
      </c>
      <c r="D1701">
        <v>13002561</v>
      </c>
      <c r="E1701">
        <v>13</v>
      </c>
      <c r="F1701">
        <v>22589</v>
      </c>
      <c r="G1701" t="s">
        <v>23</v>
      </c>
      <c r="H1701">
        <v>15</v>
      </c>
      <c r="I1701">
        <v>16676</v>
      </c>
      <c r="J1701" t="s">
        <v>64</v>
      </c>
      <c r="K1701" t="s">
        <v>25</v>
      </c>
      <c r="L1701" t="s">
        <v>34</v>
      </c>
      <c r="M1701">
        <v>1</v>
      </c>
      <c r="N1701">
        <v>266.43</v>
      </c>
      <c r="O1701">
        <v>446.36</v>
      </c>
      <c r="P1701">
        <v>0</v>
      </c>
      <c r="Q1701">
        <v>0</v>
      </c>
      <c r="S1701">
        <v>29</v>
      </c>
      <c r="T1701">
        <v>1</v>
      </c>
      <c r="U1701">
        <v>1</v>
      </c>
      <c r="V1701">
        <v>446.36</v>
      </c>
      <c r="W1701">
        <v>13130001699</v>
      </c>
    </row>
    <row r="1702" spans="1:23" x14ac:dyDescent="0.2">
      <c r="A1702" s="1">
        <v>44775</v>
      </c>
      <c r="B1702" s="2">
        <v>0.50134259259259262</v>
      </c>
      <c r="C1702">
        <v>2700</v>
      </c>
      <c r="D1702">
        <v>13002561</v>
      </c>
      <c r="E1702">
        <v>13</v>
      </c>
      <c r="F1702">
        <v>22589</v>
      </c>
      <c r="G1702" t="s">
        <v>23</v>
      </c>
      <c r="H1702">
        <v>18</v>
      </c>
      <c r="I1702">
        <v>85913</v>
      </c>
      <c r="J1702" t="s">
        <v>98</v>
      </c>
      <c r="K1702" t="s">
        <v>28</v>
      </c>
      <c r="L1702" t="s">
        <v>34</v>
      </c>
      <c r="M1702">
        <v>3</v>
      </c>
      <c r="N1702">
        <v>277.24</v>
      </c>
      <c r="O1702">
        <v>350.31</v>
      </c>
      <c r="P1702">
        <v>35.03</v>
      </c>
      <c r="Q1702">
        <v>35.03</v>
      </c>
      <c r="R1702" t="s">
        <v>30</v>
      </c>
      <c r="S1702">
        <v>29</v>
      </c>
      <c r="T1702">
        <v>1</v>
      </c>
      <c r="U1702">
        <v>3</v>
      </c>
      <c r="V1702">
        <v>315.27999999999997</v>
      </c>
      <c r="W1702">
        <v>13130001700</v>
      </c>
    </row>
    <row r="1703" spans="1:23" x14ac:dyDescent="0.2">
      <c r="A1703" s="1">
        <v>44794</v>
      </c>
      <c r="B1703" s="2">
        <v>0.4582060185185185</v>
      </c>
      <c r="C1703">
        <v>2701</v>
      </c>
      <c r="D1703">
        <v>13002561</v>
      </c>
      <c r="E1703">
        <v>13</v>
      </c>
      <c r="F1703">
        <v>22589</v>
      </c>
      <c r="G1703" t="s">
        <v>23</v>
      </c>
      <c r="H1703">
        <v>18</v>
      </c>
      <c r="I1703">
        <v>80723</v>
      </c>
      <c r="J1703" t="s">
        <v>110</v>
      </c>
      <c r="K1703" t="s">
        <v>45</v>
      </c>
      <c r="L1703" t="s">
        <v>36</v>
      </c>
      <c r="M1703">
        <v>3</v>
      </c>
      <c r="N1703">
        <v>195.45</v>
      </c>
      <c r="O1703">
        <v>274.66000000000003</v>
      </c>
      <c r="P1703">
        <v>13.73</v>
      </c>
      <c r="Q1703">
        <v>13.73</v>
      </c>
      <c r="R1703" t="s">
        <v>30</v>
      </c>
      <c r="S1703">
        <v>29</v>
      </c>
      <c r="T1703">
        <v>1</v>
      </c>
      <c r="U1703">
        <v>5</v>
      </c>
      <c r="V1703">
        <v>260.93</v>
      </c>
      <c r="W1703">
        <v>13130001701</v>
      </c>
    </row>
    <row r="1704" spans="1:23" x14ac:dyDescent="0.2">
      <c r="A1704" s="1">
        <v>44793</v>
      </c>
      <c r="B1704" s="2">
        <v>0.80813657407407402</v>
      </c>
      <c r="C1704">
        <v>2702</v>
      </c>
      <c r="D1704">
        <v>13002561</v>
      </c>
      <c r="E1704">
        <v>13</v>
      </c>
      <c r="F1704">
        <v>22589</v>
      </c>
      <c r="G1704" t="s">
        <v>23</v>
      </c>
      <c r="H1704">
        <v>15</v>
      </c>
      <c r="I1704">
        <v>73717</v>
      </c>
      <c r="J1704" t="s">
        <v>113</v>
      </c>
      <c r="K1704" t="s">
        <v>25</v>
      </c>
      <c r="L1704" t="s">
        <v>26</v>
      </c>
      <c r="M1704">
        <v>2</v>
      </c>
      <c r="N1704">
        <v>521.73</v>
      </c>
      <c r="O1704">
        <v>707.17</v>
      </c>
      <c r="P1704">
        <v>70.72</v>
      </c>
      <c r="Q1704">
        <v>70.72</v>
      </c>
      <c r="R1704" t="s">
        <v>30</v>
      </c>
      <c r="S1704">
        <v>29</v>
      </c>
      <c r="T1704">
        <v>1</v>
      </c>
      <c r="U1704">
        <v>4</v>
      </c>
      <c r="V1704">
        <v>636.45000000000005</v>
      </c>
      <c r="W1704">
        <v>13130001702</v>
      </c>
    </row>
    <row r="1705" spans="1:23" x14ac:dyDescent="0.2">
      <c r="A1705" s="1">
        <v>44776</v>
      </c>
      <c r="B1705" s="2">
        <v>0.8568634259259259</v>
      </c>
      <c r="C1705">
        <v>2703</v>
      </c>
      <c r="D1705">
        <v>13002561</v>
      </c>
      <c r="E1705">
        <v>13</v>
      </c>
      <c r="F1705">
        <v>22589</v>
      </c>
      <c r="G1705" t="s">
        <v>23</v>
      </c>
      <c r="H1705">
        <v>15</v>
      </c>
      <c r="I1705">
        <v>29466</v>
      </c>
      <c r="J1705" t="s">
        <v>125</v>
      </c>
      <c r="K1705" t="s">
        <v>60</v>
      </c>
      <c r="L1705" t="s">
        <v>36</v>
      </c>
      <c r="M1705">
        <v>3</v>
      </c>
      <c r="N1705">
        <v>447</v>
      </c>
      <c r="O1705">
        <v>648.07000000000005</v>
      </c>
      <c r="P1705">
        <v>0</v>
      </c>
      <c r="Q1705">
        <v>0</v>
      </c>
      <c r="S1705">
        <v>29</v>
      </c>
      <c r="T1705">
        <v>1</v>
      </c>
      <c r="U1705">
        <v>1</v>
      </c>
      <c r="V1705">
        <v>648.07000000000005</v>
      </c>
      <c r="W1705">
        <v>13130001703</v>
      </c>
    </row>
    <row r="1706" spans="1:23" x14ac:dyDescent="0.2">
      <c r="A1706" s="1">
        <v>44775</v>
      </c>
      <c r="B1706" s="2">
        <v>0.44793981481481482</v>
      </c>
      <c r="C1706">
        <v>2704</v>
      </c>
      <c r="D1706">
        <v>13002561</v>
      </c>
      <c r="E1706">
        <v>13</v>
      </c>
      <c r="F1706">
        <v>22589</v>
      </c>
      <c r="G1706" t="s">
        <v>23</v>
      </c>
      <c r="H1706">
        <v>18</v>
      </c>
      <c r="I1706">
        <v>81032</v>
      </c>
      <c r="J1706" t="s">
        <v>54</v>
      </c>
      <c r="K1706" t="s">
        <v>38</v>
      </c>
      <c r="L1706" t="s">
        <v>39</v>
      </c>
      <c r="M1706">
        <v>3</v>
      </c>
      <c r="N1706">
        <v>480.36</v>
      </c>
      <c r="O1706">
        <v>630.5</v>
      </c>
      <c r="P1706">
        <v>0</v>
      </c>
      <c r="Q1706">
        <v>0</v>
      </c>
      <c r="S1706">
        <v>29</v>
      </c>
      <c r="T1706">
        <v>1</v>
      </c>
      <c r="U1706">
        <v>6</v>
      </c>
      <c r="V1706">
        <v>630.5</v>
      </c>
      <c r="W1706">
        <v>13130001704</v>
      </c>
    </row>
    <row r="1707" spans="1:23" x14ac:dyDescent="0.2">
      <c r="A1707" s="1">
        <v>44789</v>
      </c>
      <c r="B1707" s="2">
        <v>0.54574074074074075</v>
      </c>
      <c r="C1707">
        <v>2705</v>
      </c>
      <c r="D1707">
        <v>13002561</v>
      </c>
      <c r="E1707">
        <v>13</v>
      </c>
      <c r="F1707">
        <v>22589</v>
      </c>
      <c r="G1707" t="s">
        <v>23</v>
      </c>
      <c r="H1707">
        <v>15</v>
      </c>
      <c r="I1707">
        <v>44311</v>
      </c>
      <c r="J1707" t="s">
        <v>49</v>
      </c>
      <c r="K1707" t="s">
        <v>45</v>
      </c>
      <c r="L1707" t="s">
        <v>26</v>
      </c>
      <c r="M1707">
        <v>1</v>
      </c>
      <c r="N1707">
        <v>249.33</v>
      </c>
      <c r="O1707">
        <v>339.46</v>
      </c>
      <c r="P1707">
        <v>33.950000000000003</v>
      </c>
      <c r="Q1707">
        <v>33.950000000000003</v>
      </c>
      <c r="R1707" t="s">
        <v>30</v>
      </c>
      <c r="S1707">
        <v>29</v>
      </c>
      <c r="T1707">
        <v>1</v>
      </c>
      <c r="U1707">
        <v>6</v>
      </c>
      <c r="V1707">
        <v>305.51</v>
      </c>
      <c r="W1707">
        <v>13130001705</v>
      </c>
    </row>
    <row r="1708" spans="1:23" x14ac:dyDescent="0.2">
      <c r="A1708" s="1">
        <v>44783</v>
      </c>
      <c r="B1708" s="2">
        <v>0.92734953703703704</v>
      </c>
      <c r="C1708">
        <v>2706</v>
      </c>
      <c r="D1708">
        <v>13002561</v>
      </c>
      <c r="E1708">
        <v>13</v>
      </c>
      <c r="F1708">
        <v>22589</v>
      </c>
      <c r="G1708" t="s">
        <v>23</v>
      </c>
      <c r="H1708">
        <v>18</v>
      </c>
      <c r="I1708">
        <v>99748</v>
      </c>
      <c r="J1708" t="s">
        <v>33</v>
      </c>
      <c r="K1708" t="s">
        <v>28</v>
      </c>
      <c r="L1708" t="s">
        <v>36</v>
      </c>
      <c r="M1708">
        <v>3</v>
      </c>
      <c r="N1708">
        <v>26.51</v>
      </c>
      <c r="O1708">
        <v>40.520000000000003</v>
      </c>
      <c r="P1708">
        <v>0</v>
      </c>
      <c r="Q1708">
        <v>0</v>
      </c>
      <c r="S1708">
        <v>29</v>
      </c>
      <c r="T1708">
        <v>1</v>
      </c>
      <c r="U1708">
        <v>5</v>
      </c>
      <c r="V1708">
        <v>40.520000000000003</v>
      </c>
      <c r="W1708">
        <v>13130001706</v>
      </c>
    </row>
    <row r="1709" spans="1:23" x14ac:dyDescent="0.2">
      <c r="A1709" s="1">
        <v>44798</v>
      </c>
      <c r="B1709" s="2">
        <v>0.67496527777777782</v>
      </c>
      <c r="C1709">
        <v>2707</v>
      </c>
      <c r="D1709">
        <v>13002561</v>
      </c>
      <c r="E1709">
        <v>13</v>
      </c>
      <c r="F1709">
        <v>22589</v>
      </c>
      <c r="G1709" t="s">
        <v>23</v>
      </c>
      <c r="H1709">
        <v>15</v>
      </c>
      <c r="I1709">
        <v>34383</v>
      </c>
      <c r="J1709" t="s">
        <v>81</v>
      </c>
      <c r="K1709" t="s">
        <v>45</v>
      </c>
      <c r="L1709" t="s">
        <v>26</v>
      </c>
      <c r="M1709">
        <v>3</v>
      </c>
      <c r="N1709">
        <v>162.44</v>
      </c>
      <c r="O1709">
        <v>244.98</v>
      </c>
      <c r="P1709">
        <v>24.5</v>
      </c>
      <c r="Q1709">
        <v>24.5</v>
      </c>
      <c r="R1709" t="s">
        <v>30</v>
      </c>
      <c r="S1709">
        <v>29</v>
      </c>
      <c r="T1709">
        <v>1</v>
      </c>
      <c r="U1709">
        <v>1</v>
      </c>
      <c r="V1709">
        <v>220.48</v>
      </c>
      <c r="W1709">
        <v>13130001707</v>
      </c>
    </row>
    <row r="1710" spans="1:23" x14ac:dyDescent="0.2">
      <c r="A1710" s="1">
        <v>44776</v>
      </c>
      <c r="B1710" s="2">
        <v>0.54731481481481481</v>
      </c>
      <c r="C1710">
        <v>2708</v>
      </c>
      <c r="D1710">
        <v>13002561</v>
      </c>
      <c r="E1710">
        <v>13</v>
      </c>
      <c r="F1710">
        <v>22589</v>
      </c>
      <c r="G1710" t="s">
        <v>23</v>
      </c>
      <c r="H1710">
        <v>18</v>
      </c>
      <c r="I1710">
        <v>99458</v>
      </c>
      <c r="J1710" t="s">
        <v>116</v>
      </c>
      <c r="K1710" t="s">
        <v>28</v>
      </c>
      <c r="L1710" t="s">
        <v>34</v>
      </c>
      <c r="M1710">
        <v>3</v>
      </c>
      <c r="N1710">
        <v>440.88</v>
      </c>
      <c r="O1710">
        <v>717.87</v>
      </c>
      <c r="P1710">
        <v>35.89</v>
      </c>
      <c r="Q1710">
        <v>35.89</v>
      </c>
      <c r="R1710" t="s">
        <v>30</v>
      </c>
      <c r="S1710">
        <v>29</v>
      </c>
      <c r="T1710">
        <v>1</v>
      </c>
      <c r="U1710">
        <v>4</v>
      </c>
      <c r="V1710">
        <v>681.98</v>
      </c>
      <c r="W1710">
        <v>13130001708</v>
      </c>
    </row>
    <row r="1711" spans="1:23" x14ac:dyDescent="0.2">
      <c r="A1711" s="1">
        <v>44783</v>
      </c>
      <c r="B1711" s="2">
        <v>0.59236111111111112</v>
      </c>
      <c r="C1711">
        <v>2709</v>
      </c>
      <c r="D1711">
        <v>13002561</v>
      </c>
      <c r="E1711">
        <v>13</v>
      </c>
      <c r="F1711">
        <v>22589</v>
      </c>
      <c r="G1711" t="s">
        <v>23</v>
      </c>
      <c r="H1711">
        <v>15</v>
      </c>
      <c r="I1711">
        <v>46291</v>
      </c>
      <c r="J1711" t="s">
        <v>126</v>
      </c>
      <c r="K1711" t="s">
        <v>38</v>
      </c>
      <c r="L1711" t="s">
        <v>39</v>
      </c>
      <c r="M1711">
        <v>2</v>
      </c>
      <c r="N1711">
        <v>393.37</v>
      </c>
      <c r="O1711">
        <v>618.66</v>
      </c>
      <c r="P1711">
        <v>0</v>
      </c>
      <c r="Q1711">
        <v>0</v>
      </c>
      <c r="S1711">
        <v>29</v>
      </c>
      <c r="T1711">
        <v>1</v>
      </c>
      <c r="U1711">
        <v>1</v>
      </c>
      <c r="V1711">
        <v>618.66</v>
      </c>
      <c r="W1711">
        <v>13130001709</v>
      </c>
    </row>
    <row r="1712" spans="1:23" x14ac:dyDescent="0.2">
      <c r="A1712" s="1">
        <v>44786</v>
      </c>
      <c r="B1712" s="2">
        <v>0.40527777777777779</v>
      </c>
      <c r="C1712">
        <v>2710</v>
      </c>
      <c r="D1712">
        <v>13002561</v>
      </c>
      <c r="E1712">
        <v>13</v>
      </c>
      <c r="F1712">
        <v>22589</v>
      </c>
      <c r="G1712" t="s">
        <v>23</v>
      </c>
      <c r="H1712">
        <v>15</v>
      </c>
      <c r="I1712">
        <v>79011</v>
      </c>
      <c r="J1712" t="s">
        <v>59</v>
      </c>
      <c r="K1712" t="s">
        <v>28</v>
      </c>
      <c r="L1712" t="s">
        <v>51</v>
      </c>
      <c r="M1712">
        <v>2</v>
      </c>
      <c r="N1712">
        <v>585.6</v>
      </c>
      <c r="O1712">
        <v>757.03</v>
      </c>
      <c r="P1712">
        <v>37.85</v>
      </c>
      <c r="Q1712">
        <v>37.85</v>
      </c>
      <c r="R1712" t="s">
        <v>30</v>
      </c>
      <c r="S1712">
        <v>29</v>
      </c>
      <c r="T1712">
        <v>1</v>
      </c>
      <c r="U1712">
        <v>6</v>
      </c>
      <c r="V1712">
        <v>719.18</v>
      </c>
      <c r="W1712">
        <v>13130001710</v>
      </c>
    </row>
    <row r="1713" spans="1:23" x14ac:dyDescent="0.2">
      <c r="A1713" s="1">
        <v>44778</v>
      </c>
      <c r="B1713" s="2">
        <v>0.62187499999999996</v>
      </c>
      <c r="C1713">
        <v>2711</v>
      </c>
      <c r="D1713">
        <v>13002561</v>
      </c>
      <c r="E1713">
        <v>13</v>
      </c>
      <c r="F1713">
        <v>22589</v>
      </c>
      <c r="G1713" t="s">
        <v>23</v>
      </c>
      <c r="H1713">
        <v>15</v>
      </c>
      <c r="I1713">
        <v>55649</v>
      </c>
      <c r="J1713" t="s">
        <v>68</v>
      </c>
      <c r="K1713" t="s">
        <v>28</v>
      </c>
      <c r="L1713" t="s">
        <v>34</v>
      </c>
      <c r="M1713">
        <v>3</v>
      </c>
      <c r="N1713">
        <v>129.78</v>
      </c>
      <c r="O1713">
        <v>178.53</v>
      </c>
      <c r="P1713">
        <v>8.93</v>
      </c>
      <c r="Q1713">
        <v>8.93</v>
      </c>
      <c r="R1713" t="s">
        <v>30</v>
      </c>
      <c r="S1713">
        <v>29</v>
      </c>
      <c r="T1713">
        <v>1</v>
      </c>
      <c r="U1713">
        <v>4</v>
      </c>
      <c r="V1713">
        <v>169.6</v>
      </c>
      <c r="W1713">
        <v>13130001711</v>
      </c>
    </row>
    <row r="1714" spans="1:23" x14ac:dyDescent="0.2">
      <c r="A1714" s="1">
        <v>44792</v>
      </c>
      <c r="B1714" s="2">
        <v>0.42335648148148147</v>
      </c>
      <c r="C1714">
        <v>2712</v>
      </c>
      <c r="D1714">
        <v>13002561</v>
      </c>
      <c r="E1714">
        <v>13</v>
      </c>
      <c r="F1714">
        <v>22589</v>
      </c>
      <c r="G1714" t="s">
        <v>23</v>
      </c>
      <c r="H1714">
        <v>18</v>
      </c>
      <c r="I1714">
        <v>36838</v>
      </c>
      <c r="J1714" t="s">
        <v>70</v>
      </c>
      <c r="K1714" t="s">
        <v>38</v>
      </c>
      <c r="L1714" t="s">
        <v>39</v>
      </c>
      <c r="M1714">
        <v>2</v>
      </c>
      <c r="N1714">
        <v>470.63</v>
      </c>
      <c r="O1714">
        <v>593.29</v>
      </c>
      <c r="P1714">
        <v>59.33</v>
      </c>
      <c r="Q1714">
        <v>59.33</v>
      </c>
      <c r="R1714" t="s">
        <v>30</v>
      </c>
      <c r="S1714">
        <v>29</v>
      </c>
      <c r="T1714">
        <v>1</v>
      </c>
      <c r="U1714">
        <v>5</v>
      </c>
      <c r="V1714">
        <v>533.96</v>
      </c>
      <c r="W1714">
        <v>13130001712</v>
      </c>
    </row>
    <row r="1715" spans="1:23" x14ac:dyDescent="0.2">
      <c r="A1715" s="1">
        <v>44779</v>
      </c>
      <c r="B1715" s="2">
        <v>0.57866898148148149</v>
      </c>
      <c r="C1715">
        <v>2713</v>
      </c>
      <c r="D1715">
        <v>13002561</v>
      </c>
      <c r="E1715">
        <v>13</v>
      </c>
      <c r="F1715">
        <v>22589</v>
      </c>
      <c r="G1715" t="s">
        <v>23</v>
      </c>
      <c r="H1715">
        <v>15</v>
      </c>
      <c r="I1715">
        <v>94503</v>
      </c>
      <c r="J1715" t="s">
        <v>128</v>
      </c>
      <c r="K1715" t="s">
        <v>38</v>
      </c>
      <c r="L1715" t="s">
        <v>47</v>
      </c>
      <c r="M1715">
        <v>2</v>
      </c>
      <c r="N1715">
        <v>167.21</v>
      </c>
      <c r="O1715">
        <v>250.9</v>
      </c>
      <c r="P1715">
        <v>0</v>
      </c>
      <c r="Q1715">
        <v>0</v>
      </c>
      <c r="S1715">
        <v>29</v>
      </c>
      <c r="T1715">
        <v>1</v>
      </c>
      <c r="U1715">
        <v>4</v>
      </c>
      <c r="V1715">
        <v>250.9</v>
      </c>
      <c r="W1715">
        <v>13130001713</v>
      </c>
    </row>
    <row r="1716" spans="1:23" x14ac:dyDescent="0.2">
      <c r="A1716" s="1">
        <v>44779</v>
      </c>
      <c r="B1716" s="2">
        <v>0.65303240740740742</v>
      </c>
      <c r="C1716">
        <v>2714</v>
      </c>
      <c r="D1716">
        <v>13002561</v>
      </c>
      <c r="E1716">
        <v>13</v>
      </c>
      <c r="F1716">
        <v>22589</v>
      </c>
      <c r="G1716" t="s">
        <v>23</v>
      </c>
      <c r="H1716">
        <v>18</v>
      </c>
      <c r="I1716">
        <v>69300</v>
      </c>
      <c r="J1716" t="s">
        <v>41</v>
      </c>
      <c r="K1716" t="s">
        <v>44</v>
      </c>
      <c r="L1716" t="s">
        <v>51</v>
      </c>
      <c r="M1716">
        <v>2</v>
      </c>
      <c r="N1716">
        <v>583.84</v>
      </c>
      <c r="O1716">
        <v>983.43</v>
      </c>
      <c r="P1716">
        <v>98.34</v>
      </c>
      <c r="Q1716">
        <v>98.34</v>
      </c>
      <c r="R1716" t="s">
        <v>30</v>
      </c>
      <c r="S1716">
        <v>29</v>
      </c>
      <c r="T1716">
        <v>1</v>
      </c>
      <c r="U1716">
        <v>2</v>
      </c>
      <c r="V1716">
        <v>885.09</v>
      </c>
      <c r="W1716">
        <v>13130001714</v>
      </c>
    </row>
    <row r="1717" spans="1:23" x14ac:dyDescent="0.2">
      <c r="A1717" s="1">
        <v>44779</v>
      </c>
      <c r="B1717" s="2">
        <v>0.34606481481481483</v>
      </c>
      <c r="C1717">
        <v>2715</v>
      </c>
      <c r="D1717">
        <v>13002561</v>
      </c>
      <c r="E1717">
        <v>13</v>
      </c>
      <c r="F1717">
        <v>22589</v>
      </c>
      <c r="G1717" t="s">
        <v>23</v>
      </c>
      <c r="H1717">
        <v>18</v>
      </c>
      <c r="I1717">
        <v>68625</v>
      </c>
      <c r="J1717" t="s">
        <v>73</v>
      </c>
      <c r="K1717" t="s">
        <v>60</v>
      </c>
      <c r="L1717" t="s">
        <v>32</v>
      </c>
      <c r="M1717">
        <v>3</v>
      </c>
      <c r="N1717">
        <v>291.01</v>
      </c>
      <c r="O1717">
        <v>382.7</v>
      </c>
      <c r="P1717">
        <v>19.14</v>
      </c>
      <c r="Q1717">
        <v>19.14</v>
      </c>
      <c r="R1717" t="s">
        <v>30</v>
      </c>
      <c r="S1717">
        <v>29</v>
      </c>
      <c r="T1717">
        <v>1</v>
      </c>
      <c r="U1717">
        <v>5</v>
      </c>
      <c r="V1717">
        <v>363.56</v>
      </c>
      <c r="W1717">
        <v>13130001715</v>
      </c>
    </row>
    <row r="1718" spans="1:23" x14ac:dyDescent="0.2">
      <c r="A1718" s="1">
        <v>44785</v>
      </c>
      <c r="B1718" s="2">
        <v>0.85410879629629632</v>
      </c>
      <c r="C1718">
        <v>2716</v>
      </c>
      <c r="D1718">
        <v>13002561</v>
      </c>
      <c r="E1718">
        <v>13</v>
      </c>
      <c r="F1718">
        <v>22589</v>
      </c>
      <c r="G1718" t="s">
        <v>23</v>
      </c>
      <c r="H1718">
        <v>18</v>
      </c>
      <c r="I1718">
        <v>92871</v>
      </c>
      <c r="J1718" t="s">
        <v>97</v>
      </c>
      <c r="K1718" t="s">
        <v>38</v>
      </c>
      <c r="L1718" t="s">
        <v>47</v>
      </c>
      <c r="M1718">
        <v>2</v>
      </c>
      <c r="N1718">
        <v>179.96</v>
      </c>
      <c r="O1718">
        <v>266.7</v>
      </c>
      <c r="P1718">
        <v>26.67</v>
      </c>
      <c r="Q1718">
        <v>26.67</v>
      </c>
      <c r="R1718" t="s">
        <v>30</v>
      </c>
      <c r="S1718">
        <v>29</v>
      </c>
      <c r="T1718">
        <v>1</v>
      </c>
      <c r="U1718">
        <v>3</v>
      </c>
      <c r="V1718">
        <v>240.03</v>
      </c>
      <c r="W1718">
        <v>13130001716</v>
      </c>
    </row>
    <row r="1719" spans="1:23" x14ac:dyDescent="0.2">
      <c r="A1719" s="1">
        <v>44788</v>
      </c>
      <c r="B1719" s="2">
        <v>0.89471064814814816</v>
      </c>
      <c r="C1719">
        <v>2717</v>
      </c>
      <c r="D1719">
        <v>13002561</v>
      </c>
      <c r="E1719">
        <v>13</v>
      </c>
      <c r="F1719">
        <v>22589</v>
      </c>
      <c r="G1719" t="s">
        <v>23</v>
      </c>
      <c r="H1719">
        <v>15</v>
      </c>
      <c r="I1719">
        <v>63619</v>
      </c>
      <c r="J1719" t="s">
        <v>49</v>
      </c>
      <c r="K1719" t="s">
        <v>44</v>
      </c>
      <c r="L1719" t="s">
        <v>34</v>
      </c>
      <c r="M1719">
        <v>3</v>
      </c>
      <c r="N1719">
        <v>351.64</v>
      </c>
      <c r="O1719">
        <v>471.17</v>
      </c>
      <c r="P1719">
        <v>47.12</v>
      </c>
      <c r="Q1719">
        <v>47.12</v>
      </c>
      <c r="R1719" t="s">
        <v>30</v>
      </c>
      <c r="S1719">
        <v>29</v>
      </c>
      <c r="T1719">
        <v>1</v>
      </c>
      <c r="U1719">
        <v>1</v>
      </c>
      <c r="V1719">
        <v>424.05</v>
      </c>
      <c r="W1719">
        <v>13130001717</v>
      </c>
    </row>
    <row r="1720" spans="1:23" x14ac:dyDescent="0.2">
      <c r="A1720" s="1">
        <v>44784</v>
      </c>
      <c r="B1720" s="2">
        <v>0.88114583333333329</v>
      </c>
      <c r="C1720">
        <v>2718</v>
      </c>
      <c r="D1720">
        <v>13002561</v>
      </c>
      <c r="E1720">
        <v>13</v>
      </c>
      <c r="F1720">
        <v>22589</v>
      </c>
      <c r="G1720" t="s">
        <v>23</v>
      </c>
      <c r="H1720">
        <v>15</v>
      </c>
      <c r="I1720">
        <v>62161</v>
      </c>
      <c r="J1720" t="s">
        <v>58</v>
      </c>
      <c r="K1720" t="s">
        <v>28</v>
      </c>
      <c r="L1720" t="s">
        <v>51</v>
      </c>
      <c r="M1720">
        <v>3</v>
      </c>
      <c r="N1720">
        <v>51.88</v>
      </c>
      <c r="O1720">
        <v>70.900000000000006</v>
      </c>
      <c r="P1720">
        <v>3.55</v>
      </c>
      <c r="Q1720">
        <v>3.55</v>
      </c>
      <c r="R1720" t="s">
        <v>30</v>
      </c>
      <c r="S1720">
        <v>29</v>
      </c>
      <c r="T1720">
        <v>1</v>
      </c>
      <c r="U1720">
        <v>1</v>
      </c>
      <c r="V1720">
        <v>67.349999999999994</v>
      </c>
      <c r="W1720">
        <v>13130001718</v>
      </c>
    </row>
    <row r="1721" spans="1:23" x14ac:dyDescent="0.2">
      <c r="A1721" s="1">
        <v>44782</v>
      </c>
      <c r="B1721" s="2">
        <v>0.54538194444444443</v>
      </c>
      <c r="C1721">
        <v>2719</v>
      </c>
      <c r="D1721">
        <v>13002561</v>
      </c>
      <c r="E1721">
        <v>13</v>
      </c>
      <c r="F1721">
        <v>22589</v>
      </c>
      <c r="G1721" t="s">
        <v>23</v>
      </c>
      <c r="H1721">
        <v>15</v>
      </c>
      <c r="I1721">
        <v>26748</v>
      </c>
      <c r="J1721" t="s">
        <v>118</v>
      </c>
      <c r="K1721" t="s">
        <v>60</v>
      </c>
      <c r="L1721" t="s">
        <v>39</v>
      </c>
      <c r="M1721">
        <v>1</v>
      </c>
      <c r="N1721">
        <v>582.25</v>
      </c>
      <c r="O1721">
        <v>752.87</v>
      </c>
      <c r="P1721">
        <v>75.290000000000006</v>
      </c>
      <c r="Q1721">
        <v>75.290000000000006</v>
      </c>
      <c r="R1721" t="s">
        <v>30</v>
      </c>
      <c r="S1721">
        <v>29</v>
      </c>
      <c r="T1721">
        <v>1</v>
      </c>
      <c r="U1721">
        <v>5</v>
      </c>
      <c r="V1721">
        <v>677.58</v>
      </c>
      <c r="W1721">
        <v>13130001719</v>
      </c>
    </row>
    <row r="1722" spans="1:23" x14ac:dyDescent="0.2">
      <c r="A1722" s="1">
        <v>44780</v>
      </c>
      <c r="B1722" s="2">
        <v>0.3865277777777778</v>
      </c>
      <c r="C1722">
        <v>2720</v>
      </c>
      <c r="D1722">
        <v>13002561</v>
      </c>
      <c r="E1722">
        <v>13</v>
      </c>
      <c r="F1722">
        <v>22589</v>
      </c>
      <c r="G1722" t="s">
        <v>23</v>
      </c>
      <c r="H1722">
        <v>18</v>
      </c>
      <c r="I1722">
        <v>20901</v>
      </c>
      <c r="J1722" t="s">
        <v>76</v>
      </c>
      <c r="K1722" t="s">
        <v>44</v>
      </c>
      <c r="L1722" t="s">
        <v>47</v>
      </c>
      <c r="M1722">
        <v>1</v>
      </c>
      <c r="N1722">
        <v>48.49</v>
      </c>
      <c r="O1722">
        <v>75.17</v>
      </c>
      <c r="P1722">
        <v>0</v>
      </c>
      <c r="Q1722">
        <v>0</v>
      </c>
      <c r="S1722">
        <v>29</v>
      </c>
      <c r="T1722">
        <v>1</v>
      </c>
      <c r="U1722">
        <v>3</v>
      </c>
      <c r="V1722">
        <v>75.17</v>
      </c>
      <c r="W1722">
        <v>13130001720</v>
      </c>
    </row>
    <row r="1723" spans="1:23" x14ac:dyDescent="0.2">
      <c r="A1723" s="1">
        <v>44791</v>
      </c>
      <c r="B1723" s="2">
        <v>0.66625000000000001</v>
      </c>
      <c r="C1723">
        <v>2721</v>
      </c>
      <c r="D1723">
        <v>13002561</v>
      </c>
      <c r="E1723">
        <v>13</v>
      </c>
      <c r="F1723">
        <v>22589</v>
      </c>
      <c r="G1723" t="s">
        <v>23</v>
      </c>
      <c r="H1723">
        <v>18</v>
      </c>
      <c r="I1723">
        <v>38875</v>
      </c>
      <c r="J1723" t="s">
        <v>42</v>
      </c>
      <c r="K1723" t="s">
        <v>25</v>
      </c>
      <c r="L1723" t="s">
        <v>26</v>
      </c>
      <c r="M1723">
        <v>2</v>
      </c>
      <c r="N1723">
        <v>209.53</v>
      </c>
      <c r="O1723">
        <v>289.89999999999998</v>
      </c>
      <c r="P1723">
        <v>28.99</v>
      </c>
      <c r="Q1723">
        <v>28.99</v>
      </c>
      <c r="R1723" t="s">
        <v>30</v>
      </c>
      <c r="S1723">
        <v>29</v>
      </c>
      <c r="T1723">
        <v>1</v>
      </c>
      <c r="U1723">
        <v>4</v>
      </c>
      <c r="V1723">
        <v>260.91000000000003</v>
      </c>
      <c r="W1723">
        <v>13130001721</v>
      </c>
    </row>
    <row r="1724" spans="1:23" x14ac:dyDescent="0.2">
      <c r="A1724" s="1">
        <v>44790</v>
      </c>
      <c r="B1724" s="2">
        <v>0.74890046296296298</v>
      </c>
      <c r="C1724">
        <v>2722</v>
      </c>
      <c r="D1724">
        <v>13002561</v>
      </c>
      <c r="E1724">
        <v>13</v>
      </c>
      <c r="F1724">
        <v>22589</v>
      </c>
      <c r="G1724" t="s">
        <v>23</v>
      </c>
      <c r="H1724">
        <v>18</v>
      </c>
      <c r="I1724">
        <v>23127</v>
      </c>
      <c r="J1724" t="s">
        <v>61</v>
      </c>
      <c r="K1724" t="s">
        <v>60</v>
      </c>
      <c r="L1724" t="s">
        <v>29</v>
      </c>
      <c r="M1724">
        <v>1</v>
      </c>
      <c r="N1724">
        <v>587.63</v>
      </c>
      <c r="O1724">
        <v>853.93</v>
      </c>
      <c r="P1724">
        <v>42.7</v>
      </c>
      <c r="Q1724">
        <v>42.7</v>
      </c>
      <c r="R1724" t="s">
        <v>30</v>
      </c>
      <c r="S1724">
        <v>29</v>
      </c>
      <c r="T1724">
        <v>1</v>
      </c>
      <c r="U1724">
        <v>4</v>
      </c>
      <c r="V1724">
        <v>811.23</v>
      </c>
      <c r="W1724">
        <v>13130001722</v>
      </c>
    </row>
    <row r="1725" spans="1:23" x14ac:dyDescent="0.2">
      <c r="A1725" s="1">
        <v>44779</v>
      </c>
      <c r="B1725" s="2">
        <v>0.58521990740740737</v>
      </c>
      <c r="C1725">
        <v>2723</v>
      </c>
      <c r="D1725">
        <v>13002561</v>
      </c>
      <c r="E1725">
        <v>13</v>
      </c>
      <c r="F1725">
        <v>22589</v>
      </c>
      <c r="G1725" t="s">
        <v>23</v>
      </c>
      <c r="H1725">
        <v>15</v>
      </c>
      <c r="I1725">
        <v>75793</v>
      </c>
      <c r="J1725" t="s">
        <v>101</v>
      </c>
      <c r="K1725" t="s">
        <v>25</v>
      </c>
      <c r="L1725" t="s">
        <v>34</v>
      </c>
      <c r="M1725">
        <v>2</v>
      </c>
      <c r="N1725">
        <v>122.23</v>
      </c>
      <c r="O1725">
        <v>202.63</v>
      </c>
      <c r="P1725">
        <v>20.260000000000002</v>
      </c>
      <c r="Q1725">
        <v>20.260000000000002</v>
      </c>
      <c r="R1725" t="s">
        <v>30</v>
      </c>
      <c r="S1725">
        <v>29</v>
      </c>
      <c r="T1725">
        <v>1</v>
      </c>
      <c r="U1725">
        <v>1</v>
      </c>
      <c r="V1725">
        <v>182.37</v>
      </c>
      <c r="W1725">
        <v>13130001723</v>
      </c>
    </row>
    <row r="1726" spans="1:23" x14ac:dyDescent="0.2">
      <c r="A1726" s="1">
        <v>44803</v>
      </c>
      <c r="B1726" s="2">
        <v>0.44827546296296289</v>
      </c>
      <c r="C1726">
        <v>2724</v>
      </c>
      <c r="D1726">
        <v>13002561</v>
      </c>
      <c r="E1726">
        <v>13</v>
      </c>
      <c r="F1726">
        <v>22589</v>
      </c>
      <c r="G1726" t="s">
        <v>23</v>
      </c>
      <c r="H1726">
        <v>15</v>
      </c>
      <c r="I1726">
        <v>68383</v>
      </c>
      <c r="J1726" t="s">
        <v>93</v>
      </c>
      <c r="K1726" t="s">
        <v>38</v>
      </c>
      <c r="L1726" t="s">
        <v>29</v>
      </c>
      <c r="M1726">
        <v>2</v>
      </c>
      <c r="N1726">
        <v>423.43</v>
      </c>
      <c r="O1726">
        <v>582.63</v>
      </c>
      <c r="P1726">
        <v>0</v>
      </c>
      <c r="Q1726">
        <v>0</v>
      </c>
      <c r="S1726">
        <v>29</v>
      </c>
      <c r="T1726">
        <v>1</v>
      </c>
      <c r="U1726">
        <v>1</v>
      </c>
      <c r="V1726">
        <v>582.63</v>
      </c>
      <c r="W1726">
        <v>13130001724</v>
      </c>
    </row>
    <row r="1727" spans="1:23" x14ac:dyDescent="0.2">
      <c r="A1727" s="1">
        <v>44800</v>
      </c>
      <c r="B1727" s="2">
        <v>0.59038194444444447</v>
      </c>
      <c r="C1727">
        <v>2725</v>
      </c>
      <c r="D1727">
        <v>13002561</v>
      </c>
      <c r="E1727">
        <v>13</v>
      </c>
      <c r="F1727">
        <v>22589</v>
      </c>
      <c r="G1727" t="s">
        <v>23</v>
      </c>
      <c r="H1727">
        <v>18</v>
      </c>
      <c r="I1727">
        <v>72275</v>
      </c>
      <c r="J1727" t="s">
        <v>119</v>
      </c>
      <c r="K1727" t="s">
        <v>38</v>
      </c>
      <c r="L1727" t="s">
        <v>26</v>
      </c>
      <c r="M1727">
        <v>1</v>
      </c>
      <c r="N1727">
        <v>274.14999999999998</v>
      </c>
      <c r="O1727">
        <v>464.36</v>
      </c>
      <c r="P1727">
        <v>0</v>
      </c>
      <c r="Q1727">
        <v>0</v>
      </c>
      <c r="S1727">
        <v>29</v>
      </c>
      <c r="T1727">
        <v>1</v>
      </c>
      <c r="U1727">
        <v>4</v>
      </c>
      <c r="V1727">
        <v>464.36</v>
      </c>
      <c r="W1727">
        <v>13130001725</v>
      </c>
    </row>
    <row r="1728" spans="1:23" x14ac:dyDescent="0.2">
      <c r="A1728" s="1">
        <v>44788</v>
      </c>
      <c r="B1728" s="2">
        <v>0.35193287037037041</v>
      </c>
      <c r="C1728">
        <v>2726</v>
      </c>
      <c r="D1728">
        <v>13002561</v>
      </c>
      <c r="E1728">
        <v>13</v>
      </c>
      <c r="F1728">
        <v>22589</v>
      </c>
      <c r="G1728" t="s">
        <v>23</v>
      </c>
      <c r="H1728">
        <v>18</v>
      </c>
      <c r="I1728">
        <v>60007</v>
      </c>
      <c r="J1728" t="s">
        <v>93</v>
      </c>
      <c r="K1728" t="s">
        <v>28</v>
      </c>
      <c r="L1728" t="s">
        <v>47</v>
      </c>
      <c r="M1728">
        <v>2</v>
      </c>
      <c r="N1728">
        <v>231.68</v>
      </c>
      <c r="O1728">
        <v>368.74</v>
      </c>
      <c r="P1728">
        <v>18.440000000000001</v>
      </c>
      <c r="Q1728">
        <v>18.440000000000001</v>
      </c>
      <c r="R1728" t="s">
        <v>30</v>
      </c>
      <c r="S1728">
        <v>29</v>
      </c>
      <c r="T1728">
        <v>1</v>
      </c>
      <c r="U1728">
        <v>3</v>
      </c>
      <c r="V1728">
        <v>350.3</v>
      </c>
      <c r="W1728">
        <v>13130001726</v>
      </c>
    </row>
    <row r="1729" spans="1:23" x14ac:dyDescent="0.2">
      <c r="A1729" s="1">
        <v>44799</v>
      </c>
      <c r="B1729" s="2">
        <v>0.89231481481481478</v>
      </c>
      <c r="C1729">
        <v>2727</v>
      </c>
      <c r="D1729">
        <v>13002561</v>
      </c>
      <c r="E1729">
        <v>13</v>
      </c>
      <c r="F1729">
        <v>22589</v>
      </c>
      <c r="G1729" t="s">
        <v>23</v>
      </c>
      <c r="H1729">
        <v>18</v>
      </c>
      <c r="I1729">
        <v>20220</v>
      </c>
      <c r="J1729" t="s">
        <v>57</v>
      </c>
      <c r="K1729" t="s">
        <v>28</v>
      </c>
      <c r="L1729" t="s">
        <v>34</v>
      </c>
      <c r="M1729">
        <v>2</v>
      </c>
      <c r="N1729">
        <v>328.25</v>
      </c>
      <c r="O1729">
        <v>453.63</v>
      </c>
      <c r="P1729">
        <v>0</v>
      </c>
      <c r="Q1729">
        <v>0</v>
      </c>
      <c r="S1729">
        <v>29</v>
      </c>
      <c r="T1729">
        <v>1</v>
      </c>
      <c r="U1729">
        <v>4</v>
      </c>
      <c r="V1729">
        <v>453.63</v>
      </c>
      <c r="W1729">
        <v>13130001727</v>
      </c>
    </row>
    <row r="1730" spans="1:23" x14ac:dyDescent="0.2">
      <c r="A1730" s="1">
        <v>44794</v>
      </c>
      <c r="B1730" s="2">
        <v>0.9564583333333333</v>
      </c>
      <c r="C1730">
        <v>2728</v>
      </c>
      <c r="D1730">
        <v>13002561</v>
      </c>
      <c r="E1730">
        <v>13</v>
      </c>
      <c r="F1730">
        <v>22589</v>
      </c>
      <c r="G1730" t="s">
        <v>23</v>
      </c>
      <c r="H1730">
        <v>15</v>
      </c>
      <c r="I1730">
        <v>27844</v>
      </c>
      <c r="J1730" t="s">
        <v>125</v>
      </c>
      <c r="K1730" t="s">
        <v>60</v>
      </c>
      <c r="L1730" t="s">
        <v>51</v>
      </c>
      <c r="M1730">
        <v>3</v>
      </c>
      <c r="N1730">
        <v>176.86</v>
      </c>
      <c r="O1730">
        <v>245.88</v>
      </c>
      <c r="P1730">
        <v>12.29</v>
      </c>
      <c r="Q1730">
        <v>12.29</v>
      </c>
      <c r="R1730" t="s">
        <v>30</v>
      </c>
      <c r="S1730">
        <v>29</v>
      </c>
      <c r="T1730">
        <v>1</v>
      </c>
      <c r="U1730">
        <v>5</v>
      </c>
      <c r="V1730">
        <v>233.59</v>
      </c>
      <c r="W1730">
        <v>13130001728</v>
      </c>
    </row>
    <row r="1731" spans="1:23" x14ac:dyDescent="0.2">
      <c r="A1731" s="1">
        <v>44775</v>
      </c>
      <c r="B1731" s="2">
        <v>0.82797453703703705</v>
      </c>
      <c r="C1731">
        <v>2729</v>
      </c>
      <c r="D1731">
        <v>13002561</v>
      </c>
      <c r="E1731">
        <v>13</v>
      </c>
      <c r="F1731">
        <v>22589</v>
      </c>
      <c r="G1731" t="s">
        <v>23</v>
      </c>
      <c r="H1731">
        <v>18</v>
      </c>
      <c r="I1731">
        <v>30689</v>
      </c>
      <c r="J1731" t="s">
        <v>108</v>
      </c>
      <c r="K1731" t="s">
        <v>28</v>
      </c>
      <c r="L1731" t="s">
        <v>26</v>
      </c>
      <c r="M1731">
        <v>3</v>
      </c>
      <c r="N1731">
        <v>17.77</v>
      </c>
      <c r="O1731">
        <v>22.65</v>
      </c>
      <c r="P1731">
        <v>0</v>
      </c>
      <c r="Q1731">
        <v>0</v>
      </c>
      <c r="S1731">
        <v>29</v>
      </c>
      <c r="T1731">
        <v>1</v>
      </c>
      <c r="U1731">
        <v>4</v>
      </c>
      <c r="V1731">
        <v>22.65</v>
      </c>
      <c r="W1731">
        <v>13130001729</v>
      </c>
    </row>
    <row r="1732" spans="1:23" x14ac:dyDescent="0.2">
      <c r="A1732" s="1">
        <v>44798</v>
      </c>
      <c r="B1732" s="2">
        <v>0.77251157407407411</v>
      </c>
      <c r="C1732">
        <v>2730</v>
      </c>
      <c r="D1732">
        <v>13002561</v>
      </c>
      <c r="E1732">
        <v>13</v>
      </c>
      <c r="F1732">
        <v>22589</v>
      </c>
      <c r="G1732" t="s">
        <v>23</v>
      </c>
      <c r="H1732">
        <v>15</v>
      </c>
      <c r="I1732">
        <v>35527</v>
      </c>
      <c r="J1732" t="s">
        <v>111</v>
      </c>
      <c r="K1732" t="s">
        <v>28</v>
      </c>
      <c r="L1732" t="s">
        <v>39</v>
      </c>
      <c r="M1732">
        <v>2</v>
      </c>
      <c r="N1732">
        <v>342.52</v>
      </c>
      <c r="O1732">
        <v>546.42999999999995</v>
      </c>
      <c r="P1732">
        <v>0</v>
      </c>
      <c r="Q1732">
        <v>0</v>
      </c>
      <c r="S1732">
        <v>29</v>
      </c>
      <c r="T1732">
        <v>1</v>
      </c>
      <c r="U1732">
        <v>3</v>
      </c>
      <c r="V1732">
        <v>546.42999999999995</v>
      </c>
      <c r="W1732">
        <v>13130001730</v>
      </c>
    </row>
    <row r="1733" spans="1:23" x14ac:dyDescent="0.2">
      <c r="A1733" s="1">
        <v>44800</v>
      </c>
      <c r="B1733" s="2">
        <v>0.34060185185185188</v>
      </c>
      <c r="C1733">
        <v>2731</v>
      </c>
      <c r="D1733">
        <v>13002561</v>
      </c>
      <c r="E1733">
        <v>13</v>
      </c>
      <c r="F1733">
        <v>22589</v>
      </c>
      <c r="G1733" t="s">
        <v>23</v>
      </c>
      <c r="H1733">
        <v>18</v>
      </c>
      <c r="I1733">
        <v>93455</v>
      </c>
      <c r="J1733" t="s">
        <v>33</v>
      </c>
      <c r="K1733" t="s">
        <v>44</v>
      </c>
      <c r="L1733" t="s">
        <v>29</v>
      </c>
      <c r="M1733">
        <v>1</v>
      </c>
      <c r="N1733">
        <v>449.01</v>
      </c>
      <c r="O1733">
        <v>644.29</v>
      </c>
      <c r="P1733">
        <v>0</v>
      </c>
      <c r="Q1733">
        <v>0</v>
      </c>
      <c r="S1733">
        <v>29</v>
      </c>
      <c r="T1733">
        <v>1</v>
      </c>
      <c r="U1733">
        <v>5</v>
      </c>
      <c r="V1733">
        <v>644.29</v>
      </c>
      <c r="W1733">
        <v>13130001731</v>
      </c>
    </row>
    <row r="1734" spans="1:23" x14ac:dyDescent="0.2">
      <c r="A1734" s="1">
        <v>44801</v>
      </c>
      <c r="B1734" s="2">
        <v>0.60427083333333331</v>
      </c>
      <c r="C1734">
        <v>2732</v>
      </c>
      <c r="D1734">
        <v>13002561</v>
      </c>
      <c r="E1734">
        <v>13</v>
      </c>
      <c r="F1734">
        <v>22589</v>
      </c>
      <c r="G1734" t="s">
        <v>23</v>
      </c>
      <c r="H1734">
        <v>15</v>
      </c>
      <c r="I1734">
        <v>80461</v>
      </c>
      <c r="J1734" t="s">
        <v>108</v>
      </c>
      <c r="K1734" t="s">
        <v>28</v>
      </c>
      <c r="L1734" t="s">
        <v>29</v>
      </c>
      <c r="M1734">
        <v>2</v>
      </c>
      <c r="N1734">
        <v>35.94</v>
      </c>
      <c r="O1734">
        <v>58.36</v>
      </c>
      <c r="P1734">
        <v>5.84</v>
      </c>
      <c r="Q1734">
        <v>5.84</v>
      </c>
      <c r="R1734" t="s">
        <v>30</v>
      </c>
      <c r="S1734">
        <v>29</v>
      </c>
      <c r="T1734">
        <v>1</v>
      </c>
      <c r="U1734">
        <v>2</v>
      </c>
      <c r="V1734">
        <v>52.52</v>
      </c>
      <c r="W1734">
        <v>13130001732</v>
      </c>
    </row>
    <row r="1735" spans="1:23" x14ac:dyDescent="0.2">
      <c r="A1735" s="1">
        <v>44785</v>
      </c>
      <c r="B1735" s="2">
        <v>0.86689814814814814</v>
      </c>
      <c r="C1735">
        <v>2733</v>
      </c>
      <c r="D1735">
        <v>13002561</v>
      </c>
      <c r="E1735">
        <v>13</v>
      </c>
      <c r="F1735">
        <v>22589</v>
      </c>
      <c r="G1735" t="s">
        <v>23</v>
      </c>
      <c r="H1735">
        <v>18</v>
      </c>
      <c r="I1735">
        <v>14632</v>
      </c>
      <c r="J1735" t="s">
        <v>84</v>
      </c>
      <c r="K1735" t="s">
        <v>25</v>
      </c>
      <c r="L1735" t="s">
        <v>39</v>
      </c>
      <c r="M1735">
        <v>3</v>
      </c>
      <c r="N1735">
        <v>437.16</v>
      </c>
      <c r="O1735">
        <v>619.19000000000005</v>
      </c>
      <c r="P1735">
        <v>0</v>
      </c>
      <c r="Q1735">
        <v>0</v>
      </c>
      <c r="S1735">
        <v>29</v>
      </c>
      <c r="T1735">
        <v>1</v>
      </c>
      <c r="U1735">
        <v>5</v>
      </c>
      <c r="V1735">
        <v>619.19000000000005</v>
      </c>
      <c r="W1735">
        <v>13130001733</v>
      </c>
    </row>
    <row r="1736" spans="1:23" x14ac:dyDescent="0.2">
      <c r="A1736" s="1">
        <v>44787</v>
      </c>
      <c r="B1736" s="2">
        <v>0.48159722222222218</v>
      </c>
      <c r="C1736">
        <v>2734</v>
      </c>
      <c r="D1736">
        <v>13002561</v>
      </c>
      <c r="E1736">
        <v>13</v>
      </c>
      <c r="F1736">
        <v>22589</v>
      </c>
      <c r="G1736" t="s">
        <v>23</v>
      </c>
      <c r="H1736">
        <v>15</v>
      </c>
      <c r="I1736">
        <v>18202</v>
      </c>
      <c r="J1736" t="s">
        <v>69</v>
      </c>
      <c r="K1736" t="s">
        <v>60</v>
      </c>
      <c r="L1736" t="s">
        <v>26</v>
      </c>
      <c r="M1736">
        <v>1</v>
      </c>
      <c r="N1736">
        <v>158.91999999999999</v>
      </c>
      <c r="O1736">
        <v>246.37</v>
      </c>
      <c r="P1736">
        <v>12.32</v>
      </c>
      <c r="Q1736">
        <v>12.32</v>
      </c>
      <c r="R1736" t="s">
        <v>30</v>
      </c>
      <c r="S1736">
        <v>29</v>
      </c>
      <c r="T1736">
        <v>1</v>
      </c>
      <c r="U1736">
        <v>2</v>
      </c>
      <c r="V1736">
        <v>234.05</v>
      </c>
      <c r="W1736">
        <v>13130001734</v>
      </c>
    </row>
    <row r="1737" spans="1:23" x14ac:dyDescent="0.2">
      <c r="A1737" s="1">
        <v>44787</v>
      </c>
      <c r="B1737" s="2">
        <v>0.79484953703703709</v>
      </c>
      <c r="C1737">
        <v>2735</v>
      </c>
      <c r="D1737">
        <v>13002561</v>
      </c>
      <c r="E1737">
        <v>13</v>
      </c>
      <c r="F1737">
        <v>22589</v>
      </c>
      <c r="G1737" t="s">
        <v>23</v>
      </c>
      <c r="H1737">
        <v>18</v>
      </c>
      <c r="I1737">
        <v>67506</v>
      </c>
      <c r="J1737" t="s">
        <v>68</v>
      </c>
      <c r="K1737" t="s">
        <v>38</v>
      </c>
      <c r="L1737" t="s">
        <v>32</v>
      </c>
      <c r="M1737">
        <v>1</v>
      </c>
      <c r="N1737">
        <v>511.57</v>
      </c>
      <c r="O1737">
        <v>671.9</v>
      </c>
      <c r="P1737">
        <v>67.19</v>
      </c>
      <c r="Q1737">
        <v>67.19</v>
      </c>
      <c r="R1737" t="s">
        <v>30</v>
      </c>
      <c r="S1737">
        <v>29</v>
      </c>
      <c r="T1737">
        <v>1</v>
      </c>
      <c r="U1737">
        <v>3</v>
      </c>
      <c r="V1737">
        <v>604.71</v>
      </c>
      <c r="W1737">
        <v>13130001735</v>
      </c>
    </row>
    <row r="1738" spans="1:23" x14ac:dyDescent="0.2">
      <c r="A1738" s="1">
        <v>44790</v>
      </c>
      <c r="B1738" s="2">
        <v>0.71731481481481485</v>
      </c>
      <c r="C1738">
        <v>2736</v>
      </c>
      <c r="D1738">
        <v>13002561</v>
      </c>
      <c r="E1738">
        <v>13</v>
      </c>
      <c r="F1738">
        <v>22589</v>
      </c>
      <c r="G1738" t="s">
        <v>23</v>
      </c>
      <c r="H1738">
        <v>15</v>
      </c>
      <c r="I1738">
        <v>98163</v>
      </c>
      <c r="J1738" t="s">
        <v>33</v>
      </c>
      <c r="K1738" t="s">
        <v>60</v>
      </c>
      <c r="L1738" t="s">
        <v>26</v>
      </c>
      <c r="M1738">
        <v>2</v>
      </c>
      <c r="N1738">
        <v>237.3</v>
      </c>
      <c r="O1738">
        <v>357.1</v>
      </c>
      <c r="P1738">
        <v>0</v>
      </c>
      <c r="Q1738">
        <v>0</v>
      </c>
      <c r="S1738">
        <v>29</v>
      </c>
      <c r="T1738">
        <v>1</v>
      </c>
      <c r="U1738">
        <v>4</v>
      </c>
      <c r="V1738">
        <v>357.1</v>
      </c>
      <c r="W1738">
        <v>13130001736</v>
      </c>
    </row>
    <row r="1739" spans="1:23" x14ac:dyDescent="0.2">
      <c r="A1739" s="1">
        <v>44782</v>
      </c>
      <c r="B1739" s="2">
        <v>0.69693287037037033</v>
      </c>
      <c r="C1739">
        <v>2737</v>
      </c>
      <c r="D1739">
        <v>13002561</v>
      </c>
      <c r="E1739">
        <v>13</v>
      </c>
      <c r="F1739">
        <v>22589</v>
      </c>
      <c r="G1739" t="s">
        <v>23</v>
      </c>
      <c r="H1739">
        <v>15</v>
      </c>
      <c r="I1739">
        <v>29206</v>
      </c>
      <c r="J1739" t="s">
        <v>27</v>
      </c>
      <c r="K1739" t="s">
        <v>44</v>
      </c>
      <c r="L1739" t="s">
        <v>47</v>
      </c>
      <c r="M1739">
        <v>1</v>
      </c>
      <c r="N1739">
        <v>179.19</v>
      </c>
      <c r="O1739">
        <v>229.04</v>
      </c>
      <c r="P1739">
        <v>22.9</v>
      </c>
      <c r="Q1739">
        <v>22.9</v>
      </c>
      <c r="R1739" t="s">
        <v>30</v>
      </c>
      <c r="S1739">
        <v>29</v>
      </c>
      <c r="T1739">
        <v>1</v>
      </c>
      <c r="U1739">
        <v>1</v>
      </c>
      <c r="V1739">
        <v>206.14</v>
      </c>
      <c r="W1739">
        <v>13130001737</v>
      </c>
    </row>
    <row r="1740" spans="1:23" x14ac:dyDescent="0.2">
      <c r="A1740" s="1">
        <v>44778</v>
      </c>
      <c r="B1740" s="2">
        <v>0.84260416666666671</v>
      </c>
      <c r="C1740">
        <v>2738</v>
      </c>
      <c r="D1740">
        <v>13002561</v>
      </c>
      <c r="E1740">
        <v>13</v>
      </c>
      <c r="F1740">
        <v>22589</v>
      </c>
      <c r="G1740" t="s">
        <v>23</v>
      </c>
      <c r="H1740">
        <v>15</v>
      </c>
      <c r="I1740">
        <v>35716</v>
      </c>
      <c r="J1740" t="s">
        <v>31</v>
      </c>
      <c r="K1740" t="s">
        <v>44</v>
      </c>
      <c r="L1740" t="s">
        <v>32</v>
      </c>
      <c r="M1740">
        <v>1</v>
      </c>
      <c r="N1740">
        <v>235.45</v>
      </c>
      <c r="O1740">
        <v>379.6</v>
      </c>
      <c r="P1740">
        <v>18.98</v>
      </c>
      <c r="Q1740">
        <v>18.98</v>
      </c>
      <c r="R1740" t="s">
        <v>30</v>
      </c>
      <c r="S1740">
        <v>29</v>
      </c>
      <c r="T1740">
        <v>1</v>
      </c>
      <c r="U1740">
        <v>1</v>
      </c>
      <c r="V1740">
        <v>360.62</v>
      </c>
      <c r="W1740">
        <v>13130001738</v>
      </c>
    </row>
    <row r="1741" spans="1:23" x14ac:dyDescent="0.2">
      <c r="A1741" s="1">
        <v>44778</v>
      </c>
      <c r="B1741" s="2">
        <v>0.66206018518518517</v>
      </c>
      <c r="C1741">
        <v>2739</v>
      </c>
      <c r="D1741">
        <v>13002561</v>
      </c>
      <c r="E1741">
        <v>13</v>
      </c>
      <c r="F1741">
        <v>22589</v>
      </c>
      <c r="G1741" t="s">
        <v>23</v>
      </c>
      <c r="H1741">
        <v>18</v>
      </c>
      <c r="I1741">
        <v>46336</v>
      </c>
      <c r="J1741" t="s">
        <v>95</v>
      </c>
      <c r="K1741" t="s">
        <v>38</v>
      </c>
      <c r="L1741" t="s">
        <v>36</v>
      </c>
      <c r="M1741">
        <v>1</v>
      </c>
      <c r="N1741">
        <v>131.87</v>
      </c>
      <c r="O1741">
        <v>168.23</v>
      </c>
      <c r="P1741">
        <v>0</v>
      </c>
      <c r="Q1741">
        <v>0</v>
      </c>
      <c r="S1741">
        <v>29</v>
      </c>
      <c r="T1741">
        <v>1</v>
      </c>
      <c r="U1741">
        <v>3</v>
      </c>
      <c r="V1741">
        <v>168.23</v>
      </c>
      <c r="W1741">
        <v>13130001739</v>
      </c>
    </row>
    <row r="1742" spans="1:23" x14ac:dyDescent="0.2">
      <c r="A1742" s="1">
        <v>44775</v>
      </c>
      <c r="B1742" s="2">
        <v>0.88777777777777778</v>
      </c>
      <c r="C1742">
        <v>2740</v>
      </c>
      <c r="D1742">
        <v>13002561</v>
      </c>
      <c r="E1742">
        <v>13</v>
      </c>
      <c r="F1742">
        <v>22589</v>
      </c>
      <c r="G1742" t="s">
        <v>23</v>
      </c>
      <c r="H1742">
        <v>15</v>
      </c>
      <c r="I1742">
        <v>76309</v>
      </c>
      <c r="J1742" t="s">
        <v>33</v>
      </c>
      <c r="K1742" t="s">
        <v>25</v>
      </c>
      <c r="L1742" t="s">
        <v>47</v>
      </c>
      <c r="M1742">
        <v>2</v>
      </c>
      <c r="N1742">
        <v>344.88</v>
      </c>
      <c r="O1742">
        <v>573.71</v>
      </c>
      <c r="P1742">
        <v>0</v>
      </c>
      <c r="Q1742">
        <v>0</v>
      </c>
      <c r="S1742">
        <v>29</v>
      </c>
      <c r="T1742">
        <v>1</v>
      </c>
      <c r="U1742">
        <v>6</v>
      </c>
      <c r="V1742">
        <v>573.71</v>
      </c>
      <c r="W1742">
        <v>13130001740</v>
      </c>
    </row>
    <row r="1743" spans="1:23" x14ac:dyDescent="0.2">
      <c r="A1743" s="1">
        <v>44774</v>
      </c>
      <c r="B1743" s="2">
        <v>0.73791666666666667</v>
      </c>
      <c r="C1743">
        <v>2741</v>
      </c>
      <c r="D1743">
        <v>13002561</v>
      </c>
      <c r="E1743">
        <v>13</v>
      </c>
      <c r="F1743">
        <v>22589</v>
      </c>
      <c r="G1743" t="s">
        <v>23</v>
      </c>
      <c r="H1743">
        <v>18</v>
      </c>
      <c r="I1743">
        <v>57636</v>
      </c>
      <c r="J1743" t="s">
        <v>127</v>
      </c>
      <c r="K1743" t="s">
        <v>38</v>
      </c>
      <c r="L1743" t="s">
        <v>51</v>
      </c>
      <c r="M1743">
        <v>1</v>
      </c>
      <c r="N1743">
        <v>96.48</v>
      </c>
      <c r="O1743">
        <v>125.03</v>
      </c>
      <c r="P1743">
        <v>0</v>
      </c>
      <c r="Q1743">
        <v>0</v>
      </c>
      <c r="S1743">
        <v>29</v>
      </c>
      <c r="T1743">
        <v>1</v>
      </c>
      <c r="U1743">
        <v>4</v>
      </c>
      <c r="V1743">
        <v>125.03</v>
      </c>
      <c r="W1743">
        <v>13130001741</v>
      </c>
    </row>
    <row r="1744" spans="1:23" x14ac:dyDescent="0.2">
      <c r="A1744" s="1">
        <v>44795</v>
      </c>
      <c r="B1744" s="2">
        <v>0.67539351851851848</v>
      </c>
      <c r="C1744">
        <v>2742</v>
      </c>
      <c r="D1744">
        <v>13002561</v>
      </c>
      <c r="E1744">
        <v>13</v>
      </c>
      <c r="F1744">
        <v>22589</v>
      </c>
      <c r="G1744" t="s">
        <v>23</v>
      </c>
      <c r="H1744">
        <v>15</v>
      </c>
      <c r="I1744">
        <v>33704</v>
      </c>
      <c r="J1744" t="s">
        <v>78</v>
      </c>
      <c r="K1744" t="s">
        <v>60</v>
      </c>
      <c r="L1744" t="s">
        <v>39</v>
      </c>
      <c r="M1744">
        <v>1</v>
      </c>
      <c r="N1744">
        <v>85.73</v>
      </c>
      <c r="O1744">
        <v>138.25</v>
      </c>
      <c r="P1744">
        <v>6.91</v>
      </c>
      <c r="Q1744">
        <v>6.91</v>
      </c>
      <c r="R1744" t="s">
        <v>30</v>
      </c>
      <c r="S1744">
        <v>29</v>
      </c>
      <c r="T1744">
        <v>1</v>
      </c>
      <c r="U1744">
        <v>2</v>
      </c>
      <c r="V1744">
        <v>131.34</v>
      </c>
      <c r="W1744">
        <v>13130001742</v>
      </c>
    </row>
    <row r="1745" spans="1:23" x14ac:dyDescent="0.2">
      <c r="A1745" s="1">
        <v>44786</v>
      </c>
      <c r="B1745" s="2">
        <v>0.60886574074074074</v>
      </c>
      <c r="C1745">
        <v>2743</v>
      </c>
      <c r="D1745">
        <v>13002561</v>
      </c>
      <c r="E1745">
        <v>13</v>
      </c>
      <c r="F1745">
        <v>22589</v>
      </c>
      <c r="G1745" t="s">
        <v>23</v>
      </c>
      <c r="H1745">
        <v>15</v>
      </c>
      <c r="I1745">
        <v>95588</v>
      </c>
      <c r="J1745" t="s">
        <v>69</v>
      </c>
      <c r="K1745" t="s">
        <v>44</v>
      </c>
      <c r="L1745" t="s">
        <v>47</v>
      </c>
      <c r="M1745">
        <v>1</v>
      </c>
      <c r="N1745">
        <v>240.25</v>
      </c>
      <c r="O1745">
        <v>374.18</v>
      </c>
      <c r="P1745">
        <v>18.71</v>
      </c>
      <c r="Q1745">
        <v>18.71</v>
      </c>
      <c r="R1745" t="s">
        <v>30</v>
      </c>
      <c r="S1745">
        <v>29</v>
      </c>
      <c r="T1745">
        <v>1</v>
      </c>
      <c r="U1745">
        <v>4</v>
      </c>
      <c r="V1745">
        <v>355.47</v>
      </c>
      <c r="W1745">
        <v>13130001743</v>
      </c>
    </row>
    <row r="1746" spans="1:23" x14ac:dyDescent="0.2">
      <c r="A1746" s="1">
        <v>44795</v>
      </c>
      <c r="B1746" s="2">
        <v>0.42596064814814821</v>
      </c>
      <c r="C1746">
        <v>2744</v>
      </c>
      <c r="D1746">
        <v>13002561</v>
      </c>
      <c r="E1746">
        <v>13</v>
      </c>
      <c r="F1746">
        <v>22589</v>
      </c>
      <c r="G1746" t="s">
        <v>23</v>
      </c>
      <c r="H1746">
        <v>18</v>
      </c>
      <c r="I1746">
        <v>17202</v>
      </c>
      <c r="J1746" t="s">
        <v>56</v>
      </c>
      <c r="K1746" t="s">
        <v>38</v>
      </c>
      <c r="L1746" t="s">
        <v>32</v>
      </c>
      <c r="M1746">
        <v>2</v>
      </c>
      <c r="N1746">
        <v>78.5</v>
      </c>
      <c r="O1746">
        <v>99.23</v>
      </c>
      <c r="P1746">
        <v>4.96</v>
      </c>
      <c r="Q1746">
        <v>4.96</v>
      </c>
      <c r="R1746" t="s">
        <v>30</v>
      </c>
      <c r="S1746">
        <v>29</v>
      </c>
      <c r="T1746">
        <v>1</v>
      </c>
      <c r="U1746">
        <v>1</v>
      </c>
      <c r="V1746">
        <v>94.27</v>
      </c>
      <c r="W1746">
        <v>13130001744</v>
      </c>
    </row>
    <row r="1747" spans="1:23" x14ac:dyDescent="0.2">
      <c r="A1747" s="1">
        <v>44802</v>
      </c>
      <c r="B1747" s="2">
        <v>0.72153935185185181</v>
      </c>
      <c r="C1747">
        <v>2745</v>
      </c>
      <c r="D1747">
        <v>13002561</v>
      </c>
      <c r="E1747">
        <v>13</v>
      </c>
      <c r="F1747">
        <v>22589</v>
      </c>
      <c r="G1747" t="s">
        <v>23</v>
      </c>
      <c r="H1747">
        <v>18</v>
      </c>
      <c r="I1747">
        <v>37129</v>
      </c>
      <c r="J1747" t="s">
        <v>110</v>
      </c>
      <c r="K1747" t="s">
        <v>44</v>
      </c>
      <c r="L1747" t="s">
        <v>34</v>
      </c>
      <c r="M1747">
        <v>2</v>
      </c>
      <c r="N1747">
        <v>65.83</v>
      </c>
      <c r="O1747">
        <v>107.62</v>
      </c>
      <c r="P1747">
        <v>10.76</v>
      </c>
      <c r="Q1747">
        <v>10.76</v>
      </c>
      <c r="R1747" t="s">
        <v>30</v>
      </c>
      <c r="S1747">
        <v>29</v>
      </c>
      <c r="T1747">
        <v>1</v>
      </c>
      <c r="U1747">
        <v>1</v>
      </c>
      <c r="V1747">
        <v>96.86</v>
      </c>
      <c r="W1747">
        <v>13130001745</v>
      </c>
    </row>
    <row r="1748" spans="1:23" x14ac:dyDescent="0.2">
      <c r="A1748" s="1">
        <v>44780</v>
      </c>
      <c r="B1748" s="2">
        <v>0.39504629629629628</v>
      </c>
      <c r="C1748">
        <v>2746</v>
      </c>
      <c r="D1748">
        <v>13002561</v>
      </c>
      <c r="E1748">
        <v>13</v>
      </c>
      <c r="F1748">
        <v>22589</v>
      </c>
      <c r="G1748" t="s">
        <v>23</v>
      </c>
      <c r="H1748">
        <v>18</v>
      </c>
      <c r="I1748">
        <v>98733</v>
      </c>
      <c r="J1748" t="s">
        <v>101</v>
      </c>
      <c r="K1748" t="s">
        <v>60</v>
      </c>
      <c r="L1748" t="s">
        <v>32</v>
      </c>
      <c r="M1748">
        <v>3</v>
      </c>
      <c r="N1748">
        <v>5.96</v>
      </c>
      <c r="O1748">
        <v>9.6</v>
      </c>
      <c r="P1748">
        <v>0.48</v>
      </c>
      <c r="Q1748">
        <v>0.48</v>
      </c>
      <c r="R1748" t="s">
        <v>30</v>
      </c>
      <c r="S1748">
        <v>29</v>
      </c>
      <c r="T1748">
        <v>1</v>
      </c>
      <c r="U1748">
        <v>2</v>
      </c>
      <c r="V1748">
        <v>9.1199999999999992</v>
      </c>
      <c r="W1748">
        <v>13130001746</v>
      </c>
    </row>
    <row r="1749" spans="1:23" x14ac:dyDescent="0.2">
      <c r="A1749" s="1">
        <v>44790</v>
      </c>
      <c r="B1749" s="2">
        <v>0.3712152777777778</v>
      </c>
      <c r="C1749">
        <v>2747</v>
      </c>
      <c r="D1749">
        <v>13002561</v>
      </c>
      <c r="E1749">
        <v>13</v>
      </c>
      <c r="F1749">
        <v>22589</v>
      </c>
      <c r="G1749" t="s">
        <v>23</v>
      </c>
      <c r="H1749">
        <v>15</v>
      </c>
      <c r="I1749">
        <v>36814</v>
      </c>
      <c r="J1749" t="s">
        <v>48</v>
      </c>
      <c r="K1749" t="s">
        <v>28</v>
      </c>
      <c r="L1749" t="s">
        <v>34</v>
      </c>
      <c r="M1749">
        <v>1</v>
      </c>
      <c r="N1749">
        <v>528.88</v>
      </c>
      <c r="O1749">
        <v>876.27</v>
      </c>
      <c r="P1749">
        <v>43.81</v>
      </c>
      <c r="Q1749">
        <v>43.81</v>
      </c>
      <c r="R1749" t="s">
        <v>30</v>
      </c>
      <c r="S1749">
        <v>29</v>
      </c>
      <c r="T1749">
        <v>1</v>
      </c>
      <c r="U1749">
        <v>6</v>
      </c>
      <c r="V1749">
        <v>832.46</v>
      </c>
      <c r="W1749">
        <v>13130001747</v>
      </c>
    </row>
    <row r="1750" spans="1:23" x14ac:dyDescent="0.2">
      <c r="A1750" s="1">
        <v>44794</v>
      </c>
      <c r="B1750" s="2">
        <v>0.73896990740740742</v>
      </c>
      <c r="C1750">
        <v>2748</v>
      </c>
      <c r="D1750">
        <v>13002561</v>
      </c>
      <c r="E1750">
        <v>13</v>
      </c>
      <c r="F1750">
        <v>22589</v>
      </c>
      <c r="G1750" t="s">
        <v>23</v>
      </c>
      <c r="H1750">
        <v>15</v>
      </c>
      <c r="I1750">
        <v>44134</v>
      </c>
      <c r="J1750" t="s">
        <v>78</v>
      </c>
      <c r="K1750" t="s">
        <v>60</v>
      </c>
      <c r="L1750" t="s">
        <v>32</v>
      </c>
      <c r="M1750">
        <v>2</v>
      </c>
      <c r="N1750">
        <v>163.63999999999999</v>
      </c>
      <c r="O1750">
        <v>220.34</v>
      </c>
      <c r="P1750">
        <v>11.02</v>
      </c>
      <c r="Q1750">
        <v>11.02</v>
      </c>
      <c r="R1750" t="s">
        <v>30</v>
      </c>
      <c r="S1750">
        <v>29</v>
      </c>
      <c r="T1750">
        <v>1</v>
      </c>
      <c r="U1750">
        <v>4</v>
      </c>
      <c r="V1750">
        <v>209.32</v>
      </c>
      <c r="W1750">
        <v>13130001748</v>
      </c>
    </row>
    <row r="1751" spans="1:23" x14ac:dyDescent="0.2">
      <c r="A1751" s="1">
        <v>44783</v>
      </c>
      <c r="B1751" s="2">
        <v>0.64665509259259257</v>
      </c>
      <c r="C1751">
        <v>2749</v>
      </c>
      <c r="D1751">
        <v>13002561</v>
      </c>
      <c r="E1751">
        <v>13</v>
      </c>
      <c r="F1751">
        <v>22589</v>
      </c>
      <c r="G1751" t="s">
        <v>23</v>
      </c>
      <c r="H1751">
        <v>15</v>
      </c>
      <c r="I1751">
        <v>88548</v>
      </c>
      <c r="J1751" t="s">
        <v>48</v>
      </c>
      <c r="K1751" t="s">
        <v>44</v>
      </c>
      <c r="L1751" t="s">
        <v>34</v>
      </c>
      <c r="M1751">
        <v>3</v>
      </c>
      <c r="N1751">
        <v>449.22</v>
      </c>
      <c r="O1751">
        <v>651.32000000000005</v>
      </c>
      <c r="P1751">
        <v>65.13</v>
      </c>
      <c r="Q1751">
        <v>65.13</v>
      </c>
      <c r="R1751" t="s">
        <v>30</v>
      </c>
      <c r="S1751">
        <v>29</v>
      </c>
      <c r="T1751">
        <v>1</v>
      </c>
      <c r="U1751">
        <v>2</v>
      </c>
      <c r="V1751">
        <v>586.19000000000005</v>
      </c>
      <c r="W1751">
        <v>13130001749</v>
      </c>
    </row>
    <row r="1752" spans="1:23" x14ac:dyDescent="0.2">
      <c r="A1752" s="1">
        <v>44778</v>
      </c>
      <c r="B1752" s="2">
        <v>0.72769675925925925</v>
      </c>
      <c r="C1752">
        <v>2750</v>
      </c>
      <c r="D1752">
        <v>13002561</v>
      </c>
      <c r="E1752">
        <v>13</v>
      </c>
      <c r="F1752">
        <v>22589</v>
      </c>
      <c r="G1752" t="s">
        <v>23</v>
      </c>
      <c r="H1752">
        <v>15</v>
      </c>
      <c r="I1752">
        <v>52332</v>
      </c>
      <c r="J1752" t="s">
        <v>97</v>
      </c>
      <c r="K1752" t="s">
        <v>44</v>
      </c>
      <c r="L1752" t="s">
        <v>34</v>
      </c>
      <c r="M1752">
        <v>3</v>
      </c>
      <c r="N1752">
        <v>477.27</v>
      </c>
      <c r="O1752">
        <v>658.97</v>
      </c>
      <c r="P1752">
        <v>32.950000000000003</v>
      </c>
      <c r="Q1752">
        <v>32.950000000000003</v>
      </c>
      <c r="R1752" t="s">
        <v>30</v>
      </c>
      <c r="S1752">
        <v>29</v>
      </c>
      <c r="T1752">
        <v>1</v>
      </c>
      <c r="U1752">
        <v>5</v>
      </c>
      <c r="V1752">
        <v>626.02</v>
      </c>
      <c r="W1752">
        <v>13130001750</v>
      </c>
    </row>
    <row r="1753" spans="1:23" x14ac:dyDescent="0.2">
      <c r="A1753" s="1">
        <v>44775</v>
      </c>
      <c r="B1753" s="2">
        <v>0.7965740740740741</v>
      </c>
      <c r="C1753">
        <v>2751</v>
      </c>
      <c r="D1753">
        <v>13002561</v>
      </c>
      <c r="E1753">
        <v>13</v>
      </c>
      <c r="F1753">
        <v>22589</v>
      </c>
      <c r="G1753" t="s">
        <v>23</v>
      </c>
      <c r="H1753">
        <v>18</v>
      </c>
      <c r="I1753">
        <v>64549</v>
      </c>
      <c r="J1753" t="s">
        <v>62</v>
      </c>
      <c r="K1753" t="s">
        <v>28</v>
      </c>
      <c r="L1753" t="s">
        <v>47</v>
      </c>
      <c r="M1753">
        <v>1</v>
      </c>
      <c r="N1753">
        <v>458.54</v>
      </c>
      <c r="O1753">
        <v>614.4</v>
      </c>
      <c r="P1753">
        <v>61.44</v>
      </c>
      <c r="Q1753">
        <v>61.44</v>
      </c>
      <c r="R1753" t="s">
        <v>30</v>
      </c>
      <c r="S1753">
        <v>29</v>
      </c>
      <c r="T1753">
        <v>1</v>
      </c>
      <c r="U1753">
        <v>4</v>
      </c>
      <c r="V1753">
        <v>552.96</v>
      </c>
      <c r="W1753">
        <v>13130001751</v>
      </c>
    </row>
    <row r="1754" spans="1:23" x14ac:dyDescent="0.2">
      <c r="A1754" s="1">
        <v>44781</v>
      </c>
      <c r="B1754" s="2">
        <v>0.8011342592592593</v>
      </c>
      <c r="C1754">
        <v>2752</v>
      </c>
      <c r="D1754">
        <v>13002561</v>
      </c>
      <c r="E1754">
        <v>13</v>
      </c>
      <c r="F1754">
        <v>22589</v>
      </c>
      <c r="G1754" t="s">
        <v>23</v>
      </c>
      <c r="H1754">
        <v>15</v>
      </c>
      <c r="I1754">
        <v>94980</v>
      </c>
      <c r="J1754" t="s">
        <v>59</v>
      </c>
      <c r="K1754" t="s">
        <v>44</v>
      </c>
      <c r="L1754" t="s">
        <v>36</v>
      </c>
      <c r="M1754">
        <v>3</v>
      </c>
      <c r="N1754">
        <v>563.92999999999995</v>
      </c>
      <c r="O1754">
        <v>925.74</v>
      </c>
      <c r="P1754">
        <v>92.57</v>
      </c>
      <c r="Q1754">
        <v>92.57</v>
      </c>
      <c r="R1754" t="s">
        <v>30</v>
      </c>
      <c r="S1754">
        <v>29</v>
      </c>
      <c r="T1754">
        <v>1</v>
      </c>
      <c r="U1754">
        <v>3</v>
      </c>
      <c r="V1754">
        <v>833.17</v>
      </c>
      <c r="W1754">
        <v>13130001752</v>
      </c>
    </row>
    <row r="1755" spans="1:23" x14ac:dyDescent="0.2">
      <c r="A1755" s="1">
        <v>44799</v>
      </c>
      <c r="B1755" s="2">
        <v>0.66175925925925927</v>
      </c>
      <c r="C1755">
        <v>2753</v>
      </c>
      <c r="D1755">
        <v>13002561</v>
      </c>
      <c r="E1755">
        <v>13</v>
      </c>
      <c r="F1755">
        <v>22589</v>
      </c>
      <c r="G1755" t="s">
        <v>23</v>
      </c>
      <c r="H1755">
        <v>15</v>
      </c>
      <c r="I1755">
        <v>43418</v>
      </c>
      <c r="J1755" t="s">
        <v>31</v>
      </c>
      <c r="K1755" t="s">
        <v>38</v>
      </c>
      <c r="L1755" t="s">
        <v>47</v>
      </c>
      <c r="M1755">
        <v>3</v>
      </c>
      <c r="N1755">
        <v>411.9</v>
      </c>
      <c r="O1755">
        <v>535.79</v>
      </c>
      <c r="P1755">
        <v>26.79</v>
      </c>
      <c r="Q1755">
        <v>26.79</v>
      </c>
      <c r="R1755" t="s">
        <v>30</v>
      </c>
      <c r="S1755">
        <v>29</v>
      </c>
      <c r="T1755">
        <v>1</v>
      </c>
      <c r="U1755">
        <v>6</v>
      </c>
      <c r="V1755">
        <v>509</v>
      </c>
      <c r="W1755">
        <v>13130001753</v>
      </c>
    </row>
    <row r="1756" spans="1:23" x14ac:dyDescent="0.2">
      <c r="A1756" s="1">
        <v>44794</v>
      </c>
      <c r="B1756" s="2">
        <v>0.40614583333333332</v>
      </c>
      <c r="C1756">
        <v>2754</v>
      </c>
      <c r="D1756">
        <v>13002561</v>
      </c>
      <c r="E1756">
        <v>13</v>
      </c>
      <c r="F1756">
        <v>22589</v>
      </c>
      <c r="G1756" t="s">
        <v>23</v>
      </c>
      <c r="H1756">
        <v>15</v>
      </c>
      <c r="I1756">
        <v>19409</v>
      </c>
      <c r="J1756" t="s">
        <v>35</v>
      </c>
      <c r="K1756" t="s">
        <v>25</v>
      </c>
      <c r="L1756" t="s">
        <v>26</v>
      </c>
      <c r="M1756">
        <v>3</v>
      </c>
      <c r="N1756">
        <v>206.11</v>
      </c>
      <c r="O1756">
        <v>344.5</v>
      </c>
      <c r="P1756">
        <v>0</v>
      </c>
      <c r="Q1756">
        <v>0</v>
      </c>
      <c r="S1756">
        <v>29</v>
      </c>
      <c r="T1756">
        <v>1</v>
      </c>
      <c r="U1756">
        <v>1</v>
      </c>
      <c r="V1756">
        <v>344.5</v>
      </c>
      <c r="W1756">
        <v>13130001754</v>
      </c>
    </row>
    <row r="1757" spans="1:23" x14ac:dyDescent="0.2">
      <c r="A1757" s="1">
        <v>44796</v>
      </c>
      <c r="B1757" s="2">
        <v>0.5296643518518519</v>
      </c>
      <c r="C1757">
        <v>2755</v>
      </c>
      <c r="D1757">
        <v>13002561</v>
      </c>
      <c r="E1757">
        <v>13</v>
      </c>
      <c r="F1757">
        <v>22589</v>
      </c>
      <c r="G1757" t="s">
        <v>23</v>
      </c>
      <c r="H1757">
        <v>15</v>
      </c>
      <c r="I1757">
        <v>70581</v>
      </c>
      <c r="J1757" t="s">
        <v>127</v>
      </c>
      <c r="K1757" t="s">
        <v>45</v>
      </c>
      <c r="L1757" t="s">
        <v>26</v>
      </c>
      <c r="M1757">
        <v>1</v>
      </c>
      <c r="N1757">
        <v>418.4</v>
      </c>
      <c r="O1757">
        <v>675.79</v>
      </c>
      <c r="P1757">
        <v>33.79</v>
      </c>
      <c r="Q1757">
        <v>33.79</v>
      </c>
      <c r="R1757" t="s">
        <v>30</v>
      </c>
      <c r="S1757">
        <v>29</v>
      </c>
      <c r="T1757">
        <v>1</v>
      </c>
      <c r="U1757">
        <v>3</v>
      </c>
      <c r="V1757">
        <v>642</v>
      </c>
      <c r="W1757">
        <v>13130001755</v>
      </c>
    </row>
    <row r="1758" spans="1:23" x14ac:dyDescent="0.2">
      <c r="A1758" s="1">
        <v>44789</v>
      </c>
      <c r="B1758" s="2">
        <v>0.87077546296296293</v>
      </c>
      <c r="C1758">
        <v>2756</v>
      </c>
      <c r="D1758">
        <v>13002561</v>
      </c>
      <c r="E1758">
        <v>13</v>
      </c>
      <c r="F1758">
        <v>22589</v>
      </c>
      <c r="G1758" t="s">
        <v>23</v>
      </c>
      <c r="H1758">
        <v>18</v>
      </c>
      <c r="I1758">
        <v>48752</v>
      </c>
      <c r="J1758" t="s">
        <v>117</v>
      </c>
      <c r="K1758" t="s">
        <v>60</v>
      </c>
      <c r="L1758" t="s">
        <v>34</v>
      </c>
      <c r="M1758">
        <v>3</v>
      </c>
      <c r="N1758">
        <v>263.70999999999998</v>
      </c>
      <c r="O1758">
        <v>367.89</v>
      </c>
      <c r="P1758">
        <v>18.39</v>
      </c>
      <c r="Q1758">
        <v>18.39</v>
      </c>
      <c r="R1758" t="s">
        <v>30</v>
      </c>
      <c r="S1758">
        <v>29</v>
      </c>
      <c r="T1758">
        <v>1</v>
      </c>
      <c r="U1758">
        <v>3</v>
      </c>
      <c r="V1758">
        <v>349.5</v>
      </c>
      <c r="W1758">
        <v>13130001756</v>
      </c>
    </row>
    <row r="1759" spans="1:23" x14ac:dyDescent="0.2">
      <c r="A1759" s="1">
        <v>44798</v>
      </c>
      <c r="B1759" s="2">
        <v>0.70643518518518522</v>
      </c>
      <c r="C1759">
        <v>2757</v>
      </c>
      <c r="D1759">
        <v>13002561</v>
      </c>
      <c r="E1759">
        <v>13</v>
      </c>
      <c r="F1759">
        <v>22589</v>
      </c>
      <c r="G1759" t="s">
        <v>23</v>
      </c>
      <c r="H1759">
        <v>15</v>
      </c>
      <c r="I1759">
        <v>76287</v>
      </c>
      <c r="J1759" t="s">
        <v>67</v>
      </c>
      <c r="K1759" t="s">
        <v>25</v>
      </c>
      <c r="L1759" t="s">
        <v>47</v>
      </c>
      <c r="M1759">
        <v>1</v>
      </c>
      <c r="N1759">
        <v>153.18</v>
      </c>
      <c r="O1759">
        <v>203.17</v>
      </c>
      <c r="P1759">
        <v>10.16</v>
      </c>
      <c r="Q1759">
        <v>10.16</v>
      </c>
      <c r="R1759" t="s">
        <v>30</v>
      </c>
      <c r="S1759">
        <v>29</v>
      </c>
      <c r="T1759">
        <v>1</v>
      </c>
      <c r="U1759">
        <v>3</v>
      </c>
      <c r="V1759">
        <v>193.01</v>
      </c>
      <c r="W1759">
        <v>13130001757</v>
      </c>
    </row>
    <row r="1760" spans="1:23" x14ac:dyDescent="0.2">
      <c r="A1760" s="1">
        <v>44803</v>
      </c>
      <c r="B1760" s="2">
        <v>0.45601851851851849</v>
      </c>
      <c r="C1760">
        <v>2758</v>
      </c>
      <c r="D1760">
        <v>13002561</v>
      </c>
      <c r="E1760">
        <v>13</v>
      </c>
      <c r="F1760">
        <v>22589</v>
      </c>
      <c r="G1760" t="s">
        <v>23</v>
      </c>
      <c r="H1760">
        <v>15</v>
      </c>
      <c r="I1760">
        <v>49573</v>
      </c>
      <c r="J1760" t="s">
        <v>117</v>
      </c>
      <c r="K1760" t="s">
        <v>45</v>
      </c>
      <c r="L1760" t="s">
        <v>39</v>
      </c>
      <c r="M1760">
        <v>1</v>
      </c>
      <c r="N1760">
        <v>510.33</v>
      </c>
      <c r="O1760">
        <v>830.99</v>
      </c>
      <c r="P1760">
        <v>41.55</v>
      </c>
      <c r="Q1760">
        <v>41.55</v>
      </c>
      <c r="R1760" t="s">
        <v>30</v>
      </c>
      <c r="S1760">
        <v>29</v>
      </c>
      <c r="T1760">
        <v>1</v>
      </c>
      <c r="U1760">
        <v>2</v>
      </c>
      <c r="V1760">
        <v>789.44</v>
      </c>
      <c r="W1760">
        <v>13130001758</v>
      </c>
    </row>
    <row r="1761" spans="1:23" x14ac:dyDescent="0.2">
      <c r="A1761" s="1">
        <v>44786</v>
      </c>
      <c r="B1761" s="2">
        <v>0.55831018518518516</v>
      </c>
      <c r="C1761">
        <v>2759</v>
      </c>
      <c r="D1761">
        <v>13002561</v>
      </c>
      <c r="E1761">
        <v>13</v>
      </c>
      <c r="F1761">
        <v>22589</v>
      </c>
      <c r="G1761" t="s">
        <v>23</v>
      </c>
      <c r="H1761">
        <v>15</v>
      </c>
      <c r="I1761">
        <v>15423</v>
      </c>
      <c r="J1761" t="s">
        <v>82</v>
      </c>
      <c r="K1761" t="s">
        <v>60</v>
      </c>
      <c r="L1761" t="s">
        <v>51</v>
      </c>
      <c r="M1761">
        <v>3</v>
      </c>
      <c r="N1761">
        <v>530.23</v>
      </c>
      <c r="O1761">
        <v>764.06</v>
      </c>
      <c r="P1761">
        <v>0</v>
      </c>
      <c r="Q1761">
        <v>0</v>
      </c>
      <c r="S1761">
        <v>29</v>
      </c>
      <c r="T1761">
        <v>1</v>
      </c>
      <c r="U1761">
        <v>3</v>
      </c>
      <c r="V1761">
        <v>764.06</v>
      </c>
      <c r="W1761">
        <v>13130001759</v>
      </c>
    </row>
    <row r="1762" spans="1:23" x14ac:dyDescent="0.2">
      <c r="A1762" s="1">
        <v>44779</v>
      </c>
      <c r="B1762" s="2">
        <v>0.51557870370370373</v>
      </c>
      <c r="C1762">
        <v>2760</v>
      </c>
      <c r="D1762">
        <v>13002561</v>
      </c>
      <c r="E1762">
        <v>13</v>
      </c>
      <c r="F1762">
        <v>22589</v>
      </c>
      <c r="G1762" t="s">
        <v>23</v>
      </c>
      <c r="H1762">
        <v>18</v>
      </c>
      <c r="I1762">
        <v>38070</v>
      </c>
      <c r="J1762" t="s">
        <v>57</v>
      </c>
      <c r="K1762" t="s">
        <v>38</v>
      </c>
      <c r="L1762" t="s">
        <v>36</v>
      </c>
      <c r="M1762">
        <v>3</v>
      </c>
      <c r="N1762">
        <v>247.98</v>
      </c>
      <c r="O1762">
        <v>330.64</v>
      </c>
      <c r="P1762">
        <v>16.53</v>
      </c>
      <c r="Q1762">
        <v>16.53</v>
      </c>
      <c r="R1762" t="s">
        <v>30</v>
      </c>
      <c r="S1762">
        <v>29</v>
      </c>
      <c r="T1762">
        <v>1</v>
      </c>
      <c r="U1762">
        <v>5</v>
      </c>
      <c r="V1762">
        <v>314.11</v>
      </c>
      <c r="W1762">
        <v>13130001760</v>
      </c>
    </row>
    <row r="1763" spans="1:23" x14ac:dyDescent="0.2">
      <c r="A1763" s="1">
        <v>44803</v>
      </c>
      <c r="B1763" s="2">
        <v>0.9508564814814815</v>
      </c>
      <c r="C1763">
        <v>2761</v>
      </c>
      <c r="D1763">
        <v>13002561</v>
      </c>
      <c r="E1763">
        <v>13</v>
      </c>
      <c r="F1763">
        <v>22589</v>
      </c>
      <c r="G1763" t="s">
        <v>23</v>
      </c>
      <c r="H1763">
        <v>15</v>
      </c>
      <c r="I1763">
        <v>84825</v>
      </c>
      <c r="J1763" t="s">
        <v>91</v>
      </c>
      <c r="K1763" t="s">
        <v>44</v>
      </c>
      <c r="L1763" t="s">
        <v>29</v>
      </c>
      <c r="M1763">
        <v>3</v>
      </c>
      <c r="N1763">
        <v>290.60000000000002</v>
      </c>
      <c r="O1763">
        <v>393.52</v>
      </c>
      <c r="P1763">
        <v>19.68</v>
      </c>
      <c r="Q1763">
        <v>19.68</v>
      </c>
      <c r="R1763" t="s">
        <v>30</v>
      </c>
      <c r="S1763">
        <v>29</v>
      </c>
      <c r="T1763">
        <v>1</v>
      </c>
      <c r="U1763">
        <v>5</v>
      </c>
      <c r="V1763">
        <v>373.84</v>
      </c>
      <c r="W1763">
        <v>13130001761</v>
      </c>
    </row>
    <row r="1764" spans="1:23" x14ac:dyDescent="0.2">
      <c r="A1764" s="1">
        <v>44774</v>
      </c>
      <c r="B1764" s="2">
        <v>0.8000694444444445</v>
      </c>
      <c r="C1764">
        <v>2762</v>
      </c>
      <c r="D1764">
        <v>13002561</v>
      </c>
      <c r="E1764">
        <v>13</v>
      </c>
      <c r="F1764">
        <v>22589</v>
      </c>
      <c r="G1764" t="s">
        <v>23</v>
      </c>
      <c r="H1764">
        <v>15</v>
      </c>
      <c r="I1764">
        <v>96196</v>
      </c>
      <c r="J1764" t="s">
        <v>105</v>
      </c>
      <c r="K1764" t="s">
        <v>28</v>
      </c>
      <c r="L1764" t="s">
        <v>29</v>
      </c>
      <c r="M1764">
        <v>2</v>
      </c>
      <c r="N1764">
        <v>230.93</v>
      </c>
      <c r="O1764">
        <v>341.01</v>
      </c>
      <c r="P1764">
        <v>34.1</v>
      </c>
      <c r="Q1764">
        <v>34.1</v>
      </c>
      <c r="R1764" t="s">
        <v>30</v>
      </c>
      <c r="S1764">
        <v>29</v>
      </c>
      <c r="T1764">
        <v>1</v>
      </c>
      <c r="U1764">
        <v>3</v>
      </c>
      <c r="V1764">
        <v>306.91000000000003</v>
      </c>
      <c r="W1764">
        <v>13130001762</v>
      </c>
    </row>
    <row r="1765" spans="1:23" x14ac:dyDescent="0.2">
      <c r="A1765" s="1">
        <v>44776</v>
      </c>
      <c r="B1765" s="2">
        <v>0.54837962962962961</v>
      </c>
      <c r="C1765">
        <v>2763</v>
      </c>
      <c r="D1765">
        <v>13002561</v>
      </c>
      <c r="E1765">
        <v>13</v>
      </c>
      <c r="F1765">
        <v>22589</v>
      </c>
      <c r="G1765" t="s">
        <v>23</v>
      </c>
      <c r="H1765">
        <v>18</v>
      </c>
      <c r="I1765">
        <v>87526</v>
      </c>
      <c r="J1765" t="s">
        <v>49</v>
      </c>
      <c r="K1765" t="s">
        <v>44</v>
      </c>
      <c r="L1765" t="s">
        <v>26</v>
      </c>
      <c r="M1765">
        <v>2</v>
      </c>
      <c r="N1765">
        <v>94.14</v>
      </c>
      <c r="O1765">
        <v>154.15</v>
      </c>
      <c r="P1765">
        <v>7.71</v>
      </c>
      <c r="Q1765">
        <v>7.71</v>
      </c>
      <c r="R1765" t="s">
        <v>30</v>
      </c>
      <c r="S1765">
        <v>29</v>
      </c>
      <c r="T1765">
        <v>1</v>
      </c>
      <c r="U1765">
        <v>5</v>
      </c>
      <c r="V1765">
        <v>146.44</v>
      </c>
      <c r="W1765">
        <v>13130001763</v>
      </c>
    </row>
    <row r="1766" spans="1:23" x14ac:dyDescent="0.2">
      <c r="A1766" s="1">
        <v>44774</v>
      </c>
      <c r="B1766" s="2">
        <v>0.64670138888888884</v>
      </c>
      <c r="C1766">
        <v>2764</v>
      </c>
      <c r="D1766">
        <v>13002561</v>
      </c>
      <c r="E1766">
        <v>13</v>
      </c>
      <c r="F1766">
        <v>22589</v>
      </c>
      <c r="G1766" t="s">
        <v>23</v>
      </c>
      <c r="H1766">
        <v>15</v>
      </c>
      <c r="I1766">
        <v>19548</v>
      </c>
      <c r="J1766" t="s">
        <v>114</v>
      </c>
      <c r="K1766" t="s">
        <v>44</v>
      </c>
      <c r="L1766" t="s">
        <v>29</v>
      </c>
      <c r="M1766">
        <v>1</v>
      </c>
      <c r="N1766">
        <v>294.24</v>
      </c>
      <c r="O1766">
        <v>487.31</v>
      </c>
      <c r="P1766">
        <v>48.73</v>
      </c>
      <c r="Q1766">
        <v>48.73</v>
      </c>
      <c r="R1766" t="s">
        <v>30</v>
      </c>
      <c r="S1766">
        <v>29</v>
      </c>
      <c r="T1766">
        <v>1</v>
      </c>
      <c r="U1766">
        <v>6</v>
      </c>
      <c r="V1766">
        <v>438.58</v>
      </c>
      <c r="W1766">
        <v>13130001764</v>
      </c>
    </row>
    <row r="1767" spans="1:23" x14ac:dyDescent="0.2">
      <c r="A1767" s="1">
        <v>44786</v>
      </c>
      <c r="B1767" s="2">
        <v>0.64350694444444445</v>
      </c>
      <c r="C1767">
        <v>2765</v>
      </c>
      <c r="D1767">
        <v>13002561</v>
      </c>
      <c r="E1767">
        <v>13</v>
      </c>
      <c r="F1767">
        <v>22589</v>
      </c>
      <c r="G1767" t="s">
        <v>23</v>
      </c>
      <c r="H1767">
        <v>18</v>
      </c>
      <c r="I1767">
        <v>68829</v>
      </c>
      <c r="J1767" t="s">
        <v>122</v>
      </c>
      <c r="K1767" t="s">
        <v>44</v>
      </c>
      <c r="L1767" t="s">
        <v>51</v>
      </c>
      <c r="M1767">
        <v>2</v>
      </c>
      <c r="N1767">
        <v>239.64</v>
      </c>
      <c r="O1767">
        <v>344.06</v>
      </c>
      <c r="P1767">
        <v>0</v>
      </c>
      <c r="Q1767">
        <v>0</v>
      </c>
      <c r="S1767">
        <v>29</v>
      </c>
      <c r="T1767">
        <v>1</v>
      </c>
      <c r="U1767">
        <v>3</v>
      </c>
      <c r="V1767">
        <v>344.06</v>
      </c>
      <c r="W1767">
        <v>13130001765</v>
      </c>
    </row>
    <row r="1768" spans="1:23" x14ac:dyDescent="0.2">
      <c r="A1768" s="1">
        <v>44793</v>
      </c>
      <c r="B1768" s="2">
        <v>0.65415509259259264</v>
      </c>
      <c r="C1768">
        <v>2766</v>
      </c>
      <c r="D1768">
        <v>13002561</v>
      </c>
      <c r="E1768">
        <v>13</v>
      </c>
      <c r="F1768">
        <v>22589</v>
      </c>
      <c r="G1768" t="s">
        <v>23</v>
      </c>
      <c r="H1768">
        <v>15</v>
      </c>
      <c r="I1768">
        <v>57647</v>
      </c>
      <c r="J1768" t="s">
        <v>24</v>
      </c>
      <c r="K1768" t="s">
        <v>45</v>
      </c>
      <c r="L1768" t="s">
        <v>51</v>
      </c>
      <c r="M1768">
        <v>1</v>
      </c>
      <c r="N1768">
        <v>42.01</v>
      </c>
      <c r="O1768">
        <v>56.59</v>
      </c>
      <c r="P1768">
        <v>2.83</v>
      </c>
      <c r="Q1768">
        <v>2.83</v>
      </c>
      <c r="R1768" t="s">
        <v>30</v>
      </c>
      <c r="S1768">
        <v>29</v>
      </c>
      <c r="T1768">
        <v>1</v>
      </c>
      <c r="U1768">
        <v>4</v>
      </c>
      <c r="V1768">
        <v>53.76</v>
      </c>
      <c r="W1768">
        <v>13130001766</v>
      </c>
    </row>
    <row r="1769" spans="1:23" x14ac:dyDescent="0.2">
      <c r="A1769" s="1">
        <v>44778</v>
      </c>
      <c r="B1769" s="2">
        <v>0.8813657407407407</v>
      </c>
      <c r="C1769">
        <v>2767</v>
      </c>
      <c r="D1769">
        <v>13002561</v>
      </c>
      <c r="E1769">
        <v>13</v>
      </c>
      <c r="F1769">
        <v>22589</v>
      </c>
      <c r="G1769" t="s">
        <v>23</v>
      </c>
      <c r="H1769">
        <v>18</v>
      </c>
      <c r="I1769">
        <v>23261</v>
      </c>
      <c r="J1769" t="s">
        <v>62</v>
      </c>
      <c r="K1769" t="s">
        <v>38</v>
      </c>
      <c r="L1769" t="s">
        <v>32</v>
      </c>
      <c r="M1769">
        <v>3</v>
      </c>
      <c r="N1769">
        <v>276.08</v>
      </c>
      <c r="O1769">
        <v>363.88</v>
      </c>
      <c r="P1769">
        <v>0</v>
      </c>
      <c r="Q1769">
        <v>0</v>
      </c>
      <c r="S1769">
        <v>29</v>
      </c>
      <c r="T1769">
        <v>1</v>
      </c>
      <c r="U1769">
        <v>1</v>
      </c>
      <c r="V1769">
        <v>363.88</v>
      </c>
      <c r="W1769">
        <v>13130001767</v>
      </c>
    </row>
    <row r="1770" spans="1:23" x14ac:dyDescent="0.2">
      <c r="A1770" s="1">
        <v>44775</v>
      </c>
      <c r="B1770" s="2">
        <v>0.69579861111111108</v>
      </c>
      <c r="C1770">
        <v>2768</v>
      </c>
      <c r="D1770">
        <v>13002561</v>
      </c>
      <c r="E1770">
        <v>13</v>
      </c>
      <c r="F1770">
        <v>22589</v>
      </c>
      <c r="G1770" t="s">
        <v>23</v>
      </c>
      <c r="H1770">
        <v>15</v>
      </c>
      <c r="I1770">
        <v>33789</v>
      </c>
      <c r="J1770" t="s">
        <v>95</v>
      </c>
      <c r="K1770" t="s">
        <v>45</v>
      </c>
      <c r="L1770" t="s">
        <v>47</v>
      </c>
      <c r="M1770">
        <v>1</v>
      </c>
      <c r="N1770">
        <v>191.92</v>
      </c>
      <c r="O1770">
        <v>323.36</v>
      </c>
      <c r="P1770">
        <v>0</v>
      </c>
      <c r="Q1770">
        <v>0</v>
      </c>
      <c r="S1770">
        <v>29</v>
      </c>
      <c r="T1770">
        <v>1</v>
      </c>
      <c r="U1770">
        <v>4</v>
      </c>
      <c r="V1770">
        <v>323.36</v>
      </c>
      <c r="W1770">
        <v>13130001768</v>
      </c>
    </row>
    <row r="1771" spans="1:23" x14ac:dyDescent="0.2">
      <c r="A1771" s="1">
        <v>44775</v>
      </c>
      <c r="B1771" s="2">
        <v>0.38827546296296289</v>
      </c>
      <c r="C1771">
        <v>2769</v>
      </c>
      <c r="D1771">
        <v>13002561</v>
      </c>
      <c r="E1771">
        <v>13</v>
      </c>
      <c r="F1771">
        <v>22589</v>
      </c>
      <c r="G1771" t="s">
        <v>23</v>
      </c>
      <c r="H1771">
        <v>18</v>
      </c>
      <c r="I1771">
        <v>22709</v>
      </c>
      <c r="J1771" t="s">
        <v>127</v>
      </c>
      <c r="K1771" t="s">
        <v>28</v>
      </c>
      <c r="L1771" t="s">
        <v>29</v>
      </c>
      <c r="M1771">
        <v>2</v>
      </c>
      <c r="N1771">
        <v>594.69000000000005</v>
      </c>
      <c r="O1771">
        <v>755.8</v>
      </c>
      <c r="P1771">
        <v>0</v>
      </c>
      <c r="Q1771">
        <v>0</v>
      </c>
      <c r="S1771">
        <v>29</v>
      </c>
      <c r="T1771">
        <v>1</v>
      </c>
      <c r="U1771">
        <v>3</v>
      </c>
      <c r="V1771">
        <v>755.8</v>
      </c>
      <c r="W1771">
        <v>13130001769</v>
      </c>
    </row>
    <row r="1772" spans="1:23" x14ac:dyDescent="0.2">
      <c r="A1772" s="1">
        <v>44793</v>
      </c>
      <c r="B1772" s="2">
        <v>0.85633101851851856</v>
      </c>
      <c r="C1772">
        <v>2770</v>
      </c>
      <c r="D1772">
        <v>13002561</v>
      </c>
      <c r="E1772">
        <v>13</v>
      </c>
      <c r="F1772">
        <v>22589</v>
      </c>
      <c r="G1772" t="s">
        <v>23</v>
      </c>
      <c r="H1772">
        <v>18</v>
      </c>
      <c r="I1772">
        <v>74930</v>
      </c>
      <c r="J1772" t="s">
        <v>90</v>
      </c>
      <c r="K1772" t="s">
        <v>60</v>
      </c>
      <c r="L1772" t="s">
        <v>32</v>
      </c>
      <c r="M1772">
        <v>2</v>
      </c>
      <c r="N1772">
        <v>230.19</v>
      </c>
      <c r="O1772">
        <v>326.29000000000002</v>
      </c>
      <c r="P1772">
        <v>16.309999999999999</v>
      </c>
      <c r="Q1772">
        <v>16.309999999999999</v>
      </c>
      <c r="R1772" t="s">
        <v>30</v>
      </c>
      <c r="S1772">
        <v>29</v>
      </c>
      <c r="T1772">
        <v>1</v>
      </c>
      <c r="U1772">
        <v>1</v>
      </c>
      <c r="V1772">
        <v>309.98</v>
      </c>
      <c r="W1772">
        <v>13130001770</v>
      </c>
    </row>
    <row r="1773" spans="1:23" x14ac:dyDescent="0.2">
      <c r="A1773" s="1">
        <v>44803</v>
      </c>
      <c r="B1773" s="2">
        <v>0.88063657407407403</v>
      </c>
      <c r="C1773">
        <v>2771</v>
      </c>
      <c r="D1773">
        <v>13002561</v>
      </c>
      <c r="E1773">
        <v>13</v>
      </c>
      <c r="F1773">
        <v>22589</v>
      </c>
      <c r="G1773" t="s">
        <v>23</v>
      </c>
      <c r="H1773">
        <v>15</v>
      </c>
      <c r="I1773">
        <v>71796</v>
      </c>
      <c r="J1773" t="s">
        <v>55</v>
      </c>
      <c r="K1773" t="s">
        <v>44</v>
      </c>
      <c r="L1773" t="s">
        <v>29</v>
      </c>
      <c r="M1773">
        <v>2</v>
      </c>
      <c r="N1773">
        <v>317.89</v>
      </c>
      <c r="O1773">
        <v>507.86</v>
      </c>
      <c r="P1773">
        <v>0</v>
      </c>
      <c r="Q1773">
        <v>0</v>
      </c>
      <c r="S1773">
        <v>29</v>
      </c>
      <c r="T1773">
        <v>1</v>
      </c>
      <c r="U1773">
        <v>3</v>
      </c>
      <c r="V1773">
        <v>507.86</v>
      </c>
      <c r="W1773">
        <v>13130001771</v>
      </c>
    </row>
    <row r="1774" spans="1:23" x14ac:dyDescent="0.2">
      <c r="A1774" s="1">
        <v>44786</v>
      </c>
      <c r="B1774" s="2">
        <v>0.80112268518518515</v>
      </c>
      <c r="C1774">
        <v>2772</v>
      </c>
      <c r="D1774">
        <v>13002561</v>
      </c>
      <c r="E1774">
        <v>13</v>
      </c>
      <c r="F1774">
        <v>22589</v>
      </c>
      <c r="G1774" t="s">
        <v>23</v>
      </c>
      <c r="H1774">
        <v>15</v>
      </c>
      <c r="I1774">
        <v>25163</v>
      </c>
      <c r="J1774" t="s">
        <v>61</v>
      </c>
      <c r="K1774" t="s">
        <v>44</v>
      </c>
      <c r="L1774" t="s">
        <v>29</v>
      </c>
      <c r="M1774">
        <v>2</v>
      </c>
      <c r="N1774">
        <v>67.959999999999994</v>
      </c>
      <c r="O1774">
        <v>112.02</v>
      </c>
      <c r="P1774">
        <v>5.6</v>
      </c>
      <c r="Q1774">
        <v>5.6</v>
      </c>
      <c r="R1774" t="s">
        <v>30</v>
      </c>
      <c r="S1774">
        <v>29</v>
      </c>
      <c r="T1774">
        <v>1</v>
      </c>
      <c r="U1774">
        <v>2</v>
      </c>
      <c r="V1774">
        <v>106.42</v>
      </c>
      <c r="W1774">
        <v>13130001772</v>
      </c>
    </row>
    <row r="1775" spans="1:23" x14ac:dyDescent="0.2">
      <c r="A1775" s="1">
        <v>44774</v>
      </c>
      <c r="B1775" s="2">
        <v>0.48480324074074072</v>
      </c>
      <c r="C1775">
        <v>2773</v>
      </c>
      <c r="D1775">
        <v>13002561</v>
      </c>
      <c r="E1775">
        <v>13</v>
      </c>
      <c r="F1775">
        <v>22589</v>
      </c>
      <c r="G1775" t="s">
        <v>23</v>
      </c>
      <c r="H1775">
        <v>18</v>
      </c>
      <c r="I1775">
        <v>68164</v>
      </c>
      <c r="J1775" t="s">
        <v>61</v>
      </c>
      <c r="K1775" t="s">
        <v>60</v>
      </c>
      <c r="L1775" t="s">
        <v>34</v>
      </c>
      <c r="M1775">
        <v>3</v>
      </c>
      <c r="N1775">
        <v>353.76</v>
      </c>
      <c r="O1775">
        <v>559.17999999999995</v>
      </c>
      <c r="P1775">
        <v>27.96</v>
      </c>
      <c r="Q1775">
        <v>27.96</v>
      </c>
      <c r="R1775" t="s">
        <v>30</v>
      </c>
      <c r="S1775">
        <v>29</v>
      </c>
      <c r="T1775">
        <v>1</v>
      </c>
      <c r="U1775">
        <v>3</v>
      </c>
      <c r="V1775">
        <v>531.22</v>
      </c>
      <c r="W1775">
        <v>13130001773</v>
      </c>
    </row>
    <row r="1776" spans="1:23" x14ac:dyDescent="0.2">
      <c r="A1776" s="1">
        <v>44796</v>
      </c>
      <c r="B1776" s="2">
        <v>0.72685185185185186</v>
      </c>
      <c r="C1776">
        <v>2774</v>
      </c>
      <c r="D1776">
        <v>13002561</v>
      </c>
      <c r="E1776">
        <v>13</v>
      </c>
      <c r="F1776">
        <v>22589</v>
      </c>
      <c r="G1776" t="s">
        <v>23</v>
      </c>
      <c r="H1776">
        <v>18</v>
      </c>
      <c r="I1776">
        <v>69549</v>
      </c>
      <c r="J1776" t="s">
        <v>128</v>
      </c>
      <c r="K1776" t="s">
        <v>45</v>
      </c>
      <c r="L1776" t="s">
        <v>39</v>
      </c>
      <c r="M1776">
        <v>2</v>
      </c>
      <c r="N1776">
        <v>300.02999999999997</v>
      </c>
      <c r="O1776">
        <v>435.74</v>
      </c>
      <c r="P1776">
        <v>43.57</v>
      </c>
      <c r="Q1776">
        <v>43.57</v>
      </c>
      <c r="R1776" t="s">
        <v>30</v>
      </c>
      <c r="S1776">
        <v>29</v>
      </c>
      <c r="T1776">
        <v>1</v>
      </c>
      <c r="U1776">
        <v>5</v>
      </c>
      <c r="V1776">
        <v>392.17</v>
      </c>
      <c r="W1776">
        <v>13130001774</v>
      </c>
    </row>
    <row r="1777" spans="1:23" x14ac:dyDescent="0.2">
      <c r="A1777" s="1">
        <v>44789</v>
      </c>
      <c r="B1777" s="2">
        <v>0.86234953703703698</v>
      </c>
      <c r="C1777">
        <v>2775</v>
      </c>
      <c r="D1777">
        <v>13002561</v>
      </c>
      <c r="E1777">
        <v>13</v>
      </c>
      <c r="F1777">
        <v>22589</v>
      </c>
      <c r="G1777" t="s">
        <v>23</v>
      </c>
      <c r="H1777">
        <v>15</v>
      </c>
      <c r="I1777">
        <v>92402</v>
      </c>
      <c r="J1777" t="s">
        <v>52</v>
      </c>
      <c r="K1777" t="s">
        <v>28</v>
      </c>
      <c r="L1777" t="s">
        <v>29</v>
      </c>
      <c r="M1777">
        <v>1</v>
      </c>
      <c r="N1777">
        <v>493.25</v>
      </c>
      <c r="O1777">
        <v>743.22</v>
      </c>
      <c r="P1777">
        <v>0</v>
      </c>
      <c r="Q1777">
        <v>0</v>
      </c>
      <c r="S1777">
        <v>29</v>
      </c>
      <c r="T1777">
        <v>1</v>
      </c>
      <c r="U1777">
        <v>3</v>
      </c>
      <c r="V1777">
        <v>743.22</v>
      </c>
      <c r="W1777">
        <v>13130001775</v>
      </c>
    </row>
    <row r="1778" spans="1:23" x14ac:dyDescent="0.2">
      <c r="A1778" s="1">
        <v>44790</v>
      </c>
      <c r="B1778" s="2">
        <v>0.61365740740740737</v>
      </c>
      <c r="C1778">
        <v>2776</v>
      </c>
      <c r="D1778">
        <v>13002561</v>
      </c>
      <c r="E1778">
        <v>13</v>
      </c>
      <c r="F1778">
        <v>22589</v>
      </c>
      <c r="G1778" t="s">
        <v>23</v>
      </c>
      <c r="H1778">
        <v>18</v>
      </c>
      <c r="I1778">
        <v>45554</v>
      </c>
      <c r="J1778" t="s">
        <v>86</v>
      </c>
      <c r="K1778" t="s">
        <v>25</v>
      </c>
      <c r="L1778" t="s">
        <v>51</v>
      </c>
      <c r="M1778">
        <v>2</v>
      </c>
      <c r="N1778">
        <v>518</v>
      </c>
      <c r="O1778">
        <v>722.34</v>
      </c>
      <c r="P1778">
        <v>0</v>
      </c>
      <c r="Q1778">
        <v>0</v>
      </c>
      <c r="S1778">
        <v>29</v>
      </c>
      <c r="T1778">
        <v>1</v>
      </c>
      <c r="U1778">
        <v>6</v>
      </c>
      <c r="V1778">
        <v>722.34</v>
      </c>
      <c r="W1778">
        <v>13130001776</v>
      </c>
    </row>
    <row r="1779" spans="1:23" x14ac:dyDescent="0.2">
      <c r="A1779" s="1">
        <v>44797</v>
      </c>
      <c r="B1779" s="2">
        <v>0.79935185185185187</v>
      </c>
      <c r="C1779">
        <v>2777</v>
      </c>
      <c r="D1779">
        <v>13002561</v>
      </c>
      <c r="E1779">
        <v>13</v>
      </c>
      <c r="F1779">
        <v>22589</v>
      </c>
      <c r="G1779" t="s">
        <v>23</v>
      </c>
      <c r="H1779">
        <v>15</v>
      </c>
      <c r="I1779">
        <v>26661</v>
      </c>
      <c r="J1779" t="s">
        <v>100</v>
      </c>
      <c r="K1779" t="s">
        <v>25</v>
      </c>
      <c r="L1779" t="s">
        <v>47</v>
      </c>
      <c r="M1779">
        <v>3</v>
      </c>
      <c r="N1779">
        <v>362.91</v>
      </c>
      <c r="O1779">
        <v>576.29</v>
      </c>
      <c r="P1779">
        <v>0</v>
      </c>
      <c r="Q1779">
        <v>0</v>
      </c>
      <c r="S1779">
        <v>29</v>
      </c>
      <c r="T1779">
        <v>1</v>
      </c>
      <c r="U1779">
        <v>6</v>
      </c>
      <c r="V1779">
        <v>576.29</v>
      </c>
      <c r="W1779">
        <v>13130001777</v>
      </c>
    </row>
    <row r="1780" spans="1:23" x14ac:dyDescent="0.2">
      <c r="A1780" s="1">
        <v>44786</v>
      </c>
      <c r="B1780" s="2">
        <v>0.40736111111111112</v>
      </c>
      <c r="C1780">
        <v>2778</v>
      </c>
      <c r="D1780">
        <v>13002561</v>
      </c>
      <c r="E1780">
        <v>13</v>
      </c>
      <c r="F1780">
        <v>22589</v>
      </c>
      <c r="G1780" t="s">
        <v>23</v>
      </c>
      <c r="H1780">
        <v>15</v>
      </c>
      <c r="I1780">
        <v>42239</v>
      </c>
      <c r="J1780" t="s">
        <v>24</v>
      </c>
      <c r="K1780" t="s">
        <v>38</v>
      </c>
      <c r="L1780" t="s">
        <v>29</v>
      </c>
      <c r="M1780">
        <v>2</v>
      </c>
      <c r="N1780">
        <v>340.65</v>
      </c>
      <c r="O1780">
        <v>574.04</v>
      </c>
      <c r="P1780">
        <v>57.4</v>
      </c>
      <c r="Q1780">
        <v>57.4</v>
      </c>
      <c r="R1780" t="s">
        <v>30</v>
      </c>
      <c r="S1780">
        <v>29</v>
      </c>
      <c r="T1780">
        <v>1</v>
      </c>
      <c r="U1780">
        <v>5</v>
      </c>
      <c r="V1780">
        <v>516.64</v>
      </c>
      <c r="W1780">
        <v>13130001778</v>
      </c>
    </row>
    <row r="1781" spans="1:23" x14ac:dyDescent="0.2">
      <c r="A1781" s="1">
        <v>44791</v>
      </c>
      <c r="B1781" s="2">
        <v>0.7839814814814815</v>
      </c>
      <c r="C1781">
        <v>2779</v>
      </c>
      <c r="D1781">
        <v>13002561</v>
      </c>
      <c r="E1781">
        <v>13</v>
      </c>
      <c r="F1781">
        <v>22589</v>
      </c>
      <c r="G1781" t="s">
        <v>23</v>
      </c>
      <c r="H1781">
        <v>15</v>
      </c>
      <c r="I1781">
        <v>32891</v>
      </c>
      <c r="J1781" t="s">
        <v>128</v>
      </c>
      <c r="K1781" t="s">
        <v>25</v>
      </c>
      <c r="L1781" t="s">
        <v>34</v>
      </c>
      <c r="M1781">
        <v>1</v>
      </c>
      <c r="N1781">
        <v>13.53</v>
      </c>
      <c r="O1781">
        <v>19.21</v>
      </c>
      <c r="P1781">
        <v>0</v>
      </c>
      <c r="Q1781">
        <v>0</v>
      </c>
      <c r="S1781">
        <v>29</v>
      </c>
      <c r="T1781">
        <v>1</v>
      </c>
      <c r="U1781">
        <v>3</v>
      </c>
      <c r="V1781">
        <v>19.21</v>
      </c>
      <c r="W1781">
        <v>13130001779</v>
      </c>
    </row>
    <row r="1782" spans="1:23" x14ac:dyDescent="0.2">
      <c r="A1782" s="1">
        <v>44790</v>
      </c>
      <c r="B1782" s="2">
        <v>0.81226851851851856</v>
      </c>
      <c r="C1782">
        <v>2780</v>
      </c>
      <c r="D1782">
        <v>13002561</v>
      </c>
      <c r="E1782">
        <v>13</v>
      </c>
      <c r="F1782">
        <v>22589</v>
      </c>
      <c r="G1782" t="s">
        <v>23</v>
      </c>
      <c r="H1782">
        <v>15</v>
      </c>
      <c r="I1782">
        <v>30629</v>
      </c>
      <c r="J1782" t="s">
        <v>92</v>
      </c>
      <c r="K1782" t="s">
        <v>38</v>
      </c>
      <c r="L1782" t="s">
        <v>26</v>
      </c>
      <c r="M1782">
        <v>2</v>
      </c>
      <c r="N1782">
        <v>53.11</v>
      </c>
      <c r="O1782">
        <v>69.650000000000006</v>
      </c>
      <c r="P1782">
        <v>6.97</v>
      </c>
      <c r="Q1782">
        <v>6.97</v>
      </c>
      <c r="R1782" t="s">
        <v>30</v>
      </c>
      <c r="S1782">
        <v>29</v>
      </c>
      <c r="T1782">
        <v>1</v>
      </c>
      <c r="U1782">
        <v>2</v>
      </c>
      <c r="V1782">
        <v>62.68</v>
      </c>
      <c r="W1782">
        <v>13130001780</v>
      </c>
    </row>
    <row r="1783" spans="1:23" x14ac:dyDescent="0.2">
      <c r="A1783" s="1">
        <v>44790</v>
      </c>
      <c r="B1783" s="2">
        <v>0.38628472222222221</v>
      </c>
      <c r="C1783">
        <v>2781</v>
      </c>
      <c r="D1783">
        <v>13002561</v>
      </c>
      <c r="E1783">
        <v>13</v>
      </c>
      <c r="F1783">
        <v>22589</v>
      </c>
      <c r="G1783" t="s">
        <v>23</v>
      </c>
      <c r="H1783">
        <v>18</v>
      </c>
      <c r="I1783">
        <v>70973</v>
      </c>
      <c r="J1783" t="s">
        <v>81</v>
      </c>
      <c r="K1783" t="s">
        <v>45</v>
      </c>
      <c r="L1783" t="s">
        <v>51</v>
      </c>
      <c r="M1783">
        <v>2</v>
      </c>
      <c r="N1783">
        <v>562.91</v>
      </c>
      <c r="O1783">
        <v>737.16</v>
      </c>
      <c r="P1783">
        <v>73.72</v>
      </c>
      <c r="Q1783">
        <v>73.72</v>
      </c>
      <c r="R1783" t="s">
        <v>30</v>
      </c>
      <c r="S1783">
        <v>29</v>
      </c>
      <c r="T1783">
        <v>1</v>
      </c>
      <c r="U1783">
        <v>2</v>
      </c>
      <c r="V1783">
        <v>663.44</v>
      </c>
      <c r="W1783">
        <v>13130001781</v>
      </c>
    </row>
    <row r="1784" spans="1:23" x14ac:dyDescent="0.2">
      <c r="A1784" s="1">
        <v>44791</v>
      </c>
      <c r="B1784" s="2">
        <v>0.60934027777777777</v>
      </c>
      <c r="C1784">
        <v>2782</v>
      </c>
      <c r="D1784">
        <v>13002561</v>
      </c>
      <c r="E1784">
        <v>13</v>
      </c>
      <c r="F1784">
        <v>22589</v>
      </c>
      <c r="G1784" t="s">
        <v>23</v>
      </c>
      <c r="H1784">
        <v>15</v>
      </c>
      <c r="I1784">
        <v>43550</v>
      </c>
      <c r="J1784" t="s">
        <v>43</v>
      </c>
      <c r="K1784" t="s">
        <v>60</v>
      </c>
      <c r="L1784" t="s">
        <v>26</v>
      </c>
      <c r="M1784">
        <v>3</v>
      </c>
      <c r="N1784">
        <v>62.66</v>
      </c>
      <c r="O1784">
        <v>83.64</v>
      </c>
      <c r="P1784">
        <v>0</v>
      </c>
      <c r="Q1784">
        <v>0</v>
      </c>
      <c r="S1784">
        <v>29</v>
      </c>
      <c r="T1784">
        <v>1</v>
      </c>
      <c r="U1784">
        <v>1</v>
      </c>
      <c r="V1784">
        <v>83.64</v>
      </c>
      <c r="W1784">
        <v>13130001782</v>
      </c>
    </row>
    <row r="1785" spans="1:23" x14ac:dyDescent="0.2">
      <c r="A1785" s="1">
        <v>44788</v>
      </c>
      <c r="B1785" s="2">
        <v>0.64508101851851851</v>
      </c>
      <c r="C1785">
        <v>2783</v>
      </c>
      <c r="D1785">
        <v>13002561</v>
      </c>
      <c r="E1785">
        <v>13</v>
      </c>
      <c r="F1785">
        <v>22589</v>
      </c>
      <c r="G1785" t="s">
        <v>23</v>
      </c>
      <c r="H1785">
        <v>18</v>
      </c>
      <c r="I1785">
        <v>66891</v>
      </c>
      <c r="J1785" t="s">
        <v>50</v>
      </c>
      <c r="K1785" t="s">
        <v>28</v>
      </c>
      <c r="L1785" t="s">
        <v>29</v>
      </c>
      <c r="M1785">
        <v>3</v>
      </c>
      <c r="N1785">
        <v>50.21</v>
      </c>
      <c r="O1785">
        <v>67.97</v>
      </c>
      <c r="P1785">
        <v>6.8</v>
      </c>
      <c r="Q1785">
        <v>6.8</v>
      </c>
      <c r="R1785" t="s">
        <v>30</v>
      </c>
      <c r="S1785">
        <v>29</v>
      </c>
      <c r="T1785">
        <v>1</v>
      </c>
      <c r="U1785">
        <v>6</v>
      </c>
      <c r="V1785">
        <v>61.17</v>
      </c>
      <c r="W1785">
        <v>13130001783</v>
      </c>
    </row>
    <row r="1786" spans="1:23" x14ac:dyDescent="0.2">
      <c r="A1786" s="1">
        <v>44789</v>
      </c>
      <c r="B1786" s="2">
        <v>0.71377314814814818</v>
      </c>
      <c r="C1786">
        <v>2784</v>
      </c>
      <c r="D1786">
        <v>13002561</v>
      </c>
      <c r="E1786">
        <v>13</v>
      </c>
      <c r="F1786">
        <v>22589</v>
      </c>
      <c r="G1786" t="s">
        <v>23</v>
      </c>
      <c r="H1786">
        <v>18</v>
      </c>
      <c r="I1786">
        <v>19255</v>
      </c>
      <c r="J1786" t="s">
        <v>66</v>
      </c>
      <c r="K1786" t="s">
        <v>44</v>
      </c>
      <c r="L1786" t="s">
        <v>26</v>
      </c>
      <c r="M1786">
        <v>3</v>
      </c>
      <c r="N1786">
        <v>508.29</v>
      </c>
      <c r="O1786">
        <v>742.95</v>
      </c>
      <c r="P1786">
        <v>74.3</v>
      </c>
      <c r="Q1786">
        <v>74.3</v>
      </c>
      <c r="R1786" t="s">
        <v>30</v>
      </c>
      <c r="S1786">
        <v>29</v>
      </c>
      <c r="T1786">
        <v>1</v>
      </c>
      <c r="U1786">
        <v>2</v>
      </c>
      <c r="V1786">
        <v>668.65</v>
      </c>
      <c r="W1786">
        <v>13130001784</v>
      </c>
    </row>
    <row r="1787" spans="1:23" x14ac:dyDescent="0.2">
      <c r="A1787" s="1">
        <v>44804</v>
      </c>
      <c r="B1787" s="2">
        <v>0.41322916666666659</v>
      </c>
      <c r="C1787">
        <v>2785</v>
      </c>
      <c r="D1787">
        <v>13002561</v>
      </c>
      <c r="E1787">
        <v>13</v>
      </c>
      <c r="F1787">
        <v>22589</v>
      </c>
      <c r="G1787" t="s">
        <v>23</v>
      </c>
      <c r="H1787">
        <v>18</v>
      </c>
      <c r="I1787">
        <v>99665</v>
      </c>
      <c r="J1787" t="s">
        <v>117</v>
      </c>
      <c r="K1787" t="s">
        <v>60</v>
      </c>
      <c r="L1787" t="s">
        <v>32</v>
      </c>
      <c r="M1787">
        <v>3</v>
      </c>
      <c r="N1787">
        <v>332.49</v>
      </c>
      <c r="O1787">
        <v>542.53</v>
      </c>
      <c r="P1787">
        <v>0</v>
      </c>
      <c r="Q1787">
        <v>0</v>
      </c>
      <c r="S1787">
        <v>29</v>
      </c>
      <c r="T1787">
        <v>1</v>
      </c>
      <c r="U1787">
        <v>5</v>
      </c>
      <c r="V1787">
        <v>542.53</v>
      </c>
      <c r="W1787">
        <v>13130001785</v>
      </c>
    </row>
    <row r="1788" spans="1:23" x14ac:dyDescent="0.2">
      <c r="A1788" s="1">
        <v>44787</v>
      </c>
      <c r="B1788" s="2">
        <v>0.53924768518518518</v>
      </c>
      <c r="C1788">
        <v>2786</v>
      </c>
      <c r="D1788">
        <v>13002561</v>
      </c>
      <c r="E1788">
        <v>13</v>
      </c>
      <c r="F1788">
        <v>22589</v>
      </c>
      <c r="G1788" t="s">
        <v>23</v>
      </c>
      <c r="H1788">
        <v>15</v>
      </c>
      <c r="I1788">
        <v>10759</v>
      </c>
      <c r="J1788" t="s">
        <v>85</v>
      </c>
      <c r="K1788" t="s">
        <v>28</v>
      </c>
      <c r="L1788" t="s">
        <v>51</v>
      </c>
      <c r="M1788">
        <v>3</v>
      </c>
      <c r="N1788">
        <v>594.72</v>
      </c>
      <c r="O1788">
        <v>818.67</v>
      </c>
      <c r="P1788">
        <v>81.87</v>
      </c>
      <c r="Q1788">
        <v>81.87</v>
      </c>
      <c r="R1788" t="s">
        <v>30</v>
      </c>
      <c r="S1788">
        <v>29</v>
      </c>
      <c r="T1788">
        <v>1</v>
      </c>
      <c r="U1788">
        <v>3</v>
      </c>
      <c r="V1788">
        <v>736.8</v>
      </c>
      <c r="W1788">
        <v>13130001786</v>
      </c>
    </row>
    <row r="1789" spans="1:23" x14ac:dyDescent="0.2">
      <c r="A1789" s="1">
        <v>44774</v>
      </c>
      <c r="B1789" s="2">
        <v>0.8971527777777778</v>
      </c>
      <c r="C1789">
        <v>2787</v>
      </c>
      <c r="D1789">
        <v>13002561</v>
      </c>
      <c r="E1789">
        <v>13</v>
      </c>
      <c r="F1789">
        <v>22589</v>
      </c>
      <c r="G1789" t="s">
        <v>23</v>
      </c>
      <c r="H1789">
        <v>15</v>
      </c>
      <c r="I1789">
        <v>40175</v>
      </c>
      <c r="J1789" t="s">
        <v>62</v>
      </c>
      <c r="K1789" t="s">
        <v>44</v>
      </c>
      <c r="L1789" t="s">
        <v>29</v>
      </c>
      <c r="M1789">
        <v>1</v>
      </c>
      <c r="N1789">
        <v>243.63</v>
      </c>
      <c r="O1789">
        <v>349.88</v>
      </c>
      <c r="P1789">
        <v>17.489999999999998</v>
      </c>
      <c r="Q1789">
        <v>17.489999999999998</v>
      </c>
      <c r="R1789" t="s">
        <v>30</v>
      </c>
      <c r="S1789">
        <v>29</v>
      </c>
      <c r="T1789">
        <v>1</v>
      </c>
      <c r="U1789">
        <v>6</v>
      </c>
      <c r="V1789">
        <v>332.39</v>
      </c>
      <c r="W1789">
        <v>13130001787</v>
      </c>
    </row>
    <row r="1790" spans="1:23" x14ac:dyDescent="0.2">
      <c r="A1790" s="1">
        <v>44775</v>
      </c>
      <c r="B1790" s="2">
        <v>0.5814583333333333</v>
      </c>
      <c r="C1790">
        <v>2788</v>
      </c>
      <c r="D1790">
        <v>13002561</v>
      </c>
      <c r="E1790">
        <v>13</v>
      </c>
      <c r="F1790">
        <v>22589</v>
      </c>
      <c r="G1790" t="s">
        <v>23</v>
      </c>
      <c r="H1790">
        <v>18</v>
      </c>
      <c r="I1790">
        <v>30275</v>
      </c>
      <c r="J1790" t="s">
        <v>104</v>
      </c>
      <c r="K1790" t="s">
        <v>45</v>
      </c>
      <c r="L1790" t="s">
        <v>36</v>
      </c>
      <c r="M1790">
        <v>3</v>
      </c>
      <c r="N1790">
        <v>265.5</v>
      </c>
      <c r="O1790">
        <v>383.38</v>
      </c>
      <c r="P1790">
        <v>0</v>
      </c>
      <c r="Q1790">
        <v>0</v>
      </c>
      <c r="S1790">
        <v>29</v>
      </c>
      <c r="T1790">
        <v>1</v>
      </c>
      <c r="U1790">
        <v>5</v>
      </c>
      <c r="V1790">
        <v>383.38</v>
      </c>
      <c r="W1790">
        <v>13130001788</v>
      </c>
    </row>
    <row r="1791" spans="1:23" x14ac:dyDescent="0.2">
      <c r="A1791" s="1">
        <v>44783</v>
      </c>
      <c r="B1791" s="2">
        <v>0.38225694444444452</v>
      </c>
      <c r="C1791">
        <v>2789</v>
      </c>
      <c r="D1791">
        <v>13002561</v>
      </c>
      <c r="E1791">
        <v>13</v>
      </c>
      <c r="F1791">
        <v>22589</v>
      </c>
      <c r="G1791" t="s">
        <v>23</v>
      </c>
      <c r="H1791">
        <v>15</v>
      </c>
      <c r="I1791">
        <v>29190</v>
      </c>
      <c r="J1791" t="s">
        <v>59</v>
      </c>
      <c r="K1791" t="s">
        <v>38</v>
      </c>
      <c r="L1791" t="s">
        <v>51</v>
      </c>
      <c r="M1791">
        <v>3</v>
      </c>
      <c r="N1791">
        <v>26.72</v>
      </c>
      <c r="O1791">
        <v>43.72</v>
      </c>
      <c r="P1791">
        <v>4.37</v>
      </c>
      <c r="Q1791">
        <v>4.37</v>
      </c>
      <c r="R1791" t="s">
        <v>30</v>
      </c>
      <c r="S1791">
        <v>29</v>
      </c>
      <c r="T1791">
        <v>1</v>
      </c>
      <c r="U1791">
        <v>4</v>
      </c>
      <c r="V1791">
        <v>39.35</v>
      </c>
      <c r="W1791">
        <v>13130001789</v>
      </c>
    </row>
    <row r="1792" spans="1:23" x14ac:dyDescent="0.2">
      <c r="A1792" s="1">
        <v>44791</v>
      </c>
      <c r="B1792" s="2">
        <v>0.89533564814814814</v>
      </c>
      <c r="C1792">
        <v>2790</v>
      </c>
      <c r="D1792">
        <v>13002561</v>
      </c>
      <c r="E1792">
        <v>13</v>
      </c>
      <c r="F1792">
        <v>22589</v>
      </c>
      <c r="G1792" t="s">
        <v>23</v>
      </c>
      <c r="H1792">
        <v>18</v>
      </c>
      <c r="I1792">
        <v>87158</v>
      </c>
      <c r="J1792" t="s">
        <v>119</v>
      </c>
      <c r="K1792" t="s">
        <v>60</v>
      </c>
      <c r="L1792" t="s">
        <v>29</v>
      </c>
      <c r="M1792">
        <v>1</v>
      </c>
      <c r="N1792">
        <v>499.27</v>
      </c>
      <c r="O1792">
        <v>644.11</v>
      </c>
      <c r="P1792">
        <v>32.21</v>
      </c>
      <c r="Q1792">
        <v>32.21</v>
      </c>
      <c r="R1792" t="s">
        <v>30</v>
      </c>
      <c r="S1792">
        <v>29</v>
      </c>
      <c r="T1792">
        <v>1</v>
      </c>
      <c r="U1792">
        <v>3</v>
      </c>
      <c r="V1792">
        <v>611.9</v>
      </c>
      <c r="W1792">
        <v>13130001790</v>
      </c>
    </row>
    <row r="1793" spans="1:23" x14ac:dyDescent="0.2">
      <c r="A1793" s="1">
        <v>44795</v>
      </c>
      <c r="B1793" s="2">
        <v>0.59552083333333339</v>
      </c>
      <c r="C1793">
        <v>2791</v>
      </c>
      <c r="D1793">
        <v>13002561</v>
      </c>
      <c r="E1793">
        <v>13</v>
      </c>
      <c r="F1793">
        <v>22589</v>
      </c>
      <c r="G1793" t="s">
        <v>23</v>
      </c>
      <c r="H1793">
        <v>15</v>
      </c>
      <c r="I1793">
        <v>14793</v>
      </c>
      <c r="J1793" t="s">
        <v>97</v>
      </c>
      <c r="K1793" t="s">
        <v>28</v>
      </c>
      <c r="L1793" t="s">
        <v>26</v>
      </c>
      <c r="M1793">
        <v>1</v>
      </c>
      <c r="N1793">
        <v>70.28</v>
      </c>
      <c r="O1793">
        <v>100.02</v>
      </c>
      <c r="P1793">
        <v>10</v>
      </c>
      <c r="Q1793">
        <v>10</v>
      </c>
      <c r="R1793" t="s">
        <v>30</v>
      </c>
      <c r="S1793">
        <v>29</v>
      </c>
      <c r="T1793">
        <v>1</v>
      </c>
      <c r="U1793">
        <v>6</v>
      </c>
      <c r="V1793">
        <v>90.02</v>
      </c>
      <c r="W1793">
        <v>13130001791</v>
      </c>
    </row>
    <row r="1794" spans="1:23" x14ac:dyDescent="0.2">
      <c r="A1794" s="1">
        <v>44792</v>
      </c>
      <c r="B1794" s="2">
        <v>0.51574074074074072</v>
      </c>
      <c r="C1794">
        <v>2792</v>
      </c>
      <c r="D1794">
        <v>13002561</v>
      </c>
      <c r="E1794">
        <v>13</v>
      </c>
      <c r="F1794">
        <v>22589</v>
      </c>
      <c r="G1794" t="s">
        <v>23</v>
      </c>
      <c r="H1794">
        <v>18</v>
      </c>
      <c r="I1794">
        <v>99516</v>
      </c>
      <c r="J1794" t="s">
        <v>117</v>
      </c>
      <c r="K1794" t="s">
        <v>28</v>
      </c>
      <c r="L1794" t="s">
        <v>39</v>
      </c>
      <c r="M1794">
        <v>2</v>
      </c>
      <c r="N1794">
        <v>508.06</v>
      </c>
      <c r="O1794">
        <v>707.24</v>
      </c>
      <c r="P1794">
        <v>70.72</v>
      </c>
      <c r="Q1794">
        <v>70.72</v>
      </c>
      <c r="R1794" t="s">
        <v>30</v>
      </c>
      <c r="S1794">
        <v>29</v>
      </c>
      <c r="T1794">
        <v>1</v>
      </c>
      <c r="U1794">
        <v>5</v>
      </c>
      <c r="V1794">
        <v>636.52</v>
      </c>
      <c r="W1794">
        <v>13130001792</v>
      </c>
    </row>
    <row r="1795" spans="1:23" x14ac:dyDescent="0.2">
      <c r="A1795" s="1">
        <v>44802</v>
      </c>
      <c r="B1795" s="2">
        <v>0.79373842592592592</v>
      </c>
      <c r="C1795">
        <v>2793</v>
      </c>
      <c r="D1795">
        <v>13002561</v>
      </c>
      <c r="E1795">
        <v>13</v>
      </c>
      <c r="F1795">
        <v>22589</v>
      </c>
      <c r="G1795" t="s">
        <v>23</v>
      </c>
      <c r="H1795">
        <v>15</v>
      </c>
      <c r="I1795">
        <v>74144</v>
      </c>
      <c r="J1795" t="s">
        <v>66</v>
      </c>
      <c r="K1795" t="s">
        <v>60</v>
      </c>
      <c r="L1795" t="s">
        <v>32</v>
      </c>
      <c r="M1795">
        <v>1</v>
      </c>
      <c r="N1795">
        <v>366</v>
      </c>
      <c r="O1795">
        <v>613.45000000000005</v>
      </c>
      <c r="P1795">
        <v>61.35</v>
      </c>
      <c r="Q1795">
        <v>61.35</v>
      </c>
      <c r="R1795" t="s">
        <v>30</v>
      </c>
      <c r="S1795">
        <v>29</v>
      </c>
      <c r="T1795">
        <v>1</v>
      </c>
      <c r="U1795">
        <v>3</v>
      </c>
      <c r="V1795">
        <v>552.1</v>
      </c>
      <c r="W1795">
        <v>13130001793</v>
      </c>
    </row>
    <row r="1796" spans="1:23" x14ac:dyDescent="0.2">
      <c r="A1796" s="1">
        <v>44800</v>
      </c>
      <c r="B1796" s="2">
        <v>0.35076388888888888</v>
      </c>
      <c r="C1796">
        <v>2794</v>
      </c>
      <c r="D1796">
        <v>13002561</v>
      </c>
      <c r="E1796">
        <v>13</v>
      </c>
      <c r="F1796">
        <v>22589</v>
      </c>
      <c r="G1796" t="s">
        <v>23</v>
      </c>
      <c r="H1796">
        <v>18</v>
      </c>
      <c r="I1796">
        <v>88074</v>
      </c>
      <c r="J1796" t="s">
        <v>98</v>
      </c>
      <c r="K1796" t="s">
        <v>44</v>
      </c>
      <c r="L1796" t="s">
        <v>34</v>
      </c>
      <c r="M1796">
        <v>2</v>
      </c>
      <c r="N1796">
        <v>575.16999999999996</v>
      </c>
      <c r="O1796">
        <v>965.35</v>
      </c>
      <c r="P1796">
        <v>48.27</v>
      </c>
      <c r="Q1796">
        <v>48.27</v>
      </c>
      <c r="R1796" t="s">
        <v>30</v>
      </c>
      <c r="S1796">
        <v>29</v>
      </c>
      <c r="T1796">
        <v>1</v>
      </c>
      <c r="U1796">
        <v>1</v>
      </c>
      <c r="V1796">
        <v>917.08</v>
      </c>
      <c r="W1796">
        <v>13130001794</v>
      </c>
    </row>
    <row r="1797" spans="1:23" x14ac:dyDescent="0.2">
      <c r="A1797" s="1">
        <v>44802</v>
      </c>
      <c r="B1797" s="2">
        <v>0.55015046296296299</v>
      </c>
      <c r="C1797">
        <v>2795</v>
      </c>
      <c r="D1797">
        <v>13002561</v>
      </c>
      <c r="E1797">
        <v>13</v>
      </c>
      <c r="F1797">
        <v>22589</v>
      </c>
      <c r="G1797" t="s">
        <v>23</v>
      </c>
      <c r="H1797">
        <v>18</v>
      </c>
      <c r="I1797">
        <v>61244</v>
      </c>
      <c r="J1797" t="s">
        <v>123</v>
      </c>
      <c r="K1797" t="s">
        <v>25</v>
      </c>
      <c r="L1797" t="s">
        <v>34</v>
      </c>
      <c r="M1797">
        <v>3</v>
      </c>
      <c r="N1797">
        <v>84.81</v>
      </c>
      <c r="O1797">
        <v>121.62</v>
      </c>
      <c r="P1797">
        <v>0</v>
      </c>
      <c r="Q1797">
        <v>0</v>
      </c>
      <c r="S1797">
        <v>29</v>
      </c>
      <c r="T1797">
        <v>1</v>
      </c>
      <c r="U1797">
        <v>3</v>
      </c>
      <c r="V1797">
        <v>121.62</v>
      </c>
      <c r="W1797">
        <v>13130001795</v>
      </c>
    </row>
    <row r="1798" spans="1:23" x14ac:dyDescent="0.2">
      <c r="A1798" s="1">
        <v>44776</v>
      </c>
      <c r="B1798" s="2">
        <v>0.93678240740740737</v>
      </c>
      <c r="C1798">
        <v>2796</v>
      </c>
      <c r="D1798">
        <v>13002561</v>
      </c>
      <c r="E1798">
        <v>13</v>
      </c>
      <c r="F1798">
        <v>22589</v>
      </c>
      <c r="G1798" t="s">
        <v>23</v>
      </c>
      <c r="H1798">
        <v>18</v>
      </c>
      <c r="I1798">
        <v>82534</v>
      </c>
      <c r="J1798" t="s">
        <v>69</v>
      </c>
      <c r="K1798" t="s">
        <v>25</v>
      </c>
      <c r="L1798" t="s">
        <v>39</v>
      </c>
      <c r="M1798">
        <v>1</v>
      </c>
      <c r="N1798">
        <v>507.17</v>
      </c>
      <c r="O1798">
        <v>786.34</v>
      </c>
      <c r="P1798">
        <v>0</v>
      </c>
      <c r="Q1798">
        <v>0</v>
      </c>
      <c r="S1798">
        <v>29</v>
      </c>
      <c r="T1798">
        <v>1</v>
      </c>
      <c r="U1798">
        <v>2</v>
      </c>
      <c r="V1798">
        <v>786.34</v>
      </c>
      <c r="W1798">
        <v>13130001796</v>
      </c>
    </row>
    <row r="1799" spans="1:23" x14ac:dyDescent="0.2">
      <c r="A1799" s="1">
        <v>44777</v>
      </c>
      <c r="B1799" s="2">
        <v>0.71546296296296297</v>
      </c>
      <c r="C1799">
        <v>2797</v>
      </c>
      <c r="D1799">
        <v>13002561</v>
      </c>
      <c r="E1799">
        <v>13</v>
      </c>
      <c r="F1799">
        <v>22589</v>
      </c>
      <c r="G1799" t="s">
        <v>23</v>
      </c>
      <c r="H1799">
        <v>15</v>
      </c>
      <c r="I1799">
        <v>67528</v>
      </c>
      <c r="J1799" t="s">
        <v>78</v>
      </c>
      <c r="K1799" t="s">
        <v>60</v>
      </c>
      <c r="L1799" t="s">
        <v>32</v>
      </c>
      <c r="M1799">
        <v>3</v>
      </c>
      <c r="N1799">
        <v>241.45</v>
      </c>
      <c r="O1799">
        <v>350.71</v>
      </c>
      <c r="P1799">
        <v>0</v>
      </c>
      <c r="Q1799">
        <v>0</v>
      </c>
      <c r="S1799">
        <v>29</v>
      </c>
      <c r="T1799">
        <v>1</v>
      </c>
      <c r="U1799">
        <v>6</v>
      </c>
      <c r="V1799">
        <v>350.71</v>
      </c>
      <c r="W1799">
        <v>13130001797</v>
      </c>
    </row>
    <row r="1800" spans="1:23" x14ac:dyDescent="0.2">
      <c r="A1800" s="1">
        <v>44785</v>
      </c>
      <c r="B1800" s="2">
        <v>0.80137731481481478</v>
      </c>
      <c r="C1800">
        <v>2798</v>
      </c>
      <c r="D1800">
        <v>13002561</v>
      </c>
      <c r="E1800">
        <v>13</v>
      </c>
      <c r="F1800">
        <v>22589</v>
      </c>
      <c r="G1800" t="s">
        <v>23</v>
      </c>
      <c r="H1800">
        <v>18</v>
      </c>
      <c r="I1800">
        <v>21274</v>
      </c>
      <c r="J1800" t="s">
        <v>109</v>
      </c>
      <c r="K1800" t="s">
        <v>38</v>
      </c>
      <c r="L1800" t="s">
        <v>29</v>
      </c>
      <c r="M1800">
        <v>3</v>
      </c>
      <c r="N1800">
        <v>206.6</v>
      </c>
      <c r="O1800">
        <v>330.42</v>
      </c>
      <c r="P1800">
        <v>16.52</v>
      </c>
      <c r="Q1800">
        <v>16.52</v>
      </c>
      <c r="R1800" t="s">
        <v>30</v>
      </c>
      <c r="S1800">
        <v>29</v>
      </c>
      <c r="T1800">
        <v>1</v>
      </c>
      <c r="U1800">
        <v>5</v>
      </c>
      <c r="V1800">
        <v>313.89999999999998</v>
      </c>
      <c r="W1800">
        <v>13130001798</v>
      </c>
    </row>
    <row r="1801" spans="1:23" x14ac:dyDescent="0.2">
      <c r="A1801" s="1">
        <v>44799</v>
      </c>
      <c r="B1801" s="2">
        <v>0.63112268518518522</v>
      </c>
      <c r="C1801">
        <v>2799</v>
      </c>
      <c r="D1801">
        <v>13002561</v>
      </c>
      <c r="E1801">
        <v>13</v>
      </c>
      <c r="F1801">
        <v>22589</v>
      </c>
      <c r="G1801" t="s">
        <v>23</v>
      </c>
      <c r="H1801">
        <v>15</v>
      </c>
      <c r="I1801">
        <v>52191</v>
      </c>
      <c r="J1801" t="s">
        <v>57</v>
      </c>
      <c r="K1801" t="s">
        <v>60</v>
      </c>
      <c r="L1801" t="s">
        <v>36</v>
      </c>
      <c r="M1801">
        <v>2</v>
      </c>
      <c r="N1801">
        <v>489.27</v>
      </c>
      <c r="O1801">
        <v>663.86</v>
      </c>
      <c r="P1801">
        <v>66.39</v>
      </c>
      <c r="Q1801">
        <v>66.39</v>
      </c>
      <c r="R1801" t="s">
        <v>30</v>
      </c>
      <c r="S1801">
        <v>29</v>
      </c>
      <c r="T1801">
        <v>1</v>
      </c>
      <c r="U1801">
        <v>5</v>
      </c>
      <c r="V1801">
        <v>597.47</v>
      </c>
      <c r="W1801">
        <v>13130001799</v>
      </c>
    </row>
    <row r="1802" spans="1:23" x14ac:dyDescent="0.2">
      <c r="A1802" s="1">
        <v>44778</v>
      </c>
      <c r="B1802" s="2">
        <v>0.51156250000000003</v>
      </c>
      <c r="C1802">
        <v>2800</v>
      </c>
      <c r="D1802">
        <v>13002561</v>
      </c>
      <c r="E1802">
        <v>13</v>
      </c>
      <c r="F1802">
        <v>22589</v>
      </c>
      <c r="G1802" t="s">
        <v>23</v>
      </c>
      <c r="H1802">
        <v>15</v>
      </c>
      <c r="I1802">
        <v>73688</v>
      </c>
      <c r="J1802" t="s">
        <v>125</v>
      </c>
      <c r="K1802" t="s">
        <v>25</v>
      </c>
      <c r="L1802" t="s">
        <v>34</v>
      </c>
      <c r="M1802">
        <v>3</v>
      </c>
      <c r="N1802">
        <v>334.55</v>
      </c>
      <c r="O1802">
        <v>480.94</v>
      </c>
      <c r="P1802">
        <v>24.05</v>
      </c>
      <c r="Q1802">
        <v>24.05</v>
      </c>
      <c r="R1802" t="s">
        <v>30</v>
      </c>
      <c r="S1802">
        <v>29</v>
      </c>
      <c r="T1802">
        <v>1</v>
      </c>
      <c r="U1802">
        <v>2</v>
      </c>
      <c r="V1802">
        <v>456.89</v>
      </c>
      <c r="W1802">
        <v>13130001800</v>
      </c>
    </row>
    <row r="1803" spans="1:23" x14ac:dyDescent="0.2">
      <c r="A1803" s="1">
        <v>44792</v>
      </c>
      <c r="B1803" s="2">
        <v>0.7986226851851852</v>
      </c>
      <c r="C1803">
        <v>2801</v>
      </c>
      <c r="D1803">
        <v>13002561</v>
      </c>
      <c r="E1803">
        <v>13</v>
      </c>
      <c r="F1803">
        <v>22589</v>
      </c>
      <c r="G1803" t="s">
        <v>23</v>
      </c>
      <c r="H1803">
        <v>15</v>
      </c>
      <c r="I1803">
        <v>15969</v>
      </c>
      <c r="J1803" t="s">
        <v>90</v>
      </c>
      <c r="K1803" t="s">
        <v>60</v>
      </c>
      <c r="L1803" t="s">
        <v>29</v>
      </c>
      <c r="M1803">
        <v>3</v>
      </c>
      <c r="N1803">
        <v>412.95</v>
      </c>
      <c r="O1803">
        <v>539.72</v>
      </c>
      <c r="P1803">
        <v>53.97</v>
      </c>
      <c r="Q1803">
        <v>53.97</v>
      </c>
      <c r="R1803" t="s">
        <v>30</v>
      </c>
      <c r="S1803">
        <v>29</v>
      </c>
      <c r="T1803">
        <v>1</v>
      </c>
      <c r="U1803">
        <v>2</v>
      </c>
      <c r="V1803">
        <v>485.75</v>
      </c>
      <c r="W1803">
        <v>13130001801</v>
      </c>
    </row>
    <row r="1804" spans="1:23" x14ac:dyDescent="0.2">
      <c r="A1804" s="1">
        <v>44800</v>
      </c>
      <c r="B1804" s="2">
        <v>0.68981481481481477</v>
      </c>
      <c r="C1804">
        <v>2802</v>
      </c>
      <c r="D1804">
        <v>13002561</v>
      </c>
      <c r="E1804">
        <v>13</v>
      </c>
      <c r="F1804">
        <v>22589</v>
      </c>
      <c r="G1804" t="s">
        <v>23</v>
      </c>
      <c r="H1804">
        <v>15</v>
      </c>
      <c r="I1804">
        <v>22674</v>
      </c>
      <c r="J1804" t="s">
        <v>112</v>
      </c>
      <c r="K1804" t="s">
        <v>25</v>
      </c>
      <c r="L1804" t="s">
        <v>39</v>
      </c>
      <c r="M1804">
        <v>2</v>
      </c>
      <c r="N1804">
        <v>452.72</v>
      </c>
      <c r="O1804">
        <v>599.02</v>
      </c>
      <c r="P1804">
        <v>0</v>
      </c>
      <c r="Q1804">
        <v>0</v>
      </c>
      <c r="S1804">
        <v>29</v>
      </c>
      <c r="T1804">
        <v>1</v>
      </c>
      <c r="U1804">
        <v>1</v>
      </c>
      <c r="V1804">
        <v>599.02</v>
      </c>
      <c r="W1804">
        <v>13130001802</v>
      </c>
    </row>
    <row r="1805" spans="1:23" x14ac:dyDescent="0.2">
      <c r="A1805" s="1">
        <v>44798</v>
      </c>
      <c r="B1805" s="2">
        <v>0.80070601851851853</v>
      </c>
      <c r="C1805">
        <v>2803</v>
      </c>
      <c r="D1805">
        <v>13002561</v>
      </c>
      <c r="E1805">
        <v>13</v>
      </c>
      <c r="F1805">
        <v>22589</v>
      </c>
      <c r="G1805" t="s">
        <v>23</v>
      </c>
      <c r="H1805">
        <v>15</v>
      </c>
      <c r="I1805">
        <v>64824</v>
      </c>
      <c r="J1805" t="s">
        <v>53</v>
      </c>
      <c r="K1805" t="s">
        <v>28</v>
      </c>
      <c r="L1805" t="s">
        <v>26</v>
      </c>
      <c r="M1805">
        <v>3</v>
      </c>
      <c r="N1805">
        <v>192.66</v>
      </c>
      <c r="O1805">
        <v>262.08</v>
      </c>
      <c r="P1805">
        <v>13.1</v>
      </c>
      <c r="Q1805">
        <v>13.1</v>
      </c>
      <c r="R1805" t="s">
        <v>30</v>
      </c>
      <c r="S1805">
        <v>29</v>
      </c>
      <c r="T1805">
        <v>1</v>
      </c>
      <c r="U1805">
        <v>4</v>
      </c>
      <c r="V1805">
        <v>248.98</v>
      </c>
      <c r="W1805">
        <v>13130001803</v>
      </c>
    </row>
    <row r="1806" spans="1:23" x14ac:dyDescent="0.2">
      <c r="A1806" s="1">
        <v>44778</v>
      </c>
      <c r="B1806" s="2">
        <v>0.88571759259259264</v>
      </c>
      <c r="C1806">
        <v>2804</v>
      </c>
      <c r="D1806">
        <v>13002561</v>
      </c>
      <c r="E1806">
        <v>13</v>
      </c>
      <c r="F1806">
        <v>22589</v>
      </c>
      <c r="G1806" t="s">
        <v>23</v>
      </c>
      <c r="H1806">
        <v>15</v>
      </c>
      <c r="I1806">
        <v>39379</v>
      </c>
      <c r="J1806" t="s">
        <v>111</v>
      </c>
      <c r="K1806" t="s">
        <v>38</v>
      </c>
      <c r="L1806" t="s">
        <v>29</v>
      </c>
      <c r="M1806">
        <v>1</v>
      </c>
      <c r="N1806">
        <v>45.03</v>
      </c>
      <c r="O1806">
        <v>70.58</v>
      </c>
      <c r="P1806">
        <v>0</v>
      </c>
      <c r="Q1806">
        <v>0</v>
      </c>
      <c r="S1806">
        <v>29</v>
      </c>
      <c r="T1806">
        <v>1</v>
      </c>
      <c r="U1806">
        <v>6</v>
      </c>
      <c r="V1806">
        <v>70.58</v>
      </c>
      <c r="W1806">
        <v>13130001804</v>
      </c>
    </row>
    <row r="1807" spans="1:23" x14ac:dyDescent="0.2">
      <c r="A1807" s="1">
        <v>44775</v>
      </c>
      <c r="B1807" s="2">
        <v>0.91317129629629634</v>
      </c>
      <c r="C1807">
        <v>2805</v>
      </c>
      <c r="D1807">
        <v>13002561</v>
      </c>
      <c r="E1807">
        <v>13</v>
      </c>
      <c r="F1807">
        <v>22589</v>
      </c>
      <c r="G1807" t="s">
        <v>23</v>
      </c>
      <c r="H1807">
        <v>15</v>
      </c>
      <c r="I1807">
        <v>75228</v>
      </c>
      <c r="J1807" t="s">
        <v>63</v>
      </c>
      <c r="K1807" t="s">
        <v>44</v>
      </c>
      <c r="L1807" t="s">
        <v>26</v>
      </c>
      <c r="M1807">
        <v>1</v>
      </c>
      <c r="N1807">
        <v>300.95</v>
      </c>
      <c r="O1807">
        <v>510.3</v>
      </c>
      <c r="P1807">
        <v>0</v>
      </c>
      <c r="Q1807">
        <v>0</v>
      </c>
      <c r="S1807">
        <v>29</v>
      </c>
      <c r="T1807">
        <v>1</v>
      </c>
      <c r="U1807">
        <v>4</v>
      </c>
      <c r="V1807">
        <v>510.3</v>
      </c>
      <c r="W1807">
        <v>13130001805</v>
      </c>
    </row>
    <row r="1808" spans="1:23" x14ac:dyDescent="0.2">
      <c r="A1808" s="1">
        <v>44774</v>
      </c>
      <c r="B1808" s="2">
        <v>0.80502314814814813</v>
      </c>
      <c r="C1808">
        <v>2806</v>
      </c>
      <c r="D1808">
        <v>13002561</v>
      </c>
      <c r="E1808">
        <v>13</v>
      </c>
      <c r="F1808">
        <v>22589</v>
      </c>
      <c r="G1808" t="s">
        <v>23</v>
      </c>
      <c r="H1808">
        <v>18</v>
      </c>
      <c r="I1808">
        <v>48772</v>
      </c>
      <c r="J1808" t="s">
        <v>54</v>
      </c>
      <c r="K1808" t="s">
        <v>28</v>
      </c>
      <c r="L1808" t="s">
        <v>34</v>
      </c>
      <c r="M1808">
        <v>2</v>
      </c>
      <c r="N1808">
        <v>475.3</v>
      </c>
      <c r="O1808">
        <v>745.09</v>
      </c>
      <c r="P1808">
        <v>37.25</v>
      </c>
      <c r="Q1808">
        <v>37.25</v>
      </c>
      <c r="R1808" t="s">
        <v>30</v>
      </c>
      <c r="S1808">
        <v>29</v>
      </c>
      <c r="T1808">
        <v>1</v>
      </c>
      <c r="U1808">
        <v>6</v>
      </c>
      <c r="V1808">
        <v>707.84</v>
      </c>
      <c r="W1808">
        <v>13130001806</v>
      </c>
    </row>
    <row r="1809" spans="1:23" x14ac:dyDescent="0.2">
      <c r="A1809" s="1">
        <v>44800</v>
      </c>
      <c r="B1809" s="2">
        <v>0.89180555555555552</v>
      </c>
      <c r="C1809">
        <v>2807</v>
      </c>
      <c r="D1809">
        <v>13002561</v>
      </c>
      <c r="E1809">
        <v>13</v>
      </c>
      <c r="F1809">
        <v>22589</v>
      </c>
      <c r="G1809" t="s">
        <v>23</v>
      </c>
      <c r="H1809">
        <v>18</v>
      </c>
      <c r="I1809">
        <v>56854</v>
      </c>
      <c r="J1809" t="s">
        <v>58</v>
      </c>
      <c r="K1809" t="s">
        <v>45</v>
      </c>
      <c r="L1809" t="s">
        <v>32</v>
      </c>
      <c r="M1809">
        <v>3</v>
      </c>
      <c r="N1809">
        <v>152.78</v>
      </c>
      <c r="O1809">
        <v>199.31</v>
      </c>
      <c r="P1809">
        <v>19.93</v>
      </c>
      <c r="Q1809">
        <v>19.93</v>
      </c>
      <c r="R1809" t="s">
        <v>30</v>
      </c>
      <c r="S1809">
        <v>29</v>
      </c>
      <c r="T1809">
        <v>1</v>
      </c>
      <c r="U1809">
        <v>5</v>
      </c>
      <c r="V1809">
        <v>179.38</v>
      </c>
      <c r="W1809">
        <v>13130001807</v>
      </c>
    </row>
    <row r="1810" spans="1:23" x14ac:dyDescent="0.2">
      <c r="A1810" s="1">
        <v>44795</v>
      </c>
      <c r="B1810" s="2">
        <v>0.52090277777777783</v>
      </c>
      <c r="C1810">
        <v>2808</v>
      </c>
      <c r="D1810">
        <v>13002561</v>
      </c>
      <c r="E1810">
        <v>13</v>
      </c>
      <c r="F1810">
        <v>22589</v>
      </c>
      <c r="G1810" t="s">
        <v>23</v>
      </c>
      <c r="H1810">
        <v>15</v>
      </c>
      <c r="I1810">
        <v>42223</v>
      </c>
      <c r="J1810" t="s">
        <v>61</v>
      </c>
      <c r="K1810" t="s">
        <v>44</v>
      </c>
      <c r="L1810" t="s">
        <v>39</v>
      </c>
      <c r="M1810">
        <v>2</v>
      </c>
      <c r="N1810">
        <v>319.61</v>
      </c>
      <c r="O1810">
        <v>523.20000000000005</v>
      </c>
      <c r="P1810">
        <v>52.32</v>
      </c>
      <c r="Q1810">
        <v>52.32</v>
      </c>
      <c r="R1810" t="s">
        <v>30</v>
      </c>
      <c r="S1810">
        <v>29</v>
      </c>
      <c r="T1810">
        <v>1</v>
      </c>
      <c r="U1810">
        <v>2</v>
      </c>
      <c r="V1810">
        <v>470.88</v>
      </c>
      <c r="W1810">
        <v>13130001808</v>
      </c>
    </row>
    <row r="1811" spans="1:23" x14ac:dyDescent="0.2">
      <c r="A1811" s="1">
        <v>44783</v>
      </c>
      <c r="B1811" s="2">
        <v>0.72359953703703705</v>
      </c>
      <c r="C1811">
        <v>2809</v>
      </c>
      <c r="D1811">
        <v>13002561</v>
      </c>
      <c r="E1811">
        <v>13</v>
      </c>
      <c r="F1811">
        <v>22589</v>
      </c>
      <c r="G1811" t="s">
        <v>23</v>
      </c>
      <c r="H1811">
        <v>18</v>
      </c>
      <c r="I1811">
        <v>36972</v>
      </c>
      <c r="J1811" t="s">
        <v>127</v>
      </c>
      <c r="K1811" t="s">
        <v>60</v>
      </c>
      <c r="L1811" t="s">
        <v>34</v>
      </c>
      <c r="M1811">
        <v>1</v>
      </c>
      <c r="N1811">
        <v>66.23</v>
      </c>
      <c r="O1811">
        <v>105.44</v>
      </c>
      <c r="P1811">
        <v>10.54</v>
      </c>
      <c r="Q1811">
        <v>10.54</v>
      </c>
      <c r="R1811" t="s">
        <v>30</v>
      </c>
      <c r="S1811">
        <v>29</v>
      </c>
      <c r="T1811">
        <v>1</v>
      </c>
      <c r="U1811">
        <v>3</v>
      </c>
      <c r="V1811">
        <v>94.9</v>
      </c>
      <c r="W1811">
        <v>13130001809</v>
      </c>
    </row>
    <row r="1812" spans="1:23" x14ac:dyDescent="0.2">
      <c r="A1812" s="1">
        <v>44790</v>
      </c>
      <c r="B1812" s="2">
        <v>0.38217592592592592</v>
      </c>
      <c r="C1812">
        <v>2810</v>
      </c>
      <c r="D1812">
        <v>13002561</v>
      </c>
      <c r="E1812">
        <v>13</v>
      </c>
      <c r="F1812">
        <v>22589</v>
      </c>
      <c r="G1812" t="s">
        <v>23</v>
      </c>
      <c r="H1812">
        <v>15</v>
      </c>
      <c r="I1812">
        <v>96798</v>
      </c>
      <c r="J1812" t="s">
        <v>100</v>
      </c>
      <c r="K1812" t="s">
        <v>38</v>
      </c>
      <c r="L1812" t="s">
        <v>29</v>
      </c>
      <c r="M1812">
        <v>2</v>
      </c>
      <c r="N1812">
        <v>305.91000000000003</v>
      </c>
      <c r="O1812">
        <v>443.41</v>
      </c>
      <c r="P1812">
        <v>22.17</v>
      </c>
      <c r="Q1812">
        <v>22.17</v>
      </c>
      <c r="R1812" t="s">
        <v>30</v>
      </c>
      <c r="S1812">
        <v>29</v>
      </c>
      <c r="T1812">
        <v>1</v>
      </c>
      <c r="U1812">
        <v>2</v>
      </c>
      <c r="V1812">
        <v>421.24</v>
      </c>
      <c r="W1812">
        <v>13130001810</v>
      </c>
    </row>
    <row r="1813" spans="1:23" x14ac:dyDescent="0.2">
      <c r="A1813" s="1">
        <v>44787</v>
      </c>
      <c r="B1813" s="2">
        <v>0.36398148148148152</v>
      </c>
      <c r="C1813">
        <v>2811</v>
      </c>
      <c r="D1813">
        <v>13002561</v>
      </c>
      <c r="E1813">
        <v>13</v>
      </c>
      <c r="F1813">
        <v>22589</v>
      </c>
      <c r="G1813" t="s">
        <v>23</v>
      </c>
      <c r="H1813">
        <v>18</v>
      </c>
      <c r="I1813">
        <v>87780</v>
      </c>
      <c r="J1813" t="s">
        <v>87</v>
      </c>
      <c r="K1813" t="s">
        <v>28</v>
      </c>
      <c r="L1813" t="s">
        <v>29</v>
      </c>
      <c r="M1813">
        <v>1</v>
      </c>
      <c r="N1813">
        <v>147.38999999999999</v>
      </c>
      <c r="O1813">
        <v>218.67</v>
      </c>
      <c r="P1813">
        <v>10.93</v>
      </c>
      <c r="Q1813">
        <v>10.93</v>
      </c>
      <c r="R1813" t="s">
        <v>30</v>
      </c>
      <c r="S1813">
        <v>29</v>
      </c>
      <c r="T1813">
        <v>1</v>
      </c>
      <c r="U1813">
        <v>6</v>
      </c>
      <c r="V1813">
        <v>207.74</v>
      </c>
      <c r="W1813">
        <v>13130001811</v>
      </c>
    </row>
    <row r="1814" spans="1:23" x14ac:dyDescent="0.2">
      <c r="A1814" s="1">
        <v>44775</v>
      </c>
      <c r="B1814" s="2">
        <v>0.7197337962962963</v>
      </c>
      <c r="C1814">
        <v>2812</v>
      </c>
      <c r="D1814">
        <v>13002561</v>
      </c>
      <c r="E1814">
        <v>13</v>
      </c>
      <c r="F1814">
        <v>22589</v>
      </c>
      <c r="G1814" t="s">
        <v>23</v>
      </c>
      <c r="H1814">
        <v>18</v>
      </c>
      <c r="I1814">
        <v>11020</v>
      </c>
      <c r="J1814" t="s">
        <v>98</v>
      </c>
      <c r="K1814" t="s">
        <v>38</v>
      </c>
      <c r="L1814" t="s">
        <v>51</v>
      </c>
      <c r="M1814">
        <v>3</v>
      </c>
      <c r="N1814">
        <v>401.34</v>
      </c>
      <c r="O1814">
        <v>628.08000000000004</v>
      </c>
      <c r="P1814">
        <v>62.81</v>
      </c>
      <c r="Q1814">
        <v>62.81</v>
      </c>
      <c r="R1814" t="s">
        <v>30</v>
      </c>
      <c r="S1814">
        <v>29</v>
      </c>
      <c r="T1814">
        <v>1</v>
      </c>
      <c r="U1814">
        <v>2</v>
      </c>
      <c r="V1814">
        <v>565.27</v>
      </c>
      <c r="W1814">
        <v>13130001812</v>
      </c>
    </row>
    <row r="1815" spans="1:23" x14ac:dyDescent="0.2">
      <c r="A1815" s="1">
        <v>44783</v>
      </c>
      <c r="B1815" s="2">
        <v>0.3629398148148148</v>
      </c>
      <c r="C1815">
        <v>2813</v>
      </c>
      <c r="D1815">
        <v>13002561</v>
      </c>
      <c r="E1815">
        <v>13</v>
      </c>
      <c r="F1815">
        <v>22589</v>
      </c>
      <c r="G1815" t="s">
        <v>23</v>
      </c>
      <c r="H1815">
        <v>15</v>
      </c>
      <c r="I1815">
        <v>16415</v>
      </c>
      <c r="J1815" t="s">
        <v>123</v>
      </c>
      <c r="K1815" t="s">
        <v>25</v>
      </c>
      <c r="L1815" t="s">
        <v>32</v>
      </c>
      <c r="M1815">
        <v>3</v>
      </c>
      <c r="N1815">
        <v>527.01</v>
      </c>
      <c r="O1815">
        <v>697.81</v>
      </c>
      <c r="P1815">
        <v>69.78</v>
      </c>
      <c r="Q1815">
        <v>69.78</v>
      </c>
      <c r="R1815" t="s">
        <v>30</v>
      </c>
      <c r="S1815">
        <v>29</v>
      </c>
      <c r="T1815">
        <v>1</v>
      </c>
      <c r="U1815">
        <v>2</v>
      </c>
      <c r="V1815">
        <v>628.03</v>
      </c>
      <c r="W1815">
        <v>13130001813</v>
      </c>
    </row>
    <row r="1816" spans="1:23" x14ac:dyDescent="0.2">
      <c r="A1816" s="1">
        <v>44775</v>
      </c>
      <c r="B1816" s="2">
        <v>0.46218749999999997</v>
      </c>
      <c r="C1816">
        <v>2814</v>
      </c>
      <c r="D1816">
        <v>13002561</v>
      </c>
      <c r="E1816">
        <v>13</v>
      </c>
      <c r="F1816">
        <v>22589</v>
      </c>
      <c r="G1816" t="s">
        <v>23</v>
      </c>
      <c r="H1816">
        <v>18</v>
      </c>
      <c r="I1816">
        <v>83042</v>
      </c>
      <c r="J1816" t="s">
        <v>94</v>
      </c>
      <c r="K1816" t="s">
        <v>45</v>
      </c>
      <c r="L1816" t="s">
        <v>36</v>
      </c>
      <c r="M1816">
        <v>3</v>
      </c>
      <c r="N1816">
        <v>430.07</v>
      </c>
      <c r="O1816">
        <v>707.26</v>
      </c>
      <c r="P1816">
        <v>35.36</v>
      </c>
      <c r="Q1816">
        <v>35.36</v>
      </c>
      <c r="R1816" t="s">
        <v>30</v>
      </c>
      <c r="S1816">
        <v>29</v>
      </c>
      <c r="T1816">
        <v>1</v>
      </c>
      <c r="U1816">
        <v>3</v>
      </c>
      <c r="V1816">
        <v>671.9</v>
      </c>
      <c r="W1816">
        <v>13130001814</v>
      </c>
    </row>
    <row r="1817" spans="1:23" x14ac:dyDescent="0.2">
      <c r="A1817" s="1">
        <v>44798</v>
      </c>
      <c r="B1817" s="2">
        <v>0.68145833333333339</v>
      </c>
      <c r="C1817">
        <v>2815</v>
      </c>
      <c r="D1817">
        <v>13002561</v>
      </c>
      <c r="E1817">
        <v>13</v>
      </c>
      <c r="F1817">
        <v>22589</v>
      </c>
      <c r="G1817" t="s">
        <v>23</v>
      </c>
      <c r="H1817">
        <v>18</v>
      </c>
      <c r="I1817">
        <v>37157</v>
      </c>
      <c r="J1817" t="s">
        <v>94</v>
      </c>
      <c r="K1817" t="s">
        <v>60</v>
      </c>
      <c r="L1817" t="s">
        <v>29</v>
      </c>
      <c r="M1817">
        <v>1</v>
      </c>
      <c r="N1817">
        <v>499.98</v>
      </c>
      <c r="O1817">
        <v>725.15</v>
      </c>
      <c r="P1817">
        <v>36.26</v>
      </c>
      <c r="Q1817">
        <v>36.26</v>
      </c>
      <c r="R1817" t="s">
        <v>30</v>
      </c>
      <c r="S1817">
        <v>29</v>
      </c>
      <c r="T1817">
        <v>1</v>
      </c>
      <c r="U1817">
        <v>6</v>
      </c>
      <c r="V1817">
        <v>688.89</v>
      </c>
      <c r="W1817">
        <v>13130001815</v>
      </c>
    </row>
    <row r="1818" spans="1:23" x14ac:dyDescent="0.2">
      <c r="A1818" s="1">
        <v>44775</v>
      </c>
      <c r="B1818" s="2">
        <v>0.5522569444444444</v>
      </c>
      <c r="C1818">
        <v>2816</v>
      </c>
      <c r="D1818">
        <v>13002561</v>
      </c>
      <c r="E1818">
        <v>13</v>
      </c>
      <c r="F1818">
        <v>22589</v>
      </c>
      <c r="G1818" t="s">
        <v>23</v>
      </c>
      <c r="H1818">
        <v>15</v>
      </c>
      <c r="I1818">
        <v>19789</v>
      </c>
      <c r="J1818" t="s">
        <v>40</v>
      </c>
      <c r="K1818" t="s">
        <v>25</v>
      </c>
      <c r="L1818" t="s">
        <v>29</v>
      </c>
      <c r="M1818">
        <v>2</v>
      </c>
      <c r="N1818">
        <v>279.52999999999997</v>
      </c>
      <c r="O1818">
        <v>402.14</v>
      </c>
      <c r="P1818">
        <v>0</v>
      </c>
      <c r="Q1818">
        <v>0</v>
      </c>
      <c r="S1818">
        <v>29</v>
      </c>
      <c r="T1818">
        <v>1</v>
      </c>
      <c r="U1818">
        <v>6</v>
      </c>
      <c r="V1818">
        <v>402.14</v>
      </c>
      <c r="W1818">
        <v>13130001816</v>
      </c>
    </row>
    <row r="1819" spans="1:23" x14ac:dyDescent="0.2">
      <c r="A1819" s="1">
        <v>44791</v>
      </c>
      <c r="B1819" s="2">
        <v>0.79290509259259256</v>
      </c>
      <c r="C1819">
        <v>2817</v>
      </c>
      <c r="D1819">
        <v>13002561</v>
      </c>
      <c r="E1819">
        <v>13</v>
      </c>
      <c r="F1819">
        <v>22589</v>
      </c>
      <c r="G1819" t="s">
        <v>23</v>
      </c>
      <c r="H1819">
        <v>15</v>
      </c>
      <c r="I1819">
        <v>61358</v>
      </c>
      <c r="J1819" t="s">
        <v>76</v>
      </c>
      <c r="K1819" t="s">
        <v>44</v>
      </c>
      <c r="L1819" t="s">
        <v>51</v>
      </c>
      <c r="M1819">
        <v>2</v>
      </c>
      <c r="N1819">
        <v>189.41</v>
      </c>
      <c r="O1819">
        <v>251.61</v>
      </c>
      <c r="P1819">
        <v>25.16</v>
      </c>
      <c r="Q1819">
        <v>25.16</v>
      </c>
      <c r="R1819" t="s">
        <v>30</v>
      </c>
      <c r="S1819">
        <v>29</v>
      </c>
      <c r="T1819">
        <v>1</v>
      </c>
      <c r="U1819">
        <v>4</v>
      </c>
      <c r="V1819">
        <v>226.45</v>
      </c>
      <c r="W1819">
        <v>13130001817</v>
      </c>
    </row>
    <row r="1820" spans="1:23" x14ac:dyDescent="0.2">
      <c r="A1820" s="1">
        <v>44799</v>
      </c>
      <c r="B1820" s="2">
        <v>0.76811342592592591</v>
      </c>
      <c r="C1820">
        <v>2818</v>
      </c>
      <c r="D1820">
        <v>13002561</v>
      </c>
      <c r="E1820">
        <v>13</v>
      </c>
      <c r="F1820">
        <v>22589</v>
      </c>
      <c r="G1820" t="s">
        <v>23</v>
      </c>
      <c r="H1820">
        <v>18</v>
      </c>
      <c r="I1820">
        <v>21584</v>
      </c>
      <c r="J1820" t="s">
        <v>104</v>
      </c>
      <c r="K1820" t="s">
        <v>38</v>
      </c>
      <c r="L1820" t="s">
        <v>51</v>
      </c>
      <c r="M1820">
        <v>1</v>
      </c>
      <c r="N1820">
        <v>133.82</v>
      </c>
      <c r="O1820">
        <v>211.19</v>
      </c>
      <c r="P1820">
        <v>10.56</v>
      </c>
      <c r="Q1820">
        <v>10.56</v>
      </c>
      <c r="R1820" t="s">
        <v>30</v>
      </c>
      <c r="S1820">
        <v>29</v>
      </c>
      <c r="T1820">
        <v>1</v>
      </c>
      <c r="U1820">
        <v>2</v>
      </c>
      <c r="V1820">
        <v>200.63</v>
      </c>
      <c r="W1820">
        <v>13130001818</v>
      </c>
    </row>
    <row r="1821" spans="1:23" x14ac:dyDescent="0.2">
      <c r="A1821" s="1">
        <v>44788</v>
      </c>
      <c r="B1821" s="2">
        <v>0.77917824074074071</v>
      </c>
      <c r="C1821">
        <v>2819</v>
      </c>
      <c r="D1821">
        <v>13002561</v>
      </c>
      <c r="E1821">
        <v>13</v>
      </c>
      <c r="F1821">
        <v>22589</v>
      </c>
      <c r="G1821" t="s">
        <v>23</v>
      </c>
      <c r="H1821">
        <v>18</v>
      </c>
      <c r="I1821">
        <v>25453</v>
      </c>
      <c r="J1821" t="s">
        <v>59</v>
      </c>
      <c r="K1821" t="s">
        <v>44</v>
      </c>
      <c r="L1821" t="s">
        <v>32</v>
      </c>
      <c r="M1821">
        <v>1</v>
      </c>
      <c r="N1821">
        <v>81.88</v>
      </c>
      <c r="O1821">
        <v>117.31</v>
      </c>
      <c r="P1821">
        <v>11.73</v>
      </c>
      <c r="Q1821">
        <v>11.73</v>
      </c>
      <c r="R1821" t="s">
        <v>30</v>
      </c>
      <c r="S1821">
        <v>29</v>
      </c>
      <c r="T1821">
        <v>1</v>
      </c>
      <c r="U1821">
        <v>6</v>
      </c>
      <c r="V1821">
        <v>105.58</v>
      </c>
      <c r="W1821">
        <v>13130001819</v>
      </c>
    </row>
    <row r="1822" spans="1:23" x14ac:dyDescent="0.2">
      <c r="A1822" s="1">
        <v>44790</v>
      </c>
      <c r="B1822" s="2">
        <v>0.3725</v>
      </c>
      <c r="C1822">
        <v>2820</v>
      </c>
      <c r="D1822">
        <v>13002561</v>
      </c>
      <c r="E1822">
        <v>13</v>
      </c>
      <c r="F1822">
        <v>22589</v>
      </c>
      <c r="G1822" t="s">
        <v>23</v>
      </c>
      <c r="H1822">
        <v>15</v>
      </c>
      <c r="I1822">
        <v>65131</v>
      </c>
      <c r="J1822" t="s">
        <v>111</v>
      </c>
      <c r="K1822" t="s">
        <v>60</v>
      </c>
      <c r="L1822" t="s">
        <v>39</v>
      </c>
      <c r="M1822">
        <v>2</v>
      </c>
      <c r="N1822">
        <v>133.11000000000001</v>
      </c>
      <c r="O1822">
        <v>205.67</v>
      </c>
      <c r="P1822">
        <v>0</v>
      </c>
      <c r="Q1822">
        <v>0</v>
      </c>
      <c r="S1822">
        <v>29</v>
      </c>
      <c r="T1822">
        <v>1</v>
      </c>
      <c r="U1822">
        <v>5</v>
      </c>
      <c r="V1822">
        <v>205.67</v>
      </c>
      <c r="W1822">
        <v>13130001820</v>
      </c>
    </row>
    <row r="1823" spans="1:23" x14ac:dyDescent="0.2">
      <c r="A1823" s="1">
        <v>44784</v>
      </c>
      <c r="B1823" s="2">
        <v>0.43984953703703711</v>
      </c>
      <c r="C1823">
        <v>2821</v>
      </c>
      <c r="D1823">
        <v>13002561</v>
      </c>
      <c r="E1823">
        <v>13</v>
      </c>
      <c r="F1823">
        <v>22589</v>
      </c>
      <c r="G1823" t="s">
        <v>23</v>
      </c>
      <c r="H1823">
        <v>18</v>
      </c>
      <c r="I1823">
        <v>64946</v>
      </c>
      <c r="J1823" t="s">
        <v>64</v>
      </c>
      <c r="K1823" t="s">
        <v>38</v>
      </c>
      <c r="L1823" t="s">
        <v>32</v>
      </c>
      <c r="M1823">
        <v>2</v>
      </c>
      <c r="N1823">
        <v>160.22</v>
      </c>
      <c r="O1823">
        <v>229.31</v>
      </c>
      <c r="P1823">
        <v>22.93</v>
      </c>
      <c r="Q1823">
        <v>22.93</v>
      </c>
      <c r="R1823" t="s">
        <v>30</v>
      </c>
      <c r="S1823">
        <v>29</v>
      </c>
      <c r="T1823">
        <v>1</v>
      </c>
      <c r="U1823">
        <v>3</v>
      </c>
      <c r="V1823">
        <v>206.38</v>
      </c>
      <c r="W1823">
        <v>13130001821</v>
      </c>
    </row>
    <row r="1824" spans="1:23" x14ac:dyDescent="0.2">
      <c r="A1824" s="1">
        <v>44804</v>
      </c>
      <c r="B1824" s="2">
        <v>0.72574074074074069</v>
      </c>
      <c r="C1824">
        <v>2822</v>
      </c>
      <c r="D1824">
        <v>13002561</v>
      </c>
      <c r="E1824">
        <v>13</v>
      </c>
      <c r="F1824">
        <v>22589</v>
      </c>
      <c r="G1824" t="s">
        <v>23</v>
      </c>
      <c r="H1824">
        <v>18</v>
      </c>
      <c r="I1824">
        <v>92148</v>
      </c>
      <c r="J1824" t="s">
        <v>107</v>
      </c>
      <c r="K1824" t="s">
        <v>28</v>
      </c>
      <c r="L1824" t="s">
        <v>39</v>
      </c>
      <c r="M1824">
        <v>3</v>
      </c>
      <c r="N1824">
        <v>325.45999999999998</v>
      </c>
      <c r="O1824">
        <v>495.01</v>
      </c>
      <c r="P1824">
        <v>0</v>
      </c>
      <c r="Q1824">
        <v>0</v>
      </c>
      <c r="S1824">
        <v>29</v>
      </c>
      <c r="T1824">
        <v>1</v>
      </c>
      <c r="U1824">
        <v>4</v>
      </c>
      <c r="V1824">
        <v>495.01</v>
      </c>
      <c r="W1824">
        <v>13130001822</v>
      </c>
    </row>
    <row r="1825" spans="1:23" x14ac:dyDescent="0.2">
      <c r="A1825" s="1">
        <v>44774</v>
      </c>
      <c r="B1825" s="2">
        <v>0.68467592592592597</v>
      </c>
      <c r="C1825">
        <v>2823</v>
      </c>
      <c r="D1825">
        <v>13002561</v>
      </c>
      <c r="E1825">
        <v>13</v>
      </c>
      <c r="F1825">
        <v>22589</v>
      </c>
      <c r="G1825" t="s">
        <v>23</v>
      </c>
      <c r="H1825">
        <v>18</v>
      </c>
      <c r="I1825">
        <v>27193</v>
      </c>
      <c r="J1825" t="s">
        <v>49</v>
      </c>
      <c r="K1825" t="s">
        <v>44</v>
      </c>
      <c r="L1825" t="s">
        <v>34</v>
      </c>
      <c r="M1825">
        <v>1</v>
      </c>
      <c r="N1825">
        <v>28.09</v>
      </c>
      <c r="O1825">
        <v>39.909999999999997</v>
      </c>
      <c r="P1825">
        <v>3.99</v>
      </c>
      <c r="Q1825">
        <v>3.99</v>
      </c>
      <c r="R1825" t="s">
        <v>30</v>
      </c>
      <c r="S1825">
        <v>29</v>
      </c>
      <c r="T1825">
        <v>1</v>
      </c>
      <c r="U1825">
        <v>2</v>
      </c>
      <c r="V1825">
        <v>35.92</v>
      </c>
      <c r="W1825">
        <v>13130001823</v>
      </c>
    </row>
    <row r="1826" spans="1:23" x14ac:dyDescent="0.2">
      <c r="A1826" s="1">
        <v>44782</v>
      </c>
      <c r="B1826" s="2">
        <v>0.5611342592592593</v>
      </c>
      <c r="C1826">
        <v>2824</v>
      </c>
      <c r="D1826">
        <v>13002561</v>
      </c>
      <c r="E1826">
        <v>13</v>
      </c>
      <c r="F1826">
        <v>22589</v>
      </c>
      <c r="G1826" t="s">
        <v>23</v>
      </c>
      <c r="H1826">
        <v>18</v>
      </c>
      <c r="I1826">
        <v>53895</v>
      </c>
      <c r="J1826" t="s">
        <v>127</v>
      </c>
      <c r="K1826" t="s">
        <v>25</v>
      </c>
      <c r="L1826" t="s">
        <v>32</v>
      </c>
      <c r="M1826">
        <v>1</v>
      </c>
      <c r="N1826">
        <v>242.49</v>
      </c>
      <c r="O1826">
        <v>314.67</v>
      </c>
      <c r="P1826">
        <v>0</v>
      </c>
      <c r="Q1826">
        <v>0</v>
      </c>
      <c r="S1826">
        <v>29</v>
      </c>
      <c r="T1826">
        <v>1</v>
      </c>
      <c r="U1826">
        <v>3</v>
      </c>
      <c r="V1826">
        <v>314.67</v>
      </c>
      <c r="W1826">
        <v>13130001824</v>
      </c>
    </row>
    <row r="1827" spans="1:23" x14ac:dyDescent="0.2">
      <c r="A1827" s="1">
        <v>44788</v>
      </c>
      <c r="B1827" s="2">
        <v>0.75249999999999995</v>
      </c>
      <c r="C1827">
        <v>2825</v>
      </c>
      <c r="D1827">
        <v>13002561</v>
      </c>
      <c r="E1827">
        <v>13</v>
      </c>
      <c r="F1827">
        <v>22589</v>
      </c>
      <c r="G1827" t="s">
        <v>23</v>
      </c>
      <c r="H1827">
        <v>18</v>
      </c>
      <c r="I1827">
        <v>98285</v>
      </c>
      <c r="J1827" t="s">
        <v>112</v>
      </c>
      <c r="K1827" t="s">
        <v>38</v>
      </c>
      <c r="L1827" t="s">
        <v>39</v>
      </c>
      <c r="M1827">
        <v>3</v>
      </c>
      <c r="N1827">
        <v>521.35</v>
      </c>
      <c r="O1827">
        <v>723.47</v>
      </c>
      <c r="P1827">
        <v>0</v>
      </c>
      <c r="Q1827">
        <v>0</v>
      </c>
      <c r="S1827">
        <v>29</v>
      </c>
      <c r="T1827">
        <v>1</v>
      </c>
      <c r="U1827">
        <v>1</v>
      </c>
      <c r="V1827">
        <v>723.47</v>
      </c>
      <c r="W1827">
        <v>13130001825</v>
      </c>
    </row>
    <row r="1828" spans="1:23" x14ac:dyDescent="0.2">
      <c r="A1828" s="1">
        <v>44794</v>
      </c>
      <c r="B1828" s="2">
        <v>0.66840277777777779</v>
      </c>
      <c r="C1828">
        <v>2826</v>
      </c>
      <c r="D1828">
        <v>13002561</v>
      </c>
      <c r="E1828">
        <v>13</v>
      </c>
      <c r="F1828">
        <v>22589</v>
      </c>
      <c r="G1828" t="s">
        <v>23</v>
      </c>
      <c r="H1828">
        <v>15</v>
      </c>
      <c r="I1828">
        <v>87276</v>
      </c>
      <c r="J1828" t="s">
        <v>79</v>
      </c>
      <c r="K1828" t="s">
        <v>38</v>
      </c>
      <c r="L1828" t="s">
        <v>39</v>
      </c>
      <c r="M1828">
        <v>3</v>
      </c>
      <c r="N1828">
        <v>57</v>
      </c>
      <c r="O1828">
        <v>81.89</v>
      </c>
      <c r="P1828">
        <v>8.19</v>
      </c>
      <c r="Q1828">
        <v>8.19</v>
      </c>
      <c r="R1828" t="s">
        <v>30</v>
      </c>
      <c r="S1828">
        <v>29</v>
      </c>
      <c r="T1828">
        <v>1</v>
      </c>
      <c r="U1828">
        <v>3</v>
      </c>
      <c r="V1828">
        <v>73.7</v>
      </c>
      <c r="W1828">
        <v>13130001826</v>
      </c>
    </row>
    <row r="1829" spans="1:23" x14ac:dyDescent="0.2">
      <c r="A1829" s="1">
        <v>44792</v>
      </c>
      <c r="B1829" s="2">
        <v>0.4087615740740741</v>
      </c>
      <c r="C1829">
        <v>2827</v>
      </c>
      <c r="D1829">
        <v>13002561</v>
      </c>
      <c r="E1829">
        <v>13</v>
      </c>
      <c r="F1829">
        <v>22589</v>
      </c>
      <c r="G1829" t="s">
        <v>23</v>
      </c>
      <c r="H1829">
        <v>15</v>
      </c>
      <c r="I1829">
        <v>27737</v>
      </c>
      <c r="J1829" t="s">
        <v>128</v>
      </c>
      <c r="K1829" t="s">
        <v>28</v>
      </c>
      <c r="L1829" t="s">
        <v>51</v>
      </c>
      <c r="M1829">
        <v>1</v>
      </c>
      <c r="N1829">
        <v>593.80999999999995</v>
      </c>
      <c r="O1829">
        <v>923.51</v>
      </c>
      <c r="P1829">
        <v>46.18</v>
      </c>
      <c r="Q1829">
        <v>46.18</v>
      </c>
      <c r="R1829" t="s">
        <v>30</v>
      </c>
      <c r="S1829">
        <v>29</v>
      </c>
      <c r="T1829">
        <v>1</v>
      </c>
      <c r="U1829">
        <v>3</v>
      </c>
      <c r="V1829">
        <v>877.33</v>
      </c>
      <c r="W1829">
        <v>13130001827</v>
      </c>
    </row>
    <row r="1830" spans="1:23" x14ac:dyDescent="0.2">
      <c r="A1830" s="1">
        <v>44793</v>
      </c>
      <c r="B1830" s="2">
        <v>0.33743055555555562</v>
      </c>
      <c r="C1830">
        <v>2828</v>
      </c>
      <c r="D1830">
        <v>13002561</v>
      </c>
      <c r="E1830">
        <v>13</v>
      </c>
      <c r="F1830">
        <v>22589</v>
      </c>
      <c r="G1830" t="s">
        <v>23</v>
      </c>
      <c r="H1830">
        <v>18</v>
      </c>
      <c r="I1830">
        <v>13338</v>
      </c>
      <c r="J1830" t="s">
        <v>61</v>
      </c>
      <c r="K1830" t="s">
        <v>25</v>
      </c>
      <c r="L1830" t="s">
        <v>51</v>
      </c>
      <c r="M1830">
        <v>3</v>
      </c>
      <c r="N1830">
        <v>328.11</v>
      </c>
      <c r="O1830">
        <v>518.62</v>
      </c>
      <c r="P1830">
        <v>0</v>
      </c>
      <c r="Q1830">
        <v>0</v>
      </c>
      <c r="S1830">
        <v>29</v>
      </c>
      <c r="T1830">
        <v>1</v>
      </c>
      <c r="U1830">
        <v>4</v>
      </c>
      <c r="V1830">
        <v>518.62</v>
      </c>
      <c r="W1830">
        <v>13130001828</v>
      </c>
    </row>
    <row r="1831" spans="1:23" x14ac:dyDescent="0.2">
      <c r="A1831" s="1">
        <v>44796</v>
      </c>
      <c r="B1831" s="2">
        <v>0.36471064814814808</v>
      </c>
      <c r="C1831">
        <v>2829</v>
      </c>
      <c r="D1831">
        <v>13002561</v>
      </c>
      <c r="E1831">
        <v>13</v>
      </c>
      <c r="F1831">
        <v>22589</v>
      </c>
      <c r="G1831" t="s">
        <v>23</v>
      </c>
      <c r="H1831">
        <v>15</v>
      </c>
      <c r="I1831">
        <v>98721</v>
      </c>
      <c r="J1831" t="s">
        <v>95</v>
      </c>
      <c r="K1831" t="s">
        <v>44</v>
      </c>
      <c r="L1831" t="s">
        <v>36</v>
      </c>
      <c r="M1831">
        <v>3</v>
      </c>
      <c r="N1831">
        <v>312.94</v>
      </c>
      <c r="O1831">
        <v>487.42</v>
      </c>
      <c r="P1831">
        <v>24.37</v>
      </c>
      <c r="Q1831">
        <v>24.37</v>
      </c>
      <c r="R1831" t="s">
        <v>30</v>
      </c>
      <c r="S1831">
        <v>29</v>
      </c>
      <c r="T1831">
        <v>1</v>
      </c>
      <c r="U1831">
        <v>6</v>
      </c>
      <c r="V1831">
        <v>463.05</v>
      </c>
      <c r="W1831">
        <v>13130001829</v>
      </c>
    </row>
    <row r="1832" spans="1:23" x14ac:dyDescent="0.2">
      <c r="A1832" s="1">
        <v>44795</v>
      </c>
      <c r="B1832" s="2">
        <v>0.70520833333333333</v>
      </c>
      <c r="C1832">
        <v>2830</v>
      </c>
      <c r="D1832">
        <v>13002561</v>
      </c>
      <c r="E1832">
        <v>13</v>
      </c>
      <c r="F1832">
        <v>22589</v>
      </c>
      <c r="G1832" t="s">
        <v>23</v>
      </c>
      <c r="H1832">
        <v>15</v>
      </c>
      <c r="I1832">
        <v>28889</v>
      </c>
      <c r="J1832" t="s">
        <v>69</v>
      </c>
      <c r="K1832" t="s">
        <v>25</v>
      </c>
      <c r="L1832" t="s">
        <v>29</v>
      </c>
      <c r="M1832">
        <v>3</v>
      </c>
      <c r="N1832">
        <v>400.27</v>
      </c>
      <c r="O1832">
        <v>511.78</v>
      </c>
      <c r="P1832">
        <v>51.18</v>
      </c>
      <c r="Q1832">
        <v>51.18</v>
      </c>
      <c r="R1832" t="s">
        <v>30</v>
      </c>
      <c r="S1832">
        <v>29</v>
      </c>
      <c r="T1832">
        <v>1</v>
      </c>
      <c r="U1832">
        <v>2</v>
      </c>
      <c r="V1832">
        <v>460.6</v>
      </c>
      <c r="W1832">
        <v>13130001830</v>
      </c>
    </row>
    <row r="1833" spans="1:23" x14ac:dyDescent="0.2">
      <c r="A1833" s="1">
        <v>44804</v>
      </c>
      <c r="B1833" s="2">
        <v>0.69630787037037034</v>
      </c>
      <c r="C1833">
        <v>2831</v>
      </c>
      <c r="D1833">
        <v>13002561</v>
      </c>
      <c r="E1833">
        <v>13</v>
      </c>
      <c r="F1833">
        <v>22589</v>
      </c>
      <c r="G1833" t="s">
        <v>23</v>
      </c>
      <c r="H1833">
        <v>15</v>
      </c>
      <c r="I1833">
        <v>78071</v>
      </c>
      <c r="J1833" t="s">
        <v>41</v>
      </c>
      <c r="K1833" t="s">
        <v>28</v>
      </c>
      <c r="L1833" t="s">
        <v>32</v>
      </c>
      <c r="M1833">
        <v>3</v>
      </c>
      <c r="N1833">
        <v>58.23</v>
      </c>
      <c r="O1833">
        <v>97.26</v>
      </c>
      <c r="P1833">
        <v>4.8600000000000003</v>
      </c>
      <c r="Q1833">
        <v>4.8600000000000003</v>
      </c>
      <c r="R1833" t="s">
        <v>30</v>
      </c>
      <c r="S1833">
        <v>29</v>
      </c>
      <c r="T1833">
        <v>1</v>
      </c>
      <c r="U1833">
        <v>3</v>
      </c>
      <c r="V1833">
        <v>92.4</v>
      </c>
      <c r="W1833">
        <v>13130001831</v>
      </c>
    </row>
    <row r="1834" spans="1:23" x14ac:dyDescent="0.2">
      <c r="A1834" s="1">
        <v>44781</v>
      </c>
      <c r="B1834" s="2">
        <v>0.46479166666666671</v>
      </c>
      <c r="C1834">
        <v>2832</v>
      </c>
      <c r="D1834">
        <v>13002561</v>
      </c>
      <c r="E1834">
        <v>13</v>
      </c>
      <c r="F1834">
        <v>22589</v>
      </c>
      <c r="G1834" t="s">
        <v>23</v>
      </c>
      <c r="H1834">
        <v>15</v>
      </c>
      <c r="I1834">
        <v>80841</v>
      </c>
      <c r="J1834" t="s">
        <v>70</v>
      </c>
      <c r="K1834" t="s">
        <v>28</v>
      </c>
      <c r="L1834" t="s">
        <v>51</v>
      </c>
      <c r="M1834">
        <v>1</v>
      </c>
      <c r="N1834">
        <v>577.39</v>
      </c>
      <c r="O1834">
        <v>888.72</v>
      </c>
      <c r="P1834">
        <v>88.87</v>
      </c>
      <c r="Q1834">
        <v>88.87</v>
      </c>
      <c r="R1834" t="s">
        <v>30</v>
      </c>
      <c r="S1834">
        <v>29</v>
      </c>
      <c r="T1834">
        <v>1</v>
      </c>
      <c r="U1834">
        <v>6</v>
      </c>
      <c r="V1834">
        <v>799.85</v>
      </c>
      <c r="W1834">
        <v>13130001832</v>
      </c>
    </row>
    <row r="1835" spans="1:23" x14ac:dyDescent="0.2">
      <c r="A1835" s="1">
        <v>44774</v>
      </c>
      <c r="B1835" s="2">
        <v>0.7698842592592593</v>
      </c>
      <c r="C1835">
        <v>2833</v>
      </c>
      <c r="D1835">
        <v>13002561</v>
      </c>
      <c r="E1835">
        <v>13</v>
      </c>
      <c r="F1835">
        <v>22589</v>
      </c>
      <c r="G1835" t="s">
        <v>23</v>
      </c>
      <c r="H1835">
        <v>18</v>
      </c>
      <c r="I1835">
        <v>28904</v>
      </c>
      <c r="J1835" t="s">
        <v>105</v>
      </c>
      <c r="K1835" t="s">
        <v>45</v>
      </c>
      <c r="L1835" t="s">
        <v>36</v>
      </c>
      <c r="M1835">
        <v>3</v>
      </c>
      <c r="N1835">
        <v>330.76</v>
      </c>
      <c r="O1835">
        <v>509.95</v>
      </c>
      <c r="P1835">
        <v>25.5</v>
      </c>
      <c r="Q1835">
        <v>25.5</v>
      </c>
      <c r="R1835" t="s">
        <v>30</v>
      </c>
      <c r="S1835">
        <v>29</v>
      </c>
      <c r="T1835">
        <v>1</v>
      </c>
      <c r="U1835">
        <v>4</v>
      </c>
      <c r="V1835">
        <v>484.45</v>
      </c>
      <c r="W1835">
        <v>13130001833</v>
      </c>
    </row>
    <row r="1836" spans="1:23" x14ac:dyDescent="0.2">
      <c r="A1836" s="1">
        <v>44793</v>
      </c>
      <c r="B1836" s="2">
        <v>0.7453819444444445</v>
      </c>
      <c r="C1836">
        <v>2834</v>
      </c>
      <c r="D1836">
        <v>13002561</v>
      </c>
      <c r="E1836">
        <v>13</v>
      </c>
      <c r="F1836">
        <v>22589</v>
      </c>
      <c r="G1836" t="s">
        <v>23</v>
      </c>
      <c r="H1836">
        <v>15</v>
      </c>
      <c r="I1836">
        <v>95984</v>
      </c>
      <c r="J1836" t="s">
        <v>41</v>
      </c>
      <c r="K1836" t="s">
        <v>38</v>
      </c>
      <c r="L1836" t="s">
        <v>26</v>
      </c>
      <c r="M1836">
        <v>3</v>
      </c>
      <c r="N1836">
        <v>25.28</v>
      </c>
      <c r="O1836">
        <v>42.02</v>
      </c>
      <c r="P1836">
        <v>4.2</v>
      </c>
      <c r="Q1836">
        <v>4.2</v>
      </c>
      <c r="R1836" t="s">
        <v>30</v>
      </c>
      <c r="S1836">
        <v>29</v>
      </c>
      <c r="T1836">
        <v>1</v>
      </c>
      <c r="U1836">
        <v>4</v>
      </c>
      <c r="V1836">
        <v>37.82</v>
      </c>
      <c r="W1836">
        <v>13130001834</v>
      </c>
    </row>
    <row r="1837" spans="1:23" x14ac:dyDescent="0.2">
      <c r="A1837" s="1">
        <v>44783</v>
      </c>
      <c r="B1837" s="2">
        <v>0.7123842592592593</v>
      </c>
      <c r="C1837">
        <v>2835</v>
      </c>
      <c r="D1837">
        <v>13002561</v>
      </c>
      <c r="E1837">
        <v>13</v>
      </c>
      <c r="F1837">
        <v>22589</v>
      </c>
      <c r="G1837" t="s">
        <v>23</v>
      </c>
      <c r="H1837">
        <v>15</v>
      </c>
      <c r="I1837">
        <v>15621</v>
      </c>
      <c r="J1837" t="s">
        <v>75</v>
      </c>
      <c r="K1837" t="s">
        <v>44</v>
      </c>
      <c r="L1837" t="s">
        <v>26</v>
      </c>
      <c r="M1837">
        <v>2</v>
      </c>
      <c r="N1837">
        <v>436.64</v>
      </c>
      <c r="O1837">
        <v>546.04</v>
      </c>
      <c r="P1837">
        <v>54.6</v>
      </c>
      <c r="Q1837">
        <v>54.6</v>
      </c>
      <c r="R1837" t="s">
        <v>30</v>
      </c>
      <c r="S1837">
        <v>29</v>
      </c>
      <c r="T1837">
        <v>1</v>
      </c>
      <c r="U1837">
        <v>1</v>
      </c>
      <c r="V1837">
        <v>491.44</v>
      </c>
      <c r="W1837">
        <v>13130001835</v>
      </c>
    </row>
    <row r="1838" spans="1:23" x14ac:dyDescent="0.2">
      <c r="A1838" s="1">
        <v>44774</v>
      </c>
      <c r="B1838" s="2">
        <v>0.40679398148148149</v>
      </c>
      <c r="C1838">
        <v>2836</v>
      </c>
      <c r="D1838">
        <v>13002561</v>
      </c>
      <c r="E1838">
        <v>13</v>
      </c>
      <c r="F1838">
        <v>22589</v>
      </c>
      <c r="G1838" t="s">
        <v>23</v>
      </c>
      <c r="H1838">
        <v>15</v>
      </c>
      <c r="I1838">
        <v>69151</v>
      </c>
      <c r="J1838" t="s">
        <v>50</v>
      </c>
      <c r="K1838" t="s">
        <v>45</v>
      </c>
      <c r="L1838" t="s">
        <v>26</v>
      </c>
      <c r="M1838">
        <v>3</v>
      </c>
      <c r="N1838">
        <v>472.98</v>
      </c>
      <c r="O1838">
        <v>688.75</v>
      </c>
      <c r="P1838">
        <v>34.44</v>
      </c>
      <c r="Q1838">
        <v>34.44</v>
      </c>
      <c r="R1838" t="s">
        <v>30</v>
      </c>
      <c r="S1838">
        <v>29</v>
      </c>
      <c r="T1838">
        <v>1</v>
      </c>
      <c r="U1838">
        <v>5</v>
      </c>
      <c r="V1838">
        <v>654.30999999999995</v>
      </c>
      <c r="W1838">
        <v>13130001836</v>
      </c>
    </row>
    <row r="1839" spans="1:23" x14ac:dyDescent="0.2">
      <c r="A1839" s="1">
        <v>44778</v>
      </c>
      <c r="B1839" s="2">
        <v>0.85344907407407411</v>
      </c>
      <c r="C1839">
        <v>2837</v>
      </c>
      <c r="D1839">
        <v>13002561</v>
      </c>
      <c r="E1839">
        <v>13</v>
      </c>
      <c r="F1839">
        <v>22589</v>
      </c>
      <c r="G1839" t="s">
        <v>23</v>
      </c>
      <c r="H1839">
        <v>15</v>
      </c>
      <c r="I1839">
        <v>87690</v>
      </c>
      <c r="J1839" t="s">
        <v>69</v>
      </c>
      <c r="K1839" t="s">
        <v>60</v>
      </c>
      <c r="L1839" t="s">
        <v>32</v>
      </c>
      <c r="M1839">
        <v>2</v>
      </c>
      <c r="N1839">
        <v>557.66999999999996</v>
      </c>
      <c r="O1839">
        <v>797.61</v>
      </c>
      <c r="P1839">
        <v>39.880000000000003</v>
      </c>
      <c r="Q1839">
        <v>39.880000000000003</v>
      </c>
      <c r="R1839" t="s">
        <v>30</v>
      </c>
      <c r="S1839">
        <v>29</v>
      </c>
      <c r="T1839">
        <v>1</v>
      </c>
      <c r="U1839">
        <v>4</v>
      </c>
      <c r="V1839">
        <v>757.73</v>
      </c>
      <c r="W1839">
        <v>13130001837</v>
      </c>
    </row>
    <row r="1840" spans="1:23" x14ac:dyDescent="0.2">
      <c r="A1840" s="1">
        <v>44784</v>
      </c>
      <c r="B1840" s="2">
        <v>0.41076388888888887</v>
      </c>
      <c r="C1840">
        <v>2838</v>
      </c>
      <c r="D1840">
        <v>13002561</v>
      </c>
      <c r="E1840">
        <v>13</v>
      </c>
      <c r="F1840">
        <v>22589</v>
      </c>
      <c r="G1840" t="s">
        <v>23</v>
      </c>
      <c r="H1840">
        <v>18</v>
      </c>
      <c r="I1840">
        <v>74073</v>
      </c>
      <c r="J1840" t="s">
        <v>35</v>
      </c>
      <c r="K1840" t="s">
        <v>38</v>
      </c>
      <c r="L1840" t="s">
        <v>36</v>
      </c>
      <c r="M1840">
        <v>3</v>
      </c>
      <c r="N1840">
        <v>177.06</v>
      </c>
      <c r="O1840">
        <v>252.59</v>
      </c>
      <c r="P1840">
        <v>0</v>
      </c>
      <c r="Q1840">
        <v>0</v>
      </c>
      <c r="S1840">
        <v>29</v>
      </c>
      <c r="T1840">
        <v>1</v>
      </c>
      <c r="U1840">
        <v>1</v>
      </c>
      <c r="V1840">
        <v>252.59</v>
      </c>
      <c r="W1840">
        <v>13130001838</v>
      </c>
    </row>
    <row r="1841" spans="1:23" x14ac:dyDescent="0.2">
      <c r="A1841" s="1">
        <v>44782</v>
      </c>
      <c r="B1841" s="2">
        <v>0.4586689814814815</v>
      </c>
      <c r="C1841">
        <v>2839</v>
      </c>
      <c r="D1841">
        <v>13002561</v>
      </c>
      <c r="E1841">
        <v>13</v>
      </c>
      <c r="F1841">
        <v>22589</v>
      </c>
      <c r="G1841" t="s">
        <v>23</v>
      </c>
      <c r="H1841">
        <v>15</v>
      </c>
      <c r="I1841">
        <v>11827</v>
      </c>
      <c r="J1841" t="s">
        <v>125</v>
      </c>
      <c r="K1841" t="s">
        <v>25</v>
      </c>
      <c r="L1841" t="s">
        <v>29</v>
      </c>
      <c r="M1841">
        <v>3</v>
      </c>
      <c r="N1841">
        <v>210.51</v>
      </c>
      <c r="O1841">
        <v>318.79000000000002</v>
      </c>
      <c r="P1841">
        <v>31.88</v>
      </c>
      <c r="Q1841">
        <v>31.88</v>
      </c>
      <c r="R1841" t="s">
        <v>30</v>
      </c>
      <c r="S1841">
        <v>29</v>
      </c>
      <c r="T1841">
        <v>1</v>
      </c>
      <c r="U1841">
        <v>1</v>
      </c>
      <c r="V1841">
        <v>286.91000000000003</v>
      </c>
      <c r="W1841">
        <v>13130001839</v>
      </c>
    </row>
    <row r="1842" spans="1:23" x14ac:dyDescent="0.2">
      <c r="A1842" s="1">
        <v>44787</v>
      </c>
      <c r="B1842" s="2">
        <v>0.36271990740740739</v>
      </c>
      <c r="C1842">
        <v>2840</v>
      </c>
      <c r="D1842">
        <v>13002561</v>
      </c>
      <c r="E1842">
        <v>13</v>
      </c>
      <c r="F1842">
        <v>22589</v>
      </c>
      <c r="G1842" t="s">
        <v>23</v>
      </c>
      <c r="H1842">
        <v>15</v>
      </c>
      <c r="I1842">
        <v>41421</v>
      </c>
      <c r="J1842" t="s">
        <v>124</v>
      </c>
      <c r="K1842" t="s">
        <v>28</v>
      </c>
      <c r="L1842" t="s">
        <v>36</v>
      </c>
      <c r="M1842">
        <v>2</v>
      </c>
      <c r="N1842">
        <v>111.74</v>
      </c>
      <c r="O1842">
        <v>179.38</v>
      </c>
      <c r="P1842">
        <v>0</v>
      </c>
      <c r="Q1842">
        <v>0</v>
      </c>
      <c r="S1842">
        <v>29</v>
      </c>
      <c r="T1842">
        <v>1</v>
      </c>
      <c r="U1842">
        <v>5</v>
      </c>
      <c r="V1842">
        <v>179.38</v>
      </c>
      <c r="W1842">
        <v>13130001840</v>
      </c>
    </row>
    <row r="1843" spans="1:23" x14ac:dyDescent="0.2">
      <c r="A1843" s="1">
        <v>44798</v>
      </c>
      <c r="B1843" s="2">
        <v>0.8825925925925926</v>
      </c>
      <c r="C1843">
        <v>2841</v>
      </c>
      <c r="D1843">
        <v>13002561</v>
      </c>
      <c r="E1843">
        <v>13</v>
      </c>
      <c r="F1843">
        <v>22589</v>
      </c>
      <c r="G1843" t="s">
        <v>23</v>
      </c>
      <c r="H1843">
        <v>18</v>
      </c>
      <c r="I1843">
        <v>80612</v>
      </c>
      <c r="J1843" t="s">
        <v>83</v>
      </c>
      <c r="K1843" t="s">
        <v>25</v>
      </c>
      <c r="L1843" t="s">
        <v>39</v>
      </c>
      <c r="M1843">
        <v>2</v>
      </c>
      <c r="N1843">
        <v>403.01</v>
      </c>
      <c r="O1843">
        <v>509.31</v>
      </c>
      <c r="P1843">
        <v>50.93</v>
      </c>
      <c r="Q1843">
        <v>50.93</v>
      </c>
      <c r="R1843" t="s">
        <v>30</v>
      </c>
      <c r="S1843">
        <v>29</v>
      </c>
      <c r="T1843">
        <v>1</v>
      </c>
      <c r="U1843">
        <v>3</v>
      </c>
      <c r="V1843">
        <v>458.38</v>
      </c>
      <c r="W1843">
        <v>13130001841</v>
      </c>
    </row>
    <row r="1844" spans="1:23" x14ac:dyDescent="0.2">
      <c r="A1844" s="1">
        <v>44782</v>
      </c>
      <c r="B1844" s="2">
        <v>0.68466435185185182</v>
      </c>
      <c r="C1844">
        <v>2842</v>
      </c>
      <c r="D1844">
        <v>13002561</v>
      </c>
      <c r="E1844">
        <v>13</v>
      </c>
      <c r="F1844">
        <v>22589</v>
      </c>
      <c r="G1844" t="s">
        <v>23</v>
      </c>
      <c r="H1844">
        <v>18</v>
      </c>
      <c r="I1844">
        <v>40966</v>
      </c>
      <c r="J1844" t="s">
        <v>106</v>
      </c>
      <c r="K1844" t="s">
        <v>28</v>
      </c>
      <c r="L1844" t="s">
        <v>47</v>
      </c>
      <c r="M1844">
        <v>2</v>
      </c>
      <c r="N1844">
        <v>226.52</v>
      </c>
      <c r="O1844">
        <v>321.23</v>
      </c>
      <c r="P1844">
        <v>32.119999999999997</v>
      </c>
      <c r="Q1844">
        <v>32.119999999999997</v>
      </c>
      <c r="R1844" t="s">
        <v>30</v>
      </c>
      <c r="S1844">
        <v>29</v>
      </c>
      <c r="T1844">
        <v>1</v>
      </c>
      <c r="U1844">
        <v>5</v>
      </c>
      <c r="V1844">
        <v>289.11</v>
      </c>
      <c r="W1844">
        <v>13130001842</v>
      </c>
    </row>
    <row r="1845" spans="1:23" x14ac:dyDescent="0.2">
      <c r="A1845" s="1">
        <v>44800</v>
      </c>
      <c r="B1845" s="2">
        <v>0.54319444444444442</v>
      </c>
      <c r="C1845">
        <v>2843</v>
      </c>
      <c r="D1845">
        <v>13002561</v>
      </c>
      <c r="E1845">
        <v>13</v>
      </c>
      <c r="F1845">
        <v>22589</v>
      </c>
      <c r="G1845" t="s">
        <v>23</v>
      </c>
      <c r="H1845">
        <v>15</v>
      </c>
      <c r="I1845">
        <v>11045</v>
      </c>
      <c r="J1845" t="s">
        <v>85</v>
      </c>
      <c r="K1845" t="s">
        <v>38</v>
      </c>
      <c r="L1845" t="s">
        <v>51</v>
      </c>
      <c r="M1845">
        <v>2</v>
      </c>
      <c r="N1845">
        <v>330.37</v>
      </c>
      <c r="O1845">
        <v>548.29</v>
      </c>
      <c r="P1845">
        <v>0</v>
      </c>
      <c r="Q1845">
        <v>0</v>
      </c>
      <c r="S1845">
        <v>29</v>
      </c>
      <c r="T1845">
        <v>1</v>
      </c>
      <c r="U1845">
        <v>1</v>
      </c>
      <c r="V1845">
        <v>548.29</v>
      </c>
      <c r="W1845">
        <v>13130001843</v>
      </c>
    </row>
    <row r="1846" spans="1:23" x14ac:dyDescent="0.2">
      <c r="A1846" s="1">
        <v>44782</v>
      </c>
      <c r="B1846" s="2">
        <v>0.54475694444444445</v>
      </c>
      <c r="C1846">
        <v>2844</v>
      </c>
      <c r="D1846">
        <v>13002561</v>
      </c>
      <c r="E1846">
        <v>13</v>
      </c>
      <c r="F1846">
        <v>22589</v>
      </c>
      <c r="G1846" t="s">
        <v>23</v>
      </c>
      <c r="H1846">
        <v>15</v>
      </c>
      <c r="I1846">
        <v>61529</v>
      </c>
      <c r="J1846" t="s">
        <v>57</v>
      </c>
      <c r="K1846" t="s">
        <v>28</v>
      </c>
      <c r="L1846" t="s">
        <v>39</v>
      </c>
      <c r="M1846">
        <v>2</v>
      </c>
      <c r="N1846">
        <v>596.69000000000005</v>
      </c>
      <c r="O1846">
        <v>899.22</v>
      </c>
      <c r="P1846">
        <v>0</v>
      </c>
      <c r="Q1846">
        <v>0</v>
      </c>
      <c r="S1846">
        <v>29</v>
      </c>
      <c r="T1846">
        <v>1</v>
      </c>
      <c r="U1846">
        <v>1</v>
      </c>
      <c r="V1846">
        <v>899.22</v>
      </c>
      <c r="W1846">
        <v>13130001844</v>
      </c>
    </row>
    <row r="1847" spans="1:23" x14ac:dyDescent="0.2">
      <c r="A1847" s="1">
        <v>44802</v>
      </c>
      <c r="B1847" s="2">
        <v>0.71</v>
      </c>
      <c r="C1847">
        <v>2845</v>
      </c>
      <c r="D1847">
        <v>13002561</v>
      </c>
      <c r="E1847">
        <v>13</v>
      </c>
      <c r="F1847">
        <v>22589</v>
      </c>
      <c r="G1847" t="s">
        <v>23</v>
      </c>
      <c r="H1847">
        <v>18</v>
      </c>
      <c r="I1847">
        <v>21479</v>
      </c>
      <c r="J1847" t="s">
        <v>117</v>
      </c>
      <c r="K1847" t="s">
        <v>44</v>
      </c>
      <c r="L1847" t="s">
        <v>26</v>
      </c>
      <c r="M1847">
        <v>3</v>
      </c>
      <c r="N1847">
        <v>421.3</v>
      </c>
      <c r="O1847">
        <v>567.59</v>
      </c>
      <c r="P1847">
        <v>56.76</v>
      </c>
      <c r="Q1847">
        <v>56.76</v>
      </c>
      <c r="R1847" t="s">
        <v>30</v>
      </c>
      <c r="S1847">
        <v>29</v>
      </c>
      <c r="T1847">
        <v>1</v>
      </c>
      <c r="U1847">
        <v>4</v>
      </c>
      <c r="V1847">
        <v>510.83</v>
      </c>
      <c r="W1847">
        <v>13130001845</v>
      </c>
    </row>
    <row r="1848" spans="1:23" x14ac:dyDescent="0.2">
      <c r="A1848" s="1">
        <v>44794</v>
      </c>
      <c r="B1848" s="2">
        <v>0.91561342592592587</v>
      </c>
      <c r="C1848">
        <v>2846</v>
      </c>
      <c r="D1848">
        <v>13002561</v>
      </c>
      <c r="E1848">
        <v>13</v>
      </c>
      <c r="F1848">
        <v>22589</v>
      </c>
      <c r="G1848" t="s">
        <v>23</v>
      </c>
      <c r="H1848">
        <v>18</v>
      </c>
      <c r="I1848">
        <v>96126</v>
      </c>
      <c r="J1848" t="s">
        <v>100</v>
      </c>
      <c r="K1848" t="s">
        <v>25</v>
      </c>
      <c r="L1848" t="s">
        <v>36</v>
      </c>
      <c r="M1848">
        <v>3</v>
      </c>
      <c r="N1848">
        <v>340.47</v>
      </c>
      <c r="O1848">
        <v>545.97</v>
      </c>
      <c r="P1848">
        <v>0</v>
      </c>
      <c r="Q1848">
        <v>0</v>
      </c>
      <c r="S1848">
        <v>29</v>
      </c>
      <c r="T1848">
        <v>1</v>
      </c>
      <c r="U1848">
        <v>6</v>
      </c>
      <c r="V1848">
        <v>545.97</v>
      </c>
      <c r="W1848">
        <v>13130001846</v>
      </c>
    </row>
    <row r="1849" spans="1:23" x14ac:dyDescent="0.2">
      <c r="A1849" s="1">
        <v>44775</v>
      </c>
      <c r="B1849" s="2">
        <v>0.94333333333333336</v>
      </c>
      <c r="C1849">
        <v>2847</v>
      </c>
      <c r="D1849">
        <v>13002561</v>
      </c>
      <c r="E1849">
        <v>13</v>
      </c>
      <c r="F1849">
        <v>22589</v>
      </c>
      <c r="G1849" t="s">
        <v>23</v>
      </c>
      <c r="H1849">
        <v>15</v>
      </c>
      <c r="I1849">
        <v>17076</v>
      </c>
      <c r="J1849" t="s">
        <v>97</v>
      </c>
      <c r="K1849" t="s">
        <v>38</v>
      </c>
      <c r="L1849" t="s">
        <v>39</v>
      </c>
      <c r="M1849">
        <v>2</v>
      </c>
      <c r="N1849">
        <v>564.77</v>
      </c>
      <c r="O1849">
        <v>717.36</v>
      </c>
      <c r="P1849">
        <v>0</v>
      </c>
      <c r="Q1849">
        <v>0</v>
      </c>
      <c r="S1849">
        <v>29</v>
      </c>
      <c r="T1849">
        <v>1</v>
      </c>
      <c r="U1849">
        <v>3</v>
      </c>
      <c r="V1849">
        <v>717.36</v>
      </c>
      <c r="W1849">
        <v>13130001847</v>
      </c>
    </row>
    <row r="1850" spans="1:23" x14ac:dyDescent="0.2">
      <c r="A1850" s="1">
        <v>44778</v>
      </c>
      <c r="B1850" s="2">
        <v>0.3349537037037037</v>
      </c>
      <c r="C1850">
        <v>2848</v>
      </c>
      <c r="D1850">
        <v>13002561</v>
      </c>
      <c r="E1850">
        <v>13</v>
      </c>
      <c r="F1850">
        <v>22589</v>
      </c>
      <c r="G1850" t="s">
        <v>23</v>
      </c>
      <c r="H1850">
        <v>15</v>
      </c>
      <c r="I1850">
        <v>19756</v>
      </c>
      <c r="J1850" t="s">
        <v>106</v>
      </c>
      <c r="K1850" t="s">
        <v>28</v>
      </c>
      <c r="L1850" t="s">
        <v>47</v>
      </c>
      <c r="M1850">
        <v>3</v>
      </c>
      <c r="N1850">
        <v>488.24</v>
      </c>
      <c r="O1850">
        <v>666</v>
      </c>
      <c r="P1850">
        <v>66.599999999999994</v>
      </c>
      <c r="Q1850">
        <v>66.599999999999994</v>
      </c>
      <c r="R1850" t="s">
        <v>30</v>
      </c>
      <c r="S1850">
        <v>29</v>
      </c>
      <c r="T1850">
        <v>1</v>
      </c>
      <c r="U1850">
        <v>2</v>
      </c>
      <c r="V1850">
        <v>599.4</v>
      </c>
      <c r="W1850">
        <v>13130001848</v>
      </c>
    </row>
    <row r="1851" spans="1:23" x14ac:dyDescent="0.2">
      <c r="A1851" s="1">
        <v>44776</v>
      </c>
      <c r="B1851" s="2">
        <v>0.42189814814814808</v>
      </c>
      <c r="C1851">
        <v>2849</v>
      </c>
      <c r="D1851">
        <v>13002561</v>
      </c>
      <c r="E1851">
        <v>13</v>
      </c>
      <c r="F1851">
        <v>22589</v>
      </c>
      <c r="G1851" t="s">
        <v>23</v>
      </c>
      <c r="H1851">
        <v>18</v>
      </c>
      <c r="I1851">
        <v>96615</v>
      </c>
      <c r="J1851" t="s">
        <v>72</v>
      </c>
      <c r="K1851" t="s">
        <v>25</v>
      </c>
      <c r="L1851" t="s">
        <v>47</v>
      </c>
      <c r="M1851">
        <v>3</v>
      </c>
      <c r="N1851">
        <v>269.94</v>
      </c>
      <c r="O1851">
        <v>347.62</v>
      </c>
      <c r="P1851">
        <v>17.38</v>
      </c>
      <c r="Q1851">
        <v>17.38</v>
      </c>
      <c r="R1851" t="s">
        <v>30</v>
      </c>
      <c r="S1851">
        <v>29</v>
      </c>
      <c r="T1851">
        <v>1</v>
      </c>
      <c r="U1851">
        <v>6</v>
      </c>
      <c r="V1851">
        <v>330.24</v>
      </c>
      <c r="W1851">
        <v>13130001849</v>
      </c>
    </row>
    <row r="1852" spans="1:23" x14ac:dyDescent="0.2">
      <c r="A1852" s="1">
        <v>44790</v>
      </c>
      <c r="B1852" s="2">
        <v>0.67728009259259259</v>
      </c>
      <c r="C1852">
        <v>2850</v>
      </c>
      <c r="D1852">
        <v>13002561</v>
      </c>
      <c r="E1852">
        <v>13</v>
      </c>
      <c r="F1852">
        <v>22589</v>
      </c>
      <c r="G1852" t="s">
        <v>23</v>
      </c>
      <c r="H1852">
        <v>15</v>
      </c>
      <c r="I1852">
        <v>72237</v>
      </c>
      <c r="J1852" t="s">
        <v>56</v>
      </c>
      <c r="K1852" t="s">
        <v>44</v>
      </c>
      <c r="L1852" t="s">
        <v>36</v>
      </c>
      <c r="M1852">
        <v>1</v>
      </c>
      <c r="N1852">
        <v>388.62</v>
      </c>
      <c r="O1852">
        <v>503.25</v>
      </c>
      <c r="P1852">
        <v>25.16</v>
      </c>
      <c r="Q1852">
        <v>25.16</v>
      </c>
      <c r="R1852" t="s">
        <v>30</v>
      </c>
      <c r="S1852">
        <v>29</v>
      </c>
      <c r="T1852">
        <v>1</v>
      </c>
      <c r="U1852">
        <v>6</v>
      </c>
      <c r="V1852">
        <v>478.09</v>
      </c>
      <c r="W1852">
        <v>13130001850</v>
      </c>
    </row>
    <row r="1853" spans="1:23" x14ac:dyDescent="0.2">
      <c r="A1853" s="1">
        <v>44776</v>
      </c>
      <c r="B1853" s="2">
        <v>0.85184027777777782</v>
      </c>
      <c r="C1853">
        <v>2851</v>
      </c>
      <c r="D1853">
        <v>13002561</v>
      </c>
      <c r="E1853">
        <v>13</v>
      </c>
      <c r="F1853">
        <v>22589</v>
      </c>
      <c r="G1853" t="s">
        <v>23</v>
      </c>
      <c r="H1853">
        <v>18</v>
      </c>
      <c r="I1853">
        <v>81233</v>
      </c>
      <c r="J1853" t="s">
        <v>103</v>
      </c>
      <c r="K1853" t="s">
        <v>28</v>
      </c>
      <c r="L1853" t="s">
        <v>36</v>
      </c>
      <c r="M1853">
        <v>1</v>
      </c>
      <c r="N1853">
        <v>404.2</v>
      </c>
      <c r="O1853">
        <v>562.69000000000005</v>
      </c>
      <c r="P1853">
        <v>56.27</v>
      </c>
      <c r="Q1853">
        <v>56.27</v>
      </c>
      <c r="R1853" t="s">
        <v>30</v>
      </c>
      <c r="S1853">
        <v>29</v>
      </c>
      <c r="T1853">
        <v>1</v>
      </c>
      <c r="U1853">
        <v>3</v>
      </c>
      <c r="V1853">
        <v>506.42</v>
      </c>
      <c r="W1853">
        <v>13130001851</v>
      </c>
    </row>
    <row r="1854" spans="1:23" x14ac:dyDescent="0.2">
      <c r="A1854" s="1">
        <v>44798</v>
      </c>
      <c r="B1854" s="2">
        <v>0.6861342592592593</v>
      </c>
      <c r="C1854">
        <v>2852</v>
      </c>
      <c r="D1854">
        <v>13002561</v>
      </c>
      <c r="E1854">
        <v>13</v>
      </c>
      <c r="F1854">
        <v>22589</v>
      </c>
      <c r="G1854" t="s">
        <v>23</v>
      </c>
      <c r="H1854">
        <v>15</v>
      </c>
      <c r="I1854">
        <v>50998</v>
      </c>
      <c r="J1854" t="s">
        <v>93</v>
      </c>
      <c r="K1854" t="s">
        <v>60</v>
      </c>
      <c r="L1854" t="s">
        <v>32</v>
      </c>
      <c r="M1854">
        <v>3</v>
      </c>
      <c r="N1854">
        <v>567.1</v>
      </c>
      <c r="O1854">
        <v>936.95</v>
      </c>
      <c r="P1854">
        <v>46.85</v>
      </c>
      <c r="Q1854">
        <v>46.85</v>
      </c>
      <c r="R1854" t="s">
        <v>30</v>
      </c>
      <c r="S1854">
        <v>29</v>
      </c>
      <c r="T1854">
        <v>1</v>
      </c>
      <c r="U1854">
        <v>4</v>
      </c>
      <c r="V1854">
        <v>890.1</v>
      </c>
      <c r="W1854">
        <v>13130001852</v>
      </c>
    </row>
    <row r="1855" spans="1:23" x14ac:dyDescent="0.2">
      <c r="A1855" s="1">
        <v>44794</v>
      </c>
      <c r="B1855" s="2">
        <v>0.78342592592592597</v>
      </c>
      <c r="C1855">
        <v>2853</v>
      </c>
      <c r="D1855">
        <v>13002561</v>
      </c>
      <c r="E1855">
        <v>13</v>
      </c>
      <c r="F1855">
        <v>22589</v>
      </c>
      <c r="G1855" t="s">
        <v>23</v>
      </c>
      <c r="H1855">
        <v>18</v>
      </c>
      <c r="I1855">
        <v>36220</v>
      </c>
      <c r="J1855" t="s">
        <v>54</v>
      </c>
      <c r="K1855" t="s">
        <v>25</v>
      </c>
      <c r="L1855" t="s">
        <v>26</v>
      </c>
      <c r="M1855">
        <v>3</v>
      </c>
      <c r="N1855">
        <v>168.15</v>
      </c>
      <c r="O1855">
        <v>258.85000000000002</v>
      </c>
      <c r="P1855">
        <v>0</v>
      </c>
      <c r="Q1855">
        <v>0</v>
      </c>
      <c r="S1855">
        <v>29</v>
      </c>
      <c r="T1855">
        <v>1</v>
      </c>
      <c r="U1855">
        <v>2</v>
      </c>
      <c r="V1855">
        <v>258.85000000000002</v>
      </c>
      <c r="W1855">
        <v>13130001853</v>
      </c>
    </row>
    <row r="1856" spans="1:23" x14ac:dyDescent="0.2">
      <c r="A1856" s="1">
        <v>44789</v>
      </c>
      <c r="B1856" s="2">
        <v>0.62645833333333334</v>
      </c>
      <c r="C1856">
        <v>2854</v>
      </c>
      <c r="D1856">
        <v>13002561</v>
      </c>
      <c r="E1856">
        <v>13</v>
      </c>
      <c r="F1856">
        <v>22589</v>
      </c>
      <c r="G1856" t="s">
        <v>23</v>
      </c>
      <c r="H1856">
        <v>18</v>
      </c>
      <c r="I1856">
        <v>14977</v>
      </c>
      <c r="J1856" t="s">
        <v>67</v>
      </c>
      <c r="K1856" t="s">
        <v>38</v>
      </c>
      <c r="L1856" t="s">
        <v>47</v>
      </c>
      <c r="M1856">
        <v>1</v>
      </c>
      <c r="N1856">
        <v>34.49</v>
      </c>
      <c r="O1856">
        <v>55.03</v>
      </c>
      <c r="P1856">
        <v>2.75</v>
      </c>
      <c r="Q1856">
        <v>2.75</v>
      </c>
      <c r="R1856" t="s">
        <v>30</v>
      </c>
      <c r="S1856">
        <v>29</v>
      </c>
      <c r="T1856">
        <v>1</v>
      </c>
      <c r="U1856">
        <v>4</v>
      </c>
      <c r="V1856">
        <v>52.28</v>
      </c>
      <c r="W1856">
        <v>13130001854</v>
      </c>
    </row>
    <row r="1857" spans="1:23" x14ac:dyDescent="0.2">
      <c r="A1857" s="1">
        <v>44799</v>
      </c>
      <c r="B1857" s="2">
        <v>0.70030092592592597</v>
      </c>
      <c r="C1857">
        <v>2855</v>
      </c>
      <c r="D1857">
        <v>13002561</v>
      </c>
      <c r="E1857">
        <v>13</v>
      </c>
      <c r="F1857">
        <v>22589</v>
      </c>
      <c r="G1857" t="s">
        <v>23</v>
      </c>
      <c r="H1857">
        <v>18</v>
      </c>
      <c r="I1857">
        <v>17754</v>
      </c>
      <c r="J1857" t="s">
        <v>24</v>
      </c>
      <c r="K1857" t="s">
        <v>60</v>
      </c>
      <c r="L1857" t="s">
        <v>51</v>
      </c>
      <c r="M1857">
        <v>1</v>
      </c>
      <c r="N1857">
        <v>123.82</v>
      </c>
      <c r="O1857">
        <v>204.54</v>
      </c>
      <c r="P1857">
        <v>0</v>
      </c>
      <c r="Q1857">
        <v>0</v>
      </c>
      <c r="S1857">
        <v>29</v>
      </c>
      <c r="T1857">
        <v>1</v>
      </c>
      <c r="U1857">
        <v>6</v>
      </c>
      <c r="V1857">
        <v>204.54</v>
      </c>
      <c r="W1857">
        <v>13130001855</v>
      </c>
    </row>
    <row r="1858" spans="1:23" x14ac:dyDescent="0.2">
      <c r="A1858" s="1">
        <v>44782</v>
      </c>
      <c r="B1858" s="2">
        <v>0.61510416666666667</v>
      </c>
      <c r="C1858">
        <v>2856</v>
      </c>
      <c r="D1858">
        <v>13002561</v>
      </c>
      <c r="E1858">
        <v>13</v>
      </c>
      <c r="F1858">
        <v>22589</v>
      </c>
      <c r="G1858" t="s">
        <v>23</v>
      </c>
      <c r="H1858">
        <v>18</v>
      </c>
      <c r="I1858">
        <v>52644</v>
      </c>
      <c r="J1858" t="s">
        <v>67</v>
      </c>
      <c r="K1858" t="s">
        <v>60</v>
      </c>
      <c r="L1858" t="s">
        <v>47</v>
      </c>
      <c r="M1858">
        <v>2</v>
      </c>
      <c r="N1858">
        <v>162.56</v>
      </c>
      <c r="O1858">
        <v>209.39</v>
      </c>
      <c r="P1858">
        <v>0</v>
      </c>
      <c r="Q1858">
        <v>0</v>
      </c>
      <c r="S1858">
        <v>29</v>
      </c>
      <c r="T1858">
        <v>1</v>
      </c>
      <c r="U1858">
        <v>1</v>
      </c>
      <c r="V1858">
        <v>209.39</v>
      </c>
      <c r="W1858">
        <v>13130001856</v>
      </c>
    </row>
    <row r="1859" spans="1:23" x14ac:dyDescent="0.2">
      <c r="A1859" s="1">
        <v>44800</v>
      </c>
      <c r="B1859" s="2">
        <v>0.88089120370370366</v>
      </c>
      <c r="C1859">
        <v>2857</v>
      </c>
      <c r="D1859">
        <v>13002561</v>
      </c>
      <c r="E1859">
        <v>13</v>
      </c>
      <c r="F1859">
        <v>22589</v>
      </c>
      <c r="G1859" t="s">
        <v>23</v>
      </c>
      <c r="H1859">
        <v>18</v>
      </c>
      <c r="I1859">
        <v>50786</v>
      </c>
      <c r="J1859" t="s">
        <v>61</v>
      </c>
      <c r="K1859" t="s">
        <v>60</v>
      </c>
      <c r="L1859" t="s">
        <v>47</v>
      </c>
      <c r="M1859">
        <v>2</v>
      </c>
      <c r="N1859">
        <v>350.32</v>
      </c>
      <c r="O1859">
        <v>491.02</v>
      </c>
      <c r="P1859">
        <v>24.55</v>
      </c>
      <c r="Q1859">
        <v>24.55</v>
      </c>
      <c r="R1859" t="s">
        <v>30</v>
      </c>
      <c r="S1859">
        <v>29</v>
      </c>
      <c r="T1859">
        <v>1</v>
      </c>
      <c r="U1859">
        <v>2</v>
      </c>
      <c r="V1859">
        <v>466.47</v>
      </c>
      <c r="W1859">
        <v>13130001857</v>
      </c>
    </row>
    <row r="1860" spans="1:23" x14ac:dyDescent="0.2">
      <c r="A1860" s="1">
        <v>44784</v>
      </c>
      <c r="B1860" s="2">
        <v>0.88318287037037035</v>
      </c>
      <c r="C1860">
        <v>2858</v>
      </c>
      <c r="D1860">
        <v>13002561</v>
      </c>
      <c r="E1860">
        <v>13</v>
      </c>
      <c r="F1860">
        <v>22589</v>
      </c>
      <c r="G1860" t="s">
        <v>23</v>
      </c>
      <c r="H1860">
        <v>15</v>
      </c>
      <c r="I1860">
        <v>70915</v>
      </c>
      <c r="J1860" t="s">
        <v>66</v>
      </c>
      <c r="K1860" t="s">
        <v>25</v>
      </c>
      <c r="L1860" t="s">
        <v>26</v>
      </c>
      <c r="M1860">
        <v>2</v>
      </c>
      <c r="N1860">
        <v>158.11000000000001</v>
      </c>
      <c r="O1860">
        <v>267.48</v>
      </c>
      <c r="P1860">
        <v>13.37</v>
      </c>
      <c r="Q1860">
        <v>13.37</v>
      </c>
      <c r="R1860" t="s">
        <v>30</v>
      </c>
      <c r="S1860">
        <v>29</v>
      </c>
      <c r="T1860">
        <v>1</v>
      </c>
      <c r="U1860">
        <v>3</v>
      </c>
      <c r="V1860">
        <v>254.11</v>
      </c>
      <c r="W1860">
        <v>13130001858</v>
      </c>
    </row>
    <row r="1861" spans="1:23" x14ac:dyDescent="0.2">
      <c r="A1861" s="1">
        <v>44795</v>
      </c>
      <c r="B1861" s="2">
        <v>0.91177083333333331</v>
      </c>
      <c r="C1861">
        <v>2859</v>
      </c>
      <c r="D1861">
        <v>13002561</v>
      </c>
      <c r="E1861">
        <v>13</v>
      </c>
      <c r="F1861">
        <v>22589</v>
      </c>
      <c r="G1861" t="s">
        <v>23</v>
      </c>
      <c r="H1861">
        <v>18</v>
      </c>
      <c r="I1861">
        <v>52905</v>
      </c>
      <c r="J1861" t="s">
        <v>71</v>
      </c>
      <c r="K1861" t="s">
        <v>45</v>
      </c>
      <c r="L1861" t="s">
        <v>29</v>
      </c>
      <c r="M1861">
        <v>2</v>
      </c>
      <c r="N1861">
        <v>38.14</v>
      </c>
      <c r="O1861">
        <v>53.68</v>
      </c>
      <c r="P1861">
        <v>2.68</v>
      </c>
      <c r="Q1861">
        <v>2.68</v>
      </c>
      <c r="R1861" t="s">
        <v>30</v>
      </c>
      <c r="S1861">
        <v>29</v>
      </c>
      <c r="T1861">
        <v>1</v>
      </c>
      <c r="U1861">
        <v>4</v>
      </c>
      <c r="V1861">
        <v>51</v>
      </c>
      <c r="W1861">
        <v>13130001859</v>
      </c>
    </row>
    <row r="1862" spans="1:23" x14ac:dyDescent="0.2">
      <c r="A1862" s="1">
        <v>44797</v>
      </c>
      <c r="B1862" s="2">
        <v>0.55938657407407411</v>
      </c>
      <c r="C1862">
        <v>2860</v>
      </c>
      <c r="D1862">
        <v>13002561</v>
      </c>
      <c r="E1862">
        <v>13</v>
      </c>
      <c r="F1862">
        <v>22589</v>
      </c>
      <c r="G1862" t="s">
        <v>23</v>
      </c>
      <c r="H1862">
        <v>18</v>
      </c>
      <c r="I1862">
        <v>31873</v>
      </c>
      <c r="J1862" t="s">
        <v>42</v>
      </c>
      <c r="K1862" t="s">
        <v>45</v>
      </c>
      <c r="L1862" t="s">
        <v>26</v>
      </c>
      <c r="M1862">
        <v>3</v>
      </c>
      <c r="N1862">
        <v>560.64</v>
      </c>
      <c r="O1862">
        <v>717.29</v>
      </c>
      <c r="P1862">
        <v>71.73</v>
      </c>
      <c r="Q1862">
        <v>71.73</v>
      </c>
      <c r="R1862" t="s">
        <v>30</v>
      </c>
      <c r="S1862">
        <v>29</v>
      </c>
      <c r="T1862">
        <v>1</v>
      </c>
      <c r="U1862">
        <v>2</v>
      </c>
      <c r="V1862">
        <v>645.55999999999995</v>
      </c>
      <c r="W1862">
        <v>13130001860</v>
      </c>
    </row>
    <row r="1863" spans="1:23" x14ac:dyDescent="0.2">
      <c r="A1863" s="1">
        <v>44782</v>
      </c>
      <c r="B1863" s="2">
        <v>0.84807870370370375</v>
      </c>
      <c r="C1863">
        <v>2861</v>
      </c>
      <c r="D1863">
        <v>13002561</v>
      </c>
      <c r="E1863">
        <v>13</v>
      </c>
      <c r="F1863">
        <v>22589</v>
      </c>
      <c r="G1863" t="s">
        <v>23</v>
      </c>
      <c r="H1863">
        <v>18</v>
      </c>
      <c r="I1863">
        <v>82852</v>
      </c>
      <c r="J1863" t="s">
        <v>75</v>
      </c>
      <c r="K1863" t="s">
        <v>60</v>
      </c>
      <c r="L1863" t="s">
        <v>32</v>
      </c>
      <c r="M1863">
        <v>2</v>
      </c>
      <c r="N1863">
        <v>53.03</v>
      </c>
      <c r="O1863">
        <v>75.03</v>
      </c>
      <c r="P1863">
        <v>0</v>
      </c>
      <c r="Q1863">
        <v>0</v>
      </c>
      <c r="S1863">
        <v>29</v>
      </c>
      <c r="T1863">
        <v>1</v>
      </c>
      <c r="U1863">
        <v>1</v>
      </c>
      <c r="V1863">
        <v>75.03</v>
      </c>
      <c r="W1863">
        <v>13130001861</v>
      </c>
    </row>
    <row r="1864" spans="1:23" x14ac:dyDescent="0.2">
      <c r="A1864" s="1">
        <v>44802</v>
      </c>
      <c r="B1864" s="2">
        <v>0.49018518518518522</v>
      </c>
      <c r="C1864">
        <v>2862</v>
      </c>
      <c r="D1864">
        <v>13002561</v>
      </c>
      <c r="E1864">
        <v>13</v>
      </c>
      <c r="F1864">
        <v>22589</v>
      </c>
      <c r="G1864" t="s">
        <v>23</v>
      </c>
      <c r="H1864">
        <v>18</v>
      </c>
      <c r="I1864">
        <v>76367</v>
      </c>
      <c r="J1864" t="s">
        <v>89</v>
      </c>
      <c r="K1864" t="s">
        <v>60</v>
      </c>
      <c r="L1864" t="s">
        <v>32</v>
      </c>
      <c r="M1864">
        <v>1</v>
      </c>
      <c r="N1864">
        <v>45.54</v>
      </c>
      <c r="O1864">
        <v>60.13</v>
      </c>
      <c r="P1864">
        <v>6.01</v>
      </c>
      <c r="Q1864">
        <v>6.01</v>
      </c>
      <c r="R1864" t="s">
        <v>30</v>
      </c>
      <c r="S1864">
        <v>29</v>
      </c>
      <c r="T1864">
        <v>1</v>
      </c>
      <c r="U1864">
        <v>4</v>
      </c>
      <c r="V1864">
        <v>54.12</v>
      </c>
      <c r="W1864">
        <v>13130001862</v>
      </c>
    </row>
    <row r="1865" spans="1:23" x14ac:dyDescent="0.2">
      <c r="A1865" s="1">
        <v>44796</v>
      </c>
      <c r="B1865" s="2">
        <v>0.48570601851851852</v>
      </c>
      <c r="C1865">
        <v>2863</v>
      </c>
      <c r="D1865">
        <v>13002561</v>
      </c>
      <c r="E1865">
        <v>13</v>
      </c>
      <c r="F1865">
        <v>22589</v>
      </c>
      <c r="G1865" t="s">
        <v>23</v>
      </c>
      <c r="H1865">
        <v>18</v>
      </c>
      <c r="I1865">
        <v>71639</v>
      </c>
      <c r="J1865" t="s">
        <v>63</v>
      </c>
      <c r="K1865" t="s">
        <v>38</v>
      </c>
      <c r="L1865" t="s">
        <v>51</v>
      </c>
      <c r="M1865">
        <v>3</v>
      </c>
      <c r="N1865">
        <v>300.25</v>
      </c>
      <c r="O1865">
        <v>384.21</v>
      </c>
      <c r="P1865">
        <v>0</v>
      </c>
      <c r="Q1865">
        <v>0</v>
      </c>
      <c r="S1865">
        <v>29</v>
      </c>
      <c r="T1865">
        <v>1</v>
      </c>
      <c r="U1865">
        <v>6</v>
      </c>
      <c r="V1865">
        <v>384.21</v>
      </c>
      <c r="W1865">
        <v>13130001863</v>
      </c>
    </row>
    <row r="1866" spans="1:23" x14ac:dyDescent="0.2">
      <c r="A1866" s="1">
        <v>44778</v>
      </c>
      <c r="B1866" s="2">
        <v>0.90319444444444441</v>
      </c>
      <c r="C1866">
        <v>2864</v>
      </c>
      <c r="D1866">
        <v>13002561</v>
      </c>
      <c r="E1866">
        <v>13</v>
      </c>
      <c r="F1866">
        <v>22589</v>
      </c>
      <c r="G1866" t="s">
        <v>23</v>
      </c>
      <c r="H1866">
        <v>18</v>
      </c>
      <c r="I1866">
        <v>82663</v>
      </c>
      <c r="J1866" t="s">
        <v>70</v>
      </c>
      <c r="K1866" t="s">
        <v>25</v>
      </c>
      <c r="L1866" t="s">
        <v>51</v>
      </c>
      <c r="M1866">
        <v>3</v>
      </c>
      <c r="N1866">
        <v>573.82000000000005</v>
      </c>
      <c r="O1866">
        <v>878.23</v>
      </c>
      <c r="P1866">
        <v>43.91</v>
      </c>
      <c r="Q1866">
        <v>43.91</v>
      </c>
      <c r="R1866" t="s">
        <v>30</v>
      </c>
      <c r="S1866">
        <v>29</v>
      </c>
      <c r="T1866">
        <v>1</v>
      </c>
      <c r="U1866">
        <v>1</v>
      </c>
      <c r="V1866">
        <v>834.32</v>
      </c>
      <c r="W1866">
        <v>13130001864</v>
      </c>
    </row>
    <row r="1867" spans="1:23" x14ac:dyDescent="0.2">
      <c r="A1867" s="1">
        <v>44788</v>
      </c>
      <c r="B1867" s="2">
        <v>0.91877314814814814</v>
      </c>
      <c r="C1867">
        <v>2865</v>
      </c>
      <c r="D1867">
        <v>13002561</v>
      </c>
      <c r="E1867">
        <v>13</v>
      </c>
      <c r="F1867">
        <v>22589</v>
      </c>
      <c r="G1867" t="s">
        <v>23</v>
      </c>
      <c r="H1867">
        <v>18</v>
      </c>
      <c r="I1867">
        <v>19820</v>
      </c>
      <c r="J1867" t="s">
        <v>83</v>
      </c>
      <c r="K1867" t="s">
        <v>38</v>
      </c>
      <c r="L1867" t="s">
        <v>36</v>
      </c>
      <c r="M1867">
        <v>3</v>
      </c>
      <c r="N1867">
        <v>58.54</v>
      </c>
      <c r="O1867">
        <v>77.03</v>
      </c>
      <c r="P1867">
        <v>7.7</v>
      </c>
      <c r="Q1867">
        <v>7.7</v>
      </c>
      <c r="R1867" t="s">
        <v>30</v>
      </c>
      <c r="S1867">
        <v>29</v>
      </c>
      <c r="T1867">
        <v>1</v>
      </c>
      <c r="U1867">
        <v>4</v>
      </c>
      <c r="V1867">
        <v>69.33</v>
      </c>
      <c r="W1867">
        <v>13130001865</v>
      </c>
    </row>
    <row r="1868" spans="1:23" x14ac:dyDescent="0.2">
      <c r="A1868" s="1">
        <v>44800</v>
      </c>
      <c r="B1868" s="2">
        <v>0.7396180555555556</v>
      </c>
      <c r="C1868">
        <v>2866</v>
      </c>
      <c r="D1868">
        <v>13002561</v>
      </c>
      <c r="E1868">
        <v>13</v>
      </c>
      <c r="F1868">
        <v>22589</v>
      </c>
      <c r="G1868" t="s">
        <v>23</v>
      </c>
      <c r="H1868">
        <v>15</v>
      </c>
      <c r="I1868">
        <v>37832</v>
      </c>
      <c r="J1868" t="s">
        <v>127</v>
      </c>
      <c r="K1868" t="s">
        <v>38</v>
      </c>
      <c r="L1868" t="s">
        <v>32</v>
      </c>
      <c r="M1868">
        <v>2</v>
      </c>
      <c r="N1868">
        <v>466.53</v>
      </c>
      <c r="O1868">
        <v>602.87</v>
      </c>
      <c r="P1868">
        <v>0</v>
      </c>
      <c r="Q1868">
        <v>0</v>
      </c>
      <c r="S1868">
        <v>29</v>
      </c>
      <c r="T1868">
        <v>1</v>
      </c>
      <c r="U1868">
        <v>6</v>
      </c>
      <c r="V1868">
        <v>602.87</v>
      </c>
      <c r="W1868">
        <v>13130001866</v>
      </c>
    </row>
    <row r="1869" spans="1:23" x14ac:dyDescent="0.2">
      <c r="A1869" s="1">
        <v>44780</v>
      </c>
      <c r="B1869" s="2">
        <v>0.69907407407407407</v>
      </c>
      <c r="C1869">
        <v>2867</v>
      </c>
      <c r="D1869">
        <v>13002561</v>
      </c>
      <c r="E1869">
        <v>13</v>
      </c>
      <c r="F1869">
        <v>22589</v>
      </c>
      <c r="G1869" t="s">
        <v>23</v>
      </c>
      <c r="H1869">
        <v>15</v>
      </c>
      <c r="I1869">
        <v>29692</v>
      </c>
      <c r="J1869" t="s">
        <v>112</v>
      </c>
      <c r="K1869" t="s">
        <v>45</v>
      </c>
      <c r="L1869" t="s">
        <v>36</v>
      </c>
      <c r="M1869">
        <v>2</v>
      </c>
      <c r="N1869">
        <v>347.61</v>
      </c>
      <c r="O1869">
        <v>468.36</v>
      </c>
      <c r="P1869">
        <v>0</v>
      </c>
      <c r="Q1869">
        <v>0</v>
      </c>
      <c r="S1869">
        <v>29</v>
      </c>
      <c r="T1869">
        <v>1</v>
      </c>
      <c r="U1869">
        <v>5</v>
      </c>
      <c r="V1869">
        <v>468.36</v>
      </c>
      <c r="W1869">
        <v>13130001867</v>
      </c>
    </row>
    <row r="1870" spans="1:23" x14ac:dyDescent="0.2">
      <c r="A1870" s="1">
        <v>44788</v>
      </c>
      <c r="B1870" s="2">
        <v>0.5618171296296296</v>
      </c>
      <c r="C1870">
        <v>2868</v>
      </c>
      <c r="D1870">
        <v>13002561</v>
      </c>
      <c r="E1870">
        <v>13</v>
      </c>
      <c r="F1870">
        <v>22589</v>
      </c>
      <c r="G1870" t="s">
        <v>23</v>
      </c>
      <c r="H1870">
        <v>15</v>
      </c>
      <c r="I1870">
        <v>85064</v>
      </c>
      <c r="J1870" t="s">
        <v>46</v>
      </c>
      <c r="K1870" t="s">
        <v>28</v>
      </c>
      <c r="L1870" t="s">
        <v>36</v>
      </c>
      <c r="M1870">
        <v>3</v>
      </c>
      <c r="N1870">
        <v>505.5</v>
      </c>
      <c r="O1870">
        <v>852.02</v>
      </c>
      <c r="P1870">
        <v>85.2</v>
      </c>
      <c r="Q1870">
        <v>85.2</v>
      </c>
      <c r="R1870" t="s">
        <v>30</v>
      </c>
      <c r="S1870">
        <v>29</v>
      </c>
      <c r="T1870">
        <v>1</v>
      </c>
      <c r="U1870">
        <v>4</v>
      </c>
      <c r="V1870">
        <v>766.82</v>
      </c>
      <c r="W1870">
        <v>13130001868</v>
      </c>
    </row>
    <row r="1871" spans="1:23" x14ac:dyDescent="0.2">
      <c r="A1871" s="1">
        <v>44804</v>
      </c>
      <c r="B1871" s="2">
        <v>0.38210648148148152</v>
      </c>
      <c r="C1871">
        <v>2869</v>
      </c>
      <c r="D1871">
        <v>13002561</v>
      </c>
      <c r="E1871">
        <v>13</v>
      </c>
      <c r="F1871">
        <v>22589</v>
      </c>
      <c r="G1871" t="s">
        <v>23</v>
      </c>
      <c r="H1871">
        <v>18</v>
      </c>
      <c r="I1871">
        <v>17472</v>
      </c>
      <c r="J1871" t="s">
        <v>112</v>
      </c>
      <c r="K1871" t="s">
        <v>25</v>
      </c>
      <c r="L1871" t="s">
        <v>32</v>
      </c>
      <c r="M1871">
        <v>2</v>
      </c>
      <c r="N1871">
        <v>594.12</v>
      </c>
      <c r="O1871">
        <v>841.91</v>
      </c>
      <c r="P1871">
        <v>42.1</v>
      </c>
      <c r="Q1871">
        <v>42.1</v>
      </c>
      <c r="R1871" t="s">
        <v>30</v>
      </c>
      <c r="S1871">
        <v>29</v>
      </c>
      <c r="T1871">
        <v>1</v>
      </c>
      <c r="U1871">
        <v>5</v>
      </c>
      <c r="V1871">
        <v>799.81</v>
      </c>
      <c r="W1871">
        <v>13130001869</v>
      </c>
    </row>
    <row r="1872" spans="1:23" x14ac:dyDescent="0.2">
      <c r="A1872" s="1">
        <v>44780</v>
      </c>
      <c r="B1872" s="2">
        <v>0.61155092592592597</v>
      </c>
      <c r="C1872">
        <v>2870</v>
      </c>
      <c r="D1872">
        <v>13002561</v>
      </c>
      <c r="E1872">
        <v>13</v>
      </c>
      <c r="F1872">
        <v>22589</v>
      </c>
      <c r="G1872" t="s">
        <v>23</v>
      </c>
      <c r="H1872">
        <v>15</v>
      </c>
      <c r="I1872">
        <v>20185</v>
      </c>
      <c r="J1872" t="s">
        <v>101</v>
      </c>
      <c r="K1872" t="s">
        <v>28</v>
      </c>
      <c r="L1872" t="s">
        <v>32</v>
      </c>
      <c r="M1872">
        <v>2</v>
      </c>
      <c r="N1872">
        <v>200.18</v>
      </c>
      <c r="O1872">
        <v>293.13</v>
      </c>
      <c r="P1872">
        <v>0</v>
      </c>
      <c r="Q1872">
        <v>0</v>
      </c>
      <c r="S1872">
        <v>29</v>
      </c>
      <c r="T1872">
        <v>1</v>
      </c>
      <c r="U1872">
        <v>5</v>
      </c>
      <c r="V1872">
        <v>293.13</v>
      </c>
      <c r="W1872">
        <v>13130001870</v>
      </c>
    </row>
    <row r="1873" spans="1:23" x14ac:dyDescent="0.2">
      <c r="A1873" s="1">
        <v>44789</v>
      </c>
      <c r="B1873" s="2">
        <v>0.57665509259259262</v>
      </c>
      <c r="C1873">
        <v>2871</v>
      </c>
      <c r="D1873">
        <v>13002561</v>
      </c>
      <c r="E1873">
        <v>13</v>
      </c>
      <c r="F1873">
        <v>22589</v>
      </c>
      <c r="G1873" t="s">
        <v>23</v>
      </c>
      <c r="H1873">
        <v>15</v>
      </c>
      <c r="I1873">
        <v>78037</v>
      </c>
      <c r="J1873" t="s">
        <v>83</v>
      </c>
      <c r="K1873" t="s">
        <v>38</v>
      </c>
      <c r="L1873" t="s">
        <v>51</v>
      </c>
      <c r="M1873">
        <v>1</v>
      </c>
      <c r="N1873">
        <v>191.34</v>
      </c>
      <c r="O1873">
        <v>307.44</v>
      </c>
      <c r="P1873">
        <v>15.37</v>
      </c>
      <c r="Q1873">
        <v>15.37</v>
      </c>
      <c r="R1873" t="s">
        <v>30</v>
      </c>
      <c r="S1873">
        <v>29</v>
      </c>
      <c r="T1873">
        <v>1</v>
      </c>
      <c r="U1873">
        <v>5</v>
      </c>
      <c r="V1873">
        <v>292.07</v>
      </c>
      <c r="W1873">
        <v>13130001871</v>
      </c>
    </row>
    <row r="1874" spans="1:23" x14ac:dyDescent="0.2">
      <c r="A1874" s="1">
        <v>44797</v>
      </c>
      <c r="B1874" s="2">
        <v>0.95619212962962963</v>
      </c>
      <c r="C1874">
        <v>2872</v>
      </c>
      <c r="D1874">
        <v>13002561</v>
      </c>
      <c r="E1874">
        <v>13</v>
      </c>
      <c r="F1874">
        <v>22589</v>
      </c>
      <c r="G1874" t="s">
        <v>23</v>
      </c>
      <c r="H1874">
        <v>18</v>
      </c>
      <c r="I1874">
        <v>12151</v>
      </c>
      <c r="J1874" t="s">
        <v>126</v>
      </c>
      <c r="K1874" t="s">
        <v>38</v>
      </c>
      <c r="L1874" t="s">
        <v>32</v>
      </c>
      <c r="M1874">
        <v>3</v>
      </c>
      <c r="N1874">
        <v>161.87</v>
      </c>
      <c r="O1874">
        <v>217.75</v>
      </c>
      <c r="P1874">
        <v>10.89</v>
      </c>
      <c r="Q1874">
        <v>10.89</v>
      </c>
      <c r="R1874" t="s">
        <v>30</v>
      </c>
      <c r="S1874">
        <v>29</v>
      </c>
      <c r="T1874">
        <v>1</v>
      </c>
      <c r="U1874">
        <v>3</v>
      </c>
      <c r="V1874">
        <v>206.86</v>
      </c>
      <c r="W1874">
        <v>13130001872</v>
      </c>
    </row>
    <row r="1875" spans="1:23" x14ac:dyDescent="0.2">
      <c r="A1875" s="1">
        <v>44775</v>
      </c>
      <c r="B1875" s="2">
        <v>0.51952546296296298</v>
      </c>
      <c r="C1875">
        <v>2873</v>
      </c>
      <c r="D1875">
        <v>13002561</v>
      </c>
      <c r="E1875">
        <v>13</v>
      </c>
      <c r="F1875">
        <v>22589</v>
      </c>
      <c r="G1875" t="s">
        <v>23</v>
      </c>
      <c r="H1875">
        <v>18</v>
      </c>
      <c r="I1875">
        <v>86194</v>
      </c>
      <c r="J1875" t="s">
        <v>27</v>
      </c>
      <c r="K1875" t="s">
        <v>38</v>
      </c>
      <c r="L1875" t="s">
        <v>26</v>
      </c>
      <c r="M1875">
        <v>3</v>
      </c>
      <c r="N1875">
        <v>286</v>
      </c>
      <c r="O1875">
        <v>462.1</v>
      </c>
      <c r="P1875">
        <v>46.21</v>
      </c>
      <c r="Q1875">
        <v>46.21</v>
      </c>
      <c r="R1875" t="s">
        <v>30</v>
      </c>
      <c r="S1875">
        <v>29</v>
      </c>
      <c r="T1875">
        <v>1</v>
      </c>
      <c r="U1875">
        <v>2</v>
      </c>
      <c r="V1875">
        <v>415.89</v>
      </c>
      <c r="W1875">
        <v>13130001873</v>
      </c>
    </row>
    <row r="1876" spans="1:23" x14ac:dyDescent="0.2">
      <c r="A1876" s="1">
        <v>44787</v>
      </c>
      <c r="B1876" s="2">
        <v>0.52309027777777772</v>
      </c>
      <c r="C1876">
        <v>2874</v>
      </c>
      <c r="D1876">
        <v>13002561</v>
      </c>
      <c r="E1876">
        <v>13</v>
      </c>
      <c r="F1876">
        <v>22589</v>
      </c>
      <c r="G1876" t="s">
        <v>23</v>
      </c>
      <c r="H1876">
        <v>18</v>
      </c>
      <c r="I1876">
        <v>15937</v>
      </c>
      <c r="J1876" t="s">
        <v>68</v>
      </c>
      <c r="K1876" t="s">
        <v>38</v>
      </c>
      <c r="L1876" t="s">
        <v>29</v>
      </c>
      <c r="M1876">
        <v>3</v>
      </c>
      <c r="N1876">
        <v>524.04</v>
      </c>
      <c r="O1876">
        <v>797.39</v>
      </c>
      <c r="P1876">
        <v>0</v>
      </c>
      <c r="Q1876">
        <v>0</v>
      </c>
      <c r="S1876">
        <v>29</v>
      </c>
      <c r="T1876">
        <v>1</v>
      </c>
      <c r="U1876">
        <v>2</v>
      </c>
      <c r="V1876">
        <v>797.39</v>
      </c>
      <c r="W1876">
        <v>13130001874</v>
      </c>
    </row>
    <row r="1877" spans="1:23" x14ac:dyDescent="0.2">
      <c r="A1877" s="1">
        <v>44787</v>
      </c>
      <c r="B1877" s="2">
        <v>0.62635416666666666</v>
      </c>
      <c r="C1877">
        <v>2875</v>
      </c>
      <c r="D1877">
        <v>13002561</v>
      </c>
      <c r="E1877">
        <v>13</v>
      </c>
      <c r="F1877">
        <v>22589</v>
      </c>
      <c r="G1877" t="s">
        <v>23</v>
      </c>
      <c r="H1877">
        <v>15</v>
      </c>
      <c r="I1877">
        <v>45316</v>
      </c>
      <c r="J1877" t="s">
        <v>53</v>
      </c>
      <c r="K1877" t="s">
        <v>28</v>
      </c>
      <c r="L1877" t="s">
        <v>34</v>
      </c>
      <c r="M1877">
        <v>3</v>
      </c>
      <c r="N1877">
        <v>280.79000000000002</v>
      </c>
      <c r="O1877">
        <v>415.61</v>
      </c>
      <c r="P1877">
        <v>41.56</v>
      </c>
      <c r="Q1877">
        <v>41.56</v>
      </c>
      <c r="R1877" t="s">
        <v>30</v>
      </c>
      <c r="S1877">
        <v>29</v>
      </c>
      <c r="T1877">
        <v>1</v>
      </c>
      <c r="U1877">
        <v>4</v>
      </c>
      <c r="V1877">
        <v>374.05</v>
      </c>
      <c r="W1877">
        <v>13130001875</v>
      </c>
    </row>
    <row r="1878" spans="1:23" x14ac:dyDescent="0.2">
      <c r="A1878" s="1">
        <v>44777</v>
      </c>
      <c r="B1878" s="2">
        <v>0.86484953703703704</v>
      </c>
      <c r="C1878">
        <v>2876</v>
      </c>
      <c r="D1878">
        <v>13002561</v>
      </c>
      <c r="E1878">
        <v>13</v>
      </c>
      <c r="F1878">
        <v>22589</v>
      </c>
      <c r="G1878" t="s">
        <v>23</v>
      </c>
      <c r="H1878">
        <v>18</v>
      </c>
      <c r="I1878">
        <v>11301</v>
      </c>
      <c r="J1878" t="s">
        <v>87</v>
      </c>
      <c r="K1878" t="s">
        <v>25</v>
      </c>
      <c r="L1878" t="s">
        <v>47</v>
      </c>
      <c r="M1878">
        <v>2</v>
      </c>
      <c r="N1878">
        <v>488.82</v>
      </c>
      <c r="O1878">
        <v>767.78</v>
      </c>
      <c r="P1878">
        <v>0</v>
      </c>
      <c r="Q1878">
        <v>0</v>
      </c>
      <c r="S1878">
        <v>29</v>
      </c>
      <c r="T1878">
        <v>1</v>
      </c>
      <c r="U1878">
        <v>3</v>
      </c>
      <c r="V1878">
        <v>767.78</v>
      </c>
      <c r="W1878">
        <v>13130001876</v>
      </c>
    </row>
    <row r="1879" spans="1:23" x14ac:dyDescent="0.2">
      <c r="A1879" s="1">
        <v>44802</v>
      </c>
      <c r="B1879" s="2">
        <v>0.73255787037037035</v>
      </c>
      <c r="C1879">
        <v>2877</v>
      </c>
      <c r="D1879">
        <v>13002561</v>
      </c>
      <c r="E1879">
        <v>13</v>
      </c>
      <c r="F1879">
        <v>22589</v>
      </c>
      <c r="G1879" t="s">
        <v>23</v>
      </c>
      <c r="H1879">
        <v>18</v>
      </c>
      <c r="I1879">
        <v>76608</v>
      </c>
      <c r="J1879" t="s">
        <v>31</v>
      </c>
      <c r="K1879" t="s">
        <v>25</v>
      </c>
      <c r="L1879" t="s">
        <v>36</v>
      </c>
      <c r="M1879">
        <v>3</v>
      </c>
      <c r="N1879">
        <v>136.96</v>
      </c>
      <c r="O1879">
        <v>216.5</v>
      </c>
      <c r="P1879">
        <v>0</v>
      </c>
      <c r="Q1879">
        <v>0</v>
      </c>
      <c r="S1879">
        <v>29</v>
      </c>
      <c r="T1879">
        <v>1</v>
      </c>
      <c r="U1879">
        <v>4</v>
      </c>
      <c r="V1879">
        <v>216.5</v>
      </c>
      <c r="W1879">
        <v>13130001877</v>
      </c>
    </row>
    <row r="1880" spans="1:23" x14ac:dyDescent="0.2">
      <c r="A1880" s="1">
        <v>44802</v>
      </c>
      <c r="B1880" s="2">
        <v>0.49611111111111111</v>
      </c>
      <c r="C1880">
        <v>2878</v>
      </c>
      <c r="D1880">
        <v>13002561</v>
      </c>
      <c r="E1880">
        <v>13</v>
      </c>
      <c r="F1880">
        <v>22589</v>
      </c>
      <c r="G1880" t="s">
        <v>23</v>
      </c>
      <c r="H1880">
        <v>15</v>
      </c>
      <c r="I1880">
        <v>60389</v>
      </c>
      <c r="J1880" t="s">
        <v>89</v>
      </c>
      <c r="K1880" t="s">
        <v>60</v>
      </c>
      <c r="L1880" t="s">
        <v>29</v>
      </c>
      <c r="M1880">
        <v>2</v>
      </c>
      <c r="N1880">
        <v>184.9</v>
      </c>
      <c r="O1880">
        <v>242.2</v>
      </c>
      <c r="P1880">
        <v>24.22</v>
      </c>
      <c r="Q1880">
        <v>24.22</v>
      </c>
      <c r="R1880" t="s">
        <v>30</v>
      </c>
      <c r="S1880">
        <v>29</v>
      </c>
      <c r="T1880">
        <v>1</v>
      </c>
      <c r="U1880">
        <v>4</v>
      </c>
      <c r="V1880">
        <v>217.98</v>
      </c>
      <c r="W1880">
        <v>13130001878</v>
      </c>
    </row>
    <row r="1881" spans="1:23" x14ac:dyDescent="0.2">
      <c r="A1881" s="1">
        <v>44788</v>
      </c>
      <c r="B1881" s="2">
        <v>0.47805555555555562</v>
      </c>
      <c r="C1881">
        <v>2879</v>
      </c>
      <c r="D1881">
        <v>13002561</v>
      </c>
      <c r="E1881">
        <v>13</v>
      </c>
      <c r="F1881">
        <v>22589</v>
      </c>
      <c r="G1881" t="s">
        <v>23</v>
      </c>
      <c r="H1881">
        <v>18</v>
      </c>
      <c r="I1881">
        <v>97286</v>
      </c>
      <c r="J1881" t="s">
        <v>101</v>
      </c>
      <c r="K1881" t="s">
        <v>44</v>
      </c>
      <c r="L1881" t="s">
        <v>34</v>
      </c>
      <c r="M1881">
        <v>2</v>
      </c>
      <c r="N1881">
        <v>133.65</v>
      </c>
      <c r="O1881">
        <v>197.78</v>
      </c>
      <c r="P1881">
        <v>0</v>
      </c>
      <c r="Q1881">
        <v>0</v>
      </c>
      <c r="S1881">
        <v>29</v>
      </c>
      <c r="T1881">
        <v>1</v>
      </c>
      <c r="U1881">
        <v>1</v>
      </c>
      <c r="V1881">
        <v>197.78</v>
      </c>
      <c r="W1881">
        <v>13130001879</v>
      </c>
    </row>
    <row r="1882" spans="1:23" x14ac:dyDescent="0.2">
      <c r="A1882" s="1">
        <v>44802</v>
      </c>
      <c r="B1882" s="2">
        <v>0.88107638888888884</v>
      </c>
      <c r="C1882">
        <v>2880</v>
      </c>
      <c r="D1882">
        <v>13002561</v>
      </c>
      <c r="E1882">
        <v>13</v>
      </c>
      <c r="F1882">
        <v>22589</v>
      </c>
      <c r="G1882" t="s">
        <v>23</v>
      </c>
      <c r="H1882">
        <v>15</v>
      </c>
      <c r="I1882">
        <v>58038</v>
      </c>
      <c r="J1882" t="s">
        <v>50</v>
      </c>
      <c r="K1882" t="s">
        <v>45</v>
      </c>
      <c r="L1882" t="s">
        <v>51</v>
      </c>
      <c r="M1882">
        <v>1</v>
      </c>
      <c r="N1882">
        <v>38.71</v>
      </c>
      <c r="O1882">
        <v>60.77</v>
      </c>
      <c r="P1882">
        <v>0</v>
      </c>
      <c r="Q1882">
        <v>0</v>
      </c>
      <c r="S1882">
        <v>29</v>
      </c>
      <c r="T1882">
        <v>1</v>
      </c>
      <c r="U1882">
        <v>2</v>
      </c>
      <c r="V1882">
        <v>60.77</v>
      </c>
      <c r="W1882">
        <v>13130001880</v>
      </c>
    </row>
    <row r="1883" spans="1:23" x14ac:dyDescent="0.2">
      <c r="A1883" s="1">
        <v>44788</v>
      </c>
      <c r="B1883" s="2">
        <v>0.3454861111111111</v>
      </c>
      <c r="C1883">
        <v>2881</v>
      </c>
      <c r="D1883">
        <v>13002561</v>
      </c>
      <c r="E1883">
        <v>13</v>
      </c>
      <c r="F1883">
        <v>22589</v>
      </c>
      <c r="G1883" t="s">
        <v>23</v>
      </c>
      <c r="H1883">
        <v>18</v>
      </c>
      <c r="I1883">
        <v>35064</v>
      </c>
      <c r="J1883" t="s">
        <v>67</v>
      </c>
      <c r="K1883" t="s">
        <v>44</v>
      </c>
      <c r="L1883" t="s">
        <v>39</v>
      </c>
      <c r="M1883">
        <v>3</v>
      </c>
      <c r="N1883">
        <v>87.67</v>
      </c>
      <c r="O1883">
        <v>111.6</v>
      </c>
      <c r="P1883">
        <v>5.58</v>
      </c>
      <c r="Q1883">
        <v>5.58</v>
      </c>
      <c r="R1883" t="s">
        <v>30</v>
      </c>
      <c r="S1883">
        <v>29</v>
      </c>
      <c r="T1883">
        <v>1</v>
      </c>
      <c r="U1883">
        <v>6</v>
      </c>
      <c r="V1883">
        <v>106.02</v>
      </c>
      <c r="W1883">
        <v>13130001881</v>
      </c>
    </row>
    <row r="1884" spans="1:23" x14ac:dyDescent="0.2">
      <c r="A1884" s="1">
        <v>44774</v>
      </c>
      <c r="B1884" s="2">
        <v>0.74957175925925923</v>
      </c>
      <c r="C1884">
        <v>2882</v>
      </c>
      <c r="D1884">
        <v>13002561</v>
      </c>
      <c r="E1884">
        <v>13</v>
      </c>
      <c r="F1884">
        <v>22589</v>
      </c>
      <c r="G1884" t="s">
        <v>23</v>
      </c>
      <c r="H1884">
        <v>18</v>
      </c>
      <c r="I1884">
        <v>49190</v>
      </c>
      <c r="J1884" t="s">
        <v>87</v>
      </c>
      <c r="K1884" t="s">
        <v>28</v>
      </c>
      <c r="L1884" t="s">
        <v>32</v>
      </c>
      <c r="M1884">
        <v>3</v>
      </c>
      <c r="N1884">
        <v>465.01</v>
      </c>
      <c r="O1884">
        <v>640.41</v>
      </c>
      <c r="P1884">
        <v>64.040000000000006</v>
      </c>
      <c r="Q1884">
        <v>64.040000000000006</v>
      </c>
      <c r="R1884" t="s">
        <v>30</v>
      </c>
      <c r="S1884">
        <v>29</v>
      </c>
      <c r="T1884">
        <v>1</v>
      </c>
      <c r="U1884">
        <v>1</v>
      </c>
      <c r="V1884">
        <v>576.37</v>
      </c>
      <c r="W1884">
        <v>13130001882</v>
      </c>
    </row>
    <row r="1885" spans="1:23" x14ac:dyDescent="0.2">
      <c r="A1885" s="1">
        <v>44798</v>
      </c>
      <c r="B1885" s="2">
        <v>0.73903935185185188</v>
      </c>
      <c r="C1885">
        <v>2883</v>
      </c>
      <c r="D1885">
        <v>13002561</v>
      </c>
      <c r="E1885">
        <v>13</v>
      </c>
      <c r="F1885">
        <v>22589</v>
      </c>
      <c r="G1885" t="s">
        <v>23</v>
      </c>
      <c r="H1885">
        <v>18</v>
      </c>
      <c r="I1885">
        <v>51527</v>
      </c>
      <c r="J1885" t="s">
        <v>54</v>
      </c>
      <c r="K1885" t="s">
        <v>38</v>
      </c>
      <c r="L1885" t="s">
        <v>51</v>
      </c>
      <c r="M1885">
        <v>1</v>
      </c>
      <c r="N1885">
        <v>391.45</v>
      </c>
      <c r="O1885">
        <v>650.92999999999995</v>
      </c>
      <c r="P1885">
        <v>0</v>
      </c>
      <c r="Q1885">
        <v>0</v>
      </c>
      <c r="S1885">
        <v>29</v>
      </c>
      <c r="T1885">
        <v>1</v>
      </c>
      <c r="U1885">
        <v>1</v>
      </c>
      <c r="V1885">
        <v>650.92999999999995</v>
      </c>
      <c r="W1885">
        <v>13130001883</v>
      </c>
    </row>
    <row r="1886" spans="1:23" x14ac:dyDescent="0.2">
      <c r="A1886" s="1">
        <v>44774</v>
      </c>
      <c r="B1886" s="2">
        <v>0.40848379629629628</v>
      </c>
      <c r="C1886">
        <v>2884</v>
      </c>
      <c r="D1886">
        <v>13002561</v>
      </c>
      <c r="E1886">
        <v>13</v>
      </c>
      <c r="F1886">
        <v>22589</v>
      </c>
      <c r="G1886" t="s">
        <v>23</v>
      </c>
      <c r="H1886">
        <v>15</v>
      </c>
      <c r="I1886">
        <v>67429</v>
      </c>
      <c r="J1886" t="s">
        <v>73</v>
      </c>
      <c r="K1886" t="s">
        <v>45</v>
      </c>
      <c r="L1886" t="s">
        <v>51</v>
      </c>
      <c r="M1886">
        <v>3</v>
      </c>
      <c r="N1886">
        <v>238.66</v>
      </c>
      <c r="O1886">
        <v>397.46</v>
      </c>
      <c r="P1886">
        <v>19.87</v>
      </c>
      <c r="Q1886">
        <v>19.87</v>
      </c>
      <c r="R1886" t="s">
        <v>30</v>
      </c>
      <c r="S1886">
        <v>29</v>
      </c>
      <c r="T1886">
        <v>1</v>
      </c>
      <c r="U1886">
        <v>5</v>
      </c>
      <c r="V1886">
        <v>377.59</v>
      </c>
      <c r="W1886">
        <v>13130001884</v>
      </c>
    </row>
    <row r="1887" spans="1:23" x14ac:dyDescent="0.2">
      <c r="A1887" s="1">
        <v>44795</v>
      </c>
      <c r="B1887" s="2">
        <v>0.92686342592592597</v>
      </c>
      <c r="C1887">
        <v>2885</v>
      </c>
      <c r="D1887">
        <v>13002561</v>
      </c>
      <c r="E1887">
        <v>13</v>
      </c>
      <c r="F1887">
        <v>22589</v>
      </c>
      <c r="G1887" t="s">
        <v>23</v>
      </c>
      <c r="H1887">
        <v>15</v>
      </c>
      <c r="I1887">
        <v>17179</v>
      </c>
      <c r="J1887" t="s">
        <v>40</v>
      </c>
      <c r="K1887" t="s">
        <v>25</v>
      </c>
      <c r="L1887" t="s">
        <v>34</v>
      </c>
      <c r="M1887">
        <v>1</v>
      </c>
      <c r="N1887">
        <v>44.99</v>
      </c>
      <c r="O1887">
        <v>69.59</v>
      </c>
      <c r="P1887">
        <v>3.48</v>
      </c>
      <c r="Q1887">
        <v>3.48</v>
      </c>
      <c r="R1887" t="s">
        <v>30</v>
      </c>
      <c r="S1887">
        <v>29</v>
      </c>
      <c r="T1887">
        <v>1</v>
      </c>
      <c r="U1887">
        <v>1</v>
      </c>
      <c r="V1887">
        <v>66.11</v>
      </c>
      <c r="W1887">
        <v>13130001885</v>
      </c>
    </row>
    <row r="1888" spans="1:23" x14ac:dyDescent="0.2">
      <c r="A1888" s="1">
        <v>44781</v>
      </c>
      <c r="B1888" s="2">
        <v>0.44144675925925919</v>
      </c>
      <c r="C1888">
        <v>2886</v>
      </c>
      <c r="D1888">
        <v>13002561</v>
      </c>
      <c r="E1888">
        <v>13</v>
      </c>
      <c r="F1888">
        <v>22589</v>
      </c>
      <c r="G1888" t="s">
        <v>23</v>
      </c>
      <c r="H1888">
        <v>15</v>
      </c>
      <c r="I1888">
        <v>53331</v>
      </c>
      <c r="J1888" t="s">
        <v>82</v>
      </c>
      <c r="K1888" t="s">
        <v>45</v>
      </c>
      <c r="L1888" t="s">
        <v>36</v>
      </c>
      <c r="M1888">
        <v>2</v>
      </c>
      <c r="N1888">
        <v>346.93</v>
      </c>
      <c r="O1888">
        <v>577.96</v>
      </c>
      <c r="P1888">
        <v>57.8</v>
      </c>
      <c r="Q1888">
        <v>57.8</v>
      </c>
      <c r="R1888" t="s">
        <v>30</v>
      </c>
      <c r="S1888">
        <v>29</v>
      </c>
      <c r="T1888">
        <v>1</v>
      </c>
      <c r="U1888">
        <v>5</v>
      </c>
      <c r="V1888">
        <v>520.16</v>
      </c>
      <c r="W1888">
        <v>13130001886</v>
      </c>
    </row>
    <row r="1889" spans="1:23" x14ac:dyDescent="0.2">
      <c r="A1889" s="1">
        <v>44798</v>
      </c>
      <c r="B1889" s="2">
        <v>0.92396990740740736</v>
      </c>
      <c r="C1889">
        <v>2887</v>
      </c>
      <c r="D1889">
        <v>13002561</v>
      </c>
      <c r="E1889">
        <v>13</v>
      </c>
      <c r="F1889">
        <v>22589</v>
      </c>
      <c r="G1889" t="s">
        <v>23</v>
      </c>
      <c r="H1889">
        <v>18</v>
      </c>
      <c r="I1889">
        <v>91602</v>
      </c>
      <c r="J1889" t="s">
        <v>121</v>
      </c>
      <c r="K1889" t="s">
        <v>60</v>
      </c>
      <c r="L1889" t="s">
        <v>39</v>
      </c>
      <c r="M1889">
        <v>1</v>
      </c>
      <c r="N1889">
        <v>411.98</v>
      </c>
      <c r="O1889">
        <v>602.1</v>
      </c>
      <c r="P1889">
        <v>30.11</v>
      </c>
      <c r="Q1889">
        <v>30.11</v>
      </c>
      <c r="R1889" t="s">
        <v>30</v>
      </c>
      <c r="S1889">
        <v>29</v>
      </c>
      <c r="T1889">
        <v>1</v>
      </c>
      <c r="U1889">
        <v>6</v>
      </c>
      <c r="V1889">
        <v>571.99</v>
      </c>
      <c r="W1889">
        <v>13130001887</v>
      </c>
    </row>
    <row r="1890" spans="1:23" x14ac:dyDescent="0.2">
      <c r="A1890" s="1">
        <v>44783</v>
      </c>
      <c r="B1890" s="2">
        <v>0.64753472222222219</v>
      </c>
      <c r="C1890">
        <v>2888</v>
      </c>
      <c r="D1890">
        <v>13002561</v>
      </c>
      <c r="E1890">
        <v>13</v>
      </c>
      <c r="F1890">
        <v>22589</v>
      </c>
      <c r="G1890" t="s">
        <v>23</v>
      </c>
      <c r="H1890">
        <v>15</v>
      </c>
      <c r="I1890">
        <v>96005</v>
      </c>
      <c r="J1890" t="s">
        <v>40</v>
      </c>
      <c r="K1890" t="s">
        <v>25</v>
      </c>
      <c r="L1890" t="s">
        <v>32</v>
      </c>
      <c r="M1890">
        <v>3</v>
      </c>
      <c r="N1890">
        <v>39.22</v>
      </c>
      <c r="O1890">
        <v>52.15</v>
      </c>
      <c r="P1890">
        <v>5.21</v>
      </c>
      <c r="Q1890">
        <v>5.21</v>
      </c>
      <c r="R1890" t="s">
        <v>30</v>
      </c>
      <c r="S1890">
        <v>29</v>
      </c>
      <c r="T1890">
        <v>1</v>
      </c>
      <c r="U1890">
        <v>4</v>
      </c>
      <c r="V1890">
        <v>46.94</v>
      </c>
      <c r="W1890">
        <v>13130001888</v>
      </c>
    </row>
    <row r="1891" spans="1:23" x14ac:dyDescent="0.2">
      <c r="A1891" s="1">
        <v>44795</v>
      </c>
      <c r="B1891" s="2">
        <v>0.42273148148148149</v>
      </c>
      <c r="C1891">
        <v>2889</v>
      </c>
      <c r="D1891">
        <v>13002561</v>
      </c>
      <c r="E1891">
        <v>13</v>
      </c>
      <c r="F1891">
        <v>22589</v>
      </c>
      <c r="G1891" t="s">
        <v>23</v>
      </c>
      <c r="H1891">
        <v>18</v>
      </c>
      <c r="I1891">
        <v>58310</v>
      </c>
      <c r="J1891" t="s">
        <v>95</v>
      </c>
      <c r="K1891" t="s">
        <v>38</v>
      </c>
      <c r="L1891" t="s">
        <v>39</v>
      </c>
      <c r="M1891">
        <v>3</v>
      </c>
      <c r="N1891">
        <v>544.67999999999995</v>
      </c>
      <c r="O1891">
        <v>785.15</v>
      </c>
      <c r="P1891">
        <v>78.52</v>
      </c>
      <c r="Q1891">
        <v>78.52</v>
      </c>
      <c r="R1891" t="s">
        <v>30</v>
      </c>
      <c r="S1891">
        <v>29</v>
      </c>
      <c r="T1891">
        <v>1</v>
      </c>
      <c r="U1891">
        <v>2</v>
      </c>
      <c r="V1891">
        <v>706.63</v>
      </c>
      <c r="W1891">
        <v>13130001889</v>
      </c>
    </row>
    <row r="1892" spans="1:23" x14ac:dyDescent="0.2">
      <c r="A1892" s="1">
        <v>44802</v>
      </c>
      <c r="B1892" s="2">
        <v>0.82401620370370365</v>
      </c>
      <c r="C1892">
        <v>2890</v>
      </c>
      <c r="D1892">
        <v>13002561</v>
      </c>
      <c r="E1892">
        <v>13</v>
      </c>
      <c r="F1892">
        <v>22589</v>
      </c>
      <c r="G1892" t="s">
        <v>23</v>
      </c>
      <c r="H1892">
        <v>18</v>
      </c>
      <c r="I1892">
        <v>75047</v>
      </c>
      <c r="J1892" t="s">
        <v>93</v>
      </c>
      <c r="K1892" t="s">
        <v>38</v>
      </c>
      <c r="L1892" t="s">
        <v>34</v>
      </c>
      <c r="M1892">
        <v>1</v>
      </c>
      <c r="N1892">
        <v>573.37</v>
      </c>
      <c r="O1892">
        <v>900.09</v>
      </c>
      <c r="P1892">
        <v>45</v>
      </c>
      <c r="Q1892">
        <v>45</v>
      </c>
      <c r="R1892" t="s">
        <v>30</v>
      </c>
      <c r="S1892">
        <v>29</v>
      </c>
      <c r="T1892">
        <v>1</v>
      </c>
      <c r="U1892">
        <v>5</v>
      </c>
      <c r="V1892">
        <v>855.09</v>
      </c>
      <c r="W1892">
        <v>13130001890</v>
      </c>
    </row>
    <row r="1893" spans="1:23" x14ac:dyDescent="0.2">
      <c r="A1893" s="1">
        <v>44781</v>
      </c>
      <c r="B1893" s="2">
        <v>0.72546296296296298</v>
      </c>
      <c r="C1893">
        <v>2891</v>
      </c>
      <c r="D1893">
        <v>13002561</v>
      </c>
      <c r="E1893">
        <v>13</v>
      </c>
      <c r="F1893">
        <v>22589</v>
      </c>
      <c r="G1893" t="s">
        <v>23</v>
      </c>
      <c r="H1893">
        <v>15</v>
      </c>
      <c r="I1893">
        <v>33038</v>
      </c>
      <c r="J1893" t="s">
        <v>98</v>
      </c>
      <c r="K1893" t="s">
        <v>44</v>
      </c>
      <c r="L1893" t="s">
        <v>47</v>
      </c>
      <c r="M1893">
        <v>2</v>
      </c>
      <c r="N1893">
        <v>470.51</v>
      </c>
      <c r="O1893">
        <v>618.41999999999996</v>
      </c>
      <c r="P1893">
        <v>61.84</v>
      </c>
      <c r="Q1893">
        <v>61.84</v>
      </c>
      <c r="R1893" t="s">
        <v>30</v>
      </c>
      <c r="S1893">
        <v>29</v>
      </c>
      <c r="T1893">
        <v>1</v>
      </c>
      <c r="U1893">
        <v>6</v>
      </c>
      <c r="V1893">
        <v>556.58000000000004</v>
      </c>
      <c r="W1893">
        <v>13130001891</v>
      </c>
    </row>
    <row r="1894" spans="1:23" x14ac:dyDescent="0.2">
      <c r="A1894" s="1">
        <v>44786</v>
      </c>
      <c r="B1894" s="2">
        <v>0.40615740740740741</v>
      </c>
      <c r="C1894">
        <v>2892</v>
      </c>
      <c r="D1894">
        <v>13002561</v>
      </c>
      <c r="E1894">
        <v>13</v>
      </c>
      <c r="F1894">
        <v>22589</v>
      </c>
      <c r="G1894" t="s">
        <v>23</v>
      </c>
      <c r="H1894">
        <v>15</v>
      </c>
      <c r="I1894">
        <v>19380</v>
      </c>
      <c r="J1894" t="s">
        <v>104</v>
      </c>
      <c r="K1894" t="s">
        <v>38</v>
      </c>
      <c r="L1894" t="s">
        <v>47</v>
      </c>
      <c r="M1894">
        <v>1</v>
      </c>
      <c r="N1894">
        <v>30.09</v>
      </c>
      <c r="O1894">
        <v>51.14</v>
      </c>
      <c r="P1894">
        <v>5.1100000000000003</v>
      </c>
      <c r="Q1894">
        <v>5.1100000000000003</v>
      </c>
      <c r="R1894" t="s">
        <v>30</v>
      </c>
      <c r="S1894">
        <v>29</v>
      </c>
      <c r="T1894">
        <v>1</v>
      </c>
      <c r="U1894">
        <v>6</v>
      </c>
      <c r="V1894">
        <v>46.03</v>
      </c>
      <c r="W1894">
        <v>13130001892</v>
      </c>
    </row>
    <row r="1895" spans="1:23" x14ac:dyDescent="0.2">
      <c r="A1895" s="1">
        <v>44774</v>
      </c>
      <c r="B1895" s="2">
        <v>0.39108796296296289</v>
      </c>
      <c r="C1895">
        <v>2893</v>
      </c>
      <c r="D1895">
        <v>13002561</v>
      </c>
      <c r="E1895">
        <v>13</v>
      </c>
      <c r="F1895">
        <v>22589</v>
      </c>
      <c r="G1895" t="s">
        <v>23</v>
      </c>
      <c r="H1895">
        <v>15</v>
      </c>
      <c r="I1895">
        <v>13161</v>
      </c>
      <c r="J1895" t="s">
        <v>81</v>
      </c>
      <c r="K1895" t="s">
        <v>44</v>
      </c>
      <c r="L1895" t="s">
        <v>26</v>
      </c>
      <c r="M1895">
        <v>2</v>
      </c>
      <c r="N1895">
        <v>118.09</v>
      </c>
      <c r="O1895">
        <v>162.97999999999999</v>
      </c>
      <c r="P1895">
        <v>16.3</v>
      </c>
      <c r="Q1895">
        <v>16.3</v>
      </c>
      <c r="R1895" t="s">
        <v>30</v>
      </c>
      <c r="S1895">
        <v>29</v>
      </c>
      <c r="T1895">
        <v>1</v>
      </c>
      <c r="U1895">
        <v>2</v>
      </c>
      <c r="V1895">
        <v>146.68</v>
      </c>
      <c r="W1895">
        <v>13130001893</v>
      </c>
    </row>
    <row r="1896" spans="1:23" x14ac:dyDescent="0.2">
      <c r="A1896" s="1">
        <v>44800</v>
      </c>
      <c r="B1896" s="2">
        <v>0.93055555555555558</v>
      </c>
      <c r="C1896">
        <v>2894</v>
      </c>
      <c r="D1896">
        <v>13002561</v>
      </c>
      <c r="E1896">
        <v>13</v>
      </c>
      <c r="F1896">
        <v>22589</v>
      </c>
      <c r="G1896" t="s">
        <v>23</v>
      </c>
      <c r="H1896">
        <v>18</v>
      </c>
      <c r="I1896">
        <v>96027</v>
      </c>
      <c r="J1896" t="s">
        <v>128</v>
      </c>
      <c r="K1896" t="s">
        <v>44</v>
      </c>
      <c r="L1896" t="s">
        <v>39</v>
      </c>
      <c r="M1896">
        <v>1</v>
      </c>
      <c r="N1896">
        <v>152.32</v>
      </c>
      <c r="O1896">
        <v>220.74</v>
      </c>
      <c r="P1896">
        <v>0</v>
      </c>
      <c r="Q1896">
        <v>0</v>
      </c>
      <c r="S1896">
        <v>29</v>
      </c>
      <c r="T1896">
        <v>1</v>
      </c>
      <c r="U1896">
        <v>3</v>
      </c>
      <c r="V1896">
        <v>220.74</v>
      </c>
      <c r="W1896">
        <v>13130001894</v>
      </c>
    </row>
    <row r="1897" spans="1:23" x14ac:dyDescent="0.2">
      <c r="A1897" s="1">
        <v>44795</v>
      </c>
      <c r="B1897" s="2">
        <v>0.75918981481481485</v>
      </c>
      <c r="C1897">
        <v>2895</v>
      </c>
      <c r="D1897">
        <v>13002561</v>
      </c>
      <c r="E1897">
        <v>13</v>
      </c>
      <c r="F1897">
        <v>22589</v>
      </c>
      <c r="G1897" t="s">
        <v>23</v>
      </c>
      <c r="H1897">
        <v>18</v>
      </c>
      <c r="I1897">
        <v>86376</v>
      </c>
      <c r="J1897" t="s">
        <v>94</v>
      </c>
      <c r="K1897" t="s">
        <v>38</v>
      </c>
      <c r="L1897" t="s">
        <v>36</v>
      </c>
      <c r="M1897">
        <v>2</v>
      </c>
      <c r="N1897">
        <v>341.63</v>
      </c>
      <c r="O1897">
        <v>494</v>
      </c>
      <c r="P1897">
        <v>0</v>
      </c>
      <c r="Q1897">
        <v>0</v>
      </c>
      <c r="S1897">
        <v>29</v>
      </c>
      <c r="T1897">
        <v>1</v>
      </c>
      <c r="U1897">
        <v>2</v>
      </c>
      <c r="V1897">
        <v>494</v>
      </c>
      <c r="W1897">
        <v>13130001895</v>
      </c>
    </row>
    <row r="1898" spans="1:23" x14ac:dyDescent="0.2">
      <c r="A1898" s="1">
        <v>44790</v>
      </c>
      <c r="B1898" s="2">
        <v>0.5656944444444445</v>
      </c>
      <c r="C1898">
        <v>2896</v>
      </c>
      <c r="D1898">
        <v>13002561</v>
      </c>
      <c r="E1898">
        <v>13</v>
      </c>
      <c r="F1898">
        <v>22589</v>
      </c>
      <c r="G1898" t="s">
        <v>23</v>
      </c>
      <c r="H1898">
        <v>15</v>
      </c>
      <c r="I1898">
        <v>79059</v>
      </c>
      <c r="J1898" t="s">
        <v>75</v>
      </c>
      <c r="K1898" t="s">
        <v>60</v>
      </c>
      <c r="L1898" t="s">
        <v>32</v>
      </c>
      <c r="M1898">
        <v>3</v>
      </c>
      <c r="N1898">
        <v>391.13</v>
      </c>
      <c r="O1898">
        <v>494.45</v>
      </c>
      <c r="P1898">
        <v>24.72</v>
      </c>
      <c r="Q1898">
        <v>24.72</v>
      </c>
      <c r="R1898" t="s">
        <v>30</v>
      </c>
      <c r="S1898">
        <v>29</v>
      </c>
      <c r="T1898">
        <v>1</v>
      </c>
      <c r="U1898">
        <v>5</v>
      </c>
      <c r="V1898">
        <v>469.73</v>
      </c>
      <c r="W1898">
        <v>13130001896</v>
      </c>
    </row>
    <row r="1899" spans="1:23" x14ac:dyDescent="0.2">
      <c r="A1899" s="1">
        <v>44779</v>
      </c>
      <c r="B1899" s="2">
        <v>0.37918981481481479</v>
      </c>
      <c r="C1899">
        <v>2897</v>
      </c>
      <c r="D1899">
        <v>13002561</v>
      </c>
      <c r="E1899">
        <v>13</v>
      </c>
      <c r="F1899">
        <v>22589</v>
      </c>
      <c r="G1899" t="s">
        <v>23</v>
      </c>
      <c r="H1899">
        <v>15</v>
      </c>
      <c r="I1899">
        <v>18239</v>
      </c>
      <c r="J1899" t="s">
        <v>115</v>
      </c>
      <c r="K1899" t="s">
        <v>60</v>
      </c>
      <c r="L1899" t="s">
        <v>39</v>
      </c>
      <c r="M1899">
        <v>1</v>
      </c>
      <c r="N1899">
        <v>393.82</v>
      </c>
      <c r="O1899">
        <v>539.61</v>
      </c>
      <c r="P1899">
        <v>53.96</v>
      </c>
      <c r="Q1899">
        <v>53.96</v>
      </c>
      <c r="R1899" t="s">
        <v>30</v>
      </c>
      <c r="S1899">
        <v>29</v>
      </c>
      <c r="T1899">
        <v>1</v>
      </c>
      <c r="U1899">
        <v>2</v>
      </c>
      <c r="V1899">
        <v>485.65</v>
      </c>
      <c r="W1899">
        <v>13130001897</v>
      </c>
    </row>
    <row r="1900" spans="1:23" x14ac:dyDescent="0.2">
      <c r="A1900" s="1">
        <v>44803</v>
      </c>
      <c r="B1900" s="2">
        <v>0.9198263888888889</v>
      </c>
      <c r="C1900">
        <v>2898</v>
      </c>
      <c r="D1900">
        <v>13002561</v>
      </c>
      <c r="E1900">
        <v>13</v>
      </c>
      <c r="F1900">
        <v>22589</v>
      </c>
      <c r="G1900" t="s">
        <v>23</v>
      </c>
      <c r="H1900">
        <v>18</v>
      </c>
      <c r="I1900">
        <v>53754</v>
      </c>
      <c r="J1900" t="s">
        <v>92</v>
      </c>
      <c r="K1900" t="s">
        <v>60</v>
      </c>
      <c r="L1900" t="s">
        <v>32</v>
      </c>
      <c r="M1900">
        <v>3</v>
      </c>
      <c r="N1900">
        <v>372.19</v>
      </c>
      <c r="O1900">
        <v>623.32000000000005</v>
      </c>
      <c r="P1900">
        <v>62.33</v>
      </c>
      <c r="Q1900">
        <v>62.33</v>
      </c>
      <c r="R1900" t="s">
        <v>30</v>
      </c>
      <c r="S1900">
        <v>29</v>
      </c>
      <c r="T1900">
        <v>1</v>
      </c>
      <c r="U1900">
        <v>3</v>
      </c>
      <c r="V1900">
        <v>560.99</v>
      </c>
      <c r="W1900">
        <v>13130001898</v>
      </c>
    </row>
    <row r="1901" spans="1:23" x14ac:dyDescent="0.2">
      <c r="A1901" s="1">
        <v>44782</v>
      </c>
      <c r="B1901" s="2">
        <v>0.81032407407407403</v>
      </c>
      <c r="C1901">
        <v>2899</v>
      </c>
      <c r="D1901">
        <v>13002561</v>
      </c>
      <c r="E1901">
        <v>13</v>
      </c>
      <c r="F1901">
        <v>22589</v>
      </c>
      <c r="G1901" t="s">
        <v>23</v>
      </c>
      <c r="H1901">
        <v>18</v>
      </c>
      <c r="I1901">
        <v>93337</v>
      </c>
      <c r="J1901" t="s">
        <v>54</v>
      </c>
      <c r="K1901" t="s">
        <v>25</v>
      </c>
      <c r="L1901" t="s">
        <v>32</v>
      </c>
      <c r="M1901">
        <v>2</v>
      </c>
      <c r="N1901">
        <v>250.47</v>
      </c>
      <c r="O1901">
        <v>326.70999999999998</v>
      </c>
      <c r="P1901">
        <v>16.34</v>
      </c>
      <c r="Q1901">
        <v>16.34</v>
      </c>
      <c r="R1901" t="s">
        <v>30</v>
      </c>
      <c r="S1901">
        <v>29</v>
      </c>
      <c r="T1901">
        <v>1</v>
      </c>
      <c r="U1901">
        <v>2</v>
      </c>
      <c r="V1901">
        <v>310.37</v>
      </c>
      <c r="W1901">
        <v>13130001899</v>
      </c>
    </row>
    <row r="1902" spans="1:23" x14ac:dyDescent="0.2">
      <c r="A1902" s="1">
        <v>44796</v>
      </c>
      <c r="B1902" s="2">
        <v>0.45500000000000002</v>
      </c>
      <c r="C1902">
        <v>2900</v>
      </c>
      <c r="D1902">
        <v>13002561</v>
      </c>
      <c r="E1902">
        <v>13</v>
      </c>
      <c r="F1902">
        <v>22589</v>
      </c>
      <c r="G1902" t="s">
        <v>23</v>
      </c>
      <c r="H1902">
        <v>18</v>
      </c>
      <c r="I1902">
        <v>69775</v>
      </c>
      <c r="J1902" t="s">
        <v>84</v>
      </c>
      <c r="K1902" t="s">
        <v>44</v>
      </c>
      <c r="L1902" t="s">
        <v>29</v>
      </c>
      <c r="M1902">
        <v>3</v>
      </c>
      <c r="N1902">
        <v>302.98</v>
      </c>
      <c r="O1902">
        <v>428.85</v>
      </c>
      <c r="P1902">
        <v>21.44</v>
      </c>
      <c r="Q1902">
        <v>21.44</v>
      </c>
      <c r="R1902" t="s">
        <v>30</v>
      </c>
      <c r="S1902">
        <v>29</v>
      </c>
      <c r="T1902">
        <v>1</v>
      </c>
      <c r="U1902">
        <v>5</v>
      </c>
      <c r="V1902">
        <v>407.41</v>
      </c>
      <c r="W1902">
        <v>13130001900</v>
      </c>
    </row>
    <row r="1903" spans="1:23" x14ac:dyDescent="0.2">
      <c r="A1903" s="1">
        <v>44782</v>
      </c>
      <c r="B1903" s="2">
        <v>0.58072916666666663</v>
      </c>
      <c r="C1903">
        <v>2901</v>
      </c>
      <c r="D1903">
        <v>13002561</v>
      </c>
      <c r="E1903">
        <v>13</v>
      </c>
      <c r="F1903">
        <v>22589</v>
      </c>
      <c r="G1903" t="s">
        <v>23</v>
      </c>
      <c r="H1903">
        <v>15</v>
      </c>
      <c r="I1903">
        <v>49349</v>
      </c>
      <c r="J1903" t="s">
        <v>87</v>
      </c>
      <c r="K1903" t="s">
        <v>44</v>
      </c>
      <c r="L1903" t="s">
        <v>39</v>
      </c>
      <c r="M1903">
        <v>1</v>
      </c>
      <c r="N1903">
        <v>353.87</v>
      </c>
      <c r="O1903">
        <v>454.22</v>
      </c>
      <c r="P1903">
        <v>0</v>
      </c>
      <c r="Q1903">
        <v>0</v>
      </c>
      <c r="S1903">
        <v>29</v>
      </c>
      <c r="T1903">
        <v>1</v>
      </c>
      <c r="U1903">
        <v>1</v>
      </c>
      <c r="V1903">
        <v>454.22</v>
      </c>
      <c r="W1903">
        <v>13130001901</v>
      </c>
    </row>
    <row r="1904" spans="1:23" x14ac:dyDescent="0.2">
      <c r="A1904" s="1">
        <v>44783</v>
      </c>
      <c r="B1904" s="2">
        <v>0.43111111111111111</v>
      </c>
      <c r="C1904">
        <v>2902</v>
      </c>
      <c r="D1904">
        <v>13002561</v>
      </c>
      <c r="E1904">
        <v>13</v>
      </c>
      <c r="F1904">
        <v>22589</v>
      </c>
      <c r="G1904" t="s">
        <v>23</v>
      </c>
      <c r="H1904">
        <v>15</v>
      </c>
      <c r="I1904">
        <v>96841</v>
      </c>
      <c r="J1904" t="s">
        <v>115</v>
      </c>
      <c r="K1904" t="s">
        <v>38</v>
      </c>
      <c r="L1904" t="s">
        <v>26</v>
      </c>
      <c r="M1904">
        <v>3</v>
      </c>
      <c r="N1904">
        <v>87.91</v>
      </c>
      <c r="O1904">
        <v>142.03</v>
      </c>
      <c r="P1904">
        <v>0</v>
      </c>
      <c r="Q1904">
        <v>0</v>
      </c>
      <c r="S1904">
        <v>29</v>
      </c>
      <c r="T1904">
        <v>1</v>
      </c>
      <c r="U1904">
        <v>1</v>
      </c>
      <c r="V1904">
        <v>142.03</v>
      </c>
      <c r="W1904">
        <v>13130001902</v>
      </c>
    </row>
    <row r="1905" spans="1:23" x14ac:dyDescent="0.2">
      <c r="A1905" s="1">
        <v>44774</v>
      </c>
      <c r="B1905" s="2">
        <v>0.55371527777777774</v>
      </c>
      <c r="C1905">
        <v>2903</v>
      </c>
      <c r="D1905">
        <v>13002561</v>
      </c>
      <c r="E1905">
        <v>13</v>
      </c>
      <c r="F1905">
        <v>22589</v>
      </c>
      <c r="G1905" t="s">
        <v>23</v>
      </c>
      <c r="H1905">
        <v>15</v>
      </c>
      <c r="I1905">
        <v>15779</v>
      </c>
      <c r="J1905" t="s">
        <v>74</v>
      </c>
      <c r="K1905" t="s">
        <v>38</v>
      </c>
      <c r="L1905" t="s">
        <v>36</v>
      </c>
      <c r="M1905">
        <v>3</v>
      </c>
      <c r="N1905">
        <v>172.23</v>
      </c>
      <c r="O1905">
        <v>250.81</v>
      </c>
      <c r="P1905">
        <v>12.54</v>
      </c>
      <c r="Q1905">
        <v>12.54</v>
      </c>
      <c r="R1905" t="s">
        <v>30</v>
      </c>
      <c r="S1905">
        <v>29</v>
      </c>
      <c r="T1905">
        <v>1</v>
      </c>
      <c r="U1905">
        <v>3</v>
      </c>
      <c r="V1905">
        <v>238.27</v>
      </c>
      <c r="W1905">
        <v>13130001903</v>
      </c>
    </row>
    <row r="1906" spans="1:23" x14ac:dyDescent="0.2">
      <c r="A1906" s="1">
        <v>44804</v>
      </c>
      <c r="B1906" s="2">
        <v>0.92349537037037033</v>
      </c>
      <c r="C1906">
        <v>2904</v>
      </c>
      <c r="D1906">
        <v>13002561</v>
      </c>
      <c r="E1906">
        <v>13</v>
      </c>
      <c r="F1906">
        <v>22589</v>
      </c>
      <c r="G1906" t="s">
        <v>23</v>
      </c>
      <c r="H1906">
        <v>18</v>
      </c>
      <c r="I1906">
        <v>70318</v>
      </c>
      <c r="J1906" t="s">
        <v>43</v>
      </c>
      <c r="K1906" t="s">
        <v>44</v>
      </c>
      <c r="L1906" t="s">
        <v>36</v>
      </c>
      <c r="M1906">
        <v>1</v>
      </c>
      <c r="N1906">
        <v>77.650000000000006</v>
      </c>
      <c r="O1906">
        <v>102.53</v>
      </c>
      <c r="P1906">
        <v>10.25</v>
      </c>
      <c r="Q1906">
        <v>10.25</v>
      </c>
      <c r="R1906" t="s">
        <v>30</v>
      </c>
      <c r="S1906">
        <v>29</v>
      </c>
      <c r="T1906">
        <v>1</v>
      </c>
      <c r="U1906">
        <v>2</v>
      </c>
      <c r="V1906">
        <v>92.28</v>
      </c>
      <c r="W1906">
        <v>13130001904</v>
      </c>
    </row>
    <row r="1907" spans="1:23" x14ac:dyDescent="0.2">
      <c r="A1907" s="1">
        <v>44801</v>
      </c>
      <c r="B1907" s="2">
        <v>0.95656249999999998</v>
      </c>
      <c r="C1907">
        <v>2905</v>
      </c>
      <c r="D1907">
        <v>13002561</v>
      </c>
      <c r="E1907">
        <v>13</v>
      </c>
      <c r="F1907">
        <v>22589</v>
      </c>
      <c r="G1907" t="s">
        <v>23</v>
      </c>
      <c r="H1907">
        <v>18</v>
      </c>
      <c r="I1907">
        <v>71970</v>
      </c>
      <c r="J1907" t="s">
        <v>43</v>
      </c>
      <c r="K1907" t="s">
        <v>45</v>
      </c>
      <c r="L1907" t="s">
        <v>47</v>
      </c>
      <c r="M1907">
        <v>1</v>
      </c>
      <c r="N1907">
        <v>312.51</v>
      </c>
      <c r="O1907">
        <v>423.55</v>
      </c>
      <c r="P1907">
        <v>21.18</v>
      </c>
      <c r="Q1907">
        <v>21.18</v>
      </c>
      <c r="R1907" t="s">
        <v>30</v>
      </c>
      <c r="S1907">
        <v>29</v>
      </c>
      <c r="T1907">
        <v>1</v>
      </c>
      <c r="U1907">
        <v>5</v>
      </c>
      <c r="V1907">
        <v>402.37</v>
      </c>
      <c r="W1907">
        <v>13130001905</v>
      </c>
    </row>
    <row r="1908" spans="1:23" x14ac:dyDescent="0.2">
      <c r="A1908" s="1">
        <v>44798</v>
      </c>
      <c r="B1908" s="2">
        <v>0.67457175925925927</v>
      </c>
      <c r="C1908">
        <v>2906</v>
      </c>
      <c r="D1908">
        <v>13002561</v>
      </c>
      <c r="E1908">
        <v>13</v>
      </c>
      <c r="F1908">
        <v>22589</v>
      </c>
      <c r="G1908" t="s">
        <v>23</v>
      </c>
      <c r="H1908">
        <v>15</v>
      </c>
      <c r="I1908">
        <v>60137</v>
      </c>
      <c r="J1908" t="s">
        <v>46</v>
      </c>
      <c r="K1908" t="s">
        <v>38</v>
      </c>
      <c r="L1908" t="s">
        <v>26</v>
      </c>
      <c r="M1908">
        <v>1</v>
      </c>
      <c r="N1908">
        <v>6.61</v>
      </c>
      <c r="O1908">
        <v>10.1</v>
      </c>
      <c r="P1908">
        <v>0</v>
      </c>
      <c r="Q1908">
        <v>0</v>
      </c>
      <c r="S1908">
        <v>29</v>
      </c>
      <c r="T1908">
        <v>1</v>
      </c>
      <c r="U1908">
        <v>3</v>
      </c>
      <c r="V1908">
        <v>10.1</v>
      </c>
      <c r="W1908">
        <v>13130001906</v>
      </c>
    </row>
    <row r="1909" spans="1:23" x14ac:dyDescent="0.2">
      <c r="A1909" s="1">
        <v>44804</v>
      </c>
      <c r="B1909" s="2">
        <v>0.63548611111111108</v>
      </c>
      <c r="C1909">
        <v>2907</v>
      </c>
      <c r="D1909">
        <v>13002561</v>
      </c>
      <c r="E1909">
        <v>13</v>
      </c>
      <c r="F1909">
        <v>22589</v>
      </c>
      <c r="G1909" t="s">
        <v>23</v>
      </c>
      <c r="H1909">
        <v>15</v>
      </c>
      <c r="I1909">
        <v>63654</v>
      </c>
      <c r="J1909" t="s">
        <v>95</v>
      </c>
      <c r="K1909" t="s">
        <v>38</v>
      </c>
      <c r="L1909" t="s">
        <v>51</v>
      </c>
      <c r="M1909">
        <v>3</v>
      </c>
      <c r="N1909">
        <v>280.19</v>
      </c>
      <c r="O1909">
        <v>397.26</v>
      </c>
      <c r="P1909">
        <v>39.729999999999997</v>
      </c>
      <c r="Q1909">
        <v>39.729999999999997</v>
      </c>
      <c r="R1909" t="s">
        <v>30</v>
      </c>
      <c r="S1909">
        <v>29</v>
      </c>
      <c r="T1909">
        <v>1</v>
      </c>
      <c r="U1909">
        <v>3</v>
      </c>
      <c r="V1909">
        <v>357.53</v>
      </c>
      <c r="W1909">
        <v>13130001907</v>
      </c>
    </row>
    <row r="1910" spans="1:23" x14ac:dyDescent="0.2">
      <c r="A1910" s="1">
        <v>44777</v>
      </c>
      <c r="B1910" s="2">
        <v>0.69068287037037035</v>
      </c>
      <c r="C1910">
        <v>2908</v>
      </c>
      <c r="D1910">
        <v>13002561</v>
      </c>
      <c r="E1910">
        <v>13</v>
      </c>
      <c r="F1910">
        <v>22589</v>
      </c>
      <c r="G1910" t="s">
        <v>23</v>
      </c>
      <c r="H1910">
        <v>15</v>
      </c>
      <c r="I1910">
        <v>61452</v>
      </c>
      <c r="J1910" t="s">
        <v>118</v>
      </c>
      <c r="K1910" t="s">
        <v>38</v>
      </c>
      <c r="L1910" t="s">
        <v>39</v>
      </c>
      <c r="M1910">
        <v>2</v>
      </c>
      <c r="N1910">
        <v>385.29</v>
      </c>
      <c r="O1910">
        <v>636.21</v>
      </c>
      <c r="P1910">
        <v>0</v>
      </c>
      <c r="Q1910">
        <v>0</v>
      </c>
      <c r="S1910">
        <v>29</v>
      </c>
      <c r="T1910">
        <v>1</v>
      </c>
      <c r="U1910">
        <v>6</v>
      </c>
      <c r="V1910">
        <v>636.21</v>
      </c>
      <c r="W1910">
        <v>13130001908</v>
      </c>
    </row>
    <row r="1911" spans="1:23" x14ac:dyDescent="0.2">
      <c r="A1911" s="1">
        <v>44787</v>
      </c>
      <c r="B1911" s="2">
        <v>0.83512731481481484</v>
      </c>
      <c r="C1911">
        <v>2909</v>
      </c>
      <c r="D1911">
        <v>13002561</v>
      </c>
      <c r="E1911">
        <v>13</v>
      </c>
      <c r="F1911">
        <v>22589</v>
      </c>
      <c r="G1911" t="s">
        <v>23</v>
      </c>
      <c r="H1911">
        <v>18</v>
      </c>
      <c r="I1911">
        <v>91618</v>
      </c>
      <c r="J1911" t="s">
        <v>103</v>
      </c>
      <c r="K1911" t="s">
        <v>60</v>
      </c>
      <c r="L1911" t="s">
        <v>26</v>
      </c>
      <c r="M1911">
        <v>3</v>
      </c>
      <c r="N1911">
        <v>204.45</v>
      </c>
      <c r="O1911">
        <v>344.37</v>
      </c>
      <c r="P1911">
        <v>17.22</v>
      </c>
      <c r="Q1911">
        <v>17.22</v>
      </c>
      <c r="R1911" t="s">
        <v>30</v>
      </c>
      <c r="S1911">
        <v>29</v>
      </c>
      <c r="T1911">
        <v>1</v>
      </c>
      <c r="U1911">
        <v>4</v>
      </c>
      <c r="V1911">
        <v>327.14999999999998</v>
      </c>
      <c r="W1911">
        <v>13130001909</v>
      </c>
    </row>
    <row r="1912" spans="1:23" x14ac:dyDescent="0.2">
      <c r="A1912" s="1">
        <v>44777</v>
      </c>
      <c r="B1912" s="2">
        <v>0.79291666666666671</v>
      </c>
      <c r="C1912">
        <v>2910</v>
      </c>
      <c r="D1912">
        <v>13002561</v>
      </c>
      <c r="E1912">
        <v>13</v>
      </c>
      <c r="F1912">
        <v>22589</v>
      </c>
      <c r="G1912" t="s">
        <v>23</v>
      </c>
      <c r="H1912">
        <v>18</v>
      </c>
      <c r="I1912">
        <v>17253</v>
      </c>
      <c r="J1912" t="s">
        <v>90</v>
      </c>
      <c r="K1912" t="s">
        <v>25</v>
      </c>
      <c r="L1912" t="s">
        <v>47</v>
      </c>
      <c r="M1912">
        <v>1</v>
      </c>
      <c r="N1912">
        <v>246.99</v>
      </c>
      <c r="O1912">
        <v>350.13</v>
      </c>
      <c r="P1912">
        <v>17.510000000000002</v>
      </c>
      <c r="Q1912">
        <v>17.510000000000002</v>
      </c>
      <c r="R1912" t="s">
        <v>30</v>
      </c>
      <c r="S1912">
        <v>29</v>
      </c>
      <c r="T1912">
        <v>1</v>
      </c>
      <c r="U1912">
        <v>4</v>
      </c>
      <c r="V1912">
        <v>332.62</v>
      </c>
      <c r="W1912">
        <v>13130001910</v>
      </c>
    </row>
    <row r="1913" spans="1:23" x14ac:dyDescent="0.2">
      <c r="A1913" s="1">
        <v>44784</v>
      </c>
      <c r="B1913" s="2">
        <v>0.4455439814814815</v>
      </c>
      <c r="C1913">
        <v>2911</v>
      </c>
      <c r="D1913">
        <v>13002561</v>
      </c>
      <c r="E1913">
        <v>13</v>
      </c>
      <c r="F1913">
        <v>22589</v>
      </c>
      <c r="G1913" t="s">
        <v>23</v>
      </c>
      <c r="H1913">
        <v>18</v>
      </c>
      <c r="I1913">
        <v>62624</v>
      </c>
      <c r="J1913" t="s">
        <v>52</v>
      </c>
      <c r="K1913" t="s">
        <v>38</v>
      </c>
      <c r="L1913" t="s">
        <v>51</v>
      </c>
      <c r="M1913">
        <v>2</v>
      </c>
      <c r="N1913">
        <v>45.63</v>
      </c>
      <c r="O1913">
        <v>71.989999999999995</v>
      </c>
      <c r="P1913">
        <v>0</v>
      </c>
      <c r="Q1913">
        <v>0</v>
      </c>
      <c r="S1913">
        <v>29</v>
      </c>
      <c r="T1913">
        <v>1</v>
      </c>
      <c r="U1913">
        <v>2</v>
      </c>
      <c r="V1913">
        <v>71.989999999999995</v>
      </c>
      <c r="W1913">
        <v>13130001911</v>
      </c>
    </row>
    <row r="1914" spans="1:23" x14ac:dyDescent="0.2">
      <c r="A1914" s="1">
        <v>44789</v>
      </c>
      <c r="B1914" s="2">
        <v>0.74192129629629633</v>
      </c>
      <c r="C1914">
        <v>2912</v>
      </c>
      <c r="D1914">
        <v>13002561</v>
      </c>
      <c r="E1914">
        <v>13</v>
      </c>
      <c r="F1914">
        <v>22589</v>
      </c>
      <c r="G1914" t="s">
        <v>23</v>
      </c>
      <c r="H1914">
        <v>15</v>
      </c>
      <c r="I1914">
        <v>56699</v>
      </c>
      <c r="J1914" t="s">
        <v>99</v>
      </c>
      <c r="K1914" t="s">
        <v>28</v>
      </c>
      <c r="L1914" t="s">
        <v>47</v>
      </c>
      <c r="M1914">
        <v>3</v>
      </c>
      <c r="N1914">
        <v>267.55</v>
      </c>
      <c r="O1914">
        <v>349</v>
      </c>
      <c r="P1914">
        <v>17.45</v>
      </c>
      <c r="Q1914">
        <v>17.45</v>
      </c>
      <c r="R1914" t="s">
        <v>30</v>
      </c>
      <c r="S1914">
        <v>29</v>
      </c>
      <c r="T1914">
        <v>1</v>
      </c>
      <c r="U1914">
        <v>5</v>
      </c>
      <c r="V1914">
        <v>331.55</v>
      </c>
      <c r="W1914">
        <v>13130001912</v>
      </c>
    </row>
    <row r="1915" spans="1:23" x14ac:dyDescent="0.2">
      <c r="A1915" s="1">
        <v>44779</v>
      </c>
      <c r="B1915" s="2">
        <v>0.6628356481481481</v>
      </c>
      <c r="C1915">
        <v>2913</v>
      </c>
      <c r="D1915">
        <v>13002561</v>
      </c>
      <c r="E1915">
        <v>13</v>
      </c>
      <c r="F1915">
        <v>22589</v>
      </c>
      <c r="G1915" t="s">
        <v>23</v>
      </c>
      <c r="H1915">
        <v>15</v>
      </c>
      <c r="I1915">
        <v>82306</v>
      </c>
      <c r="J1915" t="s">
        <v>120</v>
      </c>
      <c r="K1915" t="s">
        <v>25</v>
      </c>
      <c r="L1915" t="s">
        <v>34</v>
      </c>
      <c r="M1915">
        <v>1</v>
      </c>
      <c r="N1915">
        <v>201.24</v>
      </c>
      <c r="O1915">
        <v>284.70999999999998</v>
      </c>
      <c r="P1915">
        <v>28.47</v>
      </c>
      <c r="Q1915">
        <v>28.47</v>
      </c>
      <c r="R1915" t="s">
        <v>30</v>
      </c>
      <c r="S1915">
        <v>29</v>
      </c>
      <c r="T1915">
        <v>1</v>
      </c>
      <c r="U1915">
        <v>2</v>
      </c>
      <c r="V1915">
        <v>256.24</v>
      </c>
      <c r="W1915">
        <v>13130001913</v>
      </c>
    </row>
    <row r="1916" spans="1:23" x14ac:dyDescent="0.2">
      <c r="A1916" s="1">
        <v>44792</v>
      </c>
      <c r="B1916" s="2">
        <v>0.42031249999999998</v>
      </c>
      <c r="C1916">
        <v>2914</v>
      </c>
      <c r="D1916">
        <v>13002561</v>
      </c>
      <c r="E1916">
        <v>13</v>
      </c>
      <c r="F1916">
        <v>22589</v>
      </c>
      <c r="G1916" t="s">
        <v>23</v>
      </c>
      <c r="H1916">
        <v>15</v>
      </c>
      <c r="I1916">
        <v>68340</v>
      </c>
      <c r="J1916" t="s">
        <v>24</v>
      </c>
      <c r="K1916" t="s">
        <v>45</v>
      </c>
      <c r="L1916" t="s">
        <v>51</v>
      </c>
      <c r="M1916">
        <v>1</v>
      </c>
      <c r="N1916">
        <v>36.82</v>
      </c>
      <c r="O1916">
        <v>59.17</v>
      </c>
      <c r="P1916">
        <v>0</v>
      </c>
      <c r="Q1916">
        <v>0</v>
      </c>
      <c r="S1916">
        <v>29</v>
      </c>
      <c r="T1916">
        <v>1</v>
      </c>
      <c r="U1916">
        <v>3</v>
      </c>
      <c r="V1916">
        <v>59.17</v>
      </c>
      <c r="W1916">
        <v>13130001914</v>
      </c>
    </row>
    <row r="1917" spans="1:23" x14ac:dyDescent="0.2">
      <c r="A1917" s="1">
        <v>44804</v>
      </c>
      <c r="B1917" s="2">
        <v>0.9410532407407407</v>
      </c>
      <c r="C1917">
        <v>2915</v>
      </c>
      <c r="D1917">
        <v>13002561</v>
      </c>
      <c r="E1917">
        <v>13</v>
      </c>
      <c r="F1917">
        <v>22589</v>
      </c>
      <c r="G1917" t="s">
        <v>23</v>
      </c>
      <c r="H1917">
        <v>18</v>
      </c>
      <c r="I1917">
        <v>43390</v>
      </c>
      <c r="J1917" t="s">
        <v>40</v>
      </c>
      <c r="K1917" t="s">
        <v>60</v>
      </c>
      <c r="L1917" t="s">
        <v>26</v>
      </c>
      <c r="M1917">
        <v>1</v>
      </c>
      <c r="N1917">
        <v>146.11000000000001</v>
      </c>
      <c r="O1917">
        <v>190.56</v>
      </c>
      <c r="P1917">
        <v>9.5299999999999994</v>
      </c>
      <c r="Q1917">
        <v>9.5299999999999994</v>
      </c>
      <c r="R1917" t="s">
        <v>30</v>
      </c>
      <c r="S1917">
        <v>29</v>
      </c>
      <c r="T1917">
        <v>1</v>
      </c>
      <c r="U1917">
        <v>4</v>
      </c>
      <c r="V1917">
        <v>181.03</v>
      </c>
      <c r="W1917">
        <v>13130001915</v>
      </c>
    </row>
    <row r="1918" spans="1:23" x14ac:dyDescent="0.2">
      <c r="A1918" s="1">
        <v>44780</v>
      </c>
      <c r="B1918" s="2">
        <v>0.90680555555555553</v>
      </c>
      <c r="C1918">
        <v>2916</v>
      </c>
      <c r="D1918">
        <v>13002561</v>
      </c>
      <c r="E1918">
        <v>13</v>
      </c>
      <c r="F1918">
        <v>22589</v>
      </c>
      <c r="G1918" t="s">
        <v>23</v>
      </c>
      <c r="H1918">
        <v>15</v>
      </c>
      <c r="I1918">
        <v>85991</v>
      </c>
      <c r="J1918" t="s">
        <v>67</v>
      </c>
      <c r="K1918" t="s">
        <v>38</v>
      </c>
      <c r="L1918" t="s">
        <v>26</v>
      </c>
      <c r="M1918">
        <v>1</v>
      </c>
      <c r="N1918">
        <v>417.05</v>
      </c>
      <c r="O1918">
        <v>591.73</v>
      </c>
      <c r="P1918">
        <v>29.59</v>
      </c>
      <c r="Q1918">
        <v>29.59</v>
      </c>
      <c r="R1918" t="s">
        <v>30</v>
      </c>
      <c r="S1918">
        <v>29</v>
      </c>
      <c r="T1918">
        <v>1</v>
      </c>
      <c r="U1918">
        <v>4</v>
      </c>
      <c r="V1918">
        <v>562.14</v>
      </c>
      <c r="W1918">
        <v>13130001916</v>
      </c>
    </row>
    <row r="1919" spans="1:23" x14ac:dyDescent="0.2">
      <c r="A1919" s="1">
        <v>44788</v>
      </c>
      <c r="B1919" s="2">
        <v>0.42247685185185191</v>
      </c>
      <c r="C1919">
        <v>2917</v>
      </c>
      <c r="D1919">
        <v>13002561</v>
      </c>
      <c r="E1919">
        <v>13</v>
      </c>
      <c r="F1919">
        <v>22589</v>
      </c>
      <c r="G1919" t="s">
        <v>23</v>
      </c>
      <c r="H1919">
        <v>18</v>
      </c>
      <c r="I1919">
        <v>45833</v>
      </c>
      <c r="J1919" t="s">
        <v>77</v>
      </c>
      <c r="K1919" t="s">
        <v>25</v>
      </c>
      <c r="L1919" t="s">
        <v>36</v>
      </c>
      <c r="M1919">
        <v>3</v>
      </c>
      <c r="N1919">
        <v>84.31</v>
      </c>
      <c r="O1919">
        <v>136.25</v>
      </c>
      <c r="P1919">
        <v>13.62</v>
      </c>
      <c r="Q1919">
        <v>13.62</v>
      </c>
      <c r="R1919" t="s">
        <v>30</v>
      </c>
      <c r="S1919">
        <v>29</v>
      </c>
      <c r="T1919">
        <v>1</v>
      </c>
      <c r="U1919">
        <v>2</v>
      </c>
      <c r="V1919">
        <v>122.63</v>
      </c>
      <c r="W1919">
        <v>13130001917</v>
      </c>
    </row>
    <row r="1920" spans="1:23" x14ac:dyDescent="0.2">
      <c r="A1920" s="1">
        <v>44793</v>
      </c>
      <c r="B1920" s="2">
        <v>0.46065972222222218</v>
      </c>
      <c r="C1920">
        <v>2918</v>
      </c>
      <c r="D1920">
        <v>13002561</v>
      </c>
      <c r="E1920">
        <v>13</v>
      </c>
      <c r="F1920">
        <v>22589</v>
      </c>
      <c r="G1920" t="s">
        <v>23</v>
      </c>
      <c r="H1920">
        <v>15</v>
      </c>
      <c r="I1920">
        <v>44708</v>
      </c>
      <c r="J1920" t="s">
        <v>96</v>
      </c>
      <c r="K1920" t="s">
        <v>28</v>
      </c>
      <c r="L1920" t="s">
        <v>32</v>
      </c>
      <c r="M1920">
        <v>3</v>
      </c>
      <c r="N1920">
        <v>83.27</v>
      </c>
      <c r="O1920">
        <v>130.83000000000001</v>
      </c>
      <c r="P1920">
        <v>6.54</v>
      </c>
      <c r="Q1920">
        <v>6.54</v>
      </c>
      <c r="R1920" t="s">
        <v>30</v>
      </c>
      <c r="S1920">
        <v>29</v>
      </c>
      <c r="T1920">
        <v>1</v>
      </c>
      <c r="U1920">
        <v>2</v>
      </c>
      <c r="V1920">
        <v>124.29</v>
      </c>
      <c r="W1920">
        <v>13130001918</v>
      </c>
    </row>
    <row r="1921" spans="1:23" x14ac:dyDescent="0.2">
      <c r="A1921" s="1">
        <v>44783</v>
      </c>
      <c r="B1921" s="2">
        <v>0.40930555555555548</v>
      </c>
      <c r="C1921">
        <v>2919</v>
      </c>
      <c r="D1921">
        <v>13002561</v>
      </c>
      <c r="E1921">
        <v>13</v>
      </c>
      <c r="F1921">
        <v>22589</v>
      </c>
      <c r="G1921" t="s">
        <v>23</v>
      </c>
      <c r="H1921">
        <v>15</v>
      </c>
      <c r="I1921">
        <v>15120</v>
      </c>
      <c r="J1921" t="s">
        <v>31</v>
      </c>
      <c r="K1921" t="s">
        <v>44</v>
      </c>
      <c r="L1921" t="s">
        <v>26</v>
      </c>
      <c r="M1921">
        <v>1</v>
      </c>
      <c r="N1921">
        <v>222.97</v>
      </c>
      <c r="O1921">
        <v>288.41000000000003</v>
      </c>
      <c r="P1921">
        <v>0</v>
      </c>
      <c r="Q1921">
        <v>0</v>
      </c>
      <c r="S1921">
        <v>29</v>
      </c>
      <c r="T1921">
        <v>1</v>
      </c>
      <c r="U1921">
        <v>2</v>
      </c>
      <c r="V1921">
        <v>288.41000000000003</v>
      </c>
      <c r="W1921">
        <v>13130001919</v>
      </c>
    </row>
    <row r="1922" spans="1:23" x14ac:dyDescent="0.2">
      <c r="A1922" s="1">
        <v>44780</v>
      </c>
      <c r="B1922" s="2">
        <v>0.7253356481481481</v>
      </c>
      <c r="C1922">
        <v>2920</v>
      </c>
      <c r="D1922">
        <v>13002561</v>
      </c>
      <c r="E1922">
        <v>13</v>
      </c>
      <c r="F1922">
        <v>22589</v>
      </c>
      <c r="G1922" t="s">
        <v>23</v>
      </c>
      <c r="H1922">
        <v>15</v>
      </c>
      <c r="I1922">
        <v>67086</v>
      </c>
      <c r="J1922" t="s">
        <v>40</v>
      </c>
      <c r="K1922" t="s">
        <v>44</v>
      </c>
      <c r="L1922" t="s">
        <v>47</v>
      </c>
      <c r="M1922">
        <v>1</v>
      </c>
      <c r="N1922">
        <v>205.08</v>
      </c>
      <c r="O1922">
        <v>320.92</v>
      </c>
      <c r="P1922">
        <v>0</v>
      </c>
      <c r="Q1922">
        <v>0</v>
      </c>
      <c r="S1922">
        <v>29</v>
      </c>
      <c r="T1922">
        <v>1</v>
      </c>
      <c r="U1922">
        <v>3</v>
      </c>
      <c r="V1922">
        <v>320.92</v>
      </c>
      <c r="W1922">
        <v>13130001920</v>
      </c>
    </row>
    <row r="1923" spans="1:23" x14ac:dyDescent="0.2">
      <c r="A1923" s="1">
        <v>44785</v>
      </c>
      <c r="B1923" s="2">
        <v>0.85365740740740736</v>
      </c>
      <c r="C1923">
        <v>2921</v>
      </c>
      <c r="D1923">
        <v>13002561</v>
      </c>
      <c r="E1923">
        <v>13</v>
      </c>
      <c r="F1923">
        <v>22589</v>
      </c>
      <c r="G1923" t="s">
        <v>23</v>
      </c>
      <c r="H1923">
        <v>15</v>
      </c>
      <c r="I1923">
        <v>78246</v>
      </c>
      <c r="J1923" t="s">
        <v>46</v>
      </c>
      <c r="K1923" t="s">
        <v>25</v>
      </c>
      <c r="L1923" t="s">
        <v>39</v>
      </c>
      <c r="M1923">
        <v>1</v>
      </c>
      <c r="N1923">
        <v>586.36</v>
      </c>
      <c r="O1923">
        <v>863.21</v>
      </c>
      <c r="P1923">
        <v>86.32</v>
      </c>
      <c r="Q1923">
        <v>86.32</v>
      </c>
      <c r="R1923" t="s">
        <v>30</v>
      </c>
      <c r="S1923">
        <v>29</v>
      </c>
      <c r="T1923">
        <v>1</v>
      </c>
      <c r="U1923">
        <v>6</v>
      </c>
      <c r="V1923">
        <v>776.89</v>
      </c>
      <c r="W1923">
        <v>13130001921</v>
      </c>
    </row>
    <row r="1924" spans="1:23" x14ac:dyDescent="0.2">
      <c r="A1924" s="1">
        <v>44796</v>
      </c>
      <c r="B1924" s="2">
        <v>0.77285879629629628</v>
      </c>
      <c r="C1924">
        <v>2922</v>
      </c>
      <c r="D1924">
        <v>13002561</v>
      </c>
      <c r="E1924">
        <v>13</v>
      </c>
      <c r="F1924">
        <v>22589</v>
      </c>
      <c r="G1924" t="s">
        <v>23</v>
      </c>
      <c r="H1924">
        <v>15</v>
      </c>
      <c r="I1924">
        <v>62642</v>
      </c>
      <c r="J1924" t="s">
        <v>50</v>
      </c>
      <c r="K1924" t="s">
        <v>38</v>
      </c>
      <c r="L1924" t="s">
        <v>32</v>
      </c>
      <c r="M1924">
        <v>3</v>
      </c>
      <c r="N1924">
        <v>118.61</v>
      </c>
      <c r="O1924">
        <v>185.66</v>
      </c>
      <c r="P1924">
        <v>9.2799999999999994</v>
      </c>
      <c r="Q1924">
        <v>9.2799999999999994</v>
      </c>
      <c r="R1924" t="s">
        <v>30</v>
      </c>
      <c r="S1924">
        <v>29</v>
      </c>
      <c r="T1924">
        <v>1</v>
      </c>
      <c r="U1924">
        <v>2</v>
      </c>
      <c r="V1924">
        <v>176.38</v>
      </c>
      <c r="W1924">
        <v>13130001922</v>
      </c>
    </row>
    <row r="1925" spans="1:23" x14ac:dyDescent="0.2">
      <c r="A1925" s="1">
        <v>44789</v>
      </c>
      <c r="B1925" s="2">
        <v>0.34700231481481481</v>
      </c>
      <c r="C1925">
        <v>2923</v>
      </c>
      <c r="D1925">
        <v>13002561</v>
      </c>
      <c r="E1925">
        <v>13</v>
      </c>
      <c r="F1925">
        <v>22589</v>
      </c>
      <c r="G1925" t="s">
        <v>23</v>
      </c>
      <c r="H1925">
        <v>18</v>
      </c>
      <c r="I1925">
        <v>54427</v>
      </c>
      <c r="J1925" t="s">
        <v>90</v>
      </c>
      <c r="K1925" t="s">
        <v>45</v>
      </c>
      <c r="L1925" t="s">
        <v>36</v>
      </c>
      <c r="M1925">
        <v>1</v>
      </c>
      <c r="N1925">
        <v>432.75</v>
      </c>
      <c r="O1925">
        <v>654.22</v>
      </c>
      <c r="P1925">
        <v>0</v>
      </c>
      <c r="Q1925">
        <v>0</v>
      </c>
      <c r="S1925">
        <v>29</v>
      </c>
      <c r="T1925">
        <v>1</v>
      </c>
      <c r="U1925">
        <v>4</v>
      </c>
      <c r="V1925">
        <v>654.22</v>
      </c>
      <c r="W1925">
        <v>13130001923</v>
      </c>
    </row>
    <row r="1926" spans="1:23" x14ac:dyDescent="0.2">
      <c r="A1926" s="1">
        <v>44791</v>
      </c>
      <c r="B1926" s="2">
        <v>0.3336689814814815</v>
      </c>
      <c r="C1926">
        <v>2924</v>
      </c>
      <c r="D1926">
        <v>13002561</v>
      </c>
      <c r="E1926">
        <v>13</v>
      </c>
      <c r="F1926">
        <v>22589</v>
      </c>
      <c r="G1926" t="s">
        <v>23</v>
      </c>
      <c r="H1926">
        <v>18</v>
      </c>
      <c r="I1926">
        <v>42849</v>
      </c>
      <c r="J1926" t="s">
        <v>54</v>
      </c>
      <c r="K1926" t="s">
        <v>45</v>
      </c>
      <c r="L1926" t="s">
        <v>47</v>
      </c>
      <c r="M1926">
        <v>1</v>
      </c>
      <c r="N1926">
        <v>423.71</v>
      </c>
      <c r="O1926">
        <v>542.48</v>
      </c>
      <c r="P1926">
        <v>27.12</v>
      </c>
      <c r="Q1926">
        <v>27.12</v>
      </c>
      <c r="R1926" t="s">
        <v>30</v>
      </c>
      <c r="S1926">
        <v>29</v>
      </c>
      <c r="T1926">
        <v>1</v>
      </c>
      <c r="U1926">
        <v>3</v>
      </c>
      <c r="V1926">
        <v>515.36</v>
      </c>
      <c r="W1926">
        <v>13130001924</v>
      </c>
    </row>
    <row r="1927" spans="1:23" x14ac:dyDescent="0.2">
      <c r="A1927" s="1">
        <v>44798</v>
      </c>
      <c r="B1927" s="2">
        <v>0.4415277777777778</v>
      </c>
      <c r="C1927">
        <v>2925</v>
      </c>
      <c r="D1927">
        <v>13002561</v>
      </c>
      <c r="E1927">
        <v>13</v>
      </c>
      <c r="F1927">
        <v>22589</v>
      </c>
      <c r="G1927" t="s">
        <v>23</v>
      </c>
      <c r="H1927">
        <v>18</v>
      </c>
      <c r="I1927">
        <v>81189</v>
      </c>
      <c r="J1927" t="s">
        <v>104</v>
      </c>
      <c r="K1927" t="s">
        <v>38</v>
      </c>
      <c r="L1927" t="s">
        <v>36</v>
      </c>
      <c r="M1927">
        <v>3</v>
      </c>
      <c r="N1927">
        <v>426.71</v>
      </c>
      <c r="O1927">
        <v>579.66999999999996</v>
      </c>
      <c r="P1927">
        <v>0</v>
      </c>
      <c r="Q1927">
        <v>0</v>
      </c>
      <c r="S1927">
        <v>29</v>
      </c>
      <c r="T1927">
        <v>1</v>
      </c>
      <c r="U1927">
        <v>1</v>
      </c>
      <c r="V1927">
        <v>579.66999999999996</v>
      </c>
      <c r="W1927">
        <v>13130001925</v>
      </c>
    </row>
    <row r="1928" spans="1:23" x14ac:dyDescent="0.2">
      <c r="A1928" s="1">
        <v>44781</v>
      </c>
      <c r="B1928" s="2">
        <v>0.91415509259259264</v>
      </c>
      <c r="C1928">
        <v>2926</v>
      </c>
      <c r="D1928">
        <v>13002561</v>
      </c>
      <c r="E1928">
        <v>13</v>
      </c>
      <c r="F1928">
        <v>22589</v>
      </c>
      <c r="G1928" t="s">
        <v>23</v>
      </c>
      <c r="H1928">
        <v>15</v>
      </c>
      <c r="I1928">
        <v>57835</v>
      </c>
      <c r="J1928" t="s">
        <v>77</v>
      </c>
      <c r="K1928" t="s">
        <v>25</v>
      </c>
      <c r="L1928" t="s">
        <v>36</v>
      </c>
      <c r="M1928">
        <v>3</v>
      </c>
      <c r="N1928">
        <v>393.25</v>
      </c>
      <c r="O1928">
        <v>563.70000000000005</v>
      </c>
      <c r="P1928">
        <v>0</v>
      </c>
      <c r="Q1928">
        <v>0</v>
      </c>
      <c r="S1928">
        <v>29</v>
      </c>
      <c r="T1928">
        <v>1</v>
      </c>
      <c r="U1928">
        <v>1</v>
      </c>
      <c r="V1928">
        <v>563.70000000000005</v>
      </c>
      <c r="W1928">
        <v>13130001926</v>
      </c>
    </row>
    <row r="1929" spans="1:23" x14ac:dyDescent="0.2">
      <c r="A1929" s="1">
        <v>44781</v>
      </c>
      <c r="B1929" s="2">
        <v>0.59385416666666668</v>
      </c>
      <c r="C1929">
        <v>2927</v>
      </c>
      <c r="D1929">
        <v>13002561</v>
      </c>
      <c r="E1929">
        <v>13</v>
      </c>
      <c r="F1929">
        <v>22589</v>
      </c>
      <c r="G1929" t="s">
        <v>23</v>
      </c>
      <c r="H1929">
        <v>15</v>
      </c>
      <c r="I1929">
        <v>46981</v>
      </c>
      <c r="J1929" t="s">
        <v>86</v>
      </c>
      <c r="K1929" t="s">
        <v>38</v>
      </c>
      <c r="L1929" t="s">
        <v>26</v>
      </c>
      <c r="M1929">
        <v>1</v>
      </c>
      <c r="N1929">
        <v>52.33</v>
      </c>
      <c r="O1929">
        <v>78.819999999999993</v>
      </c>
      <c r="P1929">
        <v>7.88</v>
      </c>
      <c r="Q1929">
        <v>7.88</v>
      </c>
      <c r="R1929" t="s">
        <v>30</v>
      </c>
      <c r="S1929">
        <v>29</v>
      </c>
      <c r="T1929">
        <v>1</v>
      </c>
      <c r="U1929">
        <v>1</v>
      </c>
      <c r="V1929">
        <v>70.94</v>
      </c>
      <c r="W1929">
        <v>13130001927</v>
      </c>
    </row>
    <row r="1930" spans="1:23" x14ac:dyDescent="0.2">
      <c r="A1930" s="1">
        <v>44774</v>
      </c>
      <c r="B1930" s="2">
        <v>0.65719907407407407</v>
      </c>
      <c r="C1930">
        <v>2928</v>
      </c>
      <c r="D1930">
        <v>13002561</v>
      </c>
      <c r="E1930">
        <v>13</v>
      </c>
      <c r="F1930">
        <v>22589</v>
      </c>
      <c r="G1930" t="s">
        <v>23</v>
      </c>
      <c r="H1930">
        <v>18</v>
      </c>
      <c r="I1930">
        <v>53673</v>
      </c>
      <c r="J1930" t="s">
        <v>109</v>
      </c>
      <c r="K1930" t="s">
        <v>38</v>
      </c>
      <c r="L1930" t="s">
        <v>34</v>
      </c>
      <c r="M1930">
        <v>2</v>
      </c>
      <c r="N1930">
        <v>258.29000000000002</v>
      </c>
      <c r="O1930">
        <v>381.55</v>
      </c>
      <c r="P1930">
        <v>19.079999999999998</v>
      </c>
      <c r="Q1930">
        <v>19.079999999999998</v>
      </c>
      <c r="R1930" t="s">
        <v>30</v>
      </c>
      <c r="S1930">
        <v>29</v>
      </c>
      <c r="T1930">
        <v>1</v>
      </c>
      <c r="U1930">
        <v>3</v>
      </c>
      <c r="V1930">
        <v>362.47</v>
      </c>
      <c r="W1930">
        <v>13130001928</v>
      </c>
    </row>
    <row r="1931" spans="1:23" x14ac:dyDescent="0.2">
      <c r="A1931" s="1">
        <v>44780</v>
      </c>
      <c r="B1931" s="2">
        <v>0.56342592592592589</v>
      </c>
      <c r="C1931">
        <v>2929</v>
      </c>
      <c r="D1931">
        <v>13002561</v>
      </c>
      <c r="E1931">
        <v>13</v>
      </c>
      <c r="F1931">
        <v>22589</v>
      </c>
      <c r="G1931" t="s">
        <v>23</v>
      </c>
      <c r="H1931">
        <v>15</v>
      </c>
      <c r="I1931">
        <v>65572</v>
      </c>
      <c r="J1931" t="s">
        <v>113</v>
      </c>
      <c r="K1931" t="s">
        <v>60</v>
      </c>
      <c r="L1931" t="s">
        <v>36</v>
      </c>
      <c r="M1931">
        <v>3</v>
      </c>
      <c r="N1931">
        <v>562.26</v>
      </c>
      <c r="O1931">
        <v>770.91</v>
      </c>
      <c r="P1931">
        <v>0</v>
      </c>
      <c r="Q1931">
        <v>0</v>
      </c>
      <c r="S1931">
        <v>29</v>
      </c>
      <c r="T1931">
        <v>1</v>
      </c>
      <c r="U1931">
        <v>3</v>
      </c>
      <c r="V1931">
        <v>770.91</v>
      </c>
      <c r="W1931">
        <v>13130001929</v>
      </c>
    </row>
    <row r="1932" spans="1:23" x14ac:dyDescent="0.2">
      <c r="A1932" s="1">
        <v>44798</v>
      </c>
      <c r="B1932" s="2">
        <v>0.86277777777777775</v>
      </c>
      <c r="C1932">
        <v>2930</v>
      </c>
      <c r="D1932">
        <v>13002561</v>
      </c>
      <c r="E1932">
        <v>13</v>
      </c>
      <c r="F1932">
        <v>22589</v>
      </c>
      <c r="G1932" t="s">
        <v>23</v>
      </c>
      <c r="H1932">
        <v>15</v>
      </c>
      <c r="I1932">
        <v>99509</v>
      </c>
      <c r="J1932" t="s">
        <v>113</v>
      </c>
      <c r="K1932" t="s">
        <v>28</v>
      </c>
      <c r="L1932" t="s">
        <v>32</v>
      </c>
      <c r="M1932">
        <v>1</v>
      </c>
      <c r="N1932">
        <v>464.85</v>
      </c>
      <c r="O1932">
        <v>648.83000000000004</v>
      </c>
      <c r="P1932">
        <v>64.88</v>
      </c>
      <c r="Q1932">
        <v>64.88</v>
      </c>
      <c r="R1932" t="s">
        <v>30</v>
      </c>
      <c r="S1932">
        <v>29</v>
      </c>
      <c r="T1932">
        <v>1</v>
      </c>
      <c r="U1932">
        <v>6</v>
      </c>
      <c r="V1932">
        <v>583.95000000000005</v>
      </c>
      <c r="W1932">
        <v>13130001930</v>
      </c>
    </row>
    <row r="1933" spans="1:23" x14ac:dyDescent="0.2">
      <c r="A1933" s="1">
        <v>44803</v>
      </c>
      <c r="B1933" s="2">
        <v>0.61027777777777781</v>
      </c>
      <c r="C1933">
        <v>2931</v>
      </c>
      <c r="D1933">
        <v>13002561</v>
      </c>
      <c r="E1933">
        <v>13</v>
      </c>
      <c r="F1933">
        <v>22589</v>
      </c>
      <c r="G1933" t="s">
        <v>23</v>
      </c>
      <c r="H1933">
        <v>15</v>
      </c>
      <c r="I1933">
        <v>43003</v>
      </c>
      <c r="J1933" t="s">
        <v>24</v>
      </c>
      <c r="K1933" t="s">
        <v>25</v>
      </c>
      <c r="L1933" t="s">
        <v>39</v>
      </c>
      <c r="M1933">
        <v>1</v>
      </c>
      <c r="N1933">
        <v>333.05</v>
      </c>
      <c r="O1933">
        <v>555.38</v>
      </c>
      <c r="P1933">
        <v>0</v>
      </c>
      <c r="Q1933">
        <v>0</v>
      </c>
      <c r="S1933">
        <v>29</v>
      </c>
      <c r="T1933">
        <v>1</v>
      </c>
      <c r="U1933">
        <v>6</v>
      </c>
      <c r="V1933">
        <v>555.38</v>
      </c>
      <c r="W1933">
        <v>13130001931</v>
      </c>
    </row>
    <row r="1934" spans="1:23" x14ac:dyDescent="0.2">
      <c r="A1934" s="1">
        <v>44790</v>
      </c>
      <c r="B1934" s="2">
        <v>0.6752083333333333</v>
      </c>
      <c r="C1934">
        <v>2932</v>
      </c>
      <c r="D1934">
        <v>13002561</v>
      </c>
      <c r="E1934">
        <v>13</v>
      </c>
      <c r="F1934">
        <v>22589</v>
      </c>
      <c r="G1934" t="s">
        <v>23</v>
      </c>
      <c r="H1934">
        <v>18</v>
      </c>
      <c r="I1934">
        <v>90796</v>
      </c>
      <c r="J1934" t="s">
        <v>61</v>
      </c>
      <c r="K1934" t="s">
        <v>25</v>
      </c>
      <c r="L1934" t="s">
        <v>29</v>
      </c>
      <c r="M1934">
        <v>1</v>
      </c>
      <c r="N1934">
        <v>48.65</v>
      </c>
      <c r="O1934">
        <v>80.5</v>
      </c>
      <c r="P1934">
        <v>8.0500000000000007</v>
      </c>
      <c r="Q1934">
        <v>8.0500000000000007</v>
      </c>
      <c r="R1934" t="s">
        <v>30</v>
      </c>
      <c r="S1934">
        <v>29</v>
      </c>
      <c r="T1934">
        <v>1</v>
      </c>
      <c r="U1934">
        <v>5</v>
      </c>
      <c r="V1934">
        <v>72.45</v>
      </c>
      <c r="W1934">
        <v>13130001932</v>
      </c>
    </row>
    <row r="1935" spans="1:23" x14ac:dyDescent="0.2">
      <c r="A1935" s="1">
        <v>44798</v>
      </c>
      <c r="B1935" s="2">
        <v>0.33473379629629629</v>
      </c>
      <c r="C1935">
        <v>2933</v>
      </c>
      <c r="D1935">
        <v>13002561</v>
      </c>
      <c r="E1935">
        <v>13</v>
      </c>
      <c r="F1935">
        <v>22589</v>
      </c>
      <c r="G1935" t="s">
        <v>23</v>
      </c>
      <c r="H1935">
        <v>18</v>
      </c>
      <c r="I1935">
        <v>50296</v>
      </c>
      <c r="J1935" t="s">
        <v>99</v>
      </c>
      <c r="K1935" t="s">
        <v>44</v>
      </c>
      <c r="L1935" t="s">
        <v>26</v>
      </c>
      <c r="M1935">
        <v>1</v>
      </c>
      <c r="N1935">
        <v>582.66</v>
      </c>
      <c r="O1935">
        <v>935.18</v>
      </c>
      <c r="P1935">
        <v>0</v>
      </c>
      <c r="Q1935">
        <v>0</v>
      </c>
      <c r="S1935">
        <v>29</v>
      </c>
      <c r="T1935">
        <v>1</v>
      </c>
      <c r="U1935">
        <v>4</v>
      </c>
      <c r="V1935">
        <v>935.18</v>
      </c>
      <c r="W1935">
        <v>13130001933</v>
      </c>
    </row>
    <row r="1936" spans="1:23" x14ac:dyDescent="0.2">
      <c r="A1936" s="1">
        <v>44786</v>
      </c>
      <c r="B1936" s="2">
        <v>0.78416666666666668</v>
      </c>
      <c r="C1936">
        <v>2934</v>
      </c>
      <c r="D1936">
        <v>13002561</v>
      </c>
      <c r="E1936">
        <v>13</v>
      </c>
      <c r="F1936">
        <v>22589</v>
      </c>
      <c r="G1936" t="s">
        <v>23</v>
      </c>
      <c r="H1936">
        <v>18</v>
      </c>
      <c r="I1936">
        <v>76309</v>
      </c>
      <c r="J1936" t="s">
        <v>53</v>
      </c>
      <c r="K1936" t="s">
        <v>25</v>
      </c>
      <c r="L1936" t="s">
        <v>29</v>
      </c>
      <c r="M1936">
        <v>3</v>
      </c>
      <c r="N1936">
        <v>223.67</v>
      </c>
      <c r="O1936">
        <v>328.46</v>
      </c>
      <c r="P1936">
        <v>16.420000000000002</v>
      </c>
      <c r="Q1936">
        <v>16.420000000000002</v>
      </c>
      <c r="R1936" t="s">
        <v>30</v>
      </c>
      <c r="S1936">
        <v>29</v>
      </c>
      <c r="T1936">
        <v>1</v>
      </c>
      <c r="U1936">
        <v>2</v>
      </c>
      <c r="V1936">
        <v>312.04000000000002</v>
      </c>
      <c r="W1936">
        <v>13130001934</v>
      </c>
    </row>
    <row r="1937" spans="1:23" x14ac:dyDescent="0.2">
      <c r="A1937" s="1">
        <v>44777</v>
      </c>
      <c r="B1937" s="2">
        <v>0.55266203703703709</v>
      </c>
      <c r="C1937">
        <v>2935</v>
      </c>
      <c r="D1937">
        <v>13002561</v>
      </c>
      <c r="E1937">
        <v>13</v>
      </c>
      <c r="F1937">
        <v>22589</v>
      </c>
      <c r="G1937" t="s">
        <v>23</v>
      </c>
      <c r="H1937">
        <v>18</v>
      </c>
      <c r="I1937">
        <v>89227</v>
      </c>
      <c r="J1937" t="s">
        <v>63</v>
      </c>
      <c r="K1937" t="s">
        <v>25</v>
      </c>
      <c r="L1937" t="s">
        <v>34</v>
      </c>
      <c r="M1937">
        <v>2</v>
      </c>
      <c r="N1937">
        <v>507.55</v>
      </c>
      <c r="O1937">
        <v>772.1</v>
      </c>
      <c r="P1937">
        <v>38.61</v>
      </c>
      <c r="Q1937">
        <v>38.61</v>
      </c>
      <c r="R1937" t="s">
        <v>30</v>
      </c>
      <c r="S1937">
        <v>29</v>
      </c>
      <c r="T1937">
        <v>1</v>
      </c>
      <c r="U1937">
        <v>2</v>
      </c>
      <c r="V1937">
        <v>733.49</v>
      </c>
      <c r="W1937">
        <v>13130001935</v>
      </c>
    </row>
    <row r="1938" spans="1:23" x14ac:dyDescent="0.2">
      <c r="A1938" s="1">
        <v>44796</v>
      </c>
      <c r="B1938" s="2">
        <v>0.47175925925925932</v>
      </c>
      <c r="C1938">
        <v>2936</v>
      </c>
      <c r="D1938">
        <v>13002561</v>
      </c>
      <c r="E1938">
        <v>13</v>
      </c>
      <c r="F1938">
        <v>22589</v>
      </c>
      <c r="G1938" t="s">
        <v>23</v>
      </c>
      <c r="H1938">
        <v>18</v>
      </c>
      <c r="I1938">
        <v>63035</v>
      </c>
      <c r="J1938" t="s">
        <v>61</v>
      </c>
      <c r="K1938" t="s">
        <v>38</v>
      </c>
      <c r="L1938" t="s">
        <v>36</v>
      </c>
      <c r="M1938">
        <v>1</v>
      </c>
      <c r="N1938">
        <v>262.51</v>
      </c>
      <c r="O1938">
        <v>443.07</v>
      </c>
      <c r="P1938">
        <v>44.31</v>
      </c>
      <c r="Q1938">
        <v>44.31</v>
      </c>
      <c r="R1938" t="s">
        <v>30</v>
      </c>
      <c r="S1938">
        <v>29</v>
      </c>
      <c r="T1938">
        <v>1</v>
      </c>
      <c r="U1938">
        <v>2</v>
      </c>
      <c r="V1938">
        <v>398.76</v>
      </c>
      <c r="W1938">
        <v>13130001936</v>
      </c>
    </row>
    <row r="1939" spans="1:23" x14ac:dyDescent="0.2">
      <c r="A1939" s="1">
        <v>44798</v>
      </c>
      <c r="B1939" s="2">
        <v>0.34724537037037029</v>
      </c>
      <c r="C1939">
        <v>2937</v>
      </c>
      <c r="D1939">
        <v>13002561</v>
      </c>
      <c r="E1939">
        <v>13</v>
      </c>
      <c r="F1939">
        <v>22589</v>
      </c>
      <c r="G1939" t="s">
        <v>23</v>
      </c>
      <c r="H1939">
        <v>18</v>
      </c>
      <c r="I1939">
        <v>46838</v>
      </c>
      <c r="J1939" t="s">
        <v>117</v>
      </c>
      <c r="K1939" t="s">
        <v>60</v>
      </c>
      <c r="L1939" t="s">
        <v>36</v>
      </c>
      <c r="M1939">
        <v>3</v>
      </c>
      <c r="N1939">
        <v>405.63</v>
      </c>
      <c r="O1939">
        <v>654.73</v>
      </c>
      <c r="P1939">
        <v>0</v>
      </c>
      <c r="Q1939">
        <v>0</v>
      </c>
      <c r="S1939">
        <v>29</v>
      </c>
      <c r="T1939">
        <v>1</v>
      </c>
      <c r="U1939">
        <v>1</v>
      </c>
      <c r="V1939">
        <v>654.73</v>
      </c>
      <c r="W1939">
        <v>13130001937</v>
      </c>
    </row>
    <row r="1940" spans="1:23" x14ac:dyDescent="0.2">
      <c r="A1940" s="1">
        <v>44778</v>
      </c>
      <c r="B1940" s="2">
        <v>0.50543981481481481</v>
      </c>
      <c r="C1940">
        <v>2938</v>
      </c>
      <c r="D1940">
        <v>13002561</v>
      </c>
      <c r="E1940">
        <v>13</v>
      </c>
      <c r="F1940">
        <v>22589</v>
      </c>
      <c r="G1940" t="s">
        <v>23</v>
      </c>
      <c r="H1940">
        <v>18</v>
      </c>
      <c r="I1940">
        <v>52994</v>
      </c>
      <c r="J1940" t="s">
        <v>63</v>
      </c>
      <c r="K1940" t="s">
        <v>45</v>
      </c>
      <c r="L1940" t="s">
        <v>36</v>
      </c>
      <c r="M1940">
        <v>1</v>
      </c>
      <c r="N1940">
        <v>100.14</v>
      </c>
      <c r="O1940">
        <v>159.08000000000001</v>
      </c>
      <c r="P1940">
        <v>0</v>
      </c>
      <c r="Q1940">
        <v>0</v>
      </c>
      <c r="S1940">
        <v>29</v>
      </c>
      <c r="T1940">
        <v>1</v>
      </c>
      <c r="U1940">
        <v>6</v>
      </c>
      <c r="V1940">
        <v>159.08000000000001</v>
      </c>
      <c r="W1940">
        <v>13130001938</v>
      </c>
    </row>
    <row r="1941" spans="1:23" x14ac:dyDescent="0.2">
      <c r="A1941" s="1">
        <v>44801</v>
      </c>
      <c r="B1941" s="2">
        <v>0.88332175925925926</v>
      </c>
      <c r="C1941">
        <v>2939</v>
      </c>
      <c r="D1941">
        <v>13002561</v>
      </c>
      <c r="E1941">
        <v>13</v>
      </c>
      <c r="F1941">
        <v>22589</v>
      </c>
      <c r="G1941" t="s">
        <v>23</v>
      </c>
      <c r="H1941">
        <v>18</v>
      </c>
      <c r="I1941">
        <v>88381</v>
      </c>
      <c r="J1941" t="s">
        <v>43</v>
      </c>
      <c r="K1941" t="s">
        <v>25</v>
      </c>
      <c r="L1941" t="s">
        <v>36</v>
      </c>
      <c r="M1941">
        <v>2</v>
      </c>
      <c r="N1941">
        <v>576.16</v>
      </c>
      <c r="O1941">
        <v>858.63</v>
      </c>
      <c r="P1941">
        <v>85.86</v>
      </c>
      <c r="Q1941">
        <v>85.86</v>
      </c>
      <c r="R1941" t="s">
        <v>30</v>
      </c>
      <c r="S1941">
        <v>29</v>
      </c>
      <c r="T1941">
        <v>1</v>
      </c>
      <c r="U1941">
        <v>4</v>
      </c>
      <c r="V1941">
        <v>772.77</v>
      </c>
      <c r="W1941">
        <v>13130001939</v>
      </c>
    </row>
    <row r="1942" spans="1:23" x14ac:dyDescent="0.2">
      <c r="A1942" s="1">
        <v>44793</v>
      </c>
      <c r="B1942" s="2">
        <v>0.37961805555555561</v>
      </c>
      <c r="C1942">
        <v>2940</v>
      </c>
      <c r="D1942">
        <v>13002561</v>
      </c>
      <c r="E1942">
        <v>13</v>
      </c>
      <c r="F1942">
        <v>22589</v>
      </c>
      <c r="G1942" t="s">
        <v>23</v>
      </c>
      <c r="H1942">
        <v>15</v>
      </c>
      <c r="I1942">
        <v>68011</v>
      </c>
      <c r="J1942" t="s">
        <v>75</v>
      </c>
      <c r="K1942" t="s">
        <v>38</v>
      </c>
      <c r="L1942" t="s">
        <v>32</v>
      </c>
      <c r="M1942">
        <v>2</v>
      </c>
      <c r="N1942">
        <v>433.3</v>
      </c>
      <c r="O1942">
        <v>697.3</v>
      </c>
      <c r="P1942">
        <v>69.73</v>
      </c>
      <c r="Q1942">
        <v>69.73</v>
      </c>
      <c r="R1942" t="s">
        <v>30</v>
      </c>
      <c r="S1942">
        <v>29</v>
      </c>
      <c r="T1942">
        <v>1</v>
      </c>
      <c r="U1942">
        <v>2</v>
      </c>
      <c r="V1942">
        <v>627.57000000000005</v>
      </c>
      <c r="W1942">
        <v>13130001940</v>
      </c>
    </row>
    <row r="1943" spans="1:23" x14ac:dyDescent="0.2">
      <c r="A1943" s="1">
        <v>44794</v>
      </c>
      <c r="B1943" s="2">
        <v>0.86364583333333333</v>
      </c>
      <c r="C1943">
        <v>2941</v>
      </c>
      <c r="D1943">
        <v>13002561</v>
      </c>
      <c r="E1943">
        <v>13</v>
      </c>
      <c r="F1943">
        <v>22589</v>
      </c>
      <c r="G1943" t="s">
        <v>23</v>
      </c>
      <c r="H1943">
        <v>18</v>
      </c>
      <c r="I1943">
        <v>72507</v>
      </c>
      <c r="J1943" t="s">
        <v>110</v>
      </c>
      <c r="K1943" t="s">
        <v>28</v>
      </c>
      <c r="L1943" t="s">
        <v>36</v>
      </c>
      <c r="M1943">
        <v>2</v>
      </c>
      <c r="N1943">
        <v>286.60000000000002</v>
      </c>
      <c r="O1943">
        <v>415.32</v>
      </c>
      <c r="P1943">
        <v>20.77</v>
      </c>
      <c r="Q1943">
        <v>20.77</v>
      </c>
      <c r="R1943" t="s">
        <v>30</v>
      </c>
      <c r="S1943">
        <v>29</v>
      </c>
      <c r="T1943">
        <v>1</v>
      </c>
      <c r="U1943">
        <v>1</v>
      </c>
      <c r="V1943">
        <v>394.55</v>
      </c>
      <c r="W1943">
        <v>13130001941</v>
      </c>
    </row>
    <row r="1944" spans="1:23" x14ac:dyDescent="0.2">
      <c r="A1944" s="1">
        <v>44803</v>
      </c>
      <c r="B1944" s="2">
        <v>0.7231481481481481</v>
      </c>
      <c r="C1944">
        <v>2942</v>
      </c>
      <c r="D1944">
        <v>13002561</v>
      </c>
      <c r="E1944">
        <v>13</v>
      </c>
      <c r="F1944">
        <v>22589</v>
      </c>
      <c r="G1944" t="s">
        <v>23</v>
      </c>
      <c r="H1944">
        <v>15</v>
      </c>
      <c r="I1944">
        <v>57357</v>
      </c>
      <c r="J1944" t="s">
        <v>58</v>
      </c>
      <c r="K1944" t="s">
        <v>45</v>
      </c>
      <c r="L1944" t="s">
        <v>29</v>
      </c>
      <c r="M1944">
        <v>1</v>
      </c>
      <c r="N1944">
        <v>422.07</v>
      </c>
      <c r="O1944">
        <v>620.04999999999995</v>
      </c>
      <c r="P1944">
        <v>62</v>
      </c>
      <c r="Q1944">
        <v>62</v>
      </c>
      <c r="R1944" t="s">
        <v>30</v>
      </c>
      <c r="S1944">
        <v>29</v>
      </c>
      <c r="T1944">
        <v>1</v>
      </c>
      <c r="U1944">
        <v>4</v>
      </c>
      <c r="V1944">
        <v>558.04999999999995</v>
      </c>
      <c r="W1944">
        <v>13130001942</v>
      </c>
    </row>
    <row r="1945" spans="1:23" x14ac:dyDescent="0.2">
      <c r="A1945" s="1">
        <v>44804</v>
      </c>
      <c r="B1945" s="2">
        <v>0.89431712962962961</v>
      </c>
      <c r="C1945">
        <v>2943</v>
      </c>
      <c r="D1945">
        <v>13002561</v>
      </c>
      <c r="E1945">
        <v>13</v>
      </c>
      <c r="F1945">
        <v>22589</v>
      </c>
      <c r="G1945" t="s">
        <v>23</v>
      </c>
      <c r="H1945">
        <v>15</v>
      </c>
      <c r="I1945">
        <v>71399</v>
      </c>
      <c r="J1945" t="s">
        <v>78</v>
      </c>
      <c r="K1945" t="s">
        <v>44</v>
      </c>
      <c r="L1945" t="s">
        <v>26</v>
      </c>
      <c r="M1945">
        <v>1</v>
      </c>
      <c r="N1945">
        <v>80.87</v>
      </c>
      <c r="O1945">
        <v>102.75</v>
      </c>
      <c r="P1945">
        <v>5.14</v>
      </c>
      <c r="Q1945">
        <v>5.14</v>
      </c>
      <c r="R1945" t="s">
        <v>30</v>
      </c>
      <c r="S1945">
        <v>29</v>
      </c>
      <c r="T1945">
        <v>1</v>
      </c>
      <c r="U1945">
        <v>1</v>
      </c>
      <c r="V1945">
        <v>97.61</v>
      </c>
      <c r="W1945">
        <v>13130001943</v>
      </c>
    </row>
    <row r="1946" spans="1:23" x14ac:dyDescent="0.2">
      <c r="A1946" s="1">
        <v>44795</v>
      </c>
      <c r="B1946" s="2">
        <v>0.41093750000000001</v>
      </c>
      <c r="C1946">
        <v>2944</v>
      </c>
      <c r="D1946">
        <v>13002561</v>
      </c>
      <c r="E1946">
        <v>13</v>
      </c>
      <c r="F1946">
        <v>22589</v>
      </c>
      <c r="G1946" t="s">
        <v>23</v>
      </c>
      <c r="H1946">
        <v>18</v>
      </c>
      <c r="I1946">
        <v>14454</v>
      </c>
      <c r="J1946" t="s">
        <v>97</v>
      </c>
      <c r="K1946" t="s">
        <v>25</v>
      </c>
      <c r="L1946" t="s">
        <v>26</v>
      </c>
      <c r="M1946">
        <v>2</v>
      </c>
      <c r="N1946">
        <v>518.51</v>
      </c>
      <c r="O1946">
        <v>833.17</v>
      </c>
      <c r="P1946">
        <v>0</v>
      </c>
      <c r="Q1946">
        <v>0</v>
      </c>
      <c r="S1946">
        <v>29</v>
      </c>
      <c r="T1946">
        <v>1</v>
      </c>
      <c r="U1946">
        <v>2</v>
      </c>
      <c r="V1946">
        <v>833.17</v>
      </c>
      <c r="W1946">
        <v>13130001944</v>
      </c>
    </row>
    <row r="1947" spans="1:23" x14ac:dyDescent="0.2">
      <c r="A1947" s="1">
        <v>44796</v>
      </c>
      <c r="B1947" s="2">
        <v>0.45576388888888891</v>
      </c>
      <c r="C1947">
        <v>2945</v>
      </c>
      <c r="D1947">
        <v>13002561</v>
      </c>
      <c r="E1947">
        <v>13</v>
      </c>
      <c r="F1947">
        <v>22589</v>
      </c>
      <c r="G1947" t="s">
        <v>23</v>
      </c>
      <c r="H1947">
        <v>15</v>
      </c>
      <c r="I1947">
        <v>29435</v>
      </c>
      <c r="J1947" t="s">
        <v>96</v>
      </c>
      <c r="K1947" t="s">
        <v>38</v>
      </c>
      <c r="L1947" t="s">
        <v>26</v>
      </c>
      <c r="M1947">
        <v>3</v>
      </c>
      <c r="N1947">
        <v>532.22</v>
      </c>
      <c r="O1947">
        <v>707.22</v>
      </c>
      <c r="P1947">
        <v>0</v>
      </c>
      <c r="Q1947">
        <v>0</v>
      </c>
      <c r="S1947">
        <v>29</v>
      </c>
      <c r="T1947">
        <v>1</v>
      </c>
      <c r="U1947">
        <v>5</v>
      </c>
      <c r="V1947">
        <v>707.22</v>
      </c>
      <c r="W1947">
        <v>13130001945</v>
      </c>
    </row>
    <row r="1948" spans="1:23" x14ac:dyDescent="0.2">
      <c r="A1948" s="1">
        <v>44782</v>
      </c>
      <c r="B1948" s="2">
        <v>0.55349537037037033</v>
      </c>
      <c r="C1948">
        <v>2946</v>
      </c>
      <c r="D1948">
        <v>13002561</v>
      </c>
      <c r="E1948">
        <v>13</v>
      </c>
      <c r="F1948">
        <v>22589</v>
      </c>
      <c r="G1948" t="s">
        <v>23</v>
      </c>
      <c r="H1948">
        <v>15</v>
      </c>
      <c r="I1948">
        <v>74748</v>
      </c>
      <c r="J1948" t="s">
        <v>53</v>
      </c>
      <c r="K1948" t="s">
        <v>45</v>
      </c>
      <c r="L1948" t="s">
        <v>36</v>
      </c>
      <c r="M1948">
        <v>2</v>
      </c>
      <c r="N1948">
        <v>250.44</v>
      </c>
      <c r="O1948">
        <v>414.21</v>
      </c>
      <c r="P1948">
        <v>0</v>
      </c>
      <c r="Q1948">
        <v>0</v>
      </c>
      <c r="S1948">
        <v>29</v>
      </c>
      <c r="T1948">
        <v>1</v>
      </c>
      <c r="U1948">
        <v>5</v>
      </c>
      <c r="V1948">
        <v>414.21</v>
      </c>
      <c r="W1948">
        <v>13130001946</v>
      </c>
    </row>
    <row r="1949" spans="1:23" x14ac:dyDescent="0.2">
      <c r="A1949" s="1">
        <v>44780</v>
      </c>
      <c r="B1949" s="2">
        <v>0.84567129629629634</v>
      </c>
      <c r="C1949">
        <v>2947</v>
      </c>
      <c r="D1949">
        <v>13002561</v>
      </c>
      <c r="E1949">
        <v>13</v>
      </c>
      <c r="F1949">
        <v>22589</v>
      </c>
      <c r="G1949" t="s">
        <v>23</v>
      </c>
      <c r="H1949">
        <v>18</v>
      </c>
      <c r="I1949">
        <v>16718</v>
      </c>
      <c r="J1949" t="s">
        <v>33</v>
      </c>
      <c r="K1949" t="s">
        <v>60</v>
      </c>
      <c r="L1949" t="s">
        <v>39</v>
      </c>
      <c r="M1949">
        <v>1</v>
      </c>
      <c r="N1949">
        <v>579.49</v>
      </c>
      <c r="O1949">
        <v>880.92</v>
      </c>
      <c r="P1949">
        <v>44.05</v>
      </c>
      <c r="Q1949">
        <v>44.05</v>
      </c>
      <c r="R1949" t="s">
        <v>30</v>
      </c>
      <c r="S1949">
        <v>29</v>
      </c>
      <c r="T1949">
        <v>1</v>
      </c>
      <c r="U1949">
        <v>5</v>
      </c>
      <c r="V1949">
        <v>836.87</v>
      </c>
      <c r="W1949">
        <v>13130001947</v>
      </c>
    </row>
    <row r="1950" spans="1:23" x14ac:dyDescent="0.2">
      <c r="A1950" s="1">
        <v>44795</v>
      </c>
      <c r="B1950" s="2">
        <v>0.34408564814814813</v>
      </c>
      <c r="C1950">
        <v>2948</v>
      </c>
      <c r="D1950">
        <v>13002561</v>
      </c>
      <c r="E1950">
        <v>13</v>
      </c>
      <c r="F1950">
        <v>22589</v>
      </c>
      <c r="G1950" t="s">
        <v>23</v>
      </c>
      <c r="H1950">
        <v>18</v>
      </c>
      <c r="I1950">
        <v>62309</v>
      </c>
      <c r="J1950" t="s">
        <v>114</v>
      </c>
      <c r="K1950" t="s">
        <v>28</v>
      </c>
      <c r="L1950" t="s">
        <v>32</v>
      </c>
      <c r="M1950">
        <v>1</v>
      </c>
      <c r="N1950">
        <v>409.69</v>
      </c>
      <c r="O1950">
        <v>586.64</v>
      </c>
      <c r="P1950">
        <v>29.33</v>
      </c>
      <c r="Q1950">
        <v>29.33</v>
      </c>
      <c r="R1950" t="s">
        <v>30</v>
      </c>
      <c r="S1950">
        <v>29</v>
      </c>
      <c r="T1950">
        <v>1</v>
      </c>
      <c r="U1950">
        <v>5</v>
      </c>
      <c r="V1950">
        <v>557.30999999999995</v>
      </c>
      <c r="W1950">
        <v>13130001948</v>
      </c>
    </row>
    <row r="1951" spans="1:23" x14ac:dyDescent="0.2">
      <c r="A1951" s="1">
        <v>44774</v>
      </c>
      <c r="B1951" s="2">
        <v>0.59214120370370371</v>
      </c>
      <c r="C1951">
        <v>2949</v>
      </c>
      <c r="D1951">
        <v>13002561</v>
      </c>
      <c r="E1951">
        <v>13</v>
      </c>
      <c r="F1951">
        <v>22589</v>
      </c>
      <c r="G1951" t="s">
        <v>23</v>
      </c>
      <c r="H1951">
        <v>18</v>
      </c>
      <c r="I1951">
        <v>34450</v>
      </c>
      <c r="J1951" t="s">
        <v>91</v>
      </c>
      <c r="K1951" t="s">
        <v>44</v>
      </c>
      <c r="L1951" t="s">
        <v>26</v>
      </c>
      <c r="M1951">
        <v>3</v>
      </c>
      <c r="N1951">
        <v>528.4</v>
      </c>
      <c r="O1951">
        <v>802.7</v>
      </c>
      <c r="P1951">
        <v>40.14</v>
      </c>
      <c r="Q1951">
        <v>40.14</v>
      </c>
      <c r="R1951" t="s">
        <v>30</v>
      </c>
      <c r="S1951">
        <v>29</v>
      </c>
      <c r="T1951">
        <v>1</v>
      </c>
      <c r="U1951">
        <v>6</v>
      </c>
      <c r="V1951">
        <v>762.56</v>
      </c>
      <c r="W1951">
        <v>13130001949</v>
      </c>
    </row>
    <row r="1952" spans="1:23" x14ac:dyDescent="0.2">
      <c r="A1952" s="1">
        <v>44779</v>
      </c>
      <c r="B1952" s="2">
        <v>0.76408564814814817</v>
      </c>
      <c r="C1952">
        <v>2950</v>
      </c>
      <c r="D1952">
        <v>13002561</v>
      </c>
      <c r="E1952">
        <v>13</v>
      </c>
      <c r="F1952">
        <v>22589</v>
      </c>
      <c r="G1952" t="s">
        <v>23</v>
      </c>
      <c r="H1952">
        <v>18</v>
      </c>
      <c r="I1952">
        <v>24709</v>
      </c>
      <c r="J1952" t="s">
        <v>97</v>
      </c>
      <c r="K1952" t="s">
        <v>60</v>
      </c>
      <c r="L1952" t="s">
        <v>26</v>
      </c>
      <c r="M1952">
        <v>3</v>
      </c>
      <c r="N1952">
        <v>358.18</v>
      </c>
      <c r="O1952">
        <v>587.36</v>
      </c>
      <c r="P1952">
        <v>29.37</v>
      </c>
      <c r="Q1952">
        <v>29.37</v>
      </c>
      <c r="R1952" t="s">
        <v>30</v>
      </c>
      <c r="S1952">
        <v>29</v>
      </c>
      <c r="T1952">
        <v>1</v>
      </c>
      <c r="U1952">
        <v>2</v>
      </c>
      <c r="V1952">
        <v>557.99</v>
      </c>
      <c r="W1952">
        <v>13130001950</v>
      </c>
    </row>
    <row r="1953" spans="1:23" x14ac:dyDescent="0.2">
      <c r="A1953" s="1">
        <v>44794</v>
      </c>
      <c r="B1953" s="2">
        <v>0.63650462962962961</v>
      </c>
      <c r="C1953">
        <v>2951</v>
      </c>
      <c r="D1953">
        <v>13002561</v>
      </c>
      <c r="E1953">
        <v>13</v>
      </c>
      <c r="F1953">
        <v>22589</v>
      </c>
      <c r="G1953" t="s">
        <v>23</v>
      </c>
      <c r="H1953">
        <v>15</v>
      </c>
      <c r="I1953">
        <v>39829</v>
      </c>
      <c r="J1953" t="s">
        <v>31</v>
      </c>
      <c r="K1953" t="s">
        <v>38</v>
      </c>
      <c r="L1953" t="s">
        <v>29</v>
      </c>
      <c r="M1953">
        <v>1</v>
      </c>
      <c r="N1953">
        <v>563.6</v>
      </c>
      <c r="O1953">
        <v>862.52</v>
      </c>
      <c r="P1953">
        <v>43.13</v>
      </c>
      <c r="Q1953">
        <v>43.13</v>
      </c>
      <c r="R1953" t="s">
        <v>30</v>
      </c>
      <c r="S1953">
        <v>29</v>
      </c>
      <c r="T1953">
        <v>1</v>
      </c>
      <c r="U1953">
        <v>4</v>
      </c>
      <c r="V1953">
        <v>819.39</v>
      </c>
      <c r="W1953">
        <v>13130001951</v>
      </c>
    </row>
    <row r="1954" spans="1:23" x14ac:dyDescent="0.2">
      <c r="A1954" s="1">
        <v>44803</v>
      </c>
      <c r="B1954" s="2">
        <v>0.44594907407407408</v>
      </c>
      <c r="C1954">
        <v>2952</v>
      </c>
      <c r="D1954">
        <v>13002561</v>
      </c>
      <c r="E1954">
        <v>13</v>
      </c>
      <c r="F1954">
        <v>22589</v>
      </c>
      <c r="G1954" t="s">
        <v>23</v>
      </c>
      <c r="H1954">
        <v>18</v>
      </c>
      <c r="I1954">
        <v>28943</v>
      </c>
      <c r="J1954" t="s">
        <v>114</v>
      </c>
      <c r="K1954" t="s">
        <v>45</v>
      </c>
      <c r="L1954" t="s">
        <v>26</v>
      </c>
      <c r="M1954">
        <v>2</v>
      </c>
      <c r="N1954">
        <v>165.04</v>
      </c>
      <c r="O1954">
        <v>267.37</v>
      </c>
      <c r="P1954">
        <v>13.37</v>
      </c>
      <c r="Q1954">
        <v>13.37</v>
      </c>
      <c r="R1954" t="s">
        <v>30</v>
      </c>
      <c r="S1954">
        <v>29</v>
      </c>
      <c r="T1954">
        <v>1</v>
      </c>
      <c r="U1954">
        <v>2</v>
      </c>
      <c r="V1954">
        <v>254</v>
      </c>
      <c r="W1954">
        <v>13130001952</v>
      </c>
    </row>
    <row r="1955" spans="1:23" x14ac:dyDescent="0.2">
      <c r="A1955" s="1">
        <v>44786</v>
      </c>
      <c r="B1955" s="2">
        <v>0.33450231481481479</v>
      </c>
      <c r="C1955">
        <v>2953</v>
      </c>
      <c r="D1955">
        <v>13002561</v>
      </c>
      <c r="E1955">
        <v>13</v>
      </c>
      <c r="F1955">
        <v>22589</v>
      </c>
      <c r="G1955" t="s">
        <v>23</v>
      </c>
      <c r="H1955">
        <v>18</v>
      </c>
      <c r="I1955">
        <v>29051</v>
      </c>
      <c r="J1955" t="s">
        <v>48</v>
      </c>
      <c r="K1955" t="s">
        <v>25</v>
      </c>
      <c r="L1955" t="s">
        <v>34</v>
      </c>
      <c r="M1955">
        <v>3</v>
      </c>
      <c r="N1955">
        <v>250.92</v>
      </c>
      <c r="O1955">
        <v>358.52</v>
      </c>
      <c r="P1955">
        <v>0</v>
      </c>
      <c r="Q1955">
        <v>0</v>
      </c>
      <c r="S1955">
        <v>29</v>
      </c>
      <c r="T1955">
        <v>1</v>
      </c>
      <c r="U1955">
        <v>4</v>
      </c>
      <c r="V1955">
        <v>358.52</v>
      </c>
      <c r="W1955">
        <v>13130001953</v>
      </c>
    </row>
    <row r="1956" spans="1:23" x14ac:dyDescent="0.2">
      <c r="A1956" s="1">
        <v>44796</v>
      </c>
      <c r="B1956" s="2">
        <v>0.42027777777777781</v>
      </c>
      <c r="C1956">
        <v>2954</v>
      </c>
      <c r="D1956">
        <v>13002561</v>
      </c>
      <c r="E1956">
        <v>13</v>
      </c>
      <c r="F1956">
        <v>22589</v>
      </c>
      <c r="G1956" t="s">
        <v>23</v>
      </c>
      <c r="H1956">
        <v>15</v>
      </c>
      <c r="I1956">
        <v>17305</v>
      </c>
      <c r="J1956" t="s">
        <v>54</v>
      </c>
      <c r="K1956" t="s">
        <v>28</v>
      </c>
      <c r="L1956" t="s">
        <v>51</v>
      </c>
      <c r="M1956">
        <v>2</v>
      </c>
      <c r="N1956">
        <v>364.87</v>
      </c>
      <c r="O1956">
        <v>549.01</v>
      </c>
      <c r="P1956">
        <v>27.45</v>
      </c>
      <c r="Q1956">
        <v>27.45</v>
      </c>
      <c r="R1956" t="s">
        <v>30</v>
      </c>
      <c r="S1956">
        <v>29</v>
      </c>
      <c r="T1956">
        <v>1</v>
      </c>
      <c r="U1956">
        <v>2</v>
      </c>
      <c r="V1956">
        <v>521.55999999999995</v>
      </c>
      <c r="W1956">
        <v>13130001954</v>
      </c>
    </row>
    <row r="1957" spans="1:23" x14ac:dyDescent="0.2">
      <c r="A1957" s="1">
        <v>44792</v>
      </c>
      <c r="B1957" s="2">
        <v>0.50024305555555559</v>
      </c>
      <c r="C1957">
        <v>2955</v>
      </c>
      <c r="D1957">
        <v>13002561</v>
      </c>
      <c r="E1957">
        <v>13</v>
      </c>
      <c r="F1957">
        <v>22589</v>
      </c>
      <c r="G1957" t="s">
        <v>23</v>
      </c>
      <c r="H1957">
        <v>18</v>
      </c>
      <c r="I1957">
        <v>56868</v>
      </c>
      <c r="J1957" t="s">
        <v>120</v>
      </c>
      <c r="K1957" t="s">
        <v>25</v>
      </c>
      <c r="L1957" t="s">
        <v>51</v>
      </c>
      <c r="M1957">
        <v>2</v>
      </c>
      <c r="N1957">
        <v>453.24</v>
      </c>
      <c r="O1957">
        <v>633.63</v>
      </c>
      <c r="P1957">
        <v>63.36</v>
      </c>
      <c r="Q1957">
        <v>63.36</v>
      </c>
      <c r="R1957" t="s">
        <v>30</v>
      </c>
      <c r="S1957">
        <v>29</v>
      </c>
      <c r="T1957">
        <v>1</v>
      </c>
      <c r="U1957">
        <v>1</v>
      </c>
      <c r="V1957">
        <v>570.27</v>
      </c>
      <c r="W1957">
        <v>13130001955</v>
      </c>
    </row>
    <row r="1958" spans="1:23" x14ac:dyDescent="0.2">
      <c r="A1958" s="1">
        <v>44795</v>
      </c>
      <c r="B1958" s="2">
        <v>0.95430555555555552</v>
      </c>
      <c r="C1958">
        <v>2956</v>
      </c>
      <c r="D1958">
        <v>13002561</v>
      </c>
      <c r="E1958">
        <v>13</v>
      </c>
      <c r="F1958">
        <v>22589</v>
      </c>
      <c r="G1958" t="s">
        <v>23</v>
      </c>
      <c r="H1958">
        <v>15</v>
      </c>
      <c r="I1958">
        <v>38972</v>
      </c>
      <c r="J1958" t="s">
        <v>91</v>
      </c>
      <c r="K1958" t="s">
        <v>25</v>
      </c>
      <c r="L1958" t="s">
        <v>26</v>
      </c>
      <c r="M1958">
        <v>2</v>
      </c>
      <c r="N1958">
        <v>248.31</v>
      </c>
      <c r="O1958">
        <v>368.99</v>
      </c>
      <c r="P1958">
        <v>18.45</v>
      </c>
      <c r="Q1958">
        <v>18.45</v>
      </c>
      <c r="R1958" t="s">
        <v>30</v>
      </c>
      <c r="S1958">
        <v>29</v>
      </c>
      <c r="T1958">
        <v>1</v>
      </c>
      <c r="U1958">
        <v>5</v>
      </c>
      <c r="V1958">
        <v>350.54</v>
      </c>
      <c r="W1958">
        <v>13130001956</v>
      </c>
    </row>
    <row r="1959" spans="1:23" x14ac:dyDescent="0.2">
      <c r="A1959" s="1">
        <v>44777</v>
      </c>
      <c r="B1959" s="2">
        <v>0.87597222222222226</v>
      </c>
      <c r="C1959">
        <v>2957</v>
      </c>
      <c r="D1959">
        <v>13002561</v>
      </c>
      <c r="E1959">
        <v>13</v>
      </c>
      <c r="F1959">
        <v>22589</v>
      </c>
      <c r="G1959" t="s">
        <v>23</v>
      </c>
      <c r="H1959">
        <v>18</v>
      </c>
      <c r="I1959">
        <v>15268</v>
      </c>
      <c r="J1959" t="s">
        <v>102</v>
      </c>
      <c r="K1959" t="s">
        <v>44</v>
      </c>
      <c r="L1959" t="s">
        <v>39</v>
      </c>
      <c r="M1959">
        <v>3</v>
      </c>
      <c r="N1959">
        <v>341.58</v>
      </c>
      <c r="O1959">
        <v>471.66</v>
      </c>
      <c r="P1959">
        <v>23.58</v>
      </c>
      <c r="Q1959">
        <v>23.58</v>
      </c>
      <c r="R1959" t="s">
        <v>30</v>
      </c>
      <c r="S1959">
        <v>29</v>
      </c>
      <c r="T1959">
        <v>1</v>
      </c>
      <c r="U1959">
        <v>3</v>
      </c>
      <c r="V1959">
        <v>448.08</v>
      </c>
      <c r="W1959">
        <v>13130001957</v>
      </c>
    </row>
    <row r="1960" spans="1:23" x14ac:dyDescent="0.2">
      <c r="A1960" s="1">
        <v>44785</v>
      </c>
      <c r="B1960" s="2">
        <v>0.76756944444444442</v>
      </c>
      <c r="C1960">
        <v>2958</v>
      </c>
      <c r="D1960">
        <v>13002561</v>
      </c>
      <c r="E1960">
        <v>13</v>
      </c>
      <c r="F1960">
        <v>22589</v>
      </c>
      <c r="G1960" t="s">
        <v>23</v>
      </c>
      <c r="H1960">
        <v>15</v>
      </c>
      <c r="I1960">
        <v>44590</v>
      </c>
      <c r="J1960" t="s">
        <v>112</v>
      </c>
      <c r="K1960" t="s">
        <v>25</v>
      </c>
      <c r="L1960" t="s">
        <v>32</v>
      </c>
      <c r="M1960">
        <v>2</v>
      </c>
      <c r="N1960">
        <v>81.67</v>
      </c>
      <c r="O1960">
        <v>117.78</v>
      </c>
      <c r="P1960">
        <v>11.78</v>
      </c>
      <c r="Q1960">
        <v>11.78</v>
      </c>
      <c r="R1960" t="s">
        <v>30</v>
      </c>
      <c r="S1960">
        <v>29</v>
      </c>
      <c r="T1960">
        <v>1</v>
      </c>
      <c r="U1960">
        <v>4</v>
      </c>
      <c r="V1960">
        <v>106</v>
      </c>
      <c r="W1960">
        <v>13130001958</v>
      </c>
    </row>
    <row r="1961" spans="1:23" x14ac:dyDescent="0.2">
      <c r="A1961" s="1">
        <v>44803</v>
      </c>
      <c r="B1961" s="2">
        <v>0.91717592592592589</v>
      </c>
      <c r="C1961">
        <v>2959</v>
      </c>
      <c r="D1961">
        <v>13002561</v>
      </c>
      <c r="E1961">
        <v>13</v>
      </c>
      <c r="F1961">
        <v>22589</v>
      </c>
      <c r="G1961" t="s">
        <v>23</v>
      </c>
      <c r="H1961">
        <v>15</v>
      </c>
      <c r="I1961">
        <v>68137</v>
      </c>
      <c r="J1961" t="s">
        <v>93</v>
      </c>
      <c r="K1961" t="s">
        <v>45</v>
      </c>
      <c r="L1961" t="s">
        <v>32</v>
      </c>
      <c r="M1961">
        <v>2</v>
      </c>
      <c r="N1961">
        <v>192.24</v>
      </c>
      <c r="O1961">
        <v>297.7</v>
      </c>
      <c r="P1961">
        <v>0</v>
      </c>
      <c r="Q1961">
        <v>0</v>
      </c>
      <c r="S1961">
        <v>29</v>
      </c>
      <c r="T1961">
        <v>1</v>
      </c>
      <c r="U1961">
        <v>6</v>
      </c>
      <c r="V1961">
        <v>297.7</v>
      </c>
      <c r="W1961">
        <v>13130001959</v>
      </c>
    </row>
    <row r="1962" spans="1:23" x14ac:dyDescent="0.2">
      <c r="A1962" s="1">
        <v>44790</v>
      </c>
      <c r="B1962" s="2">
        <v>0.84010416666666665</v>
      </c>
      <c r="C1962">
        <v>2960</v>
      </c>
      <c r="D1962">
        <v>13002561</v>
      </c>
      <c r="E1962">
        <v>13</v>
      </c>
      <c r="F1962">
        <v>22589</v>
      </c>
      <c r="G1962" t="s">
        <v>23</v>
      </c>
      <c r="H1962">
        <v>18</v>
      </c>
      <c r="I1962">
        <v>87735</v>
      </c>
      <c r="J1962" t="s">
        <v>97</v>
      </c>
      <c r="K1962" t="s">
        <v>60</v>
      </c>
      <c r="L1962" t="s">
        <v>34</v>
      </c>
      <c r="M1962">
        <v>1</v>
      </c>
      <c r="N1962">
        <v>84.92</v>
      </c>
      <c r="O1962">
        <v>128.79</v>
      </c>
      <c r="P1962">
        <v>0</v>
      </c>
      <c r="Q1962">
        <v>0</v>
      </c>
      <c r="S1962">
        <v>29</v>
      </c>
      <c r="T1962">
        <v>1</v>
      </c>
      <c r="U1962">
        <v>5</v>
      </c>
      <c r="V1962">
        <v>128.79</v>
      </c>
      <c r="W1962">
        <v>13130001960</v>
      </c>
    </row>
    <row r="1963" spans="1:23" x14ac:dyDescent="0.2">
      <c r="A1963" s="1">
        <v>44794</v>
      </c>
      <c r="B1963" s="2">
        <v>0.44898148148148148</v>
      </c>
      <c r="C1963">
        <v>2961</v>
      </c>
      <c r="D1963">
        <v>13002561</v>
      </c>
      <c r="E1963">
        <v>13</v>
      </c>
      <c r="F1963">
        <v>22589</v>
      </c>
      <c r="G1963" t="s">
        <v>23</v>
      </c>
      <c r="H1963">
        <v>18</v>
      </c>
      <c r="I1963">
        <v>59440</v>
      </c>
      <c r="J1963" t="s">
        <v>99</v>
      </c>
      <c r="K1963" t="s">
        <v>60</v>
      </c>
      <c r="L1963" t="s">
        <v>39</v>
      </c>
      <c r="M1963">
        <v>1</v>
      </c>
      <c r="N1963">
        <v>474.87</v>
      </c>
      <c r="O1963">
        <v>687.4</v>
      </c>
      <c r="P1963">
        <v>68.739999999999995</v>
      </c>
      <c r="Q1963">
        <v>68.739999999999995</v>
      </c>
      <c r="R1963" t="s">
        <v>30</v>
      </c>
      <c r="S1963">
        <v>29</v>
      </c>
      <c r="T1963">
        <v>1</v>
      </c>
      <c r="U1963">
        <v>5</v>
      </c>
      <c r="V1963">
        <v>618.66</v>
      </c>
      <c r="W1963">
        <v>13130001961</v>
      </c>
    </row>
    <row r="1964" spans="1:23" x14ac:dyDescent="0.2">
      <c r="A1964" s="1">
        <v>44785</v>
      </c>
      <c r="B1964" s="2">
        <v>0.46003472222222219</v>
      </c>
      <c r="C1964">
        <v>2962</v>
      </c>
      <c r="D1964">
        <v>13002561</v>
      </c>
      <c r="E1964">
        <v>13</v>
      </c>
      <c r="F1964">
        <v>22589</v>
      </c>
      <c r="G1964" t="s">
        <v>23</v>
      </c>
      <c r="H1964">
        <v>18</v>
      </c>
      <c r="I1964">
        <v>83903</v>
      </c>
      <c r="J1964" t="s">
        <v>53</v>
      </c>
      <c r="K1964" t="s">
        <v>45</v>
      </c>
      <c r="L1964" t="s">
        <v>32</v>
      </c>
      <c r="M1964">
        <v>1</v>
      </c>
      <c r="N1964">
        <v>495.66</v>
      </c>
      <c r="O1964">
        <v>720.59</v>
      </c>
      <c r="P1964">
        <v>72.06</v>
      </c>
      <c r="Q1964">
        <v>72.06</v>
      </c>
      <c r="R1964" t="s">
        <v>30</v>
      </c>
      <c r="S1964">
        <v>29</v>
      </c>
      <c r="T1964">
        <v>1</v>
      </c>
      <c r="U1964">
        <v>6</v>
      </c>
      <c r="V1964">
        <v>648.53</v>
      </c>
      <c r="W1964">
        <v>13130001962</v>
      </c>
    </row>
    <row r="1965" spans="1:23" x14ac:dyDescent="0.2">
      <c r="A1965" s="1">
        <v>44802</v>
      </c>
      <c r="B1965" s="2">
        <v>0.45310185185185192</v>
      </c>
      <c r="C1965">
        <v>2963</v>
      </c>
      <c r="D1965">
        <v>13002561</v>
      </c>
      <c r="E1965">
        <v>13</v>
      </c>
      <c r="F1965">
        <v>22589</v>
      </c>
      <c r="G1965" t="s">
        <v>23</v>
      </c>
      <c r="H1965">
        <v>18</v>
      </c>
      <c r="I1965">
        <v>96054</v>
      </c>
      <c r="J1965" t="s">
        <v>128</v>
      </c>
      <c r="K1965" t="s">
        <v>25</v>
      </c>
      <c r="L1965" t="s">
        <v>47</v>
      </c>
      <c r="M1965">
        <v>1</v>
      </c>
      <c r="N1965">
        <v>373.93</v>
      </c>
      <c r="O1965">
        <v>553.46</v>
      </c>
      <c r="P1965">
        <v>27.67</v>
      </c>
      <c r="Q1965">
        <v>27.67</v>
      </c>
      <c r="R1965" t="s">
        <v>30</v>
      </c>
      <c r="S1965">
        <v>29</v>
      </c>
      <c r="T1965">
        <v>1</v>
      </c>
      <c r="U1965">
        <v>4</v>
      </c>
      <c r="V1965">
        <v>525.79</v>
      </c>
      <c r="W1965">
        <v>13130001963</v>
      </c>
    </row>
    <row r="1966" spans="1:23" x14ac:dyDescent="0.2">
      <c r="A1966" s="1">
        <v>44783</v>
      </c>
      <c r="B1966" s="2">
        <v>0.44667824074074081</v>
      </c>
      <c r="C1966">
        <v>2964</v>
      </c>
      <c r="D1966">
        <v>13002561</v>
      </c>
      <c r="E1966">
        <v>13</v>
      </c>
      <c r="F1966">
        <v>22589</v>
      </c>
      <c r="G1966" t="s">
        <v>23</v>
      </c>
      <c r="H1966">
        <v>18</v>
      </c>
      <c r="I1966">
        <v>14865</v>
      </c>
      <c r="J1966" t="s">
        <v>27</v>
      </c>
      <c r="K1966" t="s">
        <v>28</v>
      </c>
      <c r="L1966" t="s">
        <v>36</v>
      </c>
      <c r="M1966">
        <v>1</v>
      </c>
      <c r="N1966">
        <v>371.59</v>
      </c>
      <c r="O1966">
        <v>534.98</v>
      </c>
      <c r="P1966">
        <v>53.5</v>
      </c>
      <c r="Q1966">
        <v>53.5</v>
      </c>
      <c r="R1966" t="s">
        <v>30</v>
      </c>
      <c r="S1966">
        <v>29</v>
      </c>
      <c r="T1966">
        <v>1</v>
      </c>
      <c r="U1966">
        <v>5</v>
      </c>
      <c r="V1966">
        <v>481.48</v>
      </c>
      <c r="W1966">
        <v>13130001964</v>
      </c>
    </row>
    <row r="1967" spans="1:23" x14ac:dyDescent="0.2">
      <c r="A1967" s="1">
        <v>44782</v>
      </c>
      <c r="B1967" s="2">
        <v>0.3790277777777778</v>
      </c>
      <c r="C1967">
        <v>2965</v>
      </c>
      <c r="D1967">
        <v>13002561</v>
      </c>
      <c r="E1967">
        <v>13</v>
      </c>
      <c r="F1967">
        <v>22589</v>
      </c>
      <c r="G1967" t="s">
        <v>23</v>
      </c>
      <c r="H1967">
        <v>15</v>
      </c>
      <c r="I1967">
        <v>51179</v>
      </c>
      <c r="J1967" t="s">
        <v>69</v>
      </c>
      <c r="K1967" t="s">
        <v>38</v>
      </c>
      <c r="L1967" t="s">
        <v>51</v>
      </c>
      <c r="M1967">
        <v>2</v>
      </c>
      <c r="N1967">
        <v>360.48</v>
      </c>
      <c r="O1967">
        <v>528.17999999999995</v>
      </c>
      <c r="P1967">
        <v>0</v>
      </c>
      <c r="Q1967">
        <v>0</v>
      </c>
      <c r="S1967">
        <v>29</v>
      </c>
      <c r="T1967">
        <v>1</v>
      </c>
      <c r="U1967">
        <v>1</v>
      </c>
      <c r="V1967">
        <v>528.17999999999995</v>
      </c>
      <c r="W1967">
        <v>13130001965</v>
      </c>
    </row>
    <row r="1968" spans="1:23" x14ac:dyDescent="0.2">
      <c r="A1968" s="1">
        <v>44776</v>
      </c>
      <c r="B1968" s="2">
        <v>0.60077546296296291</v>
      </c>
      <c r="C1968">
        <v>2966</v>
      </c>
      <c r="D1968">
        <v>13002561</v>
      </c>
      <c r="E1968">
        <v>13</v>
      </c>
      <c r="F1968">
        <v>22589</v>
      </c>
      <c r="G1968" t="s">
        <v>23</v>
      </c>
      <c r="H1968">
        <v>18</v>
      </c>
      <c r="I1968">
        <v>89694</v>
      </c>
      <c r="J1968" t="s">
        <v>77</v>
      </c>
      <c r="K1968" t="s">
        <v>38</v>
      </c>
      <c r="L1968" t="s">
        <v>26</v>
      </c>
      <c r="M1968">
        <v>3</v>
      </c>
      <c r="N1968">
        <v>584.79</v>
      </c>
      <c r="O1968">
        <v>782.18</v>
      </c>
      <c r="P1968">
        <v>0</v>
      </c>
      <c r="Q1968">
        <v>0</v>
      </c>
      <c r="S1968">
        <v>29</v>
      </c>
      <c r="T1968">
        <v>1</v>
      </c>
      <c r="U1968">
        <v>3</v>
      </c>
      <c r="V1968">
        <v>782.18</v>
      </c>
      <c r="W1968">
        <v>13130001966</v>
      </c>
    </row>
    <row r="1969" spans="1:23" x14ac:dyDescent="0.2">
      <c r="A1969" s="1">
        <v>44793</v>
      </c>
      <c r="B1969" s="2">
        <v>0.61809027777777781</v>
      </c>
      <c r="C1969">
        <v>2967</v>
      </c>
      <c r="D1969">
        <v>13002561</v>
      </c>
      <c r="E1969">
        <v>13</v>
      </c>
      <c r="F1969">
        <v>22589</v>
      </c>
      <c r="G1969" t="s">
        <v>23</v>
      </c>
      <c r="H1969">
        <v>18</v>
      </c>
      <c r="I1969">
        <v>14067</v>
      </c>
      <c r="J1969" t="s">
        <v>125</v>
      </c>
      <c r="K1969" t="s">
        <v>28</v>
      </c>
      <c r="L1969" t="s">
        <v>51</v>
      </c>
      <c r="M1969">
        <v>1</v>
      </c>
      <c r="N1969">
        <v>447.1</v>
      </c>
      <c r="O1969">
        <v>699</v>
      </c>
      <c r="P1969">
        <v>0</v>
      </c>
      <c r="Q1969">
        <v>0</v>
      </c>
      <c r="S1969">
        <v>29</v>
      </c>
      <c r="T1969">
        <v>1</v>
      </c>
      <c r="U1969">
        <v>1</v>
      </c>
      <c r="V1969">
        <v>699</v>
      </c>
      <c r="W1969">
        <v>13130001967</v>
      </c>
    </row>
    <row r="1970" spans="1:23" x14ac:dyDescent="0.2">
      <c r="A1970" s="1">
        <v>44782</v>
      </c>
      <c r="B1970" s="2">
        <v>0.8501967592592593</v>
      </c>
      <c r="C1970">
        <v>2968</v>
      </c>
      <c r="D1970">
        <v>13002561</v>
      </c>
      <c r="E1970">
        <v>13</v>
      </c>
      <c r="F1970">
        <v>22589</v>
      </c>
      <c r="G1970" t="s">
        <v>23</v>
      </c>
      <c r="H1970">
        <v>15</v>
      </c>
      <c r="I1970">
        <v>13038</v>
      </c>
      <c r="J1970" t="s">
        <v>58</v>
      </c>
      <c r="K1970" t="s">
        <v>28</v>
      </c>
      <c r="L1970" t="s">
        <v>32</v>
      </c>
      <c r="M1970">
        <v>3</v>
      </c>
      <c r="N1970">
        <v>362</v>
      </c>
      <c r="O1970">
        <v>594.64</v>
      </c>
      <c r="P1970">
        <v>0</v>
      </c>
      <c r="Q1970">
        <v>0</v>
      </c>
      <c r="S1970">
        <v>29</v>
      </c>
      <c r="T1970">
        <v>1</v>
      </c>
      <c r="U1970">
        <v>3</v>
      </c>
      <c r="V1970">
        <v>594.64</v>
      </c>
      <c r="W1970">
        <v>13130001968</v>
      </c>
    </row>
    <row r="1971" spans="1:23" x14ac:dyDescent="0.2">
      <c r="A1971" s="1">
        <v>44785</v>
      </c>
      <c r="B1971" s="2">
        <v>0.60005787037037039</v>
      </c>
      <c r="C1971">
        <v>2969</v>
      </c>
      <c r="D1971">
        <v>13002561</v>
      </c>
      <c r="E1971">
        <v>13</v>
      </c>
      <c r="F1971">
        <v>22589</v>
      </c>
      <c r="G1971" t="s">
        <v>23</v>
      </c>
      <c r="H1971">
        <v>18</v>
      </c>
      <c r="I1971">
        <v>72109</v>
      </c>
      <c r="J1971" t="s">
        <v>90</v>
      </c>
      <c r="K1971" t="s">
        <v>44</v>
      </c>
      <c r="L1971" t="s">
        <v>34</v>
      </c>
      <c r="M1971">
        <v>1</v>
      </c>
      <c r="N1971">
        <v>555.9</v>
      </c>
      <c r="O1971">
        <v>925.91</v>
      </c>
      <c r="P1971">
        <v>92.59</v>
      </c>
      <c r="Q1971">
        <v>92.59</v>
      </c>
      <c r="R1971" t="s">
        <v>30</v>
      </c>
      <c r="S1971">
        <v>29</v>
      </c>
      <c r="T1971">
        <v>1</v>
      </c>
      <c r="U1971">
        <v>6</v>
      </c>
      <c r="V1971">
        <v>833.32</v>
      </c>
      <c r="W1971">
        <v>13130001969</v>
      </c>
    </row>
    <row r="1972" spans="1:23" x14ac:dyDescent="0.2">
      <c r="A1972" s="1">
        <v>44778</v>
      </c>
      <c r="B1972" s="2">
        <v>0.76841435185185181</v>
      </c>
      <c r="C1972">
        <v>2970</v>
      </c>
      <c r="D1972">
        <v>13002561</v>
      </c>
      <c r="E1972">
        <v>13</v>
      </c>
      <c r="F1972">
        <v>22589</v>
      </c>
      <c r="G1972" t="s">
        <v>23</v>
      </c>
      <c r="H1972">
        <v>18</v>
      </c>
      <c r="I1972">
        <v>34893</v>
      </c>
      <c r="J1972" t="s">
        <v>54</v>
      </c>
      <c r="K1972" t="s">
        <v>25</v>
      </c>
      <c r="L1972" t="s">
        <v>26</v>
      </c>
      <c r="M1972">
        <v>1</v>
      </c>
      <c r="N1972">
        <v>294.64999999999998</v>
      </c>
      <c r="O1972">
        <v>388.53</v>
      </c>
      <c r="P1972">
        <v>38.85</v>
      </c>
      <c r="Q1972">
        <v>38.85</v>
      </c>
      <c r="R1972" t="s">
        <v>30</v>
      </c>
      <c r="S1972">
        <v>29</v>
      </c>
      <c r="T1972">
        <v>1</v>
      </c>
      <c r="U1972">
        <v>5</v>
      </c>
      <c r="V1972">
        <v>349.68</v>
      </c>
      <c r="W1972">
        <v>13130001970</v>
      </c>
    </row>
    <row r="1973" spans="1:23" x14ac:dyDescent="0.2">
      <c r="A1973" s="1">
        <v>44789</v>
      </c>
      <c r="B1973" s="2">
        <v>0.49660879629629628</v>
      </c>
      <c r="C1973">
        <v>2971</v>
      </c>
      <c r="D1973">
        <v>13002561</v>
      </c>
      <c r="E1973">
        <v>13</v>
      </c>
      <c r="F1973">
        <v>22589</v>
      </c>
      <c r="G1973" t="s">
        <v>23</v>
      </c>
      <c r="H1973">
        <v>15</v>
      </c>
      <c r="I1973">
        <v>54910</v>
      </c>
      <c r="J1973" t="s">
        <v>41</v>
      </c>
      <c r="K1973" t="s">
        <v>28</v>
      </c>
      <c r="L1973" t="s">
        <v>26</v>
      </c>
      <c r="M1973">
        <v>2</v>
      </c>
      <c r="N1973">
        <v>77.849999999999994</v>
      </c>
      <c r="O1973">
        <v>118.06</v>
      </c>
      <c r="P1973">
        <v>11.81</v>
      </c>
      <c r="Q1973">
        <v>11.81</v>
      </c>
      <c r="R1973" t="s">
        <v>30</v>
      </c>
      <c r="S1973">
        <v>29</v>
      </c>
      <c r="T1973">
        <v>1</v>
      </c>
      <c r="U1973">
        <v>4</v>
      </c>
      <c r="V1973">
        <v>106.25</v>
      </c>
      <c r="W1973">
        <v>13130001971</v>
      </c>
    </row>
    <row r="1974" spans="1:23" x14ac:dyDescent="0.2">
      <c r="A1974" s="1">
        <v>44793</v>
      </c>
      <c r="B1974" s="2">
        <v>0.85782407407407413</v>
      </c>
      <c r="C1974">
        <v>2972</v>
      </c>
      <c r="D1974">
        <v>13002561</v>
      </c>
      <c r="E1974">
        <v>13</v>
      </c>
      <c r="F1974">
        <v>22589</v>
      </c>
      <c r="G1974" t="s">
        <v>23</v>
      </c>
      <c r="H1974">
        <v>18</v>
      </c>
      <c r="I1974">
        <v>84487</v>
      </c>
      <c r="J1974" t="s">
        <v>100</v>
      </c>
      <c r="K1974" t="s">
        <v>60</v>
      </c>
      <c r="L1974" t="s">
        <v>34</v>
      </c>
      <c r="M1974">
        <v>3</v>
      </c>
      <c r="N1974">
        <v>561.21</v>
      </c>
      <c r="O1974">
        <v>929.44</v>
      </c>
      <c r="P1974">
        <v>92.94</v>
      </c>
      <c r="Q1974">
        <v>92.94</v>
      </c>
      <c r="R1974" t="s">
        <v>30</v>
      </c>
      <c r="S1974">
        <v>29</v>
      </c>
      <c r="T1974">
        <v>1</v>
      </c>
      <c r="U1974">
        <v>2</v>
      </c>
      <c r="V1974">
        <v>836.5</v>
      </c>
      <c r="W1974">
        <v>13130001972</v>
      </c>
    </row>
    <row r="1975" spans="1:23" x14ac:dyDescent="0.2">
      <c r="A1975" s="1">
        <v>44781</v>
      </c>
      <c r="B1975" s="2">
        <v>0.8464814814814815</v>
      </c>
      <c r="C1975">
        <v>2973</v>
      </c>
      <c r="D1975">
        <v>13002561</v>
      </c>
      <c r="E1975">
        <v>13</v>
      </c>
      <c r="F1975">
        <v>22589</v>
      </c>
      <c r="G1975" t="s">
        <v>23</v>
      </c>
      <c r="H1975">
        <v>15</v>
      </c>
      <c r="I1975">
        <v>27137</v>
      </c>
      <c r="J1975" t="s">
        <v>46</v>
      </c>
      <c r="K1975" t="s">
        <v>60</v>
      </c>
      <c r="L1975" t="s">
        <v>26</v>
      </c>
      <c r="M1975">
        <v>1</v>
      </c>
      <c r="N1975">
        <v>49.04</v>
      </c>
      <c r="O1975">
        <v>66.39</v>
      </c>
      <c r="P1975">
        <v>3.32</v>
      </c>
      <c r="Q1975">
        <v>3.32</v>
      </c>
      <c r="R1975" t="s">
        <v>30</v>
      </c>
      <c r="S1975">
        <v>29</v>
      </c>
      <c r="T1975">
        <v>1</v>
      </c>
      <c r="U1975">
        <v>6</v>
      </c>
      <c r="V1975">
        <v>63.07</v>
      </c>
      <c r="W1975">
        <v>13130001973</v>
      </c>
    </row>
    <row r="1976" spans="1:23" x14ac:dyDescent="0.2">
      <c r="A1976" s="1">
        <v>44803</v>
      </c>
      <c r="B1976" s="2">
        <v>0.69616898148148143</v>
      </c>
      <c r="C1976">
        <v>2974</v>
      </c>
      <c r="D1976">
        <v>13002561</v>
      </c>
      <c r="E1976">
        <v>13</v>
      </c>
      <c r="F1976">
        <v>22589</v>
      </c>
      <c r="G1976" t="s">
        <v>23</v>
      </c>
      <c r="H1976">
        <v>18</v>
      </c>
      <c r="I1976">
        <v>54241</v>
      </c>
      <c r="J1976" t="s">
        <v>84</v>
      </c>
      <c r="K1976" t="s">
        <v>38</v>
      </c>
      <c r="L1976" t="s">
        <v>47</v>
      </c>
      <c r="M1976">
        <v>3</v>
      </c>
      <c r="N1976">
        <v>484.14</v>
      </c>
      <c r="O1976">
        <v>708.72</v>
      </c>
      <c r="P1976">
        <v>0</v>
      </c>
      <c r="Q1976">
        <v>0</v>
      </c>
      <c r="S1976">
        <v>29</v>
      </c>
      <c r="T1976">
        <v>1</v>
      </c>
      <c r="U1976">
        <v>5</v>
      </c>
      <c r="V1976">
        <v>708.72</v>
      </c>
      <c r="W1976">
        <v>13130001974</v>
      </c>
    </row>
    <row r="1977" spans="1:23" x14ac:dyDescent="0.2">
      <c r="A1977" s="1">
        <v>44785</v>
      </c>
      <c r="B1977" s="2">
        <v>0.86203703703703705</v>
      </c>
      <c r="C1977">
        <v>2975</v>
      </c>
      <c r="D1977">
        <v>13002561</v>
      </c>
      <c r="E1977">
        <v>13</v>
      </c>
      <c r="F1977">
        <v>22589</v>
      </c>
      <c r="G1977" t="s">
        <v>23</v>
      </c>
      <c r="H1977">
        <v>18</v>
      </c>
      <c r="I1977">
        <v>87990</v>
      </c>
      <c r="J1977" t="s">
        <v>110</v>
      </c>
      <c r="K1977" t="s">
        <v>25</v>
      </c>
      <c r="L1977" t="s">
        <v>36</v>
      </c>
      <c r="M1977">
        <v>3</v>
      </c>
      <c r="N1977">
        <v>599.41</v>
      </c>
      <c r="O1977">
        <v>867.92</v>
      </c>
      <c r="P1977">
        <v>43.4</v>
      </c>
      <c r="Q1977">
        <v>43.4</v>
      </c>
      <c r="R1977" t="s">
        <v>30</v>
      </c>
      <c r="S1977">
        <v>29</v>
      </c>
      <c r="T1977">
        <v>1</v>
      </c>
      <c r="U1977">
        <v>5</v>
      </c>
      <c r="V1977">
        <v>824.52</v>
      </c>
      <c r="W1977">
        <v>13130001975</v>
      </c>
    </row>
    <row r="1978" spans="1:23" x14ac:dyDescent="0.2">
      <c r="A1978" s="1">
        <v>44779</v>
      </c>
      <c r="B1978" s="2">
        <v>0.65780092592592587</v>
      </c>
      <c r="C1978">
        <v>2976</v>
      </c>
      <c r="D1978">
        <v>13002561</v>
      </c>
      <c r="E1978">
        <v>13</v>
      </c>
      <c r="F1978">
        <v>22589</v>
      </c>
      <c r="G1978" t="s">
        <v>23</v>
      </c>
      <c r="H1978">
        <v>15</v>
      </c>
      <c r="I1978">
        <v>45341</v>
      </c>
      <c r="J1978" t="s">
        <v>113</v>
      </c>
      <c r="K1978" t="s">
        <v>38</v>
      </c>
      <c r="L1978" t="s">
        <v>36</v>
      </c>
      <c r="M1978">
        <v>3</v>
      </c>
      <c r="N1978">
        <v>322.85000000000002</v>
      </c>
      <c r="O1978">
        <v>454.38</v>
      </c>
      <c r="P1978">
        <v>22.72</v>
      </c>
      <c r="Q1978">
        <v>22.72</v>
      </c>
      <c r="R1978" t="s">
        <v>30</v>
      </c>
      <c r="S1978">
        <v>29</v>
      </c>
      <c r="T1978">
        <v>1</v>
      </c>
      <c r="U1978">
        <v>3</v>
      </c>
      <c r="V1978">
        <v>431.66</v>
      </c>
      <c r="W1978">
        <v>13130001976</v>
      </c>
    </row>
    <row r="1979" spans="1:23" x14ac:dyDescent="0.2">
      <c r="A1979" s="1">
        <v>44787</v>
      </c>
      <c r="B1979" s="2">
        <v>0.42427083333333332</v>
      </c>
      <c r="C1979">
        <v>2977</v>
      </c>
      <c r="D1979">
        <v>13002561</v>
      </c>
      <c r="E1979">
        <v>13</v>
      </c>
      <c r="F1979">
        <v>22589</v>
      </c>
      <c r="G1979" t="s">
        <v>23</v>
      </c>
      <c r="H1979">
        <v>15</v>
      </c>
      <c r="I1979">
        <v>96898</v>
      </c>
      <c r="J1979" t="s">
        <v>91</v>
      </c>
      <c r="K1979" t="s">
        <v>25</v>
      </c>
      <c r="L1979" t="s">
        <v>26</v>
      </c>
      <c r="M1979">
        <v>2</v>
      </c>
      <c r="N1979">
        <v>96.79</v>
      </c>
      <c r="O1979">
        <v>164.39</v>
      </c>
      <c r="P1979">
        <v>16.440000000000001</v>
      </c>
      <c r="Q1979">
        <v>16.440000000000001</v>
      </c>
      <c r="R1979" t="s">
        <v>30</v>
      </c>
      <c r="S1979">
        <v>29</v>
      </c>
      <c r="T1979">
        <v>1</v>
      </c>
      <c r="U1979">
        <v>6</v>
      </c>
      <c r="V1979">
        <v>147.94999999999999</v>
      </c>
      <c r="W1979">
        <v>13130001977</v>
      </c>
    </row>
    <row r="1980" spans="1:23" x14ac:dyDescent="0.2">
      <c r="A1980" s="1">
        <v>44795</v>
      </c>
      <c r="B1980" s="2">
        <v>0.81172453703703706</v>
      </c>
      <c r="C1980">
        <v>2978</v>
      </c>
      <c r="D1980">
        <v>13002561</v>
      </c>
      <c r="E1980">
        <v>13</v>
      </c>
      <c r="F1980">
        <v>22589</v>
      </c>
      <c r="G1980" t="s">
        <v>23</v>
      </c>
      <c r="H1980">
        <v>18</v>
      </c>
      <c r="I1980">
        <v>62863</v>
      </c>
      <c r="J1980" t="s">
        <v>103</v>
      </c>
      <c r="K1980" t="s">
        <v>45</v>
      </c>
      <c r="L1980" t="s">
        <v>29</v>
      </c>
      <c r="M1980">
        <v>2</v>
      </c>
      <c r="N1980">
        <v>78.78</v>
      </c>
      <c r="O1980">
        <v>121.23</v>
      </c>
      <c r="P1980">
        <v>12.12</v>
      </c>
      <c r="Q1980">
        <v>12.12</v>
      </c>
      <c r="R1980" t="s">
        <v>30</v>
      </c>
      <c r="S1980">
        <v>29</v>
      </c>
      <c r="T1980">
        <v>1</v>
      </c>
      <c r="U1980">
        <v>2</v>
      </c>
      <c r="V1980">
        <v>109.11</v>
      </c>
      <c r="W1980">
        <v>13130001978</v>
      </c>
    </row>
    <row r="1981" spans="1:23" x14ac:dyDescent="0.2">
      <c r="A1981" s="1">
        <v>44791</v>
      </c>
      <c r="B1981" s="2">
        <v>0.64476851851851846</v>
      </c>
      <c r="C1981">
        <v>2979</v>
      </c>
      <c r="D1981">
        <v>13002561</v>
      </c>
      <c r="E1981">
        <v>13</v>
      </c>
      <c r="F1981">
        <v>22589</v>
      </c>
      <c r="G1981" t="s">
        <v>23</v>
      </c>
      <c r="H1981">
        <v>18</v>
      </c>
      <c r="I1981">
        <v>13173</v>
      </c>
      <c r="J1981" t="s">
        <v>123</v>
      </c>
      <c r="K1981" t="s">
        <v>45</v>
      </c>
      <c r="L1981" t="s">
        <v>47</v>
      </c>
      <c r="M1981">
        <v>3</v>
      </c>
      <c r="N1981">
        <v>381.4</v>
      </c>
      <c r="O1981">
        <v>489.96</v>
      </c>
      <c r="P1981">
        <v>0</v>
      </c>
      <c r="Q1981">
        <v>0</v>
      </c>
      <c r="S1981">
        <v>29</v>
      </c>
      <c r="T1981">
        <v>1</v>
      </c>
      <c r="U1981">
        <v>2</v>
      </c>
      <c r="V1981">
        <v>489.96</v>
      </c>
      <c r="W1981">
        <v>13130001979</v>
      </c>
    </row>
    <row r="1982" spans="1:23" x14ac:dyDescent="0.2">
      <c r="A1982" s="1">
        <v>44776</v>
      </c>
      <c r="B1982" s="2">
        <v>0.69836805555555559</v>
      </c>
      <c r="C1982">
        <v>2980</v>
      </c>
      <c r="D1982">
        <v>13002561</v>
      </c>
      <c r="E1982">
        <v>13</v>
      </c>
      <c r="F1982">
        <v>22589</v>
      </c>
      <c r="G1982" t="s">
        <v>23</v>
      </c>
      <c r="H1982">
        <v>15</v>
      </c>
      <c r="I1982">
        <v>35463</v>
      </c>
      <c r="J1982" t="s">
        <v>42</v>
      </c>
      <c r="K1982" t="s">
        <v>38</v>
      </c>
      <c r="L1982" t="s">
        <v>47</v>
      </c>
      <c r="M1982">
        <v>2</v>
      </c>
      <c r="N1982">
        <v>147.9</v>
      </c>
      <c r="O1982">
        <v>247.24</v>
      </c>
      <c r="P1982">
        <v>24.72</v>
      </c>
      <c r="Q1982">
        <v>24.72</v>
      </c>
      <c r="R1982" t="s">
        <v>30</v>
      </c>
      <c r="S1982">
        <v>29</v>
      </c>
      <c r="T1982">
        <v>1</v>
      </c>
      <c r="U1982">
        <v>3</v>
      </c>
      <c r="V1982">
        <v>222.52</v>
      </c>
      <c r="W1982">
        <v>13130001980</v>
      </c>
    </row>
    <row r="1983" spans="1:23" x14ac:dyDescent="0.2">
      <c r="A1983" s="1">
        <v>44785</v>
      </c>
      <c r="B1983" s="2">
        <v>0.62133101851851846</v>
      </c>
      <c r="C1983">
        <v>2981</v>
      </c>
      <c r="D1983">
        <v>13002561</v>
      </c>
      <c r="E1983">
        <v>13</v>
      </c>
      <c r="F1983">
        <v>22589</v>
      </c>
      <c r="G1983" t="s">
        <v>23</v>
      </c>
      <c r="H1983">
        <v>18</v>
      </c>
      <c r="I1983">
        <v>37797</v>
      </c>
      <c r="J1983" t="s">
        <v>65</v>
      </c>
      <c r="K1983" t="s">
        <v>60</v>
      </c>
      <c r="L1983" t="s">
        <v>36</v>
      </c>
      <c r="M1983">
        <v>3</v>
      </c>
      <c r="N1983">
        <v>429.25</v>
      </c>
      <c r="O1983">
        <v>680.44</v>
      </c>
      <c r="P1983">
        <v>68.040000000000006</v>
      </c>
      <c r="Q1983">
        <v>68.040000000000006</v>
      </c>
      <c r="R1983" t="s">
        <v>30</v>
      </c>
      <c r="S1983">
        <v>29</v>
      </c>
      <c r="T1983">
        <v>1</v>
      </c>
      <c r="U1983">
        <v>2</v>
      </c>
      <c r="V1983">
        <v>612.4</v>
      </c>
      <c r="W1983">
        <v>13130001981</v>
      </c>
    </row>
    <row r="1984" spans="1:23" x14ac:dyDescent="0.2">
      <c r="A1984" s="1">
        <v>44790</v>
      </c>
      <c r="B1984" s="2">
        <v>0.93410879629629628</v>
      </c>
      <c r="C1984">
        <v>2982</v>
      </c>
      <c r="D1984">
        <v>13002561</v>
      </c>
      <c r="E1984">
        <v>13</v>
      </c>
      <c r="F1984">
        <v>22589</v>
      </c>
      <c r="G1984" t="s">
        <v>23</v>
      </c>
      <c r="H1984">
        <v>15</v>
      </c>
      <c r="I1984">
        <v>77124</v>
      </c>
      <c r="J1984" t="s">
        <v>73</v>
      </c>
      <c r="K1984" t="s">
        <v>38</v>
      </c>
      <c r="L1984" t="s">
        <v>34</v>
      </c>
      <c r="M1984">
        <v>2</v>
      </c>
      <c r="N1984">
        <v>580.74</v>
      </c>
      <c r="O1984">
        <v>858.43</v>
      </c>
      <c r="P1984">
        <v>42.92</v>
      </c>
      <c r="Q1984">
        <v>42.92</v>
      </c>
      <c r="R1984" t="s">
        <v>30</v>
      </c>
      <c r="S1984">
        <v>29</v>
      </c>
      <c r="T1984">
        <v>1</v>
      </c>
      <c r="U1984">
        <v>4</v>
      </c>
      <c r="V1984">
        <v>815.51</v>
      </c>
      <c r="W1984">
        <v>13130001982</v>
      </c>
    </row>
    <row r="1985" spans="1:23" x14ac:dyDescent="0.2">
      <c r="A1985" s="1">
        <v>44785</v>
      </c>
      <c r="B1985" s="2">
        <v>0.63710648148148152</v>
      </c>
      <c r="C1985">
        <v>2983</v>
      </c>
      <c r="D1985">
        <v>13002561</v>
      </c>
      <c r="E1985">
        <v>13</v>
      </c>
      <c r="F1985">
        <v>22589</v>
      </c>
      <c r="G1985" t="s">
        <v>23</v>
      </c>
      <c r="H1985">
        <v>18</v>
      </c>
      <c r="I1985">
        <v>53778</v>
      </c>
      <c r="J1985" t="s">
        <v>104</v>
      </c>
      <c r="K1985" t="s">
        <v>25</v>
      </c>
      <c r="L1985" t="s">
        <v>34</v>
      </c>
      <c r="M1985">
        <v>3</v>
      </c>
      <c r="N1985">
        <v>21.49</v>
      </c>
      <c r="O1985">
        <v>29.06</v>
      </c>
      <c r="P1985">
        <v>1.45</v>
      </c>
      <c r="Q1985">
        <v>1.45</v>
      </c>
      <c r="R1985" t="s">
        <v>30</v>
      </c>
      <c r="S1985">
        <v>29</v>
      </c>
      <c r="T1985">
        <v>1</v>
      </c>
      <c r="U1985">
        <v>2</v>
      </c>
      <c r="V1985">
        <v>27.61</v>
      </c>
      <c r="W1985">
        <v>13130001983</v>
      </c>
    </row>
    <row r="1986" spans="1:23" x14ac:dyDescent="0.2">
      <c r="A1986" s="1">
        <v>44776</v>
      </c>
      <c r="B1986" s="2">
        <v>0.93076388888888884</v>
      </c>
      <c r="C1986">
        <v>2984</v>
      </c>
      <c r="D1986">
        <v>13002561</v>
      </c>
      <c r="E1986">
        <v>13</v>
      </c>
      <c r="F1986">
        <v>22589</v>
      </c>
      <c r="G1986" t="s">
        <v>23</v>
      </c>
      <c r="H1986">
        <v>18</v>
      </c>
      <c r="I1986">
        <v>71480</v>
      </c>
      <c r="J1986" t="s">
        <v>84</v>
      </c>
      <c r="K1986" t="s">
        <v>45</v>
      </c>
      <c r="L1986" t="s">
        <v>34</v>
      </c>
      <c r="M1986">
        <v>1</v>
      </c>
      <c r="N1986">
        <v>425.55</v>
      </c>
      <c r="O1986">
        <v>598.47</v>
      </c>
      <c r="P1986">
        <v>59.85</v>
      </c>
      <c r="Q1986">
        <v>59.85</v>
      </c>
      <c r="R1986" t="s">
        <v>30</v>
      </c>
      <c r="S1986">
        <v>29</v>
      </c>
      <c r="T1986">
        <v>1</v>
      </c>
      <c r="U1986">
        <v>6</v>
      </c>
      <c r="V1986">
        <v>538.62</v>
      </c>
      <c r="W1986">
        <v>13130001984</v>
      </c>
    </row>
    <row r="1987" spans="1:23" x14ac:dyDescent="0.2">
      <c r="A1987" s="1">
        <v>44780</v>
      </c>
      <c r="B1987" s="2">
        <v>0.57674768518518515</v>
      </c>
      <c r="C1987">
        <v>2985</v>
      </c>
      <c r="D1987">
        <v>13002561</v>
      </c>
      <c r="E1987">
        <v>13</v>
      </c>
      <c r="F1987">
        <v>22589</v>
      </c>
      <c r="G1987" t="s">
        <v>23</v>
      </c>
      <c r="H1987">
        <v>15</v>
      </c>
      <c r="I1987">
        <v>10622</v>
      </c>
      <c r="J1987" t="s">
        <v>117</v>
      </c>
      <c r="K1987" t="s">
        <v>45</v>
      </c>
      <c r="L1987" t="s">
        <v>39</v>
      </c>
      <c r="M1987">
        <v>2</v>
      </c>
      <c r="N1987">
        <v>13.56</v>
      </c>
      <c r="O1987">
        <v>19.47</v>
      </c>
      <c r="P1987">
        <v>0</v>
      </c>
      <c r="Q1987">
        <v>0</v>
      </c>
      <c r="S1987">
        <v>29</v>
      </c>
      <c r="T1987">
        <v>1</v>
      </c>
      <c r="U1987">
        <v>1</v>
      </c>
      <c r="V1987">
        <v>19.47</v>
      </c>
      <c r="W1987">
        <v>13130001985</v>
      </c>
    </row>
    <row r="1988" spans="1:23" x14ac:dyDescent="0.2">
      <c r="A1988" s="1">
        <v>44788</v>
      </c>
      <c r="B1988" s="2">
        <v>0.86957175925925922</v>
      </c>
      <c r="C1988">
        <v>2986</v>
      </c>
      <c r="D1988">
        <v>13002561</v>
      </c>
      <c r="E1988">
        <v>13</v>
      </c>
      <c r="F1988">
        <v>22589</v>
      </c>
      <c r="G1988" t="s">
        <v>23</v>
      </c>
      <c r="H1988">
        <v>15</v>
      </c>
      <c r="I1988">
        <v>73182</v>
      </c>
      <c r="J1988" t="s">
        <v>72</v>
      </c>
      <c r="K1988" t="s">
        <v>28</v>
      </c>
      <c r="L1988" t="s">
        <v>32</v>
      </c>
      <c r="M1988">
        <v>3</v>
      </c>
      <c r="N1988">
        <v>297.67</v>
      </c>
      <c r="O1988">
        <v>395.83</v>
      </c>
      <c r="P1988">
        <v>0</v>
      </c>
      <c r="Q1988">
        <v>0</v>
      </c>
      <c r="S1988">
        <v>29</v>
      </c>
      <c r="T1988">
        <v>1</v>
      </c>
      <c r="U1988">
        <v>5</v>
      </c>
      <c r="V1988">
        <v>395.83</v>
      </c>
      <c r="W1988">
        <v>13130001986</v>
      </c>
    </row>
    <row r="1989" spans="1:23" x14ac:dyDescent="0.2">
      <c r="A1989" s="1">
        <v>44794</v>
      </c>
      <c r="B1989" s="2">
        <v>0.69039351851851849</v>
      </c>
      <c r="C1989">
        <v>2987</v>
      </c>
      <c r="D1989">
        <v>13002561</v>
      </c>
      <c r="E1989">
        <v>13</v>
      </c>
      <c r="F1989">
        <v>22589</v>
      </c>
      <c r="G1989" t="s">
        <v>23</v>
      </c>
      <c r="H1989">
        <v>15</v>
      </c>
      <c r="I1989">
        <v>56345</v>
      </c>
      <c r="J1989" t="s">
        <v>111</v>
      </c>
      <c r="K1989" t="s">
        <v>44</v>
      </c>
      <c r="L1989" t="s">
        <v>39</v>
      </c>
      <c r="M1989">
        <v>2</v>
      </c>
      <c r="N1989">
        <v>313.94</v>
      </c>
      <c r="O1989">
        <v>409.46</v>
      </c>
      <c r="P1989">
        <v>40.950000000000003</v>
      </c>
      <c r="Q1989">
        <v>40.950000000000003</v>
      </c>
      <c r="R1989" t="s">
        <v>30</v>
      </c>
      <c r="S1989">
        <v>29</v>
      </c>
      <c r="T1989">
        <v>1</v>
      </c>
      <c r="U1989">
        <v>3</v>
      </c>
      <c r="V1989">
        <v>368.51</v>
      </c>
      <c r="W1989">
        <v>13130001987</v>
      </c>
    </row>
    <row r="1990" spans="1:23" x14ac:dyDescent="0.2">
      <c r="A1990" s="1">
        <v>44786</v>
      </c>
      <c r="B1990" s="2">
        <v>0.4523726851851852</v>
      </c>
      <c r="C1990">
        <v>2988</v>
      </c>
      <c r="D1990">
        <v>13002561</v>
      </c>
      <c r="E1990">
        <v>13</v>
      </c>
      <c r="F1990">
        <v>22589</v>
      </c>
      <c r="G1990" t="s">
        <v>23</v>
      </c>
      <c r="H1990">
        <v>18</v>
      </c>
      <c r="I1990">
        <v>64208</v>
      </c>
      <c r="J1990" t="s">
        <v>63</v>
      </c>
      <c r="K1990" t="s">
        <v>38</v>
      </c>
      <c r="L1990" t="s">
        <v>34</v>
      </c>
      <c r="M1990">
        <v>2</v>
      </c>
      <c r="N1990">
        <v>46</v>
      </c>
      <c r="O1990">
        <v>60.73</v>
      </c>
      <c r="P1990">
        <v>0</v>
      </c>
      <c r="Q1990">
        <v>0</v>
      </c>
      <c r="S1990">
        <v>29</v>
      </c>
      <c r="T1990">
        <v>1</v>
      </c>
      <c r="U1990">
        <v>1</v>
      </c>
      <c r="V1990">
        <v>60.73</v>
      </c>
      <c r="W1990">
        <v>13130001988</v>
      </c>
    </row>
    <row r="1991" spans="1:23" x14ac:dyDescent="0.2">
      <c r="A1991" s="1">
        <v>44776</v>
      </c>
      <c r="B1991" s="2">
        <v>0.66310185185185189</v>
      </c>
      <c r="C1991">
        <v>2989</v>
      </c>
      <c r="D1991">
        <v>13002561</v>
      </c>
      <c r="E1991">
        <v>13</v>
      </c>
      <c r="F1991">
        <v>22589</v>
      </c>
      <c r="G1991" t="s">
        <v>23</v>
      </c>
      <c r="H1991">
        <v>18</v>
      </c>
      <c r="I1991">
        <v>17082</v>
      </c>
      <c r="J1991" t="s">
        <v>84</v>
      </c>
      <c r="K1991" t="s">
        <v>38</v>
      </c>
      <c r="L1991" t="s">
        <v>51</v>
      </c>
      <c r="M1991">
        <v>1</v>
      </c>
      <c r="N1991">
        <v>19.04</v>
      </c>
      <c r="O1991">
        <v>29.16</v>
      </c>
      <c r="P1991">
        <v>2.92</v>
      </c>
      <c r="Q1991">
        <v>2.92</v>
      </c>
      <c r="R1991" t="s">
        <v>30</v>
      </c>
      <c r="S1991">
        <v>29</v>
      </c>
      <c r="T1991">
        <v>1</v>
      </c>
      <c r="U1991">
        <v>6</v>
      </c>
      <c r="V1991">
        <v>26.24</v>
      </c>
      <c r="W1991">
        <v>13130001989</v>
      </c>
    </row>
    <row r="1992" spans="1:23" x14ac:dyDescent="0.2">
      <c r="A1992" s="1">
        <v>44787</v>
      </c>
      <c r="B1992" s="2">
        <v>0.34674768518518517</v>
      </c>
      <c r="C1992">
        <v>2990</v>
      </c>
      <c r="D1992">
        <v>13002561</v>
      </c>
      <c r="E1992">
        <v>13</v>
      </c>
      <c r="F1992">
        <v>22589</v>
      </c>
      <c r="G1992" t="s">
        <v>23</v>
      </c>
      <c r="H1992">
        <v>18</v>
      </c>
      <c r="I1992">
        <v>20977</v>
      </c>
      <c r="J1992" t="s">
        <v>102</v>
      </c>
      <c r="K1992" t="s">
        <v>44</v>
      </c>
      <c r="L1992" t="s">
        <v>32</v>
      </c>
      <c r="M1992">
        <v>3</v>
      </c>
      <c r="N1992">
        <v>389.57</v>
      </c>
      <c r="O1992">
        <v>587.95000000000005</v>
      </c>
      <c r="P1992">
        <v>29.4</v>
      </c>
      <c r="Q1992">
        <v>29.4</v>
      </c>
      <c r="R1992" t="s">
        <v>30</v>
      </c>
      <c r="S1992">
        <v>29</v>
      </c>
      <c r="T1992">
        <v>1</v>
      </c>
      <c r="U1992">
        <v>3</v>
      </c>
      <c r="V1992">
        <v>558.54999999999995</v>
      </c>
      <c r="W1992">
        <v>13130001990</v>
      </c>
    </row>
    <row r="1993" spans="1:23" x14ac:dyDescent="0.2">
      <c r="A1993" s="1">
        <v>44783</v>
      </c>
      <c r="B1993" s="2">
        <v>0.60358796296296291</v>
      </c>
      <c r="C1993">
        <v>2991</v>
      </c>
      <c r="D1993">
        <v>13002561</v>
      </c>
      <c r="E1993">
        <v>13</v>
      </c>
      <c r="F1993">
        <v>22589</v>
      </c>
      <c r="G1993" t="s">
        <v>23</v>
      </c>
      <c r="H1993">
        <v>15</v>
      </c>
      <c r="I1993">
        <v>93836</v>
      </c>
      <c r="J1993" t="s">
        <v>58</v>
      </c>
      <c r="K1993" t="s">
        <v>25</v>
      </c>
      <c r="L1993" t="s">
        <v>34</v>
      </c>
      <c r="M1993">
        <v>1</v>
      </c>
      <c r="N1993">
        <v>356.88</v>
      </c>
      <c r="O1993">
        <v>549.16</v>
      </c>
      <c r="P1993">
        <v>54.92</v>
      </c>
      <c r="Q1993">
        <v>54.92</v>
      </c>
      <c r="R1993" t="s">
        <v>30</v>
      </c>
      <c r="S1993">
        <v>29</v>
      </c>
      <c r="T1993">
        <v>1</v>
      </c>
      <c r="U1993">
        <v>6</v>
      </c>
      <c r="V1993">
        <v>494.24</v>
      </c>
      <c r="W1993">
        <v>13130001991</v>
      </c>
    </row>
    <row r="1994" spans="1:23" x14ac:dyDescent="0.2">
      <c r="A1994" s="1">
        <v>44781</v>
      </c>
      <c r="B1994" s="2">
        <v>0.82825231481481476</v>
      </c>
      <c r="C1994">
        <v>2992</v>
      </c>
      <c r="D1994">
        <v>13002561</v>
      </c>
      <c r="E1994">
        <v>13</v>
      </c>
      <c r="F1994">
        <v>22589</v>
      </c>
      <c r="G1994" t="s">
        <v>23</v>
      </c>
      <c r="H1994">
        <v>18</v>
      </c>
      <c r="I1994">
        <v>43518</v>
      </c>
      <c r="J1994" t="s">
        <v>112</v>
      </c>
      <c r="K1994" t="s">
        <v>45</v>
      </c>
      <c r="L1994" t="s">
        <v>39</v>
      </c>
      <c r="M1994">
        <v>1</v>
      </c>
      <c r="N1994">
        <v>456.25</v>
      </c>
      <c r="O1994">
        <v>571.78</v>
      </c>
      <c r="P1994">
        <v>57.18</v>
      </c>
      <c r="Q1994">
        <v>57.18</v>
      </c>
      <c r="R1994" t="s">
        <v>30</v>
      </c>
      <c r="S1994">
        <v>29</v>
      </c>
      <c r="T1994">
        <v>1</v>
      </c>
      <c r="U1994">
        <v>6</v>
      </c>
      <c r="V1994">
        <v>514.6</v>
      </c>
      <c r="W1994">
        <v>13130001992</v>
      </c>
    </row>
    <row r="1995" spans="1:23" x14ac:dyDescent="0.2">
      <c r="A1995" s="1">
        <v>44797</v>
      </c>
      <c r="B1995" s="2">
        <v>0.5905555555555555</v>
      </c>
      <c r="C1995">
        <v>2993</v>
      </c>
      <c r="D1995">
        <v>13002561</v>
      </c>
      <c r="E1995">
        <v>13</v>
      </c>
      <c r="F1995">
        <v>22589</v>
      </c>
      <c r="G1995" t="s">
        <v>23</v>
      </c>
      <c r="H1995">
        <v>18</v>
      </c>
      <c r="I1995">
        <v>44125</v>
      </c>
      <c r="J1995" t="s">
        <v>65</v>
      </c>
      <c r="K1995" t="s">
        <v>38</v>
      </c>
      <c r="L1995" t="s">
        <v>32</v>
      </c>
      <c r="M1995">
        <v>1</v>
      </c>
      <c r="N1995">
        <v>240.91</v>
      </c>
      <c r="O1995">
        <v>392.85</v>
      </c>
      <c r="P1995">
        <v>19.64</v>
      </c>
      <c r="Q1995">
        <v>19.64</v>
      </c>
      <c r="R1995" t="s">
        <v>30</v>
      </c>
      <c r="S1995">
        <v>29</v>
      </c>
      <c r="T1995">
        <v>1</v>
      </c>
      <c r="U1995">
        <v>1</v>
      </c>
      <c r="V1995">
        <v>373.21</v>
      </c>
      <c r="W1995">
        <v>13130001993</v>
      </c>
    </row>
    <row r="1996" spans="1:23" x14ac:dyDescent="0.2">
      <c r="A1996" s="1">
        <v>44793</v>
      </c>
      <c r="B1996" s="2">
        <v>0.44565972222222222</v>
      </c>
      <c r="C1996">
        <v>2994</v>
      </c>
      <c r="D1996">
        <v>13002561</v>
      </c>
      <c r="E1996">
        <v>13</v>
      </c>
      <c r="F1996">
        <v>22589</v>
      </c>
      <c r="G1996" t="s">
        <v>23</v>
      </c>
      <c r="H1996">
        <v>18</v>
      </c>
      <c r="I1996">
        <v>41851</v>
      </c>
      <c r="J1996" t="s">
        <v>61</v>
      </c>
      <c r="K1996" t="s">
        <v>45</v>
      </c>
      <c r="L1996" t="s">
        <v>47</v>
      </c>
      <c r="M1996">
        <v>3</v>
      </c>
      <c r="N1996">
        <v>221.01</v>
      </c>
      <c r="O1996">
        <v>339.86</v>
      </c>
      <c r="P1996">
        <v>33.99</v>
      </c>
      <c r="Q1996">
        <v>33.99</v>
      </c>
      <c r="R1996" t="s">
        <v>30</v>
      </c>
      <c r="S1996">
        <v>29</v>
      </c>
      <c r="T1996">
        <v>1</v>
      </c>
      <c r="U1996">
        <v>1</v>
      </c>
      <c r="V1996">
        <v>305.87</v>
      </c>
      <c r="W1996">
        <v>13130001994</v>
      </c>
    </row>
    <row r="1997" spans="1:23" x14ac:dyDescent="0.2">
      <c r="A1997" s="1">
        <v>44795</v>
      </c>
      <c r="B1997" s="2">
        <v>0.64900462962962968</v>
      </c>
      <c r="C1997">
        <v>2995</v>
      </c>
      <c r="D1997">
        <v>13002561</v>
      </c>
      <c r="E1997">
        <v>13</v>
      </c>
      <c r="F1997">
        <v>22589</v>
      </c>
      <c r="G1997" t="s">
        <v>23</v>
      </c>
      <c r="H1997">
        <v>15</v>
      </c>
      <c r="I1997">
        <v>71905</v>
      </c>
      <c r="J1997" t="s">
        <v>78</v>
      </c>
      <c r="K1997" t="s">
        <v>38</v>
      </c>
      <c r="L1997" t="s">
        <v>36</v>
      </c>
      <c r="M1997">
        <v>3</v>
      </c>
      <c r="N1997">
        <v>360.03</v>
      </c>
      <c r="O1997">
        <v>544.16999999999996</v>
      </c>
      <c r="P1997">
        <v>54.42</v>
      </c>
      <c r="Q1997">
        <v>54.42</v>
      </c>
      <c r="R1997" t="s">
        <v>30</v>
      </c>
      <c r="S1997">
        <v>29</v>
      </c>
      <c r="T1997">
        <v>1</v>
      </c>
      <c r="U1997">
        <v>1</v>
      </c>
      <c r="V1997">
        <v>489.75</v>
      </c>
      <c r="W1997">
        <v>13130001995</v>
      </c>
    </row>
    <row r="1998" spans="1:23" x14ac:dyDescent="0.2">
      <c r="A1998" s="1">
        <v>44797</v>
      </c>
      <c r="B1998" s="2">
        <v>0.92084490740740743</v>
      </c>
      <c r="C1998">
        <v>2996</v>
      </c>
      <c r="D1998">
        <v>13002561</v>
      </c>
      <c r="E1998">
        <v>13</v>
      </c>
      <c r="F1998">
        <v>22589</v>
      </c>
      <c r="G1998" t="s">
        <v>23</v>
      </c>
      <c r="H1998">
        <v>15</v>
      </c>
      <c r="I1998">
        <v>65005</v>
      </c>
      <c r="J1998" t="s">
        <v>110</v>
      </c>
      <c r="K1998" t="s">
        <v>44</v>
      </c>
      <c r="L1998" t="s">
        <v>47</v>
      </c>
      <c r="M1998">
        <v>2</v>
      </c>
      <c r="N1998">
        <v>302.57</v>
      </c>
      <c r="O1998">
        <v>467.44</v>
      </c>
      <c r="P1998">
        <v>46.74</v>
      </c>
      <c r="Q1998">
        <v>46.74</v>
      </c>
      <c r="R1998" t="s">
        <v>30</v>
      </c>
      <c r="S1998">
        <v>29</v>
      </c>
      <c r="T1998">
        <v>1</v>
      </c>
      <c r="U1998">
        <v>5</v>
      </c>
      <c r="V1998">
        <v>420.7</v>
      </c>
      <c r="W1998">
        <v>13130001996</v>
      </c>
    </row>
    <row r="1999" spans="1:23" x14ac:dyDescent="0.2">
      <c r="A1999" s="1">
        <v>44787</v>
      </c>
      <c r="B1999" s="2">
        <v>0.75785879629629627</v>
      </c>
      <c r="C1999">
        <v>2997</v>
      </c>
      <c r="D1999">
        <v>13002561</v>
      </c>
      <c r="E1999">
        <v>13</v>
      </c>
      <c r="F1999">
        <v>22589</v>
      </c>
      <c r="G1999" t="s">
        <v>23</v>
      </c>
      <c r="H1999">
        <v>15</v>
      </c>
      <c r="I1999">
        <v>53995</v>
      </c>
      <c r="J1999" t="s">
        <v>121</v>
      </c>
      <c r="K1999" t="s">
        <v>25</v>
      </c>
      <c r="L1999" t="s">
        <v>39</v>
      </c>
      <c r="M1999">
        <v>2</v>
      </c>
      <c r="N1999">
        <v>109.18</v>
      </c>
      <c r="O1999">
        <v>155.05000000000001</v>
      </c>
      <c r="P1999">
        <v>7.75</v>
      </c>
      <c r="Q1999">
        <v>7.75</v>
      </c>
      <c r="R1999" t="s">
        <v>30</v>
      </c>
      <c r="S1999">
        <v>29</v>
      </c>
      <c r="T1999">
        <v>1</v>
      </c>
      <c r="U1999">
        <v>1</v>
      </c>
      <c r="V1999">
        <v>147.30000000000001</v>
      </c>
      <c r="W1999">
        <v>13130001997</v>
      </c>
    </row>
    <row r="2000" spans="1:23" x14ac:dyDescent="0.2">
      <c r="A2000" s="1">
        <v>44798</v>
      </c>
      <c r="B2000" s="2">
        <v>0.46511574074074069</v>
      </c>
      <c r="C2000">
        <v>2998</v>
      </c>
      <c r="D2000">
        <v>13002561</v>
      </c>
      <c r="E2000">
        <v>13</v>
      </c>
      <c r="F2000">
        <v>22589</v>
      </c>
      <c r="G2000" t="s">
        <v>23</v>
      </c>
      <c r="H2000">
        <v>18</v>
      </c>
      <c r="I2000">
        <v>29910</v>
      </c>
      <c r="J2000" t="s">
        <v>121</v>
      </c>
      <c r="K2000" t="s">
        <v>28</v>
      </c>
      <c r="L2000" t="s">
        <v>36</v>
      </c>
      <c r="M2000">
        <v>3</v>
      </c>
      <c r="N2000">
        <v>308.85000000000002</v>
      </c>
      <c r="O2000">
        <v>429.95</v>
      </c>
      <c r="P2000">
        <v>0</v>
      </c>
      <c r="Q2000">
        <v>0</v>
      </c>
      <c r="S2000">
        <v>29</v>
      </c>
      <c r="T2000">
        <v>1</v>
      </c>
      <c r="U2000">
        <v>3</v>
      </c>
      <c r="V2000">
        <v>429.95</v>
      </c>
      <c r="W2000">
        <v>13130001998</v>
      </c>
    </row>
    <row r="2001" spans="1:23" x14ac:dyDescent="0.2">
      <c r="A2001" s="1">
        <v>44791</v>
      </c>
      <c r="B2001" s="2">
        <v>0.6638425925925926</v>
      </c>
      <c r="C2001">
        <v>2999</v>
      </c>
      <c r="D2001">
        <v>13002561</v>
      </c>
      <c r="E2001">
        <v>13</v>
      </c>
      <c r="F2001">
        <v>22589</v>
      </c>
      <c r="G2001" t="s">
        <v>23</v>
      </c>
      <c r="H2001">
        <v>15</v>
      </c>
      <c r="I2001">
        <v>81768</v>
      </c>
      <c r="J2001" t="s">
        <v>27</v>
      </c>
      <c r="K2001" t="s">
        <v>44</v>
      </c>
      <c r="L2001" t="s">
        <v>51</v>
      </c>
      <c r="M2001">
        <v>3</v>
      </c>
      <c r="N2001">
        <v>272.67</v>
      </c>
      <c r="O2001">
        <v>421.76</v>
      </c>
      <c r="P2001">
        <v>0</v>
      </c>
      <c r="Q2001">
        <v>0</v>
      </c>
      <c r="S2001">
        <v>29</v>
      </c>
      <c r="T2001">
        <v>1</v>
      </c>
      <c r="U2001">
        <v>3</v>
      </c>
      <c r="V2001">
        <v>421.76</v>
      </c>
      <c r="W2001">
        <v>13130001999</v>
      </c>
    </row>
    <row r="2002" spans="1:23" x14ac:dyDescent="0.2">
      <c r="A2002" s="1">
        <v>44800</v>
      </c>
      <c r="B2002" s="2">
        <v>0.75443287037037032</v>
      </c>
      <c r="C2002">
        <v>3000</v>
      </c>
      <c r="D2002">
        <v>13002561</v>
      </c>
      <c r="E2002">
        <v>13</v>
      </c>
      <c r="F2002">
        <v>22589</v>
      </c>
      <c r="G2002" t="s">
        <v>23</v>
      </c>
      <c r="H2002">
        <v>15</v>
      </c>
      <c r="I2002">
        <v>82625</v>
      </c>
      <c r="J2002" t="s">
        <v>99</v>
      </c>
      <c r="K2002" t="s">
        <v>44</v>
      </c>
      <c r="L2002" t="s">
        <v>36</v>
      </c>
      <c r="M2002">
        <v>1</v>
      </c>
      <c r="N2002">
        <v>323.18</v>
      </c>
      <c r="O2002">
        <v>418.72</v>
      </c>
      <c r="P2002">
        <v>0</v>
      </c>
      <c r="Q2002">
        <v>0</v>
      </c>
      <c r="S2002">
        <v>29</v>
      </c>
      <c r="T2002">
        <v>1</v>
      </c>
      <c r="U2002">
        <v>4</v>
      </c>
      <c r="V2002">
        <v>418.72</v>
      </c>
      <c r="W2002">
        <v>13130002000</v>
      </c>
    </row>
    <row r="2003" spans="1:23" x14ac:dyDescent="0.2">
      <c r="A2003" s="1">
        <v>44791</v>
      </c>
      <c r="B2003" s="2">
        <v>0.84440972222222221</v>
      </c>
      <c r="C2003">
        <v>3001</v>
      </c>
      <c r="D2003">
        <v>13002561</v>
      </c>
      <c r="E2003">
        <v>13</v>
      </c>
      <c r="F2003">
        <v>22589</v>
      </c>
      <c r="G2003" t="s">
        <v>23</v>
      </c>
      <c r="H2003">
        <v>18</v>
      </c>
      <c r="I2003">
        <v>17780</v>
      </c>
      <c r="J2003" t="s">
        <v>71</v>
      </c>
      <c r="K2003" t="s">
        <v>38</v>
      </c>
      <c r="L2003" t="s">
        <v>26</v>
      </c>
      <c r="M2003">
        <v>2</v>
      </c>
      <c r="N2003">
        <v>105.05</v>
      </c>
      <c r="O2003">
        <v>164.76</v>
      </c>
      <c r="P2003">
        <v>0</v>
      </c>
      <c r="Q2003">
        <v>0</v>
      </c>
      <c r="S2003">
        <v>29</v>
      </c>
      <c r="T2003">
        <v>1</v>
      </c>
      <c r="U2003">
        <v>3</v>
      </c>
      <c r="V2003">
        <v>164.76</v>
      </c>
      <c r="W2003">
        <v>13130002001</v>
      </c>
    </row>
    <row r="2004" spans="1:23" x14ac:dyDescent="0.2">
      <c r="A2004" s="1">
        <v>44781</v>
      </c>
      <c r="B2004" s="2">
        <v>0.70423611111111106</v>
      </c>
      <c r="C2004">
        <v>3002</v>
      </c>
      <c r="D2004">
        <v>13002561</v>
      </c>
      <c r="E2004">
        <v>13</v>
      </c>
      <c r="F2004">
        <v>22589</v>
      </c>
      <c r="G2004" t="s">
        <v>23</v>
      </c>
      <c r="H2004">
        <v>15</v>
      </c>
      <c r="I2004">
        <v>16313</v>
      </c>
      <c r="J2004" t="s">
        <v>123</v>
      </c>
      <c r="K2004" t="s">
        <v>44</v>
      </c>
      <c r="L2004" t="s">
        <v>36</v>
      </c>
      <c r="M2004">
        <v>2</v>
      </c>
      <c r="N2004">
        <v>39.200000000000003</v>
      </c>
      <c r="O2004">
        <v>65.56</v>
      </c>
      <c r="P2004">
        <v>3.28</v>
      </c>
      <c r="Q2004">
        <v>3.28</v>
      </c>
      <c r="R2004" t="s">
        <v>30</v>
      </c>
      <c r="S2004">
        <v>29</v>
      </c>
      <c r="T2004">
        <v>1</v>
      </c>
      <c r="U2004">
        <v>2</v>
      </c>
      <c r="V2004">
        <v>62.28</v>
      </c>
      <c r="W2004">
        <v>13130002002</v>
      </c>
    </row>
    <row r="2005" spans="1:23" x14ac:dyDescent="0.2">
      <c r="A2005" s="1">
        <v>44799</v>
      </c>
      <c r="B2005" s="2">
        <v>0.39841435185185192</v>
      </c>
      <c r="C2005">
        <v>3003</v>
      </c>
      <c r="D2005">
        <v>13002561</v>
      </c>
      <c r="E2005">
        <v>13</v>
      </c>
      <c r="F2005">
        <v>22589</v>
      </c>
      <c r="G2005" t="s">
        <v>23</v>
      </c>
      <c r="H2005">
        <v>15</v>
      </c>
      <c r="I2005">
        <v>43512</v>
      </c>
      <c r="J2005" t="s">
        <v>86</v>
      </c>
      <c r="K2005" t="s">
        <v>28</v>
      </c>
      <c r="L2005" t="s">
        <v>32</v>
      </c>
      <c r="M2005">
        <v>2</v>
      </c>
      <c r="N2005">
        <v>526.11</v>
      </c>
      <c r="O2005">
        <v>693.66</v>
      </c>
      <c r="P2005">
        <v>34.68</v>
      </c>
      <c r="Q2005">
        <v>34.68</v>
      </c>
      <c r="R2005" t="s">
        <v>30</v>
      </c>
      <c r="S2005">
        <v>29</v>
      </c>
      <c r="T2005">
        <v>1</v>
      </c>
      <c r="U2005">
        <v>4</v>
      </c>
      <c r="V2005">
        <v>658.98</v>
      </c>
      <c r="W2005">
        <v>13130002003</v>
      </c>
    </row>
    <row r="2006" spans="1:23" x14ac:dyDescent="0.2">
      <c r="A2006" s="1">
        <v>44804</v>
      </c>
      <c r="B2006" s="2">
        <v>0.9506944444444444</v>
      </c>
      <c r="C2006">
        <v>3004</v>
      </c>
      <c r="D2006">
        <v>13002561</v>
      </c>
      <c r="E2006">
        <v>13</v>
      </c>
      <c r="F2006">
        <v>22589</v>
      </c>
      <c r="G2006" t="s">
        <v>23</v>
      </c>
      <c r="H2006">
        <v>18</v>
      </c>
      <c r="I2006">
        <v>73914</v>
      </c>
      <c r="J2006" t="s">
        <v>96</v>
      </c>
      <c r="K2006" t="s">
        <v>44</v>
      </c>
      <c r="L2006" t="s">
        <v>26</v>
      </c>
      <c r="M2006">
        <v>3</v>
      </c>
      <c r="N2006">
        <v>214.12</v>
      </c>
      <c r="O2006">
        <v>318.83999999999997</v>
      </c>
      <c r="P2006">
        <v>15.94</v>
      </c>
      <c r="Q2006">
        <v>15.94</v>
      </c>
      <c r="R2006" t="s">
        <v>30</v>
      </c>
      <c r="S2006">
        <v>29</v>
      </c>
      <c r="T2006">
        <v>1</v>
      </c>
      <c r="U2006">
        <v>1</v>
      </c>
      <c r="V2006">
        <v>302.89999999999998</v>
      </c>
      <c r="W2006">
        <v>13130002004</v>
      </c>
    </row>
    <row r="2007" spans="1:23" x14ac:dyDescent="0.2">
      <c r="A2007" s="1">
        <v>44787</v>
      </c>
      <c r="B2007" s="2">
        <v>0.75502314814814819</v>
      </c>
      <c r="C2007">
        <v>3005</v>
      </c>
      <c r="D2007">
        <v>13002561</v>
      </c>
      <c r="E2007">
        <v>13</v>
      </c>
      <c r="F2007">
        <v>22589</v>
      </c>
      <c r="G2007" t="s">
        <v>23</v>
      </c>
      <c r="H2007">
        <v>18</v>
      </c>
      <c r="I2007">
        <v>49098</v>
      </c>
      <c r="J2007" t="s">
        <v>40</v>
      </c>
      <c r="K2007" t="s">
        <v>28</v>
      </c>
      <c r="L2007" t="s">
        <v>34</v>
      </c>
      <c r="M2007">
        <v>3</v>
      </c>
      <c r="N2007">
        <v>209.61</v>
      </c>
      <c r="O2007">
        <v>322.5</v>
      </c>
      <c r="P2007">
        <v>32.25</v>
      </c>
      <c r="Q2007">
        <v>32.25</v>
      </c>
      <c r="R2007" t="s">
        <v>30</v>
      </c>
      <c r="S2007">
        <v>29</v>
      </c>
      <c r="T2007">
        <v>1</v>
      </c>
      <c r="U2007">
        <v>3</v>
      </c>
      <c r="V2007">
        <v>290.25</v>
      </c>
      <c r="W2007">
        <v>13130002005</v>
      </c>
    </row>
    <row r="2008" spans="1:23" x14ac:dyDescent="0.2">
      <c r="A2008" s="1">
        <v>44779</v>
      </c>
      <c r="B2008" s="2">
        <v>0.95678240740740739</v>
      </c>
      <c r="C2008">
        <v>3006</v>
      </c>
      <c r="D2008">
        <v>13002561</v>
      </c>
      <c r="E2008">
        <v>13</v>
      </c>
      <c r="F2008">
        <v>22589</v>
      </c>
      <c r="G2008" t="s">
        <v>23</v>
      </c>
      <c r="H2008">
        <v>15</v>
      </c>
      <c r="I2008">
        <v>90593</v>
      </c>
      <c r="J2008" t="s">
        <v>24</v>
      </c>
      <c r="K2008" t="s">
        <v>44</v>
      </c>
      <c r="L2008" t="s">
        <v>26</v>
      </c>
      <c r="M2008">
        <v>3</v>
      </c>
      <c r="N2008">
        <v>444.27</v>
      </c>
      <c r="O2008">
        <v>675.94</v>
      </c>
      <c r="P2008">
        <v>0</v>
      </c>
      <c r="Q2008">
        <v>0</v>
      </c>
      <c r="S2008">
        <v>29</v>
      </c>
      <c r="T2008">
        <v>1</v>
      </c>
      <c r="U2008">
        <v>5</v>
      </c>
      <c r="V2008">
        <v>675.94</v>
      </c>
      <c r="W2008">
        <v>13130002006</v>
      </c>
    </row>
    <row r="2009" spans="1:23" x14ac:dyDescent="0.2">
      <c r="A2009" s="1">
        <v>44796</v>
      </c>
      <c r="B2009" s="2">
        <v>0.62853009259259263</v>
      </c>
      <c r="C2009">
        <v>3007</v>
      </c>
      <c r="D2009">
        <v>13002561</v>
      </c>
      <c r="E2009">
        <v>13</v>
      </c>
      <c r="F2009">
        <v>22589</v>
      </c>
      <c r="G2009" t="s">
        <v>23</v>
      </c>
      <c r="H2009">
        <v>15</v>
      </c>
      <c r="I2009">
        <v>28132</v>
      </c>
      <c r="J2009" t="s">
        <v>85</v>
      </c>
      <c r="K2009" t="s">
        <v>45</v>
      </c>
      <c r="L2009" t="s">
        <v>39</v>
      </c>
      <c r="M2009">
        <v>1</v>
      </c>
      <c r="N2009">
        <v>91.86</v>
      </c>
      <c r="O2009">
        <v>128.56</v>
      </c>
      <c r="P2009">
        <v>6.43</v>
      </c>
      <c r="Q2009">
        <v>6.43</v>
      </c>
      <c r="R2009" t="s">
        <v>30</v>
      </c>
      <c r="S2009">
        <v>29</v>
      </c>
      <c r="T2009">
        <v>1</v>
      </c>
      <c r="U2009">
        <v>6</v>
      </c>
      <c r="V2009">
        <v>122.13</v>
      </c>
      <c r="W2009">
        <v>13130002007</v>
      </c>
    </row>
    <row r="2010" spans="1:23" x14ac:dyDescent="0.2">
      <c r="A2010" s="1">
        <v>44797</v>
      </c>
      <c r="B2010" s="2">
        <v>0.92787037037037035</v>
      </c>
      <c r="C2010">
        <v>3008</v>
      </c>
      <c r="D2010">
        <v>13002561</v>
      </c>
      <c r="E2010">
        <v>13</v>
      </c>
      <c r="F2010">
        <v>22589</v>
      </c>
      <c r="G2010" t="s">
        <v>23</v>
      </c>
      <c r="H2010">
        <v>18</v>
      </c>
      <c r="I2010">
        <v>89451</v>
      </c>
      <c r="J2010" t="s">
        <v>87</v>
      </c>
      <c r="K2010" t="s">
        <v>38</v>
      </c>
      <c r="L2010" t="s">
        <v>29</v>
      </c>
      <c r="M2010">
        <v>2</v>
      </c>
      <c r="N2010">
        <v>330.6</v>
      </c>
      <c r="O2010">
        <v>494.66</v>
      </c>
      <c r="P2010">
        <v>24.73</v>
      </c>
      <c r="Q2010">
        <v>24.73</v>
      </c>
      <c r="R2010" t="s">
        <v>30</v>
      </c>
      <c r="S2010">
        <v>29</v>
      </c>
      <c r="T2010">
        <v>1</v>
      </c>
      <c r="U2010">
        <v>4</v>
      </c>
      <c r="V2010">
        <v>469.93</v>
      </c>
      <c r="W2010">
        <v>13130002008</v>
      </c>
    </row>
    <row r="2011" spans="1:23" x14ac:dyDescent="0.2">
      <c r="A2011" s="1">
        <v>44794</v>
      </c>
      <c r="B2011" s="2">
        <v>0.48521990740740739</v>
      </c>
      <c r="C2011">
        <v>3009</v>
      </c>
      <c r="D2011">
        <v>13002561</v>
      </c>
      <c r="E2011">
        <v>13</v>
      </c>
      <c r="F2011">
        <v>22589</v>
      </c>
      <c r="G2011" t="s">
        <v>23</v>
      </c>
      <c r="H2011">
        <v>15</v>
      </c>
      <c r="I2011">
        <v>32186</v>
      </c>
      <c r="J2011" t="s">
        <v>103</v>
      </c>
      <c r="K2011" t="s">
        <v>44</v>
      </c>
      <c r="L2011" t="s">
        <v>36</v>
      </c>
      <c r="M2011">
        <v>1</v>
      </c>
      <c r="N2011">
        <v>308.17</v>
      </c>
      <c r="O2011">
        <v>461.48</v>
      </c>
      <c r="P2011">
        <v>0</v>
      </c>
      <c r="Q2011">
        <v>0</v>
      </c>
      <c r="S2011">
        <v>29</v>
      </c>
      <c r="T2011">
        <v>1</v>
      </c>
      <c r="U2011">
        <v>3</v>
      </c>
      <c r="V2011">
        <v>461.48</v>
      </c>
      <c r="W2011">
        <v>13130002009</v>
      </c>
    </row>
    <row r="2012" spans="1:23" x14ac:dyDescent="0.2">
      <c r="A2012" s="1">
        <v>44791</v>
      </c>
      <c r="B2012" s="2">
        <v>0.69085648148148149</v>
      </c>
      <c r="C2012">
        <v>3010</v>
      </c>
      <c r="D2012">
        <v>13002561</v>
      </c>
      <c r="E2012">
        <v>13</v>
      </c>
      <c r="F2012">
        <v>22589</v>
      </c>
      <c r="G2012" t="s">
        <v>23</v>
      </c>
      <c r="H2012">
        <v>18</v>
      </c>
      <c r="I2012">
        <v>88357</v>
      </c>
      <c r="J2012" t="s">
        <v>58</v>
      </c>
      <c r="K2012" t="s">
        <v>44</v>
      </c>
      <c r="L2012" t="s">
        <v>32</v>
      </c>
      <c r="M2012">
        <v>2</v>
      </c>
      <c r="N2012">
        <v>404.49</v>
      </c>
      <c r="O2012">
        <v>650.14</v>
      </c>
      <c r="P2012">
        <v>32.51</v>
      </c>
      <c r="Q2012">
        <v>32.51</v>
      </c>
      <c r="R2012" t="s">
        <v>30</v>
      </c>
      <c r="S2012">
        <v>29</v>
      </c>
      <c r="T2012">
        <v>1</v>
      </c>
      <c r="U2012">
        <v>2</v>
      </c>
      <c r="V2012">
        <v>617.63</v>
      </c>
      <c r="W2012">
        <v>13130002010</v>
      </c>
    </row>
    <row r="2013" spans="1:23" x14ac:dyDescent="0.2">
      <c r="A2013" s="1">
        <v>44794</v>
      </c>
      <c r="B2013" s="2">
        <v>0.63103009259259257</v>
      </c>
      <c r="C2013">
        <v>3011</v>
      </c>
      <c r="D2013">
        <v>13002561</v>
      </c>
      <c r="E2013">
        <v>13</v>
      </c>
      <c r="F2013">
        <v>22589</v>
      </c>
      <c r="G2013" t="s">
        <v>23</v>
      </c>
      <c r="H2013">
        <v>18</v>
      </c>
      <c r="I2013">
        <v>34517</v>
      </c>
      <c r="J2013" t="s">
        <v>41</v>
      </c>
      <c r="K2013" t="s">
        <v>25</v>
      </c>
      <c r="L2013" t="s">
        <v>47</v>
      </c>
      <c r="M2013">
        <v>3</v>
      </c>
      <c r="N2013">
        <v>109.62</v>
      </c>
      <c r="O2013">
        <v>142.41</v>
      </c>
      <c r="P2013">
        <v>14.24</v>
      </c>
      <c r="Q2013">
        <v>14.24</v>
      </c>
      <c r="R2013" t="s">
        <v>30</v>
      </c>
      <c r="S2013">
        <v>29</v>
      </c>
      <c r="T2013">
        <v>1</v>
      </c>
      <c r="U2013">
        <v>2</v>
      </c>
      <c r="V2013">
        <v>128.16999999999999</v>
      </c>
      <c r="W2013">
        <v>13130002011</v>
      </c>
    </row>
    <row r="2014" spans="1:23" x14ac:dyDescent="0.2">
      <c r="A2014" s="1">
        <v>44799</v>
      </c>
      <c r="B2014" s="2">
        <v>0.71643518518518523</v>
      </c>
      <c r="C2014">
        <v>3012</v>
      </c>
      <c r="D2014">
        <v>13002561</v>
      </c>
      <c r="E2014">
        <v>13</v>
      </c>
      <c r="F2014">
        <v>22589</v>
      </c>
      <c r="G2014" t="s">
        <v>23</v>
      </c>
      <c r="H2014">
        <v>18</v>
      </c>
      <c r="I2014">
        <v>73664</v>
      </c>
      <c r="J2014" t="s">
        <v>115</v>
      </c>
      <c r="K2014" t="s">
        <v>38</v>
      </c>
      <c r="L2014" t="s">
        <v>26</v>
      </c>
      <c r="M2014">
        <v>2</v>
      </c>
      <c r="N2014">
        <v>421.61</v>
      </c>
      <c r="O2014">
        <v>689.75</v>
      </c>
      <c r="P2014">
        <v>34.49</v>
      </c>
      <c r="Q2014">
        <v>34.49</v>
      </c>
      <c r="R2014" t="s">
        <v>30</v>
      </c>
      <c r="S2014">
        <v>29</v>
      </c>
      <c r="T2014">
        <v>1</v>
      </c>
      <c r="U2014">
        <v>5</v>
      </c>
      <c r="V2014">
        <v>655.26</v>
      </c>
      <c r="W2014">
        <v>13130002012</v>
      </c>
    </row>
    <row r="2015" spans="1:23" x14ac:dyDescent="0.2">
      <c r="A2015" s="1">
        <v>44800</v>
      </c>
      <c r="B2015" s="2">
        <v>0.43454861111111109</v>
      </c>
      <c r="C2015">
        <v>3013</v>
      </c>
      <c r="D2015">
        <v>13002561</v>
      </c>
      <c r="E2015">
        <v>13</v>
      </c>
      <c r="F2015">
        <v>22589</v>
      </c>
      <c r="G2015" t="s">
        <v>23</v>
      </c>
      <c r="H2015">
        <v>18</v>
      </c>
      <c r="I2015">
        <v>33306</v>
      </c>
      <c r="J2015" t="s">
        <v>50</v>
      </c>
      <c r="K2015" t="s">
        <v>25</v>
      </c>
      <c r="L2015" t="s">
        <v>51</v>
      </c>
      <c r="M2015">
        <v>1</v>
      </c>
      <c r="N2015">
        <v>261.66000000000003</v>
      </c>
      <c r="O2015">
        <v>356.96</v>
      </c>
      <c r="P2015">
        <v>17.850000000000001</v>
      </c>
      <c r="Q2015">
        <v>17.850000000000001</v>
      </c>
      <c r="R2015" t="s">
        <v>30</v>
      </c>
      <c r="S2015">
        <v>29</v>
      </c>
      <c r="T2015">
        <v>1</v>
      </c>
      <c r="U2015">
        <v>4</v>
      </c>
      <c r="V2015">
        <v>339.11</v>
      </c>
      <c r="W2015">
        <v>13130002013</v>
      </c>
    </row>
    <row r="2016" spans="1:23" x14ac:dyDescent="0.2">
      <c r="A2016" s="1">
        <v>44800</v>
      </c>
      <c r="B2016" s="2">
        <v>0.33400462962962962</v>
      </c>
      <c r="C2016">
        <v>3014</v>
      </c>
      <c r="D2016">
        <v>13002561</v>
      </c>
      <c r="E2016">
        <v>13</v>
      </c>
      <c r="F2016">
        <v>22589</v>
      </c>
      <c r="G2016" t="s">
        <v>23</v>
      </c>
      <c r="H2016">
        <v>18</v>
      </c>
      <c r="I2016">
        <v>85729</v>
      </c>
      <c r="J2016" t="s">
        <v>109</v>
      </c>
      <c r="K2016" t="s">
        <v>60</v>
      </c>
      <c r="L2016" t="s">
        <v>32</v>
      </c>
      <c r="M2016">
        <v>3</v>
      </c>
      <c r="N2016">
        <v>207.73</v>
      </c>
      <c r="O2016">
        <v>339.83</v>
      </c>
      <c r="P2016">
        <v>0</v>
      </c>
      <c r="Q2016">
        <v>0</v>
      </c>
      <c r="S2016">
        <v>29</v>
      </c>
      <c r="T2016">
        <v>1</v>
      </c>
      <c r="U2016">
        <v>6</v>
      </c>
      <c r="V2016">
        <v>339.83</v>
      </c>
      <c r="W2016">
        <v>13130002014</v>
      </c>
    </row>
    <row r="2017" spans="1:23" x14ac:dyDescent="0.2">
      <c r="A2017" s="1">
        <v>44794</v>
      </c>
      <c r="B2017" s="2">
        <v>0.72673611111111114</v>
      </c>
      <c r="C2017">
        <v>3015</v>
      </c>
      <c r="D2017">
        <v>13002561</v>
      </c>
      <c r="E2017">
        <v>13</v>
      </c>
      <c r="F2017">
        <v>22589</v>
      </c>
      <c r="G2017" t="s">
        <v>23</v>
      </c>
      <c r="H2017">
        <v>18</v>
      </c>
      <c r="I2017">
        <v>27905</v>
      </c>
      <c r="J2017" t="s">
        <v>55</v>
      </c>
      <c r="K2017" t="s">
        <v>25</v>
      </c>
      <c r="L2017" t="s">
        <v>26</v>
      </c>
      <c r="M2017">
        <v>2</v>
      </c>
      <c r="N2017">
        <v>206.49</v>
      </c>
      <c r="O2017">
        <v>290.08</v>
      </c>
      <c r="P2017">
        <v>29.01</v>
      </c>
      <c r="Q2017">
        <v>29.01</v>
      </c>
      <c r="R2017" t="s">
        <v>30</v>
      </c>
      <c r="S2017">
        <v>29</v>
      </c>
      <c r="T2017">
        <v>1</v>
      </c>
      <c r="U2017">
        <v>3</v>
      </c>
      <c r="V2017">
        <v>261.07</v>
      </c>
      <c r="W2017">
        <v>13130002015</v>
      </c>
    </row>
    <row r="2018" spans="1:23" x14ac:dyDescent="0.2">
      <c r="A2018" s="1">
        <v>44792</v>
      </c>
      <c r="B2018" s="2">
        <v>0.63667824074074075</v>
      </c>
      <c r="C2018">
        <v>3016</v>
      </c>
      <c r="D2018">
        <v>13002561</v>
      </c>
      <c r="E2018">
        <v>13</v>
      </c>
      <c r="F2018">
        <v>22589</v>
      </c>
      <c r="G2018" t="s">
        <v>23</v>
      </c>
      <c r="H2018">
        <v>18</v>
      </c>
      <c r="I2018">
        <v>45821</v>
      </c>
      <c r="J2018" t="s">
        <v>78</v>
      </c>
      <c r="K2018" t="s">
        <v>25</v>
      </c>
      <c r="L2018" t="s">
        <v>29</v>
      </c>
      <c r="M2018">
        <v>1</v>
      </c>
      <c r="N2018">
        <v>474.69</v>
      </c>
      <c r="O2018">
        <v>645.91</v>
      </c>
      <c r="P2018">
        <v>32.299999999999997</v>
      </c>
      <c r="Q2018">
        <v>32.299999999999997</v>
      </c>
      <c r="R2018" t="s">
        <v>30</v>
      </c>
      <c r="S2018">
        <v>29</v>
      </c>
      <c r="T2018">
        <v>1</v>
      </c>
      <c r="U2018">
        <v>6</v>
      </c>
      <c r="V2018">
        <v>613.61</v>
      </c>
      <c r="W2018">
        <v>13130002016</v>
      </c>
    </row>
    <row r="2019" spans="1:23" x14ac:dyDescent="0.2">
      <c r="A2019" s="1">
        <v>44796</v>
      </c>
      <c r="B2019" s="2">
        <v>0.76791666666666669</v>
      </c>
      <c r="C2019">
        <v>3017</v>
      </c>
      <c r="D2019">
        <v>13002561</v>
      </c>
      <c r="E2019">
        <v>13</v>
      </c>
      <c r="F2019">
        <v>22589</v>
      </c>
      <c r="G2019" t="s">
        <v>23</v>
      </c>
      <c r="H2019">
        <v>15</v>
      </c>
      <c r="I2019">
        <v>66584</v>
      </c>
      <c r="J2019" t="s">
        <v>125</v>
      </c>
      <c r="K2019" t="s">
        <v>45</v>
      </c>
      <c r="L2019" t="s">
        <v>36</v>
      </c>
      <c r="M2019">
        <v>2</v>
      </c>
      <c r="N2019">
        <v>406.64</v>
      </c>
      <c r="O2019">
        <v>550.28</v>
      </c>
      <c r="P2019">
        <v>0</v>
      </c>
      <c r="Q2019">
        <v>0</v>
      </c>
      <c r="S2019">
        <v>29</v>
      </c>
      <c r="T2019">
        <v>1</v>
      </c>
      <c r="U2019">
        <v>4</v>
      </c>
      <c r="V2019">
        <v>550.28</v>
      </c>
      <c r="W2019">
        <v>13130002017</v>
      </c>
    </row>
    <row r="2020" spans="1:23" x14ac:dyDescent="0.2">
      <c r="A2020" s="1">
        <v>44778</v>
      </c>
      <c r="B2020" s="2">
        <v>0.56255787037037042</v>
      </c>
      <c r="C2020">
        <v>3018</v>
      </c>
      <c r="D2020">
        <v>13002561</v>
      </c>
      <c r="E2020">
        <v>13</v>
      </c>
      <c r="F2020">
        <v>22589</v>
      </c>
      <c r="G2020" t="s">
        <v>23</v>
      </c>
      <c r="H2020">
        <v>15</v>
      </c>
      <c r="I2020">
        <v>74035</v>
      </c>
      <c r="J2020" t="s">
        <v>81</v>
      </c>
      <c r="K2020" t="s">
        <v>60</v>
      </c>
      <c r="L2020" t="s">
        <v>32</v>
      </c>
      <c r="M2020">
        <v>1</v>
      </c>
      <c r="N2020">
        <v>510.28</v>
      </c>
      <c r="O2020">
        <v>701.16</v>
      </c>
      <c r="P2020">
        <v>0</v>
      </c>
      <c r="Q2020">
        <v>0</v>
      </c>
      <c r="S2020">
        <v>29</v>
      </c>
      <c r="T2020">
        <v>1</v>
      </c>
      <c r="U2020">
        <v>4</v>
      </c>
      <c r="V2020">
        <v>701.16</v>
      </c>
      <c r="W2020">
        <v>13130002018</v>
      </c>
    </row>
    <row r="2021" spans="1:23" x14ac:dyDescent="0.2">
      <c r="A2021" s="1">
        <v>44797</v>
      </c>
      <c r="B2021" s="2">
        <v>0.49509259259259258</v>
      </c>
      <c r="C2021">
        <v>3019</v>
      </c>
      <c r="D2021">
        <v>13002561</v>
      </c>
      <c r="E2021">
        <v>13</v>
      </c>
      <c r="F2021">
        <v>22589</v>
      </c>
      <c r="G2021" t="s">
        <v>23</v>
      </c>
      <c r="H2021">
        <v>18</v>
      </c>
      <c r="I2021">
        <v>44463</v>
      </c>
      <c r="J2021" t="s">
        <v>80</v>
      </c>
      <c r="K2021" t="s">
        <v>44</v>
      </c>
      <c r="L2021" t="s">
        <v>32</v>
      </c>
      <c r="M2021">
        <v>1</v>
      </c>
      <c r="N2021">
        <v>425.19</v>
      </c>
      <c r="O2021">
        <v>628.29</v>
      </c>
      <c r="P2021">
        <v>0</v>
      </c>
      <c r="Q2021">
        <v>0</v>
      </c>
      <c r="S2021">
        <v>29</v>
      </c>
      <c r="T2021">
        <v>1</v>
      </c>
      <c r="U2021">
        <v>5</v>
      </c>
      <c r="V2021">
        <v>628.29</v>
      </c>
      <c r="W2021">
        <v>13130002019</v>
      </c>
    </row>
    <row r="2022" spans="1:23" x14ac:dyDescent="0.2">
      <c r="A2022" s="1">
        <v>44784</v>
      </c>
      <c r="B2022" s="2">
        <v>0.47306712962962971</v>
      </c>
      <c r="C2022">
        <v>3020</v>
      </c>
      <c r="D2022">
        <v>13002561</v>
      </c>
      <c r="E2022">
        <v>13</v>
      </c>
      <c r="F2022">
        <v>22589</v>
      </c>
      <c r="G2022" t="s">
        <v>23</v>
      </c>
      <c r="H2022">
        <v>18</v>
      </c>
      <c r="I2022">
        <v>21835</v>
      </c>
      <c r="J2022" t="s">
        <v>79</v>
      </c>
      <c r="K2022" t="s">
        <v>60</v>
      </c>
      <c r="L2022" t="s">
        <v>32</v>
      </c>
      <c r="M2022">
        <v>2</v>
      </c>
      <c r="N2022">
        <v>234.31</v>
      </c>
      <c r="O2022">
        <v>300.77</v>
      </c>
      <c r="P2022">
        <v>30.08</v>
      </c>
      <c r="Q2022">
        <v>30.08</v>
      </c>
      <c r="R2022" t="s">
        <v>30</v>
      </c>
      <c r="S2022">
        <v>29</v>
      </c>
      <c r="T2022">
        <v>1</v>
      </c>
      <c r="U2022">
        <v>5</v>
      </c>
      <c r="V2022">
        <v>270.69</v>
      </c>
      <c r="W2022">
        <v>13130002020</v>
      </c>
    </row>
    <row r="2023" spans="1:23" x14ac:dyDescent="0.2">
      <c r="A2023" s="1">
        <v>44792</v>
      </c>
      <c r="B2023" s="2">
        <v>0.40260416666666671</v>
      </c>
      <c r="C2023">
        <v>3021</v>
      </c>
      <c r="D2023">
        <v>13002561</v>
      </c>
      <c r="E2023">
        <v>13</v>
      </c>
      <c r="F2023">
        <v>22589</v>
      </c>
      <c r="G2023" t="s">
        <v>23</v>
      </c>
      <c r="H2023">
        <v>18</v>
      </c>
      <c r="I2023">
        <v>88865</v>
      </c>
      <c r="J2023" t="s">
        <v>56</v>
      </c>
      <c r="K2023" t="s">
        <v>38</v>
      </c>
      <c r="L2023" t="s">
        <v>29</v>
      </c>
      <c r="M2023">
        <v>3</v>
      </c>
      <c r="N2023">
        <v>398.46</v>
      </c>
      <c r="O2023">
        <v>502.57</v>
      </c>
      <c r="P2023">
        <v>50.26</v>
      </c>
      <c r="Q2023">
        <v>50.26</v>
      </c>
      <c r="R2023" t="s">
        <v>30</v>
      </c>
      <c r="S2023">
        <v>29</v>
      </c>
      <c r="T2023">
        <v>1</v>
      </c>
      <c r="U2023">
        <v>6</v>
      </c>
      <c r="V2023">
        <v>452.31</v>
      </c>
      <c r="W2023">
        <v>13130002021</v>
      </c>
    </row>
    <row r="2024" spans="1:23" x14ac:dyDescent="0.2">
      <c r="A2024" s="1">
        <v>44793</v>
      </c>
      <c r="B2024" s="2">
        <v>0.60841435185185189</v>
      </c>
      <c r="C2024">
        <v>3022</v>
      </c>
      <c r="D2024">
        <v>13002561</v>
      </c>
      <c r="E2024">
        <v>13</v>
      </c>
      <c r="F2024">
        <v>22589</v>
      </c>
      <c r="G2024" t="s">
        <v>23</v>
      </c>
      <c r="H2024">
        <v>15</v>
      </c>
      <c r="I2024">
        <v>98902</v>
      </c>
      <c r="J2024" t="s">
        <v>57</v>
      </c>
      <c r="K2024" t="s">
        <v>44</v>
      </c>
      <c r="L2024" t="s">
        <v>32</v>
      </c>
      <c r="M2024">
        <v>2</v>
      </c>
      <c r="N2024">
        <v>445.03</v>
      </c>
      <c r="O2024">
        <v>693.75</v>
      </c>
      <c r="P2024">
        <v>34.69</v>
      </c>
      <c r="Q2024">
        <v>34.69</v>
      </c>
      <c r="R2024" t="s">
        <v>30</v>
      </c>
      <c r="S2024">
        <v>29</v>
      </c>
      <c r="T2024">
        <v>1</v>
      </c>
      <c r="U2024">
        <v>4</v>
      </c>
      <c r="V2024">
        <v>659.06</v>
      </c>
      <c r="W2024">
        <v>13130002022</v>
      </c>
    </row>
    <row r="2025" spans="1:23" x14ac:dyDescent="0.2">
      <c r="A2025" s="1">
        <v>44780</v>
      </c>
      <c r="B2025" s="2">
        <v>0.47278935185185178</v>
      </c>
      <c r="C2025">
        <v>3023</v>
      </c>
      <c r="D2025">
        <v>13002561</v>
      </c>
      <c r="E2025">
        <v>13</v>
      </c>
      <c r="F2025">
        <v>22589</v>
      </c>
      <c r="G2025" t="s">
        <v>23</v>
      </c>
      <c r="H2025">
        <v>18</v>
      </c>
      <c r="I2025">
        <v>27901</v>
      </c>
      <c r="J2025" t="s">
        <v>33</v>
      </c>
      <c r="K2025" t="s">
        <v>28</v>
      </c>
      <c r="L2025" t="s">
        <v>47</v>
      </c>
      <c r="M2025">
        <v>3</v>
      </c>
      <c r="N2025">
        <v>225.32</v>
      </c>
      <c r="O2025">
        <v>310.08999999999997</v>
      </c>
      <c r="P2025">
        <v>15.5</v>
      </c>
      <c r="Q2025">
        <v>15.5</v>
      </c>
      <c r="R2025" t="s">
        <v>30</v>
      </c>
      <c r="S2025">
        <v>29</v>
      </c>
      <c r="T2025">
        <v>1</v>
      </c>
      <c r="U2025">
        <v>3</v>
      </c>
      <c r="V2025">
        <v>294.58999999999997</v>
      </c>
      <c r="W2025">
        <v>13130002023</v>
      </c>
    </row>
    <row r="2026" spans="1:23" x14ac:dyDescent="0.2">
      <c r="A2026" s="1">
        <v>44784</v>
      </c>
      <c r="B2026" s="2">
        <v>0.82318287037037041</v>
      </c>
      <c r="C2026">
        <v>3024</v>
      </c>
      <c r="D2026">
        <v>13002561</v>
      </c>
      <c r="E2026">
        <v>13</v>
      </c>
      <c r="F2026">
        <v>22589</v>
      </c>
      <c r="G2026" t="s">
        <v>23</v>
      </c>
      <c r="H2026">
        <v>18</v>
      </c>
      <c r="I2026">
        <v>63245</v>
      </c>
      <c r="J2026" t="s">
        <v>107</v>
      </c>
      <c r="K2026" t="s">
        <v>45</v>
      </c>
      <c r="L2026" t="s">
        <v>51</v>
      </c>
      <c r="M2026">
        <v>2</v>
      </c>
      <c r="N2026">
        <v>252.14</v>
      </c>
      <c r="O2026">
        <v>363.85</v>
      </c>
      <c r="P2026">
        <v>0</v>
      </c>
      <c r="Q2026">
        <v>0</v>
      </c>
      <c r="S2026">
        <v>29</v>
      </c>
      <c r="T2026">
        <v>1</v>
      </c>
      <c r="U2026">
        <v>6</v>
      </c>
      <c r="V2026">
        <v>363.85</v>
      </c>
      <c r="W2026">
        <v>13130002024</v>
      </c>
    </row>
    <row r="2027" spans="1:23" x14ac:dyDescent="0.2">
      <c r="A2027" s="1">
        <v>44794</v>
      </c>
      <c r="B2027" s="2">
        <v>0.44503472222222218</v>
      </c>
      <c r="C2027">
        <v>3025</v>
      </c>
      <c r="D2027">
        <v>13002561</v>
      </c>
      <c r="E2027">
        <v>13</v>
      </c>
      <c r="F2027">
        <v>22589</v>
      </c>
      <c r="G2027" t="s">
        <v>23</v>
      </c>
      <c r="H2027">
        <v>15</v>
      </c>
      <c r="I2027">
        <v>11993</v>
      </c>
      <c r="J2027" t="s">
        <v>70</v>
      </c>
      <c r="K2027" t="s">
        <v>45</v>
      </c>
      <c r="L2027" t="s">
        <v>36</v>
      </c>
      <c r="M2027">
        <v>1</v>
      </c>
      <c r="N2027">
        <v>43.39</v>
      </c>
      <c r="O2027">
        <v>68.69</v>
      </c>
      <c r="P2027">
        <v>0</v>
      </c>
      <c r="Q2027">
        <v>0</v>
      </c>
      <c r="S2027">
        <v>29</v>
      </c>
      <c r="T2027">
        <v>1</v>
      </c>
      <c r="U2027">
        <v>5</v>
      </c>
      <c r="V2027">
        <v>68.69</v>
      </c>
      <c r="W2027">
        <v>13130002025</v>
      </c>
    </row>
    <row r="2028" spans="1:23" x14ac:dyDescent="0.2">
      <c r="A2028" s="1">
        <v>44786</v>
      </c>
      <c r="B2028" s="2">
        <v>0.5899537037037037</v>
      </c>
      <c r="C2028">
        <v>3026</v>
      </c>
      <c r="D2028">
        <v>13002561</v>
      </c>
      <c r="E2028">
        <v>13</v>
      </c>
      <c r="F2028">
        <v>22589</v>
      </c>
      <c r="G2028" t="s">
        <v>23</v>
      </c>
      <c r="H2028">
        <v>18</v>
      </c>
      <c r="I2028">
        <v>65794</v>
      </c>
      <c r="J2028" t="s">
        <v>70</v>
      </c>
      <c r="K2028" t="s">
        <v>38</v>
      </c>
      <c r="L2028" t="s">
        <v>34</v>
      </c>
      <c r="M2028">
        <v>1</v>
      </c>
      <c r="N2028">
        <v>293.33999999999997</v>
      </c>
      <c r="O2028">
        <v>394.68</v>
      </c>
      <c r="P2028">
        <v>39.47</v>
      </c>
      <c r="Q2028">
        <v>39.47</v>
      </c>
      <c r="R2028" t="s">
        <v>30</v>
      </c>
      <c r="S2028">
        <v>29</v>
      </c>
      <c r="T2028">
        <v>1</v>
      </c>
      <c r="U2028">
        <v>3</v>
      </c>
      <c r="V2028">
        <v>355.21</v>
      </c>
      <c r="W2028">
        <v>13130002026</v>
      </c>
    </row>
    <row r="2029" spans="1:23" x14ac:dyDescent="0.2">
      <c r="A2029" s="1">
        <v>44778</v>
      </c>
      <c r="B2029" s="2">
        <v>0.88016203703703699</v>
      </c>
      <c r="C2029">
        <v>3027</v>
      </c>
      <c r="D2029">
        <v>13002561</v>
      </c>
      <c r="E2029">
        <v>13</v>
      </c>
      <c r="F2029">
        <v>22589</v>
      </c>
      <c r="G2029" t="s">
        <v>23</v>
      </c>
      <c r="H2029">
        <v>18</v>
      </c>
      <c r="I2029">
        <v>13343</v>
      </c>
      <c r="J2029" t="s">
        <v>48</v>
      </c>
      <c r="K2029" t="s">
        <v>44</v>
      </c>
      <c r="L2029" t="s">
        <v>51</v>
      </c>
      <c r="M2029">
        <v>2</v>
      </c>
      <c r="N2029">
        <v>237.62</v>
      </c>
      <c r="O2029">
        <v>364.38</v>
      </c>
      <c r="P2029">
        <v>0</v>
      </c>
      <c r="Q2029">
        <v>0</v>
      </c>
      <c r="S2029">
        <v>29</v>
      </c>
      <c r="T2029">
        <v>1</v>
      </c>
      <c r="U2029">
        <v>5</v>
      </c>
      <c r="V2029">
        <v>364.38</v>
      </c>
      <c r="W2029">
        <v>13130002027</v>
      </c>
    </row>
    <row r="2030" spans="1:23" x14ac:dyDescent="0.2">
      <c r="A2030" s="1">
        <v>44780</v>
      </c>
      <c r="B2030" s="2">
        <v>0.48909722222222218</v>
      </c>
      <c r="C2030">
        <v>3028</v>
      </c>
      <c r="D2030">
        <v>13002561</v>
      </c>
      <c r="E2030">
        <v>13</v>
      </c>
      <c r="F2030">
        <v>22589</v>
      </c>
      <c r="G2030" t="s">
        <v>23</v>
      </c>
      <c r="H2030">
        <v>18</v>
      </c>
      <c r="I2030">
        <v>80638</v>
      </c>
      <c r="J2030" t="s">
        <v>56</v>
      </c>
      <c r="K2030" t="s">
        <v>28</v>
      </c>
      <c r="L2030" t="s">
        <v>34</v>
      </c>
      <c r="M2030">
        <v>1</v>
      </c>
      <c r="N2030">
        <v>78.5</v>
      </c>
      <c r="O2030">
        <v>103.01</v>
      </c>
      <c r="P2030">
        <v>10.3</v>
      </c>
      <c r="Q2030">
        <v>10.3</v>
      </c>
      <c r="R2030" t="s">
        <v>30</v>
      </c>
      <c r="S2030">
        <v>29</v>
      </c>
      <c r="T2030">
        <v>1</v>
      </c>
      <c r="U2030">
        <v>3</v>
      </c>
      <c r="V2030">
        <v>92.71</v>
      </c>
      <c r="W2030">
        <v>13130002028</v>
      </c>
    </row>
    <row r="2031" spans="1:23" x14ac:dyDescent="0.2">
      <c r="A2031" s="1">
        <v>44786</v>
      </c>
      <c r="B2031" s="2">
        <v>0.36201388888888891</v>
      </c>
      <c r="C2031">
        <v>3029</v>
      </c>
      <c r="D2031">
        <v>13002561</v>
      </c>
      <c r="E2031">
        <v>13</v>
      </c>
      <c r="F2031">
        <v>22589</v>
      </c>
      <c r="G2031" t="s">
        <v>23</v>
      </c>
      <c r="H2031">
        <v>15</v>
      </c>
      <c r="I2031">
        <v>70731</v>
      </c>
      <c r="J2031" t="s">
        <v>37</v>
      </c>
      <c r="K2031" t="s">
        <v>28</v>
      </c>
      <c r="L2031" t="s">
        <v>51</v>
      </c>
      <c r="M2031">
        <v>3</v>
      </c>
      <c r="N2031">
        <v>372.31</v>
      </c>
      <c r="O2031">
        <v>615.24</v>
      </c>
      <c r="P2031">
        <v>0</v>
      </c>
      <c r="Q2031">
        <v>0</v>
      </c>
      <c r="S2031">
        <v>29</v>
      </c>
      <c r="T2031">
        <v>1</v>
      </c>
      <c r="U2031">
        <v>6</v>
      </c>
      <c r="V2031">
        <v>615.24</v>
      </c>
      <c r="W2031">
        <v>13130002029</v>
      </c>
    </row>
    <row r="2032" spans="1:23" x14ac:dyDescent="0.2">
      <c r="A2032" s="1">
        <v>44783</v>
      </c>
      <c r="B2032" s="2">
        <v>0.38619212962962962</v>
      </c>
      <c r="C2032">
        <v>3030</v>
      </c>
      <c r="D2032">
        <v>13002561</v>
      </c>
      <c r="E2032">
        <v>13</v>
      </c>
      <c r="F2032">
        <v>22589</v>
      </c>
      <c r="G2032" t="s">
        <v>23</v>
      </c>
      <c r="H2032">
        <v>15</v>
      </c>
      <c r="I2032">
        <v>18153</v>
      </c>
      <c r="J2032" t="s">
        <v>73</v>
      </c>
      <c r="K2032" t="s">
        <v>25</v>
      </c>
      <c r="L2032" t="s">
        <v>29</v>
      </c>
      <c r="M2032">
        <v>3</v>
      </c>
      <c r="N2032">
        <v>224.34</v>
      </c>
      <c r="O2032">
        <v>343.42</v>
      </c>
      <c r="P2032">
        <v>34.340000000000003</v>
      </c>
      <c r="Q2032">
        <v>34.340000000000003</v>
      </c>
      <c r="R2032" t="s">
        <v>30</v>
      </c>
      <c r="S2032">
        <v>29</v>
      </c>
      <c r="T2032">
        <v>1</v>
      </c>
      <c r="U2032">
        <v>3</v>
      </c>
      <c r="V2032">
        <v>309.08</v>
      </c>
      <c r="W2032">
        <v>13130002030</v>
      </c>
    </row>
    <row r="2033" spans="1:23" x14ac:dyDescent="0.2">
      <c r="A2033" s="1">
        <v>44785</v>
      </c>
      <c r="B2033" s="2">
        <v>0.64503472222222225</v>
      </c>
      <c r="C2033">
        <v>3031</v>
      </c>
      <c r="D2033">
        <v>13002561</v>
      </c>
      <c r="E2033">
        <v>13</v>
      </c>
      <c r="F2033">
        <v>22589</v>
      </c>
      <c r="G2033" t="s">
        <v>23</v>
      </c>
      <c r="H2033">
        <v>18</v>
      </c>
      <c r="I2033">
        <v>83281</v>
      </c>
      <c r="J2033" t="s">
        <v>67</v>
      </c>
      <c r="K2033" t="s">
        <v>45</v>
      </c>
      <c r="L2033" t="s">
        <v>26</v>
      </c>
      <c r="M2033">
        <v>1</v>
      </c>
      <c r="N2033">
        <v>408.38</v>
      </c>
      <c r="O2033">
        <v>595.36</v>
      </c>
      <c r="P2033">
        <v>0</v>
      </c>
      <c r="Q2033">
        <v>0</v>
      </c>
      <c r="S2033">
        <v>29</v>
      </c>
      <c r="T2033">
        <v>1</v>
      </c>
      <c r="U2033">
        <v>2</v>
      </c>
      <c r="V2033">
        <v>595.36</v>
      </c>
      <c r="W2033">
        <v>13130002031</v>
      </c>
    </row>
    <row r="2034" spans="1:23" x14ac:dyDescent="0.2">
      <c r="A2034" s="1">
        <v>44795</v>
      </c>
      <c r="B2034" s="2">
        <v>0.35313657407407412</v>
      </c>
      <c r="C2034">
        <v>3032</v>
      </c>
      <c r="D2034">
        <v>13002561</v>
      </c>
      <c r="E2034">
        <v>13</v>
      </c>
      <c r="F2034">
        <v>22589</v>
      </c>
      <c r="G2034" t="s">
        <v>23</v>
      </c>
      <c r="H2034">
        <v>18</v>
      </c>
      <c r="I2034">
        <v>18149</v>
      </c>
      <c r="J2034" t="s">
        <v>114</v>
      </c>
      <c r="K2034" t="s">
        <v>45</v>
      </c>
      <c r="L2034" t="s">
        <v>51</v>
      </c>
      <c r="M2034">
        <v>1</v>
      </c>
      <c r="N2034">
        <v>59.42</v>
      </c>
      <c r="O2034">
        <v>76.959999999999994</v>
      </c>
      <c r="P2034">
        <v>7.7</v>
      </c>
      <c r="Q2034">
        <v>7.7</v>
      </c>
      <c r="R2034" t="s">
        <v>30</v>
      </c>
      <c r="S2034">
        <v>29</v>
      </c>
      <c r="T2034">
        <v>1</v>
      </c>
      <c r="U2034">
        <v>2</v>
      </c>
      <c r="V2034">
        <v>69.260000000000005</v>
      </c>
      <c r="W2034">
        <v>13130002032</v>
      </c>
    </row>
    <row r="2035" spans="1:23" x14ac:dyDescent="0.2">
      <c r="A2035" s="1">
        <v>44785</v>
      </c>
      <c r="B2035" s="2">
        <v>0.5526388888888889</v>
      </c>
      <c r="C2035">
        <v>3033</v>
      </c>
      <c r="D2035">
        <v>13002561</v>
      </c>
      <c r="E2035">
        <v>13</v>
      </c>
      <c r="F2035">
        <v>22589</v>
      </c>
      <c r="G2035" t="s">
        <v>23</v>
      </c>
      <c r="H2035">
        <v>15</v>
      </c>
      <c r="I2035">
        <v>52885</v>
      </c>
      <c r="J2035" t="s">
        <v>117</v>
      </c>
      <c r="K2035" t="s">
        <v>60</v>
      </c>
      <c r="L2035" t="s">
        <v>32</v>
      </c>
      <c r="M2035">
        <v>3</v>
      </c>
      <c r="N2035">
        <v>436.19</v>
      </c>
      <c r="O2035">
        <v>708.63</v>
      </c>
      <c r="P2035">
        <v>70.86</v>
      </c>
      <c r="Q2035">
        <v>70.86</v>
      </c>
      <c r="R2035" t="s">
        <v>30</v>
      </c>
      <c r="S2035">
        <v>29</v>
      </c>
      <c r="T2035">
        <v>1</v>
      </c>
      <c r="U2035">
        <v>1</v>
      </c>
      <c r="V2035">
        <v>637.77</v>
      </c>
      <c r="W2035">
        <v>13130002033</v>
      </c>
    </row>
    <row r="2036" spans="1:23" x14ac:dyDescent="0.2">
      <c r="A2036" s="1">
        <v>44799</v>
      </c>
      <c r="B2036" s="2">
        <v>0.59789351851851846</v>
      </c>
      <c r="C2036">
        <v>3034</v>
      </c>
      <c r="D2036">
        <v>13002561</v>
      </c>
      <c r="E2036">
        <v>13</v>
      </c>
      <c r="F2036">
        <v>22589</v>
      </c>
      <c r="G2036" t="s">
        <v>23</v>
      </c>
      <c r="H2036">
        <v>18</v>
      </c>
      <c r="I2036">
        <v>11915</v>
      </c>
      <c r="J2036" t="s">
        <v>114</v>
      </c>
      <c r="K2036" t="s">
        <v>44</v>
      </c>
      <c r="L2036" t="s">
        <v>51</v>
      </c>
      <c r="M2036">
        <v>1</v>
      </c>
      <c r="N2036">
        <v>324.25</v>
      </c>
      <c r="O2036">
        <v>474.11</v>
      </c>
      <c r="P2036">
        <v>47.41</v>
      </c>
      <c r="Q2036">
        <v>47.41</v>
      </c>
      <c r="R2036" t="s">
        <v>30</v>
      </c>
      <c r="S2036">
        <v>29</v>
      </c>
      <c r="T2036">
        <v>1</v>
      </c>
      <c r="U2036">
        <v>2</v>
      </c>
      <c r="V2036">
        <v>426.7</v>
      </c>
      <c r="W2036">
        <v>13130002034</v>
      </c>
    </row>
    <row r="2037" spans="1:23" x14ac:dyDescent="0.2">
      <c r="A2037" s="1">
        <v>44784</v>
      </c>
      <c r="B2037" s="2">
        <v>0.45341435185185192</v>
      </c>
      <c r="C2037">
        <v>3035</v>
      </c>
      <c r="D2037">
        <v>13002561</v>
      </c>
      <c r="E2037">
        <v>13</v>
      </c>
      <c r="F2037">
        <v>22589</v>
      </c>
      <c r="G2037" t="s">
        <v>23</v>
      </c>
      <c r="H2037">
        <v>18</v>
      </c>
      <c r="I2037">
        <v>23181</v>
      </c>
      <c r="J2037" t="s">
        <v>114</v>
      </c>
      <c r="K2037" t="s">
        <v>44</v>
      </c>
      <c r="L2037" t="s">
        <v>39</v>
      </c>
      <c r="M2037">
        <v>1</v>
      </c>
      <c r="N2037">
        <v>263.44</v>
      </c>
      <c r="O2037">
        <v>332.08</v>
      </c>
      <c r="P2037">
        <v>16.600000000000001</v>
      </c>
      <c r="Q2037">
        <v>16.600000000000001</v>
      </c>
      <c r="R2037" t="s">
        <v>30</v>
      </c>
      <c r="S2037">
        <v>29</v>
      </c>
      <c r="T2037">
        <v>1</v>
      </c>
      <c r="U2037">
        <v>3</v>
      </c>
      <c r="V2037">
        <v>315.48</v>
      </c>
      <c r="W2037">
        <v>13130002035</v>
      </c>
    </row>
    <row r="2038" spans="1:23" x14ac:dyDescent="0.2">
      <c r="A2038" s="1">
        <v>44803</v>
      </c>
      <c r="B2038" s="2">
        <v>0.66598379629629634</v>
      </c>
      <c r="C2038">
        <v>3036</v>
      </c>
      <c r="D2038">
        <v>13002561</v>
      </c>
      <c r="E2038">
        <v>13</v>
      </c>
      <c r="F2038">
        <v>22589</v>
      </c>
      <c r="G2038" t="s">
        <v>23</v>
      </c>
      <c r="H2038">
        <v>18</v>
      </c>
      <c r="I2038">
        <v>82086</v>
      </c>
      <c r="J2038" t="s">
        <v>102</v>
      </c>
      <c r="K2038" t="s">
        <v>44</v>
      </c>
      <c r="L2038" t="s">
        <v>39</v>
      </c>
      <c r="M2038">
        <v>3</v>
      </c>
      <c r="N2038">
        <v>296.75</v>
      </c>
      <c r="O2038">
        <v>481.74</v>
      </c>
      <c r="P2038">
        <v>48.17</v>
      </c>
      <c r="Q2038">
        <v>48.17</v>
      </c>
      <c r="R2038" t="s">
        <v>30</v>
      </c>
      <c r="S2038">
        <v>29</v>
      </c>
      <c r="T2038">
        <v>1</v>
      </c>
      <c r="U2038">
        <v>3</v>
      </c>
      <c r="V2038">
        <v>433.57</v>
      </c>
      <c r="W2038">
        <v>13130002036</v>
      </c>
    </row>
    <row r="2039" spans="1:23" x14ac:dyDescent="0.2">
      <c r="A2039" s="1">
        <v>44781</v>
      </c>
      <c r="B2039" s="2">
        <v>0.5989930555555556</v>
      </c>
      <c r="C2039">
        <v>3037</v>
      </c>
      <c r="D2039">
        <v>13002561</v>
      </c>
      <c r="E2039">
        <v>13</v>
      </c>
      <c r="F2039">
        <v>22589</v>
      </c>
      <c r="G2039" t="s">
        <v>23</v>
      </c>
      <c r="H2039">
        <v>18</v>
      </c>
      <c r="I2039">
        <v>23541</v>
      </c>
      <c r="J2039" t="s">
        <v>57</v>
      </c>
      <c r="K2039" t="s">
        <v>28</v>
      </c>
      <c r="L2039" t="s">
        <v>29</v>
      </c>
      <c r="M2039">
        <v>1</v>
      </c>
      <c r="N2039">
        <v>73.62</v>
      </c>
      <c r="O2039">
        <v>120.08</v>
      </c>
      <c r="P2039">
        <v>0</v>
      </c>
      <c r="Q2039">
        <v>0</v>
      </c>
      <c r="S2039">
        <v>29</v>
      </c>
      <c r="T2039">
        <v>1</v>
      </c>
      <c r="U2039">
        <v>2</v>
      </c>
      <c r="V2039">
        <v>120.08</v>
      </c>
      <c r="W2039">
        <v>13130002037</v>
      </c>
    </row>
    <row r="2040" spans="1:23" x14ac:dyDescent="0.2">
      <c r="A2040" s="1">
        <v>44780</v>
      </c>
      <c r="B2040" s="2">
        <v>0.85326388888888893</v>
      </c>
      <c r="C2040">
        <v>3038</v>
      </c>
      <c r="D2040">
        <v>13002561</v>
      </c>
      <c r="E2040">
        <v>13</v>
      </c>
      <c r="F2040">
        <v>22589</v>
      </c>
      <c r="G2040" t="s">
        <v>23</v>
      </c>
      <c r="H2040">
        <v>18</v>
      </c>
      <c r="I2040">
        <v>40047</v>
      </c>
      <c r="J2040" t="s">
        <v>126</v>
      </c>
      <c r="K2040" t="s">
        <v>44</v>
      </c>
      <c r="L2040" t="s">
        <v>36</v>
      </c>
      <c r="M2040">
        <v>3</v>
      </c>
      <c r="N2040">
        <v>77.180000000000007</v>
      </c>
      <c r="O2040">
        <v>127.65</v>
      </c>
      <c r="P2040">
        <v>0</v>
      </c>
      <c r="Q2040">
        <v>0</v>
      </c>
      <c r="S2040">
        <v>29</v>
      </c>
      <c r="T2040">
        <v>1</v>
      </c>
      <c r="U2040">
        <v>5</v>
      </c>
      <c r="V2040">
        <v>127.65</v>
      </c>
      <c r="W2040">
        <v>13130002038</v>
      </c>
    </row>
    <row r="2041" spans="1:23" x14ac:dyDescent="0.2">
      <c r="A2041" s="1">
        <v>44793</v>
      </c>
      <c r="B2041" s="2">
        <v>0.81763888888888892</v>
      </c>
      <c r="C2041">
        <v>3039</v>
      </c>
      <c r="D2041">
        <v>13002561</v>
      </c>
      <c r="E2041">
        <v>13</v>
      </c>
      <c r="F2041">
        <v>22589</v>
      </c>
      <c r="G2041" t="s">
        <v>23</v>
      </c>
      <c r="H2041">
        <v>15</v>
      </c>
      <c r="I2041">
        <v>57215</v>
      </c>
      <c r="J2041" t="s">
        <v>50</v>
      </c>
      <c r="K2041" t="s">
        <v>25</v>
      </c>
      <c r="L2041" t="s">
        <v>47</v>
      </c>
      <c r="M2041">
        <v>2</v>
      </c>
      <c r="N2041">
        <v>230.75</v>
      </c>
      <c r="O2041">
        <v>348.59</v>
      </c>
      <c r="P2041">
        <v>17.43</v>
      </c>
      <c r="Q2041">
        <v>17.43</v>
      </c>
      <c r="R2041" t="s">
        <v>30</v>
      </c>
      <c r="S2041">
        <v>29</v>
      </c>
      <c r="T2041">
        <v>1</v>
      </c>
      <c r="U2041">
        <v>5</v>
      </c>
      <c r="V2041">
        <v>331.16</v>
      </c>
      <c r="W2041">
        <v>13130002039</v>
      </c>
    </row>
    <row r="2042" spans="1:23" x14ac:dyDescent="0.2">
      <c r="A2042" s="1">
        <v>44787</v>
      </c>
      <c r="B2042" s="2">
        <v>0.59840277777777773</v>
      </c>
      <c r="C2042">
        <v>3040</v>
      </c>
      <c r="D2042">
        <v>13002561</v>
      </c>
      <c r="E2042">
        <v>13</v>
      </c>
      <c r="F2042">
        <v>22589</v>
      </c>
      <c r="G2042" t="s">
        <v>23</v>
      </c>
      <c r="H2042">
        <v>18</v>
      </c>
      <c r="I2042">
        <v>47483</v>
      </c>
      <c r="J2042" t="s">
        <v>52</v>
      </c>
      <c r="K2042" t="s">
        <v>44</v>
      </c>
      <c r="L2042" t="s">
        <v>47</v>
      </c>
      <c r="M2042">
        <v>1</v>
      </c>
      <c r="N2042">
        <v>238.77</v>
      </c>
      <c r="O2042">
        <v>384.15</v>
      </c>
      <c r="P2042">
        <v>0</v>
      </c>
      <c r="Q2042">
        <v>0</v>
      </c>
      <c r="S2042">
        <v>29</v>
      </c>
      <c r="T2042">
        <v>1</v>
      </c>
      <c r="U2042">
        <v>1</v>
      </c>
      <c r="V2042">
        <v>384.15</v>
      </c>
      <c r="W2042">
        <v>13130002040</v>
      </c>
    </row>
    <row r="2043" spans="1:23" x14ac:dyDescent="0.2">
      <c r="A2043" s="1">
        <v>44796</v>
      </c>
      <c r="B2043" s="2">
        <v>0.46416666666666673</v>
      </c>
      <c r="C2043">
        <v>3041</v>
      </c>
      <c r="D2043">
        <v>13002561</v>
      </c>
      <c r="E2043">
        <v>13</v>
      </c>
      <c r="F2043">
        <v>22589</v>
      </c>
      <c r="G2043" t="s">
        <v>23</v>
      </c>
      <c r="H2043">
        <v>18</v>
      </c>
      <c r="I2043">
        <v>76273</v>
      </c>
      <c r="J2043" t="s">
        <v>48</v>
      </c>
      <c r="K2043" t="s">
        <v>25</v>
      </c>
      <c r="L2043" t="s">
        <v>36</v>
      </c>
      <c r="M2043">
        <v>3</v>
      </c>
      <c r="N2043">
        <v>535.61</v>
      </c>
      <c r="O2043">
        <v>714.99</v>
      </c>
      <c r="P2043">
        <v>35.75</v>
      </c>
      <c r="Q2043">
        <v>35.75</v>
      </c>
      <c r="R2043" t="s">
        <v>30</v>
      </c>
      <c r="S2043">
        <v>29</v>
      </c>
      <c r="T2043">
        <v>1</v>
      </c>
      <c r="U2043">
        <v>4</v>
      </c>
      <c r="V2043">
        <v>679.24</v>
      </c>
      <c r="W2043">
        <v>13130002041</v>
      </c>
    </row>
    <row r="2044" spans="1:23" x14ac:dyDescent="0.2">
      <c r="A2044" s="1">
        <v>44800</v>
      </c>
      <c r="B2044" s="2">
        <v>0.86755787037037035</v>
      </c>
      <c r="C2044">
        <v>3042</v>
      </c>
      <c r="D2044">
        <v>13002561</v>
      </c>
      <c r="E2044">
        <v>13</v>
      </c>
      <c r="F2044">
        <v>22589</v>
      </c>
      <c r="G2044" t="s">
        <v>23</v>
      </c>
      <c r="H2044">
        <v>18</v>
      </c>
      <c r="I2044">
        <v>53997</v>
      </c>
      <c r="J2044" t="s">
        <v>124</v>
      </c>
      <c r="K2044" t="s">
        <v>44</v>
      </c>
      <c r="L2044" t="s">
        <v>34</v>
      </c>
      <c r="M2044">
        <v>2</v>
      </c>
      <c r="N2044">
        <v>498.66</v>
      </c>
      <c r="O2044">
        <v>646.14</v>
      </c>
      <c r="P2044">
        <v>0</v>
      </c>
      <c r="Q2044">
        <v>0</v>
      </c>
      <c r="S2044">
        <v>29</v>
      </c>
      <c r="T2044">
        <v>1</v>
      </c>
      <c r="U2044">
        <v>3</v>
      </c>
      <c r="V2044">
        <v>646.14</v>
      </c>
      <c r="W2044">
        <v>13130002042</v>
      </c>
    </row>
    <row r="2045" spans="1:23" x14ac:dyDescent="0.2">
      <c r="A2045" s="1">
        <v>44790</v>
      </c>
      <c r="B2045" s="2">
        <v>0.71708333333333329</v>
      </c>
      <c r="C2045">
        <v>3043</v>
      </c>
      <c r="D2045">
        <v>13002561</v>
      </c>
      <c r="E2045">
        <v>13</v>
      </c>
      <c r="F2045">
        <v>22589</v>
      </c>
      <c r="G2045" t="s">
        <v>23</v>
      </c>
      <c r="H2045">
        <v>15</v>
      </c>
      <c r="I2045">
        <v>70222</v>
      </c>
      <c r="J2045" t="s">
        <v>41</v>
      </c>
      <c r="K2045" t="s">
        <v>28</v>
      </c>
      <c r="L2045" t="s">
        <v>36</v>
      </c>
      <c r="M2045">
        <v>3</v>
      </c>
      <c r="N2045">
        <v>289.92</v>
      </c>
      <c r="O2045">
        <v>373.29</v>
      </c>
      <c r="P2045">
        <v>18.66</v>
      </c>
      <c r="Q2045">
        <v>18.66</v>
      </c>
      <c r="R2045" t="s">
        <v>30</v>
      </c>
      <c r="S2045">
        <v>29</v>
      </c>
      <c r="T2045">
        <v>1</v>
      </c>
      <c r="U2045">
        <v>6</v>
      </c>
      <c r="V2045">
        <v>354.63</v>
      </c>
      <c r="W2045">
        <v>13130002043</v>
      </c>
    </row>
    <row r="2046" spans="1:23" x14ac:dyDescent="0.2">
      <c r="A2046" s="1">
        <v>44799</v>
      </c>
      <c r="B2046" s="2">
        <v>0.6235532407407407</v>
      </c>
      <c r="C2046">
        <v>3044</v>
      </c>
      <c r="D2046">
        <v>13002561</v>
      </c>
      <c r="E2046">
        <v>13</v>
      </c>
      <c r="F2046">
        <v>22589</v>
      </c>
      <c r="G2046" t="s">
        <v>23</v>
      </c>
      <c r="H2046">
        <v>15</v>
      </c>
      <c r="I2046">
        <v>77918</v>
      </c>
      <c r="J2046" t="s">
        <v>108</v>
      </c>
      <c r="K2046" t="s">
        <v>38</v>
      </c>
      <c r="L2046" t="s">
        <v>51</v>
      </c>
      <c r="M2046">
        <v>3</v>
      </c>
      <c r="N2046">
        <v>182.21</v>
      </c>
      <c r="O2046">
        <v>306.58999999999997</v>
      </c>
      <c r="P2046">
        <v>0</v>
      </c>
      <c r="Q2046">
        <v>0</v>
      </c>
      <c r="S2046">
        <v>29</v>
      </c>
      <c r="T2046">
        <v>1</v>
      </c>
      <c r="U2046">
        <v>5</v>
      </c>
      <c r="V2046">
        <v>306.58999999999997</v>
      </c>
      <c r="W2046">
        <v>13130002044</v>
      </c>
    </row>
    <row r="2047" spans="1:23" x14ac:dyDescent="0.2">
      <c r="A2047" s="1">
        <v>44803</v>
      </c>
      <c r="B2047" s="2">
        <v>0.44604166666666673</v>
      </c>
      <c r="C2047">
        <v>3045</v>
      </c>
      <c r="D2047">
        <v>13002561</v>
      </c>
      <c r="E2047">
        <v>13</v>
      </c>
      <c r="F2047">
        <v>22589</v>
      </c>
      <c r="G2047" t="s">
        <v>23</v>
      </c>
      <c r="H2047">
        <v>15</v>
      </c>
      <c r="I2047">
        <v>73185</v>
      </c>
      <c r="J2047" t="s">
        <v>128</v>
      </c>
      <c r="K2047" t="s">
        <v>28</v>
      </c>
      <c r="L2047" t="s">
        <v>51</v>
      </c>
      <c r="M2047">
        <v>3</v>
      </c>
      <c r="N2047">
        <v>543.97</v>
      </c>
      <c r="O2047">
        <v>778.41</v>
      </c>
      <c r="P2047">
        <v>0</v>
      </c>
      <c r="Q2047">
        <v>0</v>
      </c>
      <c r="S2047">
        <v>29</v>
      </c>
      <c r="T2047">
        <v>1</v>
      </c>
      <c r="U2047">
        <v>2</v>
      </c>
      <c r="V2047">
        <v>778.41</v>
      </c>
      <c r="W2047">
        <v>13130002045</v>
      </c>
    </row>
    <row r="2048" spans="1:23" x14ac:dyDescent="0.2">
      <c r="A2048" s="1">
        <v>44804</v>
      </c>
      <c r="B2048" s="2">
        <v>0.34752314814814822</v>
      </c>
      <c r="C2048">
        <v>3046</v>
      </c>
      <c r="D2048">
        <v>13002561</v>
      </c>
      <c r="E2048">
        <v>13</v>
      </c>
      <c r="F2048">
        <v>22589</v>
      </c>
      <c r="G2048" t="s">
        <v>23</v>
      </c>
      <c r="H2048">
        <v>18</v>
      </c>
      <c r="I2048">
        <v>66587</v>
      </c>
      <c r="J2048" t="s">
        <v>100</v>
      </c>
      <c r="K2048" t="s">
        <v>45</v>
      </c>
      <c r="L2048" t="s">
        <v>34</v>
      </c>
      <c r="M2048">
        <v>3</v>
      </c>
      <c r="N2048">
        <v>177.32</v>
      </c>
      <c r="O2048">
        <v>290.64999999999998</v>
      </c>
      <c r="P2048">
        <v>29.06</v>
      </c>
      <c r="Q2048">
        <v>29.06</v>
      </c>
      <c r="R2048" t="s">
        <v>30</v>
      </c>
      <c r="S2048">
        <v>29</v>
      </c>
      <c r="T2048">
        <v>1</v>
      </c>
      <c r="U2048">
        <v>5</v>
      </c>
      <c r="V2048">
        <v>261.58999999999997</v>
      </c>
      <c r="W2048">
        <v>13130002046</v>
      </c>
    </row>
    <row r="2049" spans="1:23" x14ac:dyDescent="0.2">
      <c r="A2049" s="1">
        <v>44779</v>
      </c>
      <c r="B2049" s="2">
        <v>0.3540740740740741</v>
      </c>
      <c r="C2049">
        <v>3047</v>
      </c>
      <c r="D2049">
        <v>13002561</v>
      </c>
      <c r="E2049">
        <v>13</v>
      </c>
      <c r="F2049">
        <v>22589</v>
      </c>
      <c r="G2049" t="s">
        <v>23</v>
      </c>
      <c r="H2049">
        <v>15</v>
      </c>
      <c r="I2049">
        <v>75399</v>
      </c>
      <c r="J2049" t="s">
        <v>119</v>
      </c>
      <c r="K2049" t="s">
        <v>45</v>
      </c>
      <c r="L2049" t="s">
        <v>47</v>
      </c>
      <c r="M2049">
        <v>1</v>
      </c>
      <c r="N2049">
        <v>114.68</v>
      </c>
      <c r="O2049">
        <v>179.59</v>
      </c>
      <c r="P2049">
        <v>17.96</v>
      </c>
      <c r="Q2049">
        <v>17.96</v>
      </c>
      <c r="R2049" t="s">
        <v>30</v>
      </c>
      <c r="S2049">
        <v>29</v>
      </c>
      <c r="T2049">
        <v>1</v>
      </c>
      <c r="U2049">
        <v>6</v>
      </c>
      <c r="V2049">
        <v>161.63</v>
      </c>
      <c r="W2049">
        <v>13130002047</v>
      </c>
    </row>
    <row r="2050" spans="1:23" x14ac:dyDescent="0.2">
      <c r="A2050" s="1">
        <v>44803</v>
      </c>
      <c r="B2050" s="2">
        <v>0.41513888888888889</v>
      </c>
      <c r="C2050">
        <v>3048</v>
      </c>
      <c r="D2050">
        <v>13002561</v>
      </c>
      <c r="E2050">
        <v>13</v>
      </c>
      <c r="F2050">
        <v>22589</v>
      </c>
      <c r="G2050" t="s">
        <v>23</v>
      </c>
      <c r="H2050">
        <v>15</v>
      </c>
      <c r="I2050">
        <v>96072</v>
      </c>
      <c r="J2050" t="s">
        <v>87</v>
      </c>
      <c r="K2050" t="s">
        <v>38</v>
      </c>
      <c r="L2050" t="s">
        <v>32</v>
      </c>
      <c r="M2050">
        <v>3</v>
      </c>
      <c r="N2050">
        <v>359.88</v>
      </c>
      <c r="O2050">
        <v>571.61</v>
      </c>
      <c r="P2050">
        <v>0</v>
      </c>
      <c r="Q2050">
        <v>0</v>
      </c>
      <c r="S2050">
        <v>29</v>
      </c>
      <c r="T2050">
        <v>1</v>
      </c>
      <c r="U2050">
        <v>6</v>
      </c>
      <c r="V2050">
        <v>571.61</v>
      </c>
      <c r="W2050">
        <v>13130002048</v>
      </c>
    </row>
    <row r="2051" spans="1:23" x14ac:dyDescent="0.2">
      <c r="A2051" s="1">
        <v>44801</v>
      </c>
      <c r="B2051" s="2">
        <v>0.57666666666666666</v>
      </c>
      <c r="C2051">
        <v>3049</v>
      </c>
      <c r="D2051">
        <v>13002561</v>
      </c>
      <c r="E2051">
        <v>13</v>
      </c>
      <c r="F2051">
        <v>22589</v>
      </c>
      <c r="G2051" t="s">
        <v>23</v>
      </c>
      <c r="H2051">
        <v>15</v>
      </c>
      <c r="I2051">
        <v>30619</v>
      </c>
      <c r="J2051" t="s">
        <v>55</v>
      </c>
      <c r="K2051" t="s">
        <v>44</v>
      </c>
      <c r="L2051" t="s">
        <v>51</v>
      </c>
      <c r="M2051">
        <v>1</v>
      </c>
      <c r="N2051">
        <v>178.9</v>
      </c>
      <c r="O2051">
        <v>300.23</v>
      </c>
      <c r="P2051">
        <v>15.01</v>
      </c>
      <c r="Q2051">
        <v>15.01</v>
      </c>
      <c r="R2051" t="s">
        <v>30</v>
      </c>
      <c r="S2051">
        <v>29</v>
      </c>
      <c r="T2051">
        <v>1</v>
      </c>
      <c r="U2051">
        <v>1</v>
      </c>
      <c r="V2051">
        <v>285.22000000000003</v>
      </c>
      <c r="W2051">
        <v>13130002049</v>
      </c>
    </row>
    <row r="2052" spans="1:23" x14ac:dyDescent="0.2">
      <c r="A2052" s="1">
        <v>44774</v>
      </c>
      <c r="B2052" s="2">
        <v>0.63487268518518514</v>
      </c>
      <c r="C2052">
        <v>3050</v>
      </c>
      <c r="D2052">
        <v>13002561</v>
      </c>
      <c r="E2052">
        <v>13</v>
      </c>
      <c r="F2052">
        <v>22589</v>
      </c>
      <c r="G2052" t="s">
        <v>23</v>
      </c>
      <c r="H2052">
        <v>18</v>
      </c>
      <c r="I2052">
        <v>77374</v>
      </c>
      <c r="J2052" t="s">
        <v>52</v>
      </c>
      <c r="K2052" t="s">
        <v>60</v>
      </c>
      <c r="L2052" t="s">
        <v>34</v>
      </c>
      <c r="M2052">
        <v>2</v>
      </c>
      <c r="N2052">
        <v>540.07000000000005</v>
      </c>
      <c r="O2052">
        <v>909.12</v>
      </c>
      <c r="P2052">
        <v>45.46</v>
      </c>
      <c r="Q2052">
        <v>45.46</v>
      </c>
      <c r="R2052" t="s">
        <v>30</v>
      </c>
      <c r="S2052">
        <v>29</v>
      </c>
      <c r="T2052">
        <v>1</v>
      </c>
      <c r="U2052">
        <v>4</v>
      </c>
      <c r="V2052">
        <v>863.66</v>
      </c>
      <c r="W2052">
        <v>13130002050</v>
      </c>
    </row>
    <row r="2053" spans="1:23" x14ac:dyDescent="0.2">
      <c r="A2053" s="1">
        <v>44776</v>
      </c>
      <c r="B2053" s="2">
        <v>0.52913194444444445</v>
      </c>
      <c r="C2053">
        <v>3051</v>
      </c>
      <c r="D2053">
        <v>13002561</v>
      </c>
      <c r="E2053">
        <v>13</v>
      </c>
      <c r="F2053">
        <v>22589</v>
      </c>
      <c r="G2053" t="s">
        <v>23</v>
      </c>
      <c r="H2053">
        <v>15</v>
      </c>
      <c r="I2053">
        <v>77530</v>
      </c>
      <c r="J2053" t="s">
        <v>37</v>
      </c>
      <c r="K2053" t="s">
        <v>28</v>
      </c>
      <c r="L2053" t="s">
        <v>26</v>
      </c>
      <c r="M2053">
        <v>1</v>
      </c>
      <c r="N2053">
        <v>407.98</v>
      </c>
      <c r="O2053">
        <v>663.86</v>
      </c>
      <c r="P2053">
        <v>33.19</v>
      </c>
      <c r="Q2053">
        <v>33.19</v>
      </c>
      <c r="R2053" t="s">
        <v>30</v>
      </c>
      <c r="S2053">
        <v>29</v>
      </c>
      <c r="T2053">
        <v>1</v>
      </c>
      <c r="U2053">
        <v>1</v>
      </c>
      <c r="V2053">
        <v>630.66999999999996</v>
      </c>
      <c r="W2053">
        <v>13130002051</v>
      </c>
    </row>
    <row r="2054" spans="1:23" x14ac:dyDescent="0.2">
      <c r="A2054" s="1">
        <v>44779</v>
      </c>
      <c r="B2054" s="2">
        <v>0.94398148148148153</v>
      </c>
      <c r="C2054">
        <v>3052</v>
      </c>
      <c r="D2054">
        <v>13002561</v>
      </c>
      <c r="E2054">
        <v>13</v>
      </c>
      <c r="F2054">
        <v>22589</v>
      </c>
      <c r="G2054" t="s">
        <v>23</v>
      </c>
      <c r="H2054">
        <v>15</v>
      </c>
      <c r="I2054">
        <v>37407</v>
      </c>
      <c r="J2054" t="s">
        <v>83</v>
      </c>
      <c r="K2054" t="s">
        <v>45</v>
      </c>
      <c r="L2054" t="s">
        <v>47</v>
      </c>
      <c r="M2054">
        <v>2</v>
      </c>
      <c r="N2054">
        <v>567.44000000000005</v>
      </c>
      <c r="O2054">
        <v>765.52</v>
      </c>
      <c r="P2054">
        <v>76.55</v>
      </c>
      <c r="Q2054">
        <v>76.55</v>
      </c>
      <c r="R2054" t="s">
        <v>30</v>
      </c>
      <c r="S2054">
        <v>29</v>
      </c>
      <c r="T2054">
        <v>1</v>
      </c>
      <c r="U2054">
        <v>1</v>
      </c>
      <c r="V2054">
        <v>688.97</v>
      </c>
      <c r="W2054">
        <v>13130002052</v>
      </c>
    </row>
    <row r="2055" spans="1:23" x14ac:dyDescent="0.2">
      <c r="A2055" s="1">
        <v>44798</v>
      </c>
      <c r="B2055" s="2">
        <v>0.61979166666666663</v>
      </c>
      <c r="C2055">
        <v>3053</v>
      </c>
      <c r="D2055">
        <v>13002561</v>
      </c>
      <c r="E2055">
        <v>13</v>
      </c>
      <c r="F2055">
        <v>22589</v>
      </c>
      <c r="G2055" t="s">
        <v>23</v>
      </c>
      <c r="H2055">
        <v>18</v>
      </c>
      <c r="I2055">
        <v>56885</v>
      </c>
      <c r="J2055" t="s">
        <v>35</v>
      </c>
      <c r="K2055" t="s">
        <v>60</v>
      </c>
      <c r="L2055" t="s">
        <v>32</v>
      </c>
      <c r="M2055">
        <v>3</v>
      </c>
      <c r="N2055">
        <v>599.01</v>
      </c>
      <c r="O2055">
        <v>808.99</v>
      </c>
      <c r="P2055">
        <v>0</v>
      </c>
      <c r="Q2055">
        <v>0</v>
      </c>
      <c r="S2055">
        <v>29</v>
      </c>
      <c r="T2055">
        <v>1</v>
      </c>
      <c r="U2055">
        <v>5</v>
      </c>
      <c r="V2055">
        <v>808.99</v>
      </c>
      <c r="W2055">
        <v>13130002053</v>
      </c>
    </row>
    <row r="2056" spans="1:23" x14ac:dyDescent="0.2">
      <c r="A2056" s="1">
        <v>44799</v>
      </c>
      <c r="B2056" s="2">
        <v>0.68391203703703707</v>
      </c>
      <c r="C2056">
        <v>3054</v>
      </c>
      <c r="D2056">
        <v>13002561</v>
      </c>
      <c r="E2056">
        <v>13</v>
      </c>
      <c r="F2056">
        <v>22589</v>
      </c>
      <c r="G2056" t="s">
        <v>23</v>
      </c>
      <c r="H2056">
        <v>18</v>
      </c>
      <c r="I2056">
        <v>13420</v>
      </c>
      <c r="J2056" t="s">
        <v>108</v>
      </c>
      <c r="K2056" t="s">
        <v>60</v>
      </c>
      <c r="L2056" t="s">
        <v>26</v>
      </c>
      <c r="M2056">
        <v>2</v>
      </c>
      <c r="N2056">
        <v>124.29</v>
      </c>
      <c r="O2056">
        <v>200.86</v>
      </c>
      <c r="P2056">
        <v>0</v>
      </c>
      <c r="Q2056">
        <v>0</v>
      </c>
      <c r="S2056">
        <v>29</v>
      </c>
      <c r="T2056">
        <v>1</v>
      </c>
      <c r="U2056">
        <v>1</v>
      </c>
      <c r="V2056">
        <v>200.86</v>
      </c>
      <c r="W2056">
        <v>13130002054</v>
      </c>
    </row>
    <row r="2057" spans="1:23" x14ac:dyDescent="0.2">
      <c r="A2057" s="1">
        <v>44801</v>
      </c>
      <c r="B2057" s="2">
        <v>0.36262731481481481</v>
      </c>
      <c r="C2057">
        <v>3055</v>
      </c>
      <c r="D2057">
        <v>13002561</v>
      </c>
      <c r="E2057">
        <v>13</v>
      </c>
      <c r="F2057">
        <v>22589</v>
      </c>
      <c r="G2057" t="s">
        <v>23</v>
      </c>
      <c r="H2057">
        <v>18</v>
      </c>
      <c r="I2057">
        <v>60874</v>
      </c>
      <c r="J2057" t="s">
        <v>111</v>
      </c>
      <c r="K2057" t="s">
        <v>28</v>
      </c>
      <c r="L2057" t="s">
        <v>34</v>
      </c>
      <c r="M2057">
        <v>1</v>
      </c>
      <c r="N2057">
        <v>416.08</v>
      </c>
      <c r="O2057">
        <v>657.66</v>
      </c>
      <c r="P2057">
        <v>32.880000000000003</v>
      </c>
      <c r="Q2057">
        <v>32.880000000000003</v>
      </c>
      <c r="R2057" t="s">
        <v>30</v>
      </c>
      <c r="S2057">
        <v>29</v>
      </c>
      <c r="T2057">
        <v>1</v>
      </c>
      <c r="U2057">
        <v>3</v>
      </c>
      <c r="V2057">
        <v>624.78</v>
      </c>
      <c r="W2057">
        <v>13130002055</v>
      </c>
    </row>
    <row r="2058" spans="1:23" x14ac:dyDescent="0.2">
      <c r="A2058" s="1">
        <v>44798</v>
      </c>
      <c r="B2058" s="2">
        <v>0.70748842592592598</v>
      </c>
      <c r="C2058">
        <v>3056</v>
      </c>
      <c r="D2058">
        <v>13002561</v>
      </c>
      <c r="E2058">
        <v>13</v>
      </c>
      <c r="F2058">
        <v>22589</v>
      </c>
      <c r="G2058" t="s">
        <v>23</v>
      </c>
      <c r="H2058">
        <v>18</v>
      </c>
      <c r="I2058">
        <v>39294</v>
      </c>
      <c r="J2058" t="s">
        <v>27</v>
      </c>
      <c r="K2058" t="s">
        <v>38</v>
      </c>
      <c r="L2058" t="s">
        <v>29</v>
      </c>
      <c r="M2058">
        <v>3</v>
      </c>
      <c r="N2058">
        <v>379.04</v>
      </c>
      <c r="O2058">
        <v>599.91999999999996</v>
      </c>
      <c r="P2058">
        <v>0</v>
      </c>
      <c r="Q2058">
        <v>0</v>
      </c>
      <c r="S2058">
        <v>29</v>
      </c>
      <c r="T2058">
        <v>1</v>
      </c>
      <c r="U2058">
        <v>3</v>
      </c>
      <c r="V2058">
        <v>599.91999999999996</v>
      </c>
      <c r="W2058">
        <v>13130002056</v>
      </c>
    </row>
    <row r="2059" spans="1:23" x14ac:dyDescent="0.2">
      <c r="A2059" s="1">
        <v>44782</v>
      </c>
      <c r="B2059" s="2">
        <v>0.62250000000000005</v>
      </c>
      <c r="C2059">
        <v>3057</v>
      </c>
      <c r="D2059">
        <v>13002561</v>
      </c>
      <c r="E2059">
        <v>13</v>
      </c>
      <c r="F2059">
        <v>22589</v>
      </c>
      <c r="G2059" t="s">
        <v>23</v>
      </c>
      <c r="H2059">
        <v>18</v>
      </c>
      <c r="I2059">
        <v>66428</v>
      </c>
      <c r="J2059" t="s">
        <v>41</v>
      </c>
      <c r="K2059" t="s">
        <v>44</v>
      </c>
      <c r="L2059" t="s">
        <v>51</v>
      </c>
      <c r="M2059">
        <v>1</v>
      </c>
      <c r="N2059">
        <v>403.58</v>
      </c>
      <c r="O2059">
        <v>547.30999999999995</v>
      </c>
      <c r="P2059">
        <v>27.37</v>
      </c>
      <c r="Q2059">
        <v>27.37</v>
      </c>
      <c r="R2059" t="s">
        <v>30</v>
      </c>
      <c r="S2059">
        <v>29</v>
      </c>
      <c r="T2059">
        <v>1</v>
      </c>
      <c r="U2059">
        <v>2</v>
      </c>
      <c r="V2059">
        <v>519.94000000000005</v>
      </c>
      <c r="W2059">
        <v>13130002057</v>
      </c>
    </row>
    <row r="2060" spans="1:23" x14ac:dyDescent="0.2">
      <c r="A2060" s="1">
        <v>44780</v>
      </c>
      <c r="B2060" s="2">
        <v>0.65133101851851849</v>
      </c>
      <c r="C2060">
        <v>3058</v>
      </c>
      <c r="D2060">
        <v>13002561</v>
      </c>
      <c r="E2060">
        <v>13</v>
      </c>
      <c r="F2060">
        <v>22589</v>
      </c>
      <c r="G2060" t="s">
        <v>23</v>
      </c>
      <c r="H2060">
        <v>18</v>
      </c>
      <c r="I2060">
        <v>57768</v>
      </c>
      <c r="J2060" t="s">
        <v>115</v>
      </c>
      <c r="K2060" t="s">
        <v>44</v>
      </c>
      <c r="L2060" t="s">
        <v>26</v>
      </c>
      <c r="M2060">
        <v>3</v>
      </c>
      <c r="N2060">
        <v>23.7</v>
      </c>
      <c r="O2060">
        <v>36.33</v>
      </c>
      <c r="P2060">
        <v>0</v>
      </c>
      <c r="Q2060">
        <v>0</v>
      </c>
      <c r="S2060">
        <v>29</v>
      </c>
      <c r="T2060">
        <v>1</v>
      </c>
      <c r="U2060">
        <v>3</v>
      </c>
      <c r="V2060">
        <v>36.33</v>
      </c>
      <c r="W2060">
        <v>13130002058</v>
      </c>
    </row>
    <row r="2061" spans="1:23" x14ac:dyDescent="0.2">
      <c r="A2061" s="1">
        <v>44787</v>
      </c>
      <c r="B2061" s="2">
        <v>0.45478009259259261</v>
      </c>
      <c r="C2061">
        <v>3059</v>
      </c>
      <c r="D2061">
        <v>13002561</v>
      </c>
      <c r="E2061">
        <v>13</v>
      </c>
      <c r="F2061">
        <v>22589</v>
      </c>
      <c r="G2061" t="s">
        <v>23</v>
      </c>
      <c r="H2061">
        <v>18</v>
      </c>
      <c r="I2061">
        <v>86511</v>
      </c>
      <c r="J2061" t="s">
        <v>84</v>
      </c>
      <c r="K2061" t="s">
        <v>38</v>
      </c>
      <c r="L2061" t="s">
        <v>29</v>
      </c>
      <c r="M2061">
        <v>1</v>
      </c>
      <c r="N2061">
        <v>258.58</v>
      </c>
      <c r="O2061">
        <v>326.55</v>
      </c>
      <c r="P2061">
        <v>16.329999999999998</v>
      </c>
      <c r="Q2061">
        <v>16.329999999999998</v>
      </c>
      <c r="R2061" t="s">
        <v>30</v>
      </c>
      <c r="S2061">
        <v>29</v>
      </c>
      <c r="T2061">
        <v>1</v>
      </c>
      <c r="U2061">
        <v>2</v>
      </c>
      <c r="V2061">
        <v>310.22000000000003</v>
      </c>
      <c r="W2061">
        <v>13130002059</v>
      </c>
    </row>
    <row r="2062" spans="1:23" x14ac:dyDescent="0.2">
      <c r="A2062" s="1">
        <v>44792</v>
      </c>
      <c r="B2062" s="2">
        <v>0.58553240740740742</v>
      </c>
      <c r="C2062">
        <v>3060</v>
      </c>
      <c r="D2062">
        <v>13002561</v>
      </c>
      <c r="E2062">
        <v>13</v>
      </c>
      <c r="F2062">
        <v>22589</v>
      </c>
      <c r="G2062" t="s">
        <v>23</v>
      </c>
      <c r="H2062">
        <v>18</v>
      </c>
      <c r="I2062">
        <v>28710</v>
      </c>
      <c r="J2062" t="s">
        <v>106</v>
      </c>
      <c r="K2062" t="s">
        <v>28</v>
      </c>
      <c r="L2062" t="s">
        <v>32</v>
      </c>
      <c r="M2062">
        <v>2</v>
      </c>
      <c r="N2062">
        <v>55.75</v>
      </c>
      <c r="O2062">
        <v>88.19</v>
      </c>
      <c r="P2062">
        <v>4.41</v>
      </c>
      <c r="Q2062">
        <v>4.41</v>
      </c>
      <c r="R2062" t="s">
        <v>30</v>
      </c>
      <c r="S2062">
        <v>29</v>
      </c>
      <c r="T2062">
        <v>1</v>
      </c>
      <c r="U2062">
        <v>3</v>
      </c>
      <c r="V2062">
        <v>83.78</v>
      </c>
      <c r="W2062">
        <v>13130002060</v>
      </c>
    </row>
    <row r="2063" spans="1:23" x14ac:dyDescent="0.2">
      <c r="A2063" s="1">
        <v>44802</v>
      </c>
      <c r="B2063" s="2">
        <v>0.46584490740740742</v>
      </c>
      <c r="C2063">
        <v>3061</v>
      </c>
      <c r="D2063">
        <v>13002561</v>
      </c>
      <c r="E2063">
        <v>13</v>
      </c>
      <c r="F2063">
        <v>22589</v>
      </c>
      <c r="G2063" t="s">
        <v>23</v>
      </c>
      <c r="H2063">
        <v>18</v>
      </c>
      <c r="I2063">
        <v>58211</v>
      </c>
      <c r="J2063" t="s">
        <v>87</v>
      </c>
      <c r="K2063" t="s">
        <v>25</v>
      </c>
      <c r="L2063" t="s">
        <v>39</v>
      </c>
      <c r="M2063">
        <v>1</v>
      </c>
      <c r="N2063">
        <v>311.77</v>
      </c>
      <c r="O2063">
        <v>454.52</v>
      </c>
      <c r="P2063">
        <v>0</v>
      </c>
      <c r="Q2063">
        <v>0</v>
      </c>
      <c r="S2063">
        <v>29</v>
      </c>
      <c r="T2063">
        <v>1</v>
      </c>
      <c r="U2063">
        <v>5</v>
      </c>
      <c r="V2063">
        <v>454.52</v>
      </c>
      <c r="W2063">
        <v>13130002061</v>
      </c>
    </row>
    <row r="2064" spans="1:23" x14ac:dyDescent="0.2">
      <c r="A2064" s="1">
        <v>44789</v>
      </c>
      <c r="B2064" s="2">
        <v>0.75415509259259261</v>
      </c>
      <c r="C2064">
        <v>3062</v>
      </c>
      <c r="D2064">
        <v>13002561</v>
      </c>
      <c r="E2064">
        <v>13</v>
      </c>
      <c r="F2064">
        <v>22589</v>
      </c>
      <c r="G2064" t="s">
        <v>23</v>
      </c>
      <c r="H2064">
        <v>15</v>
      </c>
      <c r="I2064">
        <v>99636</v>
      </c>
      <c r="J2064" t="s">
        <v>79</v>
      </c>
      <c r="K2064" t="s">
        <v>60</v>
      </c>
      <c r="L2064" t="s">
        <v>29</v>
      </c>
      <c r="M2064">
        <v>1</v>
      </c>
      <c r="N2064">
        <v>286.89999999999998</v>
      </c>
      <c r="O2064">
        <v>425.3</v>
      </c>
      <c r="P2064">
        <v>0</v>
      </c>
      <c r="Q2064">
        <v>0</v>
      </c>
      <c r="S2064">
        <v>29</v>
      </c>
      <c r="T2064">
        <v>1</v>
      </c>
      <c r="U2064">
        <v>6</v>
      </c>
      <c r="V2064">
        <v>425.3</v>
      </c>
      <c r="W2064">
        <v>13130002062</v>
      </c>
    </row>
    <row r="2065" spans="1:23" x14ac:dyDescent="0.2">
      <c r="A2065" s="1">
        <v>44775</v>
      </c>
      <c r="B2065" s="2">
        <v>0.93811342592592595</v>
      </c>
      <c r="C2065">
        <v>3063</v>
      </c>
      <c r="D2065">
        <v>13002561</v>
      </c>
      <c r="E2065">
        <v>13</v>
      </c>
      <c r="F2065">
        <v>22589</v>
      </c>
      <c r="G2065" t="s">
        <v>23</v>
      </c>
      <c r="H2065">
        <v>15</v>
      </c>
      <c r="I2065">
        <v>65737</v>
      </c>
      <c r="J2065" t="s">
        <v>53</v>
      </c>
      <c r="K2065" t="s">
        <v>28</v>
      </c>
      <c r="L2065" t="s">
        <v>47</v>
      </c>
      <c r="M2065">
        <v>2</v>
      </c>
      <c r="N2065">
        <v>53.88</v>
      </c>
      <c r="O2065">
        <v>88.81</v>
      </c>
      <c r="P2065">
        <v>0</v>
      </c>
      <c r="Q2065">
        <v>0</v>
      </c>
      <c r="S2065">
        <v>29</v>
      </c>
      <c r="T2065">
        <v>1</v>
      </c>
      <c r="U2065">
        <v>6</v>
      </c>
      <c r="V2065">
        <v>88.81</v>
      </c>
      <c r="W2065">
        <v>13130002063</v>
      </c>
    </row>
    <row r="2066" spans="1:23" x14ac:dyDescent="0.2">
      <c r="A2066" s="1">
        <v>44799</v>
      </c>
      <c r="B2066" s="2">
        <v>0.58924768518518522</v>
      </c>
      <c r="C2066">
        <v>3064</v>
      </c>
      <c r="D2066">
        <v>13002561</v>
      </c>
      <c r="E2066">
        <v>13</v>
      </c>
      <c r="F2066">
        <v>22589</v>
      </c>
      <c r="G2066" t="s">
        <v>23</v>
      </c>
      <c r="H2066">
        <v>18</v>
      </c>
      <c r="I2066">
        <v>96532</v>
      </c>
      <c r="J2066" t="s">
        <v>57</v>
      </c>
      <c r="K2066" t="s">
        <v>28</v>
      </c>
      <c r="L2066" t="s">
        <v>39</v>
      </c>
      <c r="M2066">
        <v>2</v>
      </c>
      <c r="N2066">
        <v>306.77999999999997</v>
      </c>
      <c r="O2066">
        <v>515.26</v>
      </c>
      <c r="P2066">
        <v>51.53</v>
      </c>
      <c r="Q2066">
        <v>51.53</v>
      </c>
      <c r="R2066" t="s">
        <v>30</v>
      </c>
      <c r="S2066">
        <v>29</v>
      </c>
      <c r="T2066">
        <v>1</v>
      </c>
      <c r="U2066">
        <v>1</v>
      </c>
      <c r="V2066">
        <v>463.73</v>
      </c>
      <c r="W2066">
        <v>13130002064</v>
      </c>
    </row>
    <row r="2067" spans="1:23" x14ac:dyDescent="0.2">
      <c r="A2067" s="1">
        <v>44795</v>
      </c>
      <c r="B2067" s="2">
        <v>0.95335648148148144</v>
      </c>
      <c r="C2067">
        <v>3065</v>
      </c>
      <c r="D2067">
        <v>13002561</v>
      </c>
      <c r="E2067">
        <v>13</v>
      </c>
      <c r="F2067">
        <v>22589</v>
      </c>
      <c r="G2067" t="s">
        <v>23</v>
      </c>
      <c r="H2067">
        <v>18</v>
      </c>
      <c r="I2067">
        <v>19689</v>
      </c>
      <c r="J2067" t="s">
        <v>108</v>
      </c>
      <c r="K2067" t="s">
        <v>45</v>
      </c>
      <c r="L2067" t="s">
        <v>26</v>
      </c>
      <c r="M2067">
        <v>3</v>
      </c>
      <c r="N2067">
        <v>597.19000000000005</v>
      </c>
      <c r="O2067">
        <v>986.89</v>
      </c>
      <c r="P2067">
        <v>49.34</v>
      </c>
      <c r="Q2067">
        <v>49.34</v>
      </c>
      <c r="R2067" t="s">
        <v>30</v>
      </c>
      <c r="S2067">
        <v>29</v>
      </c>
      <c r="T2067">
        <v>1</v>
      </c>
      <c r="U2067">
        <v>3</v>
      </c>
      <c r="V2067">
        <v>937.55</v>
      </c>
      <c r="W2067">
        <v>13130002065</v>
      </c>
    </row>
    <row r="2068" spans="1:23" x14ac:dyDescent="0.2">
      <c r="A2068" s="1">
        <v>44778</v>
      </c>
      <c r="B2068" s="2">
        <v>0.80313657407407413</v>
      </c>
      <c r="C2068">
        <v>3066</v>
      </c>
      <c r="D2068">
        <v>13002561</v>
      </c>
      <c r="E2068">
        <v>13</v>
      </c>
      <c r="F2068">
        <v>22589</v>
      </c>
      <c r="G2068" t="s">
        <v>23</v>
      </c>
      <c r="H2068">
        <v>15</v>
      </c>
      <c r="I2068">
        <v>59932</v>
      </c>
      <c r="J2068" t="s">
        <v>62</v>
      </c>
      <c r="K2068" t="s">
        <v>60</v>
      </c>
      <c r="L2068" t="s">
        <v>51</v>
      </c>
      <c r="M2068">
        <v>1</v>
      </c>
      <c r="N2068">
        <v>358.41</v>
      </c>
      <c r="O2068">
        <v>482.49</v>
      </c>
      <c r="P2068">
        <v>48.25</v>
      </c>
      <c r="Q2068">
        <v>48.25</v>
      </c>
      <c r="R2068" t="s">
        <v>30</v>
      </c>
      <c r="S2068">
        <v>29</v>
      </c>
      <c r="T2068">
        <v>1</v>
      </c>
      <c r="U2068">
        <v>1</v>
      </c>
      <c r="V2068">
        <v>434.24</v>
      </c>
      <c r="W2068">
        <v>13130002066</v>
      </c>
    </row>
    <row r="2069" spans="1:23" x14ac:dyDescent="0.2">
      <c r="A2069" s="1">
        <v>44792</v>
      </c>
      <c r="B2069" s="2">
        <v>0.87324074074074076</v>
      </c>
      <c r="C2069">
        <v>3067</v>
      </c>
      <c r="D2069">
        <v>13002561</v>
      </c>
      <c r="E2069">
        <v>13</v>
      </c>
      <c r="F2069">
        <v>22589</v>
      </c>
      <c r="G2069" t="s">
        <v>23</v>
      </c>
      <c r="H2069">
        <v>15</v>
      </c>
      <c r="I2069">
        <v>20654</v>
      </c>
      <c r="J2069" t="s">
        <v>88</v>
      </c>
      <c r="K2069" t="s">
        <v>25</v>
      </c>
      <c r="L2069" t="s">
        <v>51</v>
      </c>
      <c r="M2069">
        <v>3</v>
      </c>
      <c r="N2069">
        <v>278.89999999999998</v>
      </c>
      <c r="O2069">
        <v>408.99</v>
      </c>
      <c r="P2069">
        <v>40.9</v>
      </c>
      <c r="Q2069">
        <v>40.9</v>
      </c>
      <c r="R2069" t="s">
        <v>30</v>
      </c>
      <c r="S2069">
        <v>29</v>
      </c>
      <c r="T2069">
        <v>1</v>
      </c>
      <c r="U2069">
        <v>3</v>
      </c>
      <c r="V2069">
        <v>368.09</v>
      </c>
      <c r="W2069">
        <v>13130002067</v>
      </c>
    </row>
    <row r="2070" spans="1:23" x14ac:dyDescent="0.2">
      <c r="A2070" s="1">
        <v>44776</v>
      </c>
      <c r="B2070" s="2">
        <v>0.94168981481481484</v>
      </c>
      <c r="C2070">
        <v>3068</v>
      </c>
      <c r="D2070">
        <v>13002561</v>
      </c>
      <c r="E2070">
        <v>13</v>
      </c>
      <c r="F2070">
        <v>22589</v>
      </c>
      <c r="G2070" t="s">
        <v>23</v>
      </c>
      <c r="H2070">
        <v>18</v>
      </c>
      <c r="I2070">
        <v>44242</v>
      </c>
      <c r="J2070" t="s">
        <v>31</v>
      </c>
      <c r="K2070" t="s">
        <v>38</v>
      </c>
      <c r="L2070" t="s">
        <v>26</v>
      </c>
      <c r="M2070">
        <v>2</v>
      </c>
      <c r="N2070">
        <v>240.21</v>
      </c>
      <c r="O2070">
        <v>401</v>
      </c>
      <c r="P2070">
        <v>40.1</v>
      </c>
      <c r="Q2070">
        <v>40.1</v>
      </c>
      <c r="R2070" t="s">
        <v>30</v>
      </c>
      <c r="S2070">
        <v>29</v>
      </c>
      <c r="T2070">
        <v>1</v>
      </c>
      <c r="U2070">
        <v>5</v>
      </c>
      <c r="V2070">
        <v>360.9</v>
      </c>
      <c r="W2070">
        <v>13130002068</v>
      </c>
    </row>
    <row r="2071" spans="1:23" x14ac:dyDescent="0.2">
      <c r="A2071" s="1">
        <v>44775</v>
      </c>
      <c r="B2071" s="2">
        <v>0.60187500000000005</v>
      </c>
      <c r="C2071">
        <v>3069</v>
      </c>
      <c r="D2071">
        <v>13002561</v>
      </c>
      <c r="E2071">
        <v>13</v>
      </c>
      <c r="F2071">
        <v>22589</v>
      </c>
      <c r="G2071" t="s">
        <v>23</v>
      </c>
      <c r="H2071">
        <v>15</v>
      </c>
      <c r="I2071">
        <v>91432</v>
      </c>
      <c r="J2071" t="s">
        <v>94</v>
      </c>
      <c r="K2071" t="s">
        <v>25</v>
      </c>
      <c r="L2071" t="s">
        <v>39</v>
      </c>
      <c r="M2071">
        <v>1</v>
      </c>
      <c r="N2071">
        <v>386.66</v>
      </c>
      <c r="O2071">
        <v>638.89</v>
      </c>
      <c r="P2071">
        <v>63.89</v>
      </c>
      <c r="Q2071">
        <v>63.89</v>
      </c>
      <c r="R2071" t="s">
        <v>30</v>
      </c>
      <c r="S2071">
        <v>29</v>
      </c>
      <c r="T2071">
        <v>1</v>
      </c>
      <c r="U2071">
        <v>2</v>
      </c>
      <c r="V2071">
        <v>575</v>
      </c>
      <c r="W2071">
        <v>13130002069</v>
      </c>
    </row>
    <row r="2072" spans="1:23" x14ac:dyDescent="0.2">
      <c r="A2072" s="1">
        <v>44792</v>
      </c>
      <c r="B2072" s="2">
        <v>0.81895833333333334</v>
      </c>
      <c r="C2072">
        <v>3070</v>
      </c>
      <c r="D2072">
        <v>13002561</v>
      </c>
      <c r="E2072">
        <v>13</v>
      </c>
      <c r="F2072">
        <v>22589</v>
      </c>
      <c r="G2072" t="s">
        <v>23</v>
      </c>
      <c r="H2072">
        <v>18</v>
      </c>
      <c r="I2072">
        <v>28883</v>
      </c>
      <c r="J2072" t="s">
        <v>113</v>
      </c>
      <c r="K2072" t="s">
        <v>28</v>
      </c>
      <c r="L2072" t="s">
        <v>51</v>
      </c>
      <c r="M2072">
        <v>1</v>
      </c>
      <c r="N2072">
        <v>560.44000000000005</v>
      </c>
      <c r="O2072">
        <v>890.93</v>
      </c>
      <c r="P2072">
        <v>0</v>
      </c>
      <c r="Q2072">
        <v>0</v>
      </c>
      <c r="S2072">
        <v>29</v>
      </c>
      <c r="T2072">
        <v>1</v>
      </c>
      <c r="U2072">
        <v>1</v>
      </c>
      <c r="V2072">
        <v>890.93</v>
      </c>
      <c r="W2072">
        <v>13130002070</v>
      </c>
    </row>
    <row r="2073" spans="1:23" x14ac:dyDescent="0.2">
      <c r="A2073" s="1">
        <v>44801</v>
      </c>
      <c r="B2073" s="2">
        <v>0.37600694444444438</v>
      </c>
      <c r="C2073">
        <v>3071</v>
      </c>
      <c r="D2073">
        <v>13002561</v>
      </c>
      <c r="E2073">
        <v>13</v>
      </c>
      <c r="F2073">
        <v>22589</v>
      </c>
      <c r="G2073" t="s">
        <v>23</v>
      </c>
      <c r="H2073">
        <v>18</v>
      </c>
      <c r="I2073">
        <v>61800</v>
      </c>
      <c r="J2073" t="s">
        <v>88</v>
      </c>
      <c r="K2073" t="s">
        <v>38</v>
      </c>
      <c r="L2073" t="s">
        <v>34</v>
      </c>
      <c r="M2073">
        <v>1</v>
      </c>
      <c r="N2073">
        <v>91.3</v>
      </c>
      <c r="O2073">
        <v>144.66</v>
      </c>
      <c r="P2073">
        <v>14.47</v>
      </c>
      <c r="Q2073">
        <v>14.47</v>
      </c>
      <c r="R2073" t="s">
        <v>30</v>
      </c>
      <c r="S2073">
        <v>29</v>
      </c>
      <c r="T2073">
        <v>1</v>
      </c>
      <c r="U2073">
        <v>6</v>
      </c>
      <c r="V2073">
        <v>130.19</v>
      </c>
      <c r="W2073">
        <v>13130002071</v>
      </c>
    </row>
    <row r="2074" spans="1:23" x14ac:dyDescent="0.2">
      <c r="A2074" s="1">
        <v>44790</v>
      </c>
      <c r="B2074" s="2">
        <v>0.44832175925925932</v>
      </c>
      <c r="C2074">
        <v>3072</v>
      </c>
      <c r="D2074">
        <v>13002561</v>
      </c>
      <c r="E2074">
        <v>13</v>
      </c>
      <c r="F2074">
        <v>22589</v>
      </c>
      <c r="G2074" t="s">
        <v>23</v>
      </c>
      <c r="H2074">
        <v>18</v>
      </c>
      <c r="I2074">
        <v>10056</v>
      </c>
      <c r="J2074" t="s">
        <v>70</v>
      </c>
      <c r="K2074" t="s">
        <v>60</v>
      </c>
      <c r="L2074" t="s">
        <v>39</v>
      </c>
      <c r="M2074">
        <v>3</v>
      </c>
      <c r="N2074">
        <v>101.02</v>
      </c>
      <c r="O2074">
        <v>141.81</v>
      </c>
      <c r="P2074">
        <v>14.18</v>
      </c>
      <c r="Q2074">
        <v>14.18</v>
      </c>
      <c r="R2074" t="s">
        <v>30</v>
      </c>
      <c r="S2074">
        <v>29</v>
      </c>
      <c r="T2074">
        <v>1</v>
      </c>
      <c r="U2074">
        <v>5</v>
      </c>
      <c r="V2074">
        <v>127.63</v>
      </c>
      <c r="W2074">
        <v>13130002072</v>
      </c>
    </row>
    <row r="2075" spans="1:23" x14ac:dyDescent="0.2">
      <c r="A2075" s="1">
        <v>44777</v>
      </c>
      <c r="B2075" s="2">
        <v>0.87982638888888887</v>
      </c>
      <c r="C2075">
        <v>3073</v>
      </c>
      <c r="D2075">
        <v>13002561</v>
      </c>
      <c r="E2075">
        <v>13</v>
      </c>
      <c r="F2075">
        <v>22589</v>
      </c>
      <c r="G2075" t="s">
        <v>23</v>
      </c>
      <c r="H2075">
        <v>18</v>
      </c>
      <c r="I2075">
        <v>94171</v>
      </c>
      <c r="J2075" t="s">
        <v>105</v>
      </c>
      <c r="K2075" t="s">
        <v>25</v>
      </c>
      <c r="L2075" t="s">
        <v>29</v>
      </c>
      <c r="M2075">
        <v>2</v>
      </c>
      <c r="N2075">
        <v>433.44</v>
      </c>
      <c r="O2075">
        <v>569.67999999999995</v>
      </c>
      <c r="P2075">
        <v>0</v>
      </c>
      <c r="Q2075">
        <v>0</v>
      </c>
      <c r="S2075">
        <v>29</v>
      </c>
      <c r="T2075">
        <v>1</v>
      </c>
      <c r="U2075">
        <v>6</v>
      </c>
      <c r="V2075">
        <v>569.67999999999995</v>
      </c>
      <c r="W2075">
        <v>13130002073</v>
      </c>
    </row>
    <row r="2076" spans="1:23" x14ac:dyDescent="0.2">
      <c r="A2076" s="1">
        <v>44787</v>
      </c>
      <c r="B2076" s="2">
        <v>0.69098379629629625</v>
      </c>
      <c r="C2076">
        <v>3074</v>
      </c>
      <c r="D2076">
        <v>13002561</v>
      </c>
      <c r="E2076">
        <v>13</v>
      </c>
      <c r="F2076">
        <v>22589</v>
      </c>
      <c r="G2076" t="s">
        <v>23</v>
      </c>
      <c r="H2076">
        <v>15</v>
      </c>
      <c r="I2076">
        <v>29014</v>
      </c>
      <c r="J2076" t="s">
        <v>126</v>
      </c>
      <c r="K2076" t="s">
        <v>38</v>
      </c>
      <c r="L2076" t="s">
        <v>34</v>
      </c>
      <c r="M2076">
        <v>1</v>
      </c>
      <c r="N2076">
        <v>220.08</v>
      </c>
      <c r="O2076">
        <v>289.64999999999998</v>
      </c>
      <c r="P2076">
        <v>28.96</v>
      </c>
      <c r="Q2076">
        <v>28.96</v>
      </c>
      <c r="R2076" t="s">
        <v>30</v>
      </c>
      <c r="S2076">
        <v>29</v>
      </c>
      <c r="T2076">
        <v>1</v>
      </c>
      <c r="U2076">
        <v>1</v>
      </c>
      <c r="V2076">
        <v>260.69</v>
      </c>
      <c r="W2076">
        <v>13130002074</v>
      </c>
    </row>
    <row r="2077" spans="1:23" x14ac:dyDescent="0.2">
      <c r="A2077" s="1">
        <v>44799</v>
      </c>
      <c r="B2077" s="2">
        <v>0.72908564814814814</v>
      </c>
      <c r="C2077">
        <v>3075</v>
      </c>
      <c r="D2077">
        <v>13002561</v>
      </c>
      <c r="E2077">
        <v>13</v>
      </c>
      <c r="F2077">
        <v>22589</v>
      </c>
      <c r="G2077" t="s">
        <v>23</v>
      </c>
      <c r="H2077">
        <v>18</v>
      </c>
      <c r="I2077">
        <v>44995</v>
      </c>
      <c r="J2077" t="s">
        <v>59</v>
      </c>
      <c r="K2077" t="s">
        <v>44</v>
      </c>
      <c r="L2077" t="s">
        <v>36</v>
      </c>
      <c r="M2077">
        <v>3</v>
      </c>
      <c r="N2077">
        <v>318.68</v>
      </c>
      <c r="O2077">
        <v>473.56</v>
      </c>
      <c r="P2077">
        <v>47.36</v>
      </c>
      <c r="Q2077">
        <v>47.36</v>
      </c>
      <c r="R2077" t="s">
        <v>30</v>
      </c>
      <c r="S2077">
        <v>29</v>
      </c>
      <c r="T2077">
        <v>1</v>
      </c>
      <c r="U2077">
        <v>2</v>
      </c>
      <c r="V2077">
        <v>426.2</v>
      </c>
      <c r="W2077">
        <v>13130002075</v>
      </c>
    </row>
    <row r="2078" spans="1:23" x14ac:dyDescent="0.2">
      <c r="A2078" s="1">
        <v>44793</v>
      </c>
      <c r="B2078" s="2">
        <v>0.62467592592592591</v>
      </c>
      <c r="C2078">
        <v>3076</v>
      </c>
      <c r="D2078">
        <v>13002561</v>
      </c>
      <c r="E2078">
        <v>13</v>
      </c>
      <c r="F2078">
        <v>22589</v>
      </c>
      <c r="G2078" t="s">
        <v>23</v>
      </c>
      <c r="H2078">
        <v>15</v>
      </c>
      <c r="I2078">
        <v>62248</v>
      </c>
      <c r="J2078" t="s">
        <v>58</v>
      </c>
      <c r="K2078" t="s">
        <v>38</v>
      </c>
      <c r="L2078" t="s">
        <v>39</v>
      </c>
      <c r="M2078">
        <v>3</v>
      </c>
      <c r="N2078">
        <v>223.24</v>
      </c>
      <c r="O2078">
        <v>319.64999999999998</v>
      </c>
      <c r="P2078">
        <v>15.98</v>
      </c>
      <c r="Q2078">
        <v>15.98</v>
      </c>
      <c r="R2078" t="s">
        <v>30</v>
      </c>
      <c r="S2078">
        <v>29</v>
      </c>
      <c r="T2078">
        <v>1</v>
      </c>
      <c r="U2078">
        <v>5</v>
      </c>
      <c r="V2078">
        <v>303.67</v>
      </c>
      <c r="W2078">
        <v>13130002076</v>
      </c>
    </row>
    <row r="2079" spans="1:23" x14ac:dyDescent="0.2">
      <c r="A2079" s="1">
        <v>44804</v>
      </c>
      <c r="B2079" s="2">
        <v>0.46464120370370371</v>
      </c>
      <c r="C2079">
        <v>3077</v>
      </c>
      <c r="D2079">
        <v>13002561</v>
      </c>
      <c r="E2079">
        <v>13</v>
      </c>
      <c r="F2079">
        <v>22589</v>
      </c>
      <c r="G2079" t="s">
        <v>23</v>
      </c>
      <c r="H2079">
        <v>18</v>
      </c>
      <c r="I2079">
        <v>86812</v>
      </c>
      <c r="J2079" t="s">
        <v>98</v>
      </c>
      <c r="K2079" t="s">
        <v>45</v>
      </c>
      <c r="L2079" t="s">
        <v>26</v>
      </c>
      <c r="M2079">
        <v>2</v>
      </c>
      <c r="N2079">
        <v>68.150000000000006</v>
      </c>
      <c r="O2079">
        <v>111.56</v>
      </c>
      <c r="P2079">
        <v>11.16</v>
      </c>
      <c r="Q2079">
        <v>11.16</v>
      </c>
      <c r="R2079" t="s">
        <v>30</v>
      </c>
      <c r="S2079">
        <v>29</v>
      </c>
      <c r="T2079">
        <v>1</v>
      </c>
      <c r="U2079">
        <v>4</v>
      </c>
      <c r="V2079">
        <v>100.4</v>
      </c>
      <c r="W2079">
        <v>13130002077</v>
      </c>
    </row>
    <row r="2080" spans="1:23" x14ac:dyDescent="0.2">
      <c r="A2080" s="1">
        <v>44778</v>
      </c>
      <c r="B2080" s="2">
        <v>0.77503472222222225</v>
      </c>
      <c r="C2080">
        <v>3078</v>
      </c>
      <c r="D2080">
        <v>13002561</v>
      </c>
      <c r="E2080">
        <v>13</v>
      </c>
      <c r="F2080">
        <v>22589</v>
      </c>
      <c r="G2080" t="s">
        <v>23</v>
      </c>
      <c r="H2080">
        <v>18</v>
      </c>
      <c r="I2080">
        <v>20455</v>
      </c>
      <c r="J2080" t="s">
        <v>110</v>
      </c>
      <c r="K2080" t="s">
        <v>45</v>
      </c>
      <c r="L2080" t="s">
        <v>47</v>
      </c>
      <c r="M2080">
        <v>1</v>
      </c>
      <c r="N2080">
        <v>498.95</v>
      </c>
      <c r="O2080">
        <v>744.37</v>
      </c>
      <c r="P2080">
        <v>37.22</v>
      </c>
      <c r="Q2080">
        <v>37.22</v>
      </c>
      <c r="R2080" t="s">
        <v>30</v>
      </c>
      <c r="S2080">
        <v>29</v>
      </c>
      <c r="T2080">
        <v>1</v>
      </c>
      <c r="U2080">
        <v>6</v>
      </c>
      <c r="V2080">
        <v>707.15</v>
      </c>
      <c r="W2080">
        <v>13130002078</v>
      </c>
    </row>
    <row r="2081" spans="1:23" x14ac:dyDescent="0.2">
      <c r="A2081" s="1">
        <v>44784</v>
      </c>
      <c r="B2081" s="2">
        <v>0.63688657407407412</v>
      </c>
      <c r="C2081">
        <v>3079</v>
      </c>
      <c r="D2081">
        <v>13002561</v>
      </c>
      <c r="E2081">
        <v>13</v>
      </c>
      <c r="F2081">
        <v>22589</v>
      </c>
      <c r="G2081" t="s">
        <v>23</v>
      </c>
      <c r="H2081">
        <v>18</v>
      </c>
      <c r="I2081">
        <v>23156</v>
      </c>
      <c r="J2081" t="s">
        <v>72</v>
      </c>
      <c r="K2081" t="s">
        <v>60</v>
      </c>
      <c r="L2081" t="s">
        <v>26</v>
      </c>
      <c r="M2081">
        <v>2</v>
      </c>
      <c r="N2081">
        <v>101.64</v>
      </c>
      <c r="O2081">
        <v>155.76</v>
      </c>
      <c r="P2081">
        <v>7.79</v>
      </c>
      <c r="Q2081">
        <v>7.79</v>
      </c>
      <c r="R2081" t="s">
        <v>30</v>
      </c>
      <c r="S2081">
        <v>29</v>
      </c>
      <c r="T2081">
        <v>1</v>
      </c>
      <c r="U2081">
        <v>2</v>
      </c>
      <c r="V2081">
        <v>147.97</v>
      </c>
      <c r="W2081">
        <v>13130002079</v>
      </c>
    </row>
    <row r="2082" spans="1:23" x14ac:dyDescent="0.2">
      <c r="A2082" s="1">
        <v>44787</v>
      </c>
      <c r="B2082" s="2">
        <v>0.94714120370370369</v>
      </c>
      <c r="C2082">
        <v>3080</v>
      </c>
      <c r="D2082">
        <v>13002561</v>
      </c>
      <c r="E2082">
        <v>13</v>
      </c>
      <c r="F2082">
        <v>22589</v>
      </c>
      <c r="G2082" t="s">
        <v>23</v>
      </c>
      <c r="H2082">
        <v>15</v>
      </c>
      <c r="I2082">
        <v>42785</v>
      </c>
      <c r="J2082" t="s">
        <v>93</v>
      </c>
      <c r="K2082" t="s">
        <v>45</v>
      </c>
      <c r="L2082" t="s">
        <v>32</v>
      </c>
      <c r="M2082">
        <v>1</v>
      </c>
      <c r="N2082">
        <v>45.84</v>
      </c>
      <c r="O2082">
        <v>71.319999999999993</v>
      </c>
      <c r="P2082">
        <v>3.57</v>
      </c>
      <c r="Q2082">
        <v>3.57</v>
      </c>
      <c r="R2082" t="s">
        <v>30</v>
      </c>
      <c r="S2082">
        <v>29</v>
      </c>
      <c r="T2082">
        <v>1</v>
      </c>
      <c r="U2082">
        <v>3</v>
      </c>
      <c r="V2082">
        <v>67.75</v>
      </c>
      <c r="W2082">
        <v>13130002080</v>
      </c>
    </row>
    <row r="2083" spans="1:23" x14ac:dyDescent="0.2">
      <c r="A2083" s="1">
        <v>44774</v>
      </c>
      <c r="B2083" s="2">
        <v>0.37479166666666669</v>
      </c>
      <c r="C2083">
        <v>3081</v>
      </c>
      <c r="D2083">
        <v>13002561</v>
      </c>
      <c r="E2083">
        <v>13</v>
      </c>
      <c r="F2083">
        <v>22589</v>
      </c>
      <c r="G2083" t="s">
        <v>23</v>
      </c>
      <c r="H2083">
        <v>15</v>
      </c>
      <c r="I2083">
        <v>51826</v>
      </c>
      <c r="J2083" t="s">
        <v>27</v>
      </c>
      <c r="K2083" t="s">
        <v>60</v>
      </c>
      <c r="L2083" t="s">
        <v>51</v>
      </c>
      <c r="M2083">
        <v>1</v>
      </c>
      <c r="N2083">
        <v>79.44</v>
      </c>
      <c r="O2083">
        <v>131.63</v>
      </c>
      <c r="P2083">
        <v>0</v>
      </c>
      <c r="Q2083">
        <v>0</v>
      </c>
      <c r="S2083">
        <v>29</v>
      </c>
      <c r="T2083">
        <v>1</v>
      </c>
      <c r="U2083">
        <v>4</v>
      </c>
      <c r="V2083">
        <v>131.63</v>
      </c>
      <c r="W2083">
        <v>13130002081</v>
      </c>
    </row>
    <row r="2084" spans="1:23" x14ac:dyDescent="0.2">
      <c r="A2084" s="1">
        <v>44774</v>
      </c>
      <c r="B2084" s="2">
        <v>0.42677083333333332</v>
      </c>
      <c r="C2084">
        <v>3082</v>
      </c>
      <c r="D2084">
        <v>13002561</v>
      </c>
      <c r="E2084">
        <v>13</v>
      </c>
      <c r="F2084">
        <v>22589</v>
      </c>
      <c r="G2084" t="s">
        <v>23</v>
      </c>
      <c r="H2084">
        <v>18</v>
      </c>
      <c r="I2084">
        <v>53345</v>
      </c>
      <c r="J2084" t="s">
        <v>58</v>
      </c>
      <c r="K2084" t="s">
        <v>45</v>
      </c>
      <c r="L2084" t="s">
        <v>51</v>
      </c>
      <c r="M2084">
        <v>2</v>
      </c>
      <c r="N2084">
        <v>546.16</v>
      </c>
      <c r="O2084">
        <v>898.79</v>
      </c>
      <c r="P2084">
        <v>89.88</v>
      </c>
      <c r="Q2084">
        <v>89.88</v>
      </c>
      <c r="R2084" t="s">
        <v>30</v>
      </c>
      <c r="S2084">
        <v>29</v>
      </c>
      <c r="T2084">
        <v>1</v>
      </c>
      <c r="U2084">
        <v>5</v>
      </c>
      <c r="V2084">
        <v>808.91</v>
      </c>
      <c r="W2084">
        <v>13130002082</v>
      </c>
    </row>
    <row r="2085" spans="1:23" x14ac:dyDescent="0.2">
      <c r="A2085" s="1">
        <v>44793</v>
      </c>
      <c r="B2085" s="2">
        <v>0.77123842592592595</v>
      </c>
      <c r="C2085">
        <v>3083</v>
      </c>
      <c r="D2085">
        <v>13002561</v>
      </c>
      <c r="E2085">
        <v>13</v>
      </c>
      <c r="F2085">
        <v>22589</v>
      </c>
      <c r="G2085" t="s">
        <v>23</v>
      </c>
      <c r="H2085">
        <v>15</v>
      </c>
      <c r="I2085">
        <v>38296</v>
      </c>
      <c r="J2085" t="s">
        <v>52</v>
      </c>
      <c r="K2085" t="s">
        <v>45</v>
      </c>
      <c r="L2085" t="s">
        <v>26</v>
      </c>
      <c r="M2085">
        <v>2</v>
      </c>
      <c r="N2085">
        <v>383.24</v>
      </c>
      <c r="O2085">
        <v>575.47</v>
      </c>
      <c r="P2085">
        <v>0</v>
      </c>
      <c r="Q2085">
        <v>0</v>
      </c>
      <c r="S2085">
        <v>29</v>
      </c>
      <c r="T2085">
        <v>1</v>
      </c>
      <c r="U2085">
        <v>2</v>
      </c>
      <c r="V2085">
        <v>575.47</v>
      </c>
      <c r="W2085">
        <v>13130002083</v>
      </c>
    </row>
    <row r="2086" spans="1:23" x14ac:dyDescent="0.2">
      <c r="A2086" s="1">
        <v>44794</v>
      </c>
      <c r="B2086" s="2">
        <v>0.82356481481481481</v>
      </c>
      <c r="C2086">
        <v>3084</v>
      </c>
      <c r="D2086">
        <v>13002561</v>
      </c>
      <c r="E2086">
        <v>13</v>
      </c>
      <c r="F2086">
        <v>22589</v>
      </c>
      <c r="G2086" t="s">
        <v>23</v>
      </c>
      <c r="H2086">
        <v>15</v>
      </c>
      <c r="I2086">
        <v>88548</v>
      </c>
      <c r="J2086" t="s">
        <v>122</v>
      </c>
      <c r="K2086" t="s">
        <v>38</v>
      </c>
      <c r="L2086" t="s">
        <v>26</v>
      </c>
      <c r="M2086">
        <v>2</v>
      </c>
      <c r="N2086">
        <v>593.98</v>
      </c>
      <c r="O2086">
        <v>822.16</v>
      </c>
      <c r="P2086">
        <v>41.11</v>
      </c>
      <c r="Q2086">
        <v>41.11</v>
      </c>
      <c r="R2086" t="s">
        <v>30</v>
      </c>
      <c r="S2086">
        <v>29</v>
      </c>
      <c r="T2086">
        <v>1</v>
      </c>
      <c r="U2086">
        <v>5</v>
      </c>
      <c r="V2086">
        <v>781.05</v>
      </c>
      <c r="W2086">
        <v>13130002084</v>
      </c>
    </row>
    <row r="2087" spans="1:23" x14ac:dyDescent="0.2">
      <c r="A2087" s="1">
        <v>44785</v>
      </c>
      <c r="B2087" s="2">
        <v>0.91469907407407403</v>
      </c>
      <c r="C2087">
        <v>3085</v>
      </c>
      <c r="D2087">
        <v>13002561</v>
      </c>
      <c r="E2087">
        <v>13</v>
      </c>
      <c r="F2087">
        <v>22589</v>
      </c>
      <c r="G2087" t="s">
        <v>23</v>
      </c>
      <c r="H2087">
        <v>18</v>
      </c>
      <c r="I2087">
        <v>37064</v>
      </c>
      <c r="J2087" t="s">
        <v>74</v>
      </c>
      <c r="K2087" t="s">
        <v>25</v>
      </c>
      <c r="L2087" t="s">
        <v>26</v>
      </c>
      <c r="M2087">
        <v>2</v>
      </c>
      <c r="N2087">
        <v>462</v>
      </c>
      <c r="O2087">
        <v>672.98</v>
      </c>
      <c r="P2087">
        <v>67.3</v>
      </c>
      <c r="Q2087">
        <v>67.3</v>
      </c>
      <c r="R2087" t="s">
        <v>30</v>
      </c>
      <c r="S2087">
        <v>29</v>
      </c>
      <c r="T2087">
        <v>1</v>
      </c>
      <c r="U2087">
        <v>4</v>
      </c>
      <c r="V2087">
        <v>605.67999999999995</v>
      </c>
      <c r="W2087">
        <v>13130002085</v>
      </c>
    </row>
    <row r="2088" spans="1:23" x14ac:dyDescent="0.2">
      <c r="A2088" s="1">
        <v>44775</v>
      </c>
      <c r="B2088" s="2">
        <v>0.50924768518518515</v>
      </c>
      <c r="C2088">
        <v>3086</v>
      </c>
      <c r="D2088">
        <v>13002561</v>
      </c>
      <c r="E2088">
        <v>13</v>
      </c>
      <c r="F2088">
        <v>22589</v>
      </c>
      <c r="G2088" t="s">
        <v>23</v>
      </c>
      <c r="H2088">
        <v>15</v>
      </c>
      <c r="I2088">
        <v>75776</v>
      </c>
      <c r="J2088" t="s">
        <v>106</v>
      </c>
      <c r="K2088" t="s">
        <v>38</v>
      </c>
      <c r="L2088" t="s">
        <v>36</v>
      </c>
      <c r="M2088">
        <v>3</v>
      </c>
      <c r="N2088">
        <v>338.89</v>
      </c>
      <c r="O2088">
        <v>516.87</v>
      </c>
      <c r="P2088">
        <v>25.84</v>
      </c>
      <c r="Q2088">
        <v>25.84</v>
      </c>
      <c r="R2088" t="s">
        <v>30</v>
      </c>
      <c r="S2088">
        <v>29</v>
      </c>
      <c r="T2088">
        <v>1</v>
      </c>
      <c r="U2088">
        <v>1</v>
      </c>
      <c r="V2088">
        <v>491.03</v>
      </c>
      <c r="W2088">
        <v>13130002086</v>
      </c>
    </row>
    <row r="2089" spans="1:23" x14ac:dyDescent="0.2">
      <c r="A2089" s="1">
        <v>44782</v>
      </c>
      <c r="B2089" s="2">
        <v>0.40565972222222219</v>
      </c>
      <c r="C2089">
        <v>3087</v>
      </c>
      <c r="D2089">
        <v>13002561</v>
      </c>
      <c r="E2089">
        <v>13</v>
      </c>
      <c r="F2089">
        <v>22589</v>
      </c>
      <c r="G2089" t="s">
        <v>23</v>
      </c>
      <c r="H2089">
        <v>15</v>
      </c>
      <c r="I2089">
        <v>42225</v>
      </c>
      <c r="J2089" t="s">
        <v>33</v>
      </c>
      <c r="K2089" t="s">
        <v>25</v>
      </c>
      <c r="L2089" t="s">
        <v>32</v>
      </c>
      <c r="M2089">
        <v>1</v>
      </c>
      <c r="N2089">
        <v>515.20000000000005</v>
      </c>
      <c r="O2089">
        <v>706.97</v>
      </c>
      <c r="P2089">
        <v>70.7</v>
      </c>
      <c r="Q2089">
        <v>70.7</v>
      </c>
      <c r="R2089" t="s">
        <v>30</v>
      </c>
      <c r="S2089">
        <v>29</v>
      </c>
      <c r="T2089">
        <v>1</v>
      </c>
      <c r="U2089">
        <v>3</v>
      </c>
      <c r="V2089">
        <v>636.27</v>
      </c>
      <c r="W2089">
        <v>13130002087</v>
      </c>
    </row>
    <row r="2090" spans="1:23" x14ac:dyDescent="0.2">
      <c r="A2090" s="1">
        <v>44777</v>
      </c>
      <c r="B2090" s="2">
        <v>0.33815972222222218</v>
      </c>
      <c r="C2090">
        <v>3088</v>
      </c>
      <c r="D2090">
        <v>13002561</v>
      </c>
      <c r="E2090">
        <v>13</v>
      </c>
      <c r="F2090">
        <v>22589</v>
      </c>
      <c r="G2090" t="s">
        <v>23</v>
      </c>
      <c r="H2090">
        <v>18</v>
      </c>
      <c r="I2090">
        <v>22071</v>
      </c>
      <c r="J2090" t="s">
        <v>84</v>
      </c>
      <c r="K2090" t="s">
        <v>25</v>
      </c>
      <c r="L2090" t="s">
        <v>39</v>
      </c>
      <c r="M2090">
        <v>2</v>
      </c>
      <c r="N2090">
        <v>264.66000000000003</v>
      </c>
      <c r="O2090">
        <v>363.51</v>
      </c>
      <c r="P2090">
        <v>18.18</v>
      </c>
      <c r="Q2090">
        <v>18.18</v>
      </c>
      <c r="R2090" t="s">
        <v>30</v>
      </c>
      <c r="S2090">
        <v>29</v>
      </c>
      <c r="T2090">
        <v>1</v>
      </c>
      <c r="U2090">
        <v>4</v>
      </c>
      <c r="V2090">
        <v>345.33</v>
      </c>
      <c r="W2090">
        <v>13130002088</v>
      </c>
    </row>
    <row r="2091" spans="1:23" x14ac:dyDescent="0.2">
      <c r="A2091" s="1">
        <v>44799</v>
      </c>
      <c r="B2091" s="2">
        <v>0.5486805555555555</v>
      </c>
      <c r="C2091">
        <v>3089</v>
      </c>
      <c r="D2091">
        <v>13002561</v>
      </c>
      <c r="E2091">
        <v>13</v>
      </c>
      <c r="F2091">
        <v>22589</v>
      </c>
      <c r="G2091" t="s">
        <v>23</v>
      </c>
      <c r="H2091">
        <v>18</v>
      </c>
      <c r="I2091">
        <v>57851</v>
      </c>
      <c r="J2091" t="s">
        <v>57</v>
      </c>
      <c r="K2091" t="s">
        <v>60</v>
      </c>
      <c r="L2091" t="s">
        <v>39</v>
      </c>
      <c r="M2091">
        <v>1</v>
      </c>
      <c r="N2091">
        <v>340.75</v>
      </c>
      <c r="O2091">
        <v>483.96</v>
      </c>
      <c r="P2091">
        <v>0</v>
      </c>
      <c r="Q2091">
        <v>0</v>
      </c>
      <c r="S2091">
        <v>29</v>
      </c>
      <c r="T2091">
        <v>1</v>
      </c>
      <c r="U2091">
        <v>1</v>
      </c>
      <c r="V2091">
        <v>483.96</v>
      </c>
      <c r="W2091">
        <v>13130002089</v>
      </c>
    </row>
    <row r="2092" spans="1:23" x14ac:dyDescent="0.2">
      <c r="A2092" s="1">
        <v>44774</v>
      </c>
      <c r="B2092" s="2">
        <v>0.64112268518518523</v>
      </c>
      <c r="C2092">
        <v>3090</v>
      </c>
      <c r="D2092">
        <v>13002561</v>
      </c>
      <c r="E2092">
        <v>13</v>
      </c>
      <c r="F2092">
        <v>22589</v>
      </c>
      <c r="G2092" t="s">
        <v>23</v>
      </c>
      <c r="H2092">
        <v>18</v>
      </c>
      <c r="I2092">
        <v>61098</v>
      </c>
      <c r="J2092" t="s">
        <v>97</v>
      </c>
      <c r="K2092" t="s">
        <v>44</v>
      </c>
      <c r="L2092" t="s">
        <v>26</v>
      </c>
      <c r="M2092">
        <v>2</v>
      </c>
      <c r="N2092">
        <v>324</v>
      </c>
      <c r="O2092">
        <v>515.61</v>
      </c>
      <c r="P2092">
        <v>25.78</v>
      </c>
      <c r="Q2092">
        <v>25.78</v>
      </c>
      <c r="R2092" t="s">
        <v>30</v>
      </c>
      <c r="S2092">
        <v>29</v>
      </c>
      <c r="T2092">
        <v>1</v>
      </c>
      <c r="U2092">
        <v>2</v>
      </c>
      <c r="V2092">
        <v>489.83</v>
      </c>
      <c r="W2092">
        <v>13130002090</v>
      </c>
    </row>
    <row r="2093" spans="1:23" x14ac:dyDescent="0.2">
      <c r="A2093" s="1">
        <v>44776</v>
      </c>
      <c r="B2093" s="2">
        <v>0.8291898148148148</v>
      </c>
      <c r="C2093">
        <v>3091</v>
      </c>
      <c r="D2093">
        <v>13002561</v>
      </c>
      <c r="E2093">
        <v>13</v>
      </c>
      <c r="F2093">
        <v>22589</v>
      </c>
      <c r="G2093" t="s">
        <v>23</v>
      </c>
      <c r="H2093">
        <v>15</v>
      </c>
      <c r="I2093">
        <v>18969</v>
      </c>
      <c r="J2093" t="s">
        <v>105</v>
      </c>
      <c r="K2093" t="s">
        <v>28</v>
      </c>
      <c r="L2093" t="s">
        <v>29</v>
      </c>
      <c r="M2093">
        <v>2</v>
      </c>
      <c r="N2093">
        <v>557.91999999999996</v>
      </c>
      <c r="O2093">
        <v>943.2</v>
      </c>
      <c r="P2093">
        <v>0</v>
      </c>
      <c r="Q2093">
        <v>0</v>
      </c>
      <c r="S2093">
        <v>29</v>
      </c>
      <c r="T2093">
        <v>1</v>
      </c>
      <c r="U2093">
        <v>6</v>
      </c>
      <c r="V2093">
        <v>943.2</v>
      </c>
      <c r="W2093">
        <v>13130002091</v>
      </c>
    </row>
    <row r="2094" spans="1:23" x14ac:dyDescent="0.2">
      <c r="A2094" s="1">
        <v>44804</v>
      </c>
      <c r="B2094" s="2">
        <v>0.93982638888888892</v>
      </c>
      <c r="C2094">
        <v>3092</v>
      </c>
      <c r="D2094">
        <v>13002561</v>
      </c>
      <c r="E2094">
        <v>13</v>
      </c>
      <c r="F2094">
        <v>22589</v>
      </c>
      <c r="G2094" t="s">
        <v>23</v>
      </c>
      <c r="H2094">
        <v>15</v>
      </c>
      <c r="I2094">
        <v>51510</v>
      </c>
      <c r="J2094" t="s">
        <v>80</v>
      </c>
      <c r="K2094" t="s">
        <v>45</v>
      </c>
      <c r="L2094" t="s">
        <v>32</v>
      </c>
      <c r="M2094">
        <v>1</v>
      </c>
      <c r="N2094">
        <v>519.11</v>
      </c>
      <c r="O2094">
        <v>754.35</v>
      </c>
      <c r="P2094">
        <v>0</v>
      </c>
      <c r="Q2094">
        <v>0</v>
      </c>
      <c r="S2094">
        <v>29</v>
      </c>
      <c r="T2094">
        <v>1</v>
      </c>
      <c r="U2094">
        <v>1</v>
      </c>
      <c r="V2094">
        <v>754.35</v>
      </c>
      <c r="W2094">
        <v>13130002092</v>
      </c>
    </row>
    <row r="2095" spans="1:23" x14ac:dyDescent="0.2">
      <c r="A2095" s="1">
        <v>44788</v>
      </c>
      <c r="B2095" s="2">
        <v>0.43637731481481479</v>
      </c>
      <c r="C2095">
        <v>3093</v>
      </c>
      <c r="D2095">
        <v>13002561</v>
      </c>
      <c r="E2095">
        <v>13</v>
      </c>
      <c r="F2095">
        <v>22589</v>
      </c>
      <c r="G2095" t="s">
        <v>23</v>
      </c>
      <c r="H2095">
        <v>15</v>
      </c>
      <c r="I2095">
        <v>67270</v>
      </c>
      <c r="J2095" t="s">
        <v>74</v>
      </c>
      <c r="K2095" t="s">
        <v>44</v>
      </c>
      <c r="L2095" t="s">
        <v>39</v>
      </c>
      <c r="M2095">
        <v>1</v>
      </c>
      <c r="N2095">
        <v>283.19</v>
      </c>
      <c r="O2095">
        <v>475.71</v>
      </c>
      <c r="P2095">
        <v>23.79</v>
      </c>
      <c r="Q2095">
        <v>23.79</v>
      </c>
      <c r="R2095" t="s">
        <v>30</v>
      </c>
      <c r="S2095">
        <v>29</v>
      </c>
      <c r="T2095">
        <v>1</v>
      </c>
      <c r="U2095">
        <v>5</v>
      </c>
      <c r="V2095">
        <v>451.92</v>
      </c>
      <c r="W2095">
        <v>13130002093</v>
      </c>
    </row>
    <row r="2096" spans="1:23" x14ac:dyDescent="0.2">
      <c r="A2096" s="1">
        <v>44801</v>
      </c>
      <c r="B2096" s="2">
        <v>0.9541087962962963</v>
      </c>
      <c r="C2096">
        <v>3094</v>
      </c>
      <c r="D2096">
        <v>13002561</v>
      </c>
      <c r="E2096">
        <v>13</v>
      </c>
      <c r="F2096">
        <v>22589</v>
      </c>
      <c r="G2096" t="s">
        <v>23</v>
      </c>
      <c r="H2096">
        <v>15</v>
      </c>
      <c r="I2096">
        <v>51304</v>
      </c>
      <c r="J2096" t="s">
        <v>85</v>
      </c>
      <c r="K2096" t="s">
        <v>28</v>
      </c>
      <c r="L2096" t="s">
        <v>34</v>
      </c>
      <c r="M2096">
        <v>1</v>
      </c>
      <c r="N2096">
        <v>49.92</v>
      </c>
      <c r="O2096">
        <v>74.680000000000007</v>
      </c>
      <c r="P2096">
        <v>0</v>
      </c>
      <c r="Q2096">
        <v>0</v>
      </c>
      <c r="S2096">
        <v>29</v>
      </c>
      <c r="T2096">
        <v>1</v>
      </c>
      <c r="U2096">
        <v>2</v>
      </c>
      <c r="V2096">
        <v>74.680000000000007</v>
      </c>
      <c r="W2096">
        <v>13130002094</v>
      </c>
    </row>
    <row r="2097" spans="1:23" x14ac:dyDescent="0.2">
      <c r="A2097" s="1">
        <v>44800</v>
      </c>
      <c r="B2097" s="2">
        <v>0.51724537037037033</v>
      </c>
      <c r="C2097">
        <v>3095</v>
      </c>
      <c r="D2097">
        <v>13002561</v>
      </c>
      <c r="E2097">
        <v>13</v>
      </c>
      <c r="F2097">
        <v>22589</v>
      </c>
      <c r="G2097" t="s">
        <v>23</v>
      </c>
      <c r="H2097">
        <v>15</v>
      </c>
      <c r="I2097">
        <v>52282</v>
      </c>
      <c r="J2097" t="s">
        <v>63</v>
      </c>
      <c r="K2097" t="s">
        <v>25</v>
      </c>
      <c r="L2097" t="s">
        <v>51</v>
      </c>
      <c r="M2097">
        <v>2</v>
      </c>
      <c r="N2097">
        <v>192.7</v>
      </c>
      <c r="O2097">
        <v>267.17</v>
      </c>
      <c r="P2097">
        <v>0</v>
      </c>
      <c r="Q2097">
        <v>0</v>
      </c>
      <c r="S2097">
        <v>29</v>
      </c>
      <c r="T2097">
        <v>1</v>
      </c>
      <c r="U2097">
        <v>2</v>
      </c>
      <c r="V2097">
        <v>267.17</v>
      </c>
      <c r="W2097">
        <v>13130002095</v>
      </c>
    </row>
    <row r="2098" spans="1:23" x14ac:dyDescent="0.2">
      <c r="A2098" s="1">
        <v>44794</v>
      </c>
      <c r="B2098" s="2">
        <v>0.68568287037037035</v>
      </c>
      <c r="C2098">
        <v>3096</v>
      </c>
      <c r="D2098">
        <v>13002561</v>
      </c>
      <c r="E2098">
        <v>13</v>
      </c>
      <c r="F2098">
        <v>22589</v>
      </c>
      <c r="G2098" t="s">
        <v>23</v>
      </c>
      <c r="H2098">
        <v>15</v>
      </c>
      <c r="I2098">
        <v>32860</v>
      </c>
      <c r="J2098" t="s">
        <v>63</v>
      </c>
      <c r="K2098" t="s">
        <v>44</v>
      </c>
      <c r="L2098" t="s">
        <v>34</v>
      </c>
      <c r="M2098">
        <v>1</v>
      </c>
      <c r="N2098">
        <v>558.74</v>
      </c>
      <c r="O2098">
        <v>915.53</v>
      </c>
      <c r="P2098">
        <v>0</v>
      </c>
      <c r="Q2098">
        <v>0</v>
      </c>
      <c r="S2098">
        <v>29</v>
      </c>
      <c r="T2098">
        <v>1</v>
      </c>
      <c r="U2098">
        <v>1</v>
      </c>
      <c r="V2098">
        <v>915.53</v>
      </c>
      <c r="W2098">
        <v>13130002096</v>
      </c>
    </row>
    <row r="2099" spans="1:23" x14ac:dyDescent="0.2">
      <c r="A2099" s="1">
        <v>44776</v>
      </c>
      <c r="B2099" s="2">
        <v>0.81664351851851846</v>
      </c>
      <c r="C2099">
        <v>3097</v>
      </c>
      <c r="D2099">
        <v>13002561</v>
      </c>
      <c r="E2099">
        <v>13</v>
      </c>
      <c r="F2099">
        <v>22589</v>
      </c>
      <c r="G2099" t="s">
        <v>23</v>
      </c>
      <c r="H2099">
        <v>18</v>
      </c>
      <c r="I2099">
        <v>43755</v>
      </c>
      <c r="J2099" t="s">
        <v>119</v>
      </c>
      <c r="K2099" t="s">
        <v>28</v>
      </c>
      <c r="L2099" t="s">
        <v>51</v>
      </c>
      <c r="M2099">
        <v>3</v>
      </c>
      <c r="N2099">
        <v>335.48</v>
      </c>
      <c r="O2099">
        <v>505.73</v>
      </c>
      <c r="P2099">
        <v>25.29</v>
      </c>
      <c r="Q2099">
        <v>25.29</v>
      </c>
      <c r="R2099" t="s">
        <v>30</v>
      </c>
      <c r="S2099">
        <v>29</v>
      </c>
      <c r="T2099">
        <v>1</v>
      </c>
      <c r="U2099">
        <v>6</v>
      </c>
      <c r="V2099">
        <v>480.44</v>
      </c>
      <c r="W2099">
        <v>13130002097</v>
      </c>
    </row>
    <row r="2100" spans="1:23" x14ac:dyDescent="0.2">
      <c r="A2100" s="1">
        <v>44804</v>
      </c>
      <c r="B2100" s="2">
        <v>0.46019675925925918</v>
      </c>
      <c r="C2100">
        <v>3098</v>
      </c>
      <c r="D2100">
        <v>13002561</v>
      </c>
      <c r="E2100">
        <v>13</v>
      </c>
      <c r="F2100">
        <v>22589</v>
      </c>
      <c r="G2100" t="s">
        <v>23</v>
      </c>
      <c r="H2100">
        <v>18</v>
      </c>
      <c r="I2100">
        <v>49722</v>
      </c>
      <c r="J2100" t="s">
        <v>117</v>
      </c>
      <c r="K2100" t="s">
        <v>60</v>
      </c>
      <c r="L2100" t="s">
        <v>26</v>
      </c>
      <c r="M2100">
        <v>2</v>
      </c>
      <c r="N2100">
        <v>432.96</v>
      </c>
      <c r="O2100">
        <v>653.15</v>
      </c>
      <c r="P2100">
        <v>65.31</v>
      </c>
      <c r="Q2100">
        <v>65.31</v>
      </c>
      <c r="R2100" t="s">
        <v>30</v>
      </c>
      <c r="S2100">
        <v>29</v>
      </c>
      <c r="T2100">
        <v>1</v>
      </c>
      <c r="U2100">
        <v>4</v>
      </c>
      <c r="V2100">
        <v>587.84</v>
      </c>
      <c r="W2100">
        <v>13130002098</v>
      </c>
    </row>
    <row r="2101" spans="1:23" x14ac:dyDescent="0.2">
      <c r="A2101" s="1">
        <v>44792</v>
      </c>
      <c r="B2101" s="2">
        <v>0.94589120370370372</v>
      </c>
      <c r="C2101">
        <v>3099</v>
      </c>
      <c r="D2101">
        <v>13002561</v>
      </c>
      <c r="E2101">
        <v>13</v>
      </c>
      <c r="F2101">
        <v>22589</v>
      </c>
      <c r="G2101" t="s">
        <v>23</v>
      </c>
      <c r="H2101">
        <v>18</v>
      </c>
      <c r="I2101">
        <v>20925</v>
      </c>
      <c r="J2101" t="s">
        <v>93</v>
      </c>
      <c r="K2101" t="s">
        <v>44</v>
      </c>
      <c r="L2101" t="s">
        <v>47</v>
      </c>
      <c r="M2101">
        <v>1</v>
      </c>
      <c r="N2101">
        <v>92.27</v>
      </c>
      <c r="O2101">
        <v>139.28</v>
      </c>
      <c r="P2101">
        <v>0</v>
      </c>
      <c r="Q2101">
        <v>0</v>
      </c>
      <c r="S2101">
        <v>29</v>
      </c>
      <c r="T2101">
        <v>1</v>
      </c>
      <c r="U2101">
        <v>3</v>
      </c>
      <c r="V2101">
        <v>139.28</v>
      </c>
      <c r="W2101">
        <v>13130002099</v>
      </c>
    </row>
    <row r="2102" spans="1:23" x14ac:dyDescent="0.2">
      <c r="A2102" s="1">
        <v>44786</v>
      </c>
      <c r="B2102" s="2">
        <v>0.65971064814814817</v>
      </c>
      <c r="C2102">
        <v>3100</v>
      </c>
      <c r="D2102">
        <v>13002561</v>
      </c>
      <c r="E2102">
        <v>13</v>
      </c>
      <c r="F2102">
        <v>22589</v>
      </c>
      <c r="G2102" t="s">
        <v>23</v>
      </c>
      <c r="H2102">
        <v>18</v>
      </c>
      <c r="I2102">
        <v>47013</v>
      </c>
      <c r="J2102" t="s">
        <v>108</v>
      </c>
      <c r="K2102" t="s">
        <v>60</v>
      </c>
      <c r="L2102" t="s">
        <v>51</v>
      </c>
      <c r="M2102">
        <v>1</v>
      </c>
      <c r="N2102">
        <v>273.64999999999998</v>
      </c>
      <c r="O2102">
        <v>448.23</v>
      </c>
      <c r="P2102">
        <v>22.41</v>
      </c>
      <c r="Q2102">
        <v>22.41</v>
      </c>
      <c r="R2102" t="s">
        <v>30</v>
      </c>
      <c r="S2102">
        <v>29</v>
      </c>
      <c r="T2102">
        <v>1</v>
      </c>
      <c r="U2102">
        <v>3</v>
      </c>
      <c r="V2102">
        <v>425.82</v>
      </c>
      <c r="W2102">
        <v>13130002100</v>
      </c>
    </row>
    <row r="2103" spans="1:23" x14ac:dyDescent="0.2">
      <c r="A2103" s="1">
        <v>44800</v>
      </c>
      <c r="B2103" s="2">
        <v>0.33493055555555562</v>
      </c>
      <c r="C2103">
        <v>3101</v>
      </c>
      <c r="D2103">
        <v>13002561</v>
      </c>
      <c r="E2103">
        <v>13</v>
      </c>
      <c r="F2103">
        <v>22589</v>
      </c>
      <c r="G2103" t="s">
        <v>23</v>
      </c>
      <c r="H2103">
        <v>15</v>
      </c>
      <c r="I2103">
        <v>67763</v>
      </c>
      <c r="J2103" t="s">
        <v>115</v>
      </c>
      <c r="K2103" t="s">
        <v>28</v>
      </c>
      <c r="L2103" t="s">
        <v>39</v>
      </c>
      <c r="M2103">
        <v>2</v>
      </c>
      <c r="N2103">
        <v>317.77999999999997</v>
      </c>
      <c r="O2103">
        <v>520.99</v>
      </c>
      <c r="P2103">
        <v>26.05</v>
      </c>
      <c r="Q2103">
        <v>26.05</v>
      </c>
      <c r="R2103" t="s">
        <v>30</v>
      </c>
      <c r="S2103">
        <v>29</v>
      </c>
      <c r="T2103">
        <v>1</v>
      </c>
      <c r="U2103">
        <v>5</v>
      </c>
      <c r="V2103">
        <v>494.94</v>
      </c>
      <c r="W2103">
        <v>13130002101</v>
      </c>
    </row>
    <row r="2104" spans="1:23" x14ac:dyDescent="0.2">
      <c r="A2104" s="1">
        <v>44783</v>
      </c>
      <c r="B2104" s="2">
        <v>0.93283564814814812</v>
      </c>
      <c r="C2104">
        <v>3102</v>
      </c>
      <c r="D2104">
        <v>13002561</v>
      </c>
      <c r="E2104">
        <v>13</v>
      </c>
      <c r="F2104">
        <v>22589</v>
      </c>
      <c r="G2104" t="s">
        <v>23</v>
      </c>
      <c r="H2104">
        <v>15</v>
      </c>
      <c r="I2104">
        <v>47928</v>
      </c>
      <c r="J2104" t="s">
        <v>93</v>
      </c>
      <c r="K2104" t="s">
        <v>28</v>
      </c>
      <c r="L2104" t="s">
        <v>26</v>
      </c>
      <c r="M2104">
        <v>2</v>
      </c>
      <c r="N2104">
        <v>273.66000000000003</v>
      </c>
      <c r="O2104">
        <v>363.54</v>
      </c>
      <c r="P2104">
        <v>36.35</v>
      </c>
      <c r="Q2104">
        <v>36.35</v>
      </c>
      <c r="R2104" t="s">
        <v>30</v>
      </c>
      <c r="S2104">
        <v>29</v>
      </c>
      <c r="T2104">
        <v>1</v>
      </c>
      <c r="U2104">
        <v>1</v>
      </c>
      <c r="V2104">
        <v>327.19</v>
      </c>
      <c r="W2104">
        <v>13130002102</v>
      </c>
    </row>
    <row r="2105" spans="1:23" x14ac:dyDescent="0.2">
      <c r="A2105" s="1">
        <v>44782</v>
      </c>
      <c r="B2105" s="2">
        <v>0.41425925925925933</v>
      </c>
      <c r="C2105">
        <v>3103</v>
      </c>
      <c r="D2105">
        <v>13002561</v>
      </c>
      <c r="E2105">
        <v>13</v>
      </c>
      <c r="F2105">
        <v>22589</v>
      </c>
      <c r="G2105" t="s">
        <v>23</v>
      </c>
      <c r="H2105">
        <v>15</v>
      </c>
      <c r="I2105">
        <v>54723</v>
      </c>
      <c r="J2105" t="s">
        <v>92</v>
      </c>
      <c r="K2105" t="s">
        <v>38</v>
      </c>
      <c r="L2105" t="s">
        <v>26</v>
      </c>
      <c r="M2105">
        <v>2</v>
      </c>
      <c r="N2105">
        <v>561.48</v>
      </c>
      <c r="O2105">
        <v>950.44</v>
      </c>
      <c r="P2105">
        <v>47.52</v>
      </c>
      <c r="Q2105">
        <v>47.52</v>
      </c>
      <c r="R2105" t="s">
        <v>30</v>
      </c>
      <c r="S2105">
        <v>29</v>
      </c>
      <c r="T2105">
        <v>1</v>
      </c>
      <c r="U2105">
        <v>5</v>
      </c>
      <c r="V2105">
        <v>902.92</v>
      </c>
      <c r="W2105">
        <v>13130002103</v>
      </c>
    </row>
    <row r="2106" spans="1:23" x14ac:dyDescent="0.2">
      <c r="A2106" s="1">
        <v>44799</v>
      </c>
      <c r="B2106" s="2">
        <v>0.3916203703703704</v>
      </c>
      <c r="C2106">
        <v>3104</v>
      </c>
      <c r="D2106">
        <v>13002561</v>
      </c>
      <c r="E2106">
        <v>13</v>
      </c>
      <c r="F2106">
        <v>22589</v>
      </c>
      <c r="G2106" t="s">
        <v>23</v>
      </c>
      <c r="H2106">
        <v>15</v>
      </c>
      <c r="I2106">
        <v>74454</v>
      </c>
      <c r="J2106" t="s">
        <v>74</v>
      </c>
      <c r="K2106" t="s">
        <v>28</v>
      </c>
      <c r="L2106" t="s">
        <v>26</v>
      </c>
      <c r="M2106">
        <v>2</v>
      </c>
      <c r="N2106">
        <v>330.51</v>
      </c>
      <c r="O2106">
        <v>475.08</v>
      </c>
      <c r="P2106">
        <v>0</v>
      </c>
      <c r="Q2106">
        <v>0</v>
      </c>
      <c r="S2106">
        <v>29</v>
      </c>
      <c r="T2106">
        <v>1</v>
      </c>
      <c r="U2106">
        <v>2</v>
      </c>
      <c r="V2106">
        <v>475.08</v>
      </c>
      <c r="W2106">
        <v>13130002104</v>
      </c>
    </row>
    <row r="2107" spans="1:23" x14ac:dyDescent="0.2">
      <c r="A2107" s="1">
        <v>44799</v>
      </c>
      <c r="B2107" s="2">
        <v>0.78756944444444443</v>
      </c>
      <c r="C2107">
        <v>3105</v>
      </c>
      <c r="D2107">
        <v>13002561</v>
      </c>
      <c r="E2107">
        <v>13</v>
      </c>
      <c r="F2107">
        <v>22589</v>
      </c>
      <c r="G2107" t="s">
        <v>23</v>
      </c>
      <c r="H2107">
        <v>15</v>
      </c>
      <c r="I2107">
        <v>46993</v>
      </c>
      <c r="J2107" t="s">
        <v>105</v>
      </c>
      <c r="K2107" t="s">
        <v>28</v>
      </c>
      <c r="L2107" t="s">
        <v>51</v>
      </c>
      <c r="M2107">
        <v>2</v>
      </c>
      <c r="N2107">
        <v>582.22</v>
      </c>
      <c r="O2107">
        <v>824.46</v>
      </c>
      <c r="P2107">
        <v>0</v>
      </c>
      <c r="Q2107">
        <v>0</v>
      </c>
      <c r="S2107">
        <v>29</v>
      </c>
      <c r="T2107">
        <v>1</v>
      </c>
      <c r="U2107">
        <v>2</v>
      </c>
      <c r="V2107">
        <v>824.46</v>
      </c>
      <c r="W2107">
        <v>13130002105</v>
      </c>
    </row>
    <row r="2108" spans="1:23" x14ac:dyDescent="0.2">
      <c r="A2108" s="1">
        <v>44779</v>
      </c>
      <c r="B2108" s="2">
        <v>0.62937500000000002</v>
      </c>
      <c r="C2108">
        <v>3106</v>
      </c>
      <c r="D2108">
        <v>13002561</v>
      </c>
      <c r="E2108">
        <v>13</v>
      </c>
      <c r="F2108">
        <v>22589</v>
      </c>
      <c r="G2108" t="s">
        <v>23</v>
      </c>
      <c r="H2108">
        <v>15</v>
      </c>
      <c r="I2108">
        <v>52754</v>
      </c>
      <c r="J2108" t="s">
        <v>104</v>
      </c>
      <c r="K2108" t="s">
        <v>60</v>
      </c>
      <c r="L2108" t="s">
        <v>34</v>
      </c>
      <c r="M2108">
        <v>2</v>
      </c>
      <c r="N2108">
        <v>403.3</v>
      </c>
      <c r="O2108">
        <v>513.01</v>
      </c>
      <c r="P2108">
        <v>51.3</v>
      </c>
      <c r="Q2108">
        <v>51.3</v>
      </c>
      <c r="R2108" t="s">
        <v>30</v>
      </c>
      <c r="S2108">
        <v>29</v>
      </c>
      <c r="T2108">
        <v>1</v>
      </c>
      <c r="U2108">
        <v>3</v>
      </c>
      <c r="V2108">
        <v>461.71</v>
      </c>
      <c r="W2108">
        <v>13130002106</v>
      </c>
    </row>
    <row r="2109" spans="1:23" x14ac:dyDescent="0.2">
      <c r="A2109" s="1">
        <v>44804</v>
      </c>
      <c r="B2109" s="2">
        <v>0.58165509259259263</v>
      </c>
      <c r="C2109">
        <v>3107</v>
      </c>
      <c r="D2109">
        <v>13002561</v>
      </c>
      <c r="E2109">
        <v>13</v>
      </c>
      <c r="F2109">
        <v>22589</v>
      </c>
      <c r="G2109" t="s">
        <v>23</v>
      </c>
      <c r="H2109">
        <v>18</v>
      </c>
      <c r="I2109">
        <v>85411</v>
      </c>
      <c r="J2109" t="s">
        <v>33</v>
      </c>
      <c r="K2109" t="s">
        <v>60</v>
      </c>
      <c r="L2109" t="s">
        <v>36</v>
      </c>
      <c r="M2109">
        <v>3</v>
      </c>
      <c r="N2109">
        <v>41.38</v>
      </c>
      <c r="O2109">
        <v>56.49</v>
      </c>
      <c r="P2109">
        <v>2.82</v>
      </c>
      <c r="Q2109">
        <v>2.82</v>
      </c>
      <c r="R2109" t="s">
        <v>30</v>
      </c>
      <c r="S2109">
        <v>29</v>
      </c>
      <c r="T2109">
        <v>1</v>
      </c>
      <c r="U2109">
        <v>1</v>
      </c>
      <c r="V2109">
        <v>53.67</v>
      </c>
      <c r="W2109">
        <v>13130002107</v>
      </c>
    </row>
    <row r="2110" spans="1:23" x14ac:dyDescent="0.2">
      <c r="A2110" s="1">
        <v>44789</v>
      </c>
      <c r="B2110" s="2">
        <v>0.85075231481481484</v>
      </c>
      <c r="C2110">
        <v>3108</v>
      </c>
      <c r="D2110">
        <v>13002561</v>
      </c>
      <c r="E2110">
        <v>13</v>
      </c>
      <c r="F2110">
        <v>22589</v>
      </c>
      <c r="G2110" t="s">
        <v>23</v>
      </c>
      <c r="H2110">
        <v>18</v>
      </c>
      <c r="I2110">
        <v>79232</v>
      </c>
      <c r="J2110" t="s">
        <v>109</v>
      </c>
      <c r="K2110" t="s">
        <v>60</v>
      </c>
      <c r="L2110" t="s">
        <v>51</v>
      </c>
      <c r="M2110">
        <v>1</v>
      </c>
      <c r="N2110">
        <v>381.7</v>
      </c>
      <c r="O2110">
        <v>477.21</v>
      </c>
      <c r="P2110">
        <v>47.72</v>
      </c>
      <c r="Q2110">
        <v>47.72</v>
      </c>
      <c r="R2110" t="s">
        <v>30</v>
      </c>
      <c r="S2110">
        <v>29</v>
      </c>
      <c r="T2110">
        <v>1</v>
      </c>
      <c r="U2110">
        <v>1</v>
      </c>
      <c r="V2110">
        <v>429.49</v>
      </c>
      <c r="W2110">
        <v>13130002108</v>
      </c>
    </row>
    <row r="2111" spans="1:23" x14ac:dyDescent="0.2">
      <c r="A2111" s="1">
        <v>44802</v>
      </c>
      <c r="B2111" s="2">
        <v>0.59611111111111115</v>
      </c>
      <c r="C2111">
        <v>3109</v>
      </c>
      <c r="D2111">
        <v>13002561</v>
      </c>
      <c r="E2111">
        <v>13</v>
      </c>
      <c r="F2111">
        <v>22589</v>
      </c>
      <c r="G2111" t="s">
        <v>23</v>
      </c>
      <c r="H2111">
        <v>18</v>
      </c>
      <c r="I2111">
        <v>34047</v>
      </c>
      <c r="J2111" t="s">
        <v>67</v>
      </c>
      <c r="K2111" t="s">
        <v>45</v>
      </c>
      <c r="L2111" t="s">
        <v>26</v>
      </c>
      <c r="M2111">
        <v>2</v>
      </c>
      <c r="N2111">
        <v>416.55</v>
      </c>
      <c r="O2111">
        <v>534.04999999999995</v>
      </c>
      <c r="P2111">
        <v>0</v>
      </c>
      <c r="Q2111">
        <v>0</v>
      </c>
      <c r="S2111">
        <v>29</v>
      </c>
      <c r="T2111">
        <v>1</v>
      </c>
      <c r="U2111">
        <v>1</v>
      </c>
      <c r="V2111">
        <v>534.04999999999995</v>
      </c>
      <c r="W2111">
        <v>13130002109</v>
      </c>
    </row>
    <row r="2112" spans="1:23" x14ac:dyDescent="0.2">
      <c r="A2112" s="1">
        <v>44786</v>
      </c>
      <c r="B2112" s="2">
        <v>0.47716435185185191</v>
      </c>
      <c r="C2112">
        <v>3110</v>
      </c>
      <c r="D2112">
        <v>13002561</v>
      </c>
      <c r="E2112">
        <v>13</v>
      </c>
      <c r="F2112">
        <v>22589</v>
      </c>
      <c r="G2112" t="s">
        <v>23</v>
      </c>
      <c r="H2112">
        <v>18</v>
      </c>
      <c r="I2112">
        <v>16735</v>
      </c>
      <c r="J2112" t="s">
        <v>100</v>
      </c>
      <c r="K2112" t="s">
        <v>28</v>
      </c>
      <c r="L2112" t="s">
        <v>26</v>
      </c>
      <c r="M2112">
        <v>1</v>
      </c>
      <c r="N2112">
        <v>247.69</v>
      </c>
      <c r="O2112">
        <v>374.84</v>
      </c>
      <c r="P2112">
        <v>18.739999999999998</v>
      </c>
      <c r="Q2112">
        <v>18.739999999999998</v>
      </c>
      <c r="R2112" t="s">
        <v>30</v>
      </c>
      <c r="S2112">
        <v>29</v>
      </c>
      <c r="T2112">
        <v>1</v>
      </c>
      <c r="U2112">
        <v>4</v>
      </c>
      <c r="V2112">
        <v>356.1</v>
      </c>
      <c r="W2112">
        <v>13130002110</v>
      </c>
    </row>
    <row r="2113" spans="1:23" x14ac:dyDescent="0.2">
      <c r="A2113" s="1">
        <v>44800</v>
      </c>
      <c r="B2113" s="2">
        <v>0.7904282407407407</v>
      </c>
      <c r="C2113">
        <v>3111</v>
      </c>
      <c r="D2113">
        <v>13002561</v>
      </c>
      <c r="E2113">
        <v>13</v>
      </c>
      <c r="F2113">
        <v>22589</v>
      </c>
      <c r="G2113" t="s">
        <v>23</v>
      </c>
      <c r="H2113">
        <v>15</v>
      </c>
      <c r="I2113">
        <v>69865</v>
      </c>
      <c r="J2113" t="s">
        <v>48</v>
      </c>
      <c r="K2113" t="s">
        <v>44</v>
      </c>
      <c r="L2113" t="s">
        <v>26</v>
      </c>
      <c r="M2113">
        <v>3</v>
      </c>
      <c r="N2113">
        <v>109.61</v>
      </c>
      <c r="O2113">
        <v>169.52</v>
      </c>
      <c r="P2113">
        <v>0</v>
      </c>
      <c r="Q2113">
        <v>0</v>
      </c>
      <c r="S2113">
        <v>29</v>
      </c>
      <c r="T2113">
        <v>1</v>
      </c>
      <c r="U2113">
        <v>3</v>
      </c>
      <c r="V2113">
        <v>169.52</v>
      </c>
      <c r="W2113">
        <v>13130002111</v>
      </c>
    </row>
    <row r="2114" spans="1:23" x14ac:dyDescent="0.2">
      <c r="A2114" s="1">
        <v>44788</v>
      </c>
      <c r="B2114" s="2">
        <v>0.44788194444444451</v>
      </c>
      <c r="C2114">
        <v>3112</v>
      </c>
      <c r="D2114">
        <v>13002561</v>
      </c>
      <c r="E2114">
        <v>13</v>
      </c>
      <c r="F2114">
        <v>22589</v>
      </c>
      <c r="G2114" t="s">
        <v>23</v>
      </c>
      <c r="H2114">
        <v>15</v>
      </c>
      <c r="I2114">
        <v>13362</v>
      </c>
      <c r="J2114" t="s">
        <v>72</v>
      </c>
      <c r="K2114" t="s">
        <v>45</v>
      </c>
      <c r="L2114" t="s">
        <v>29</v>
      </c>
      <c r="M2114">
        <v>2</v>
      </c>
      <c r="N2114">
        <v>145.51</v>
      </c>
      <c r="O2114">
        <v>234.87</v>
      </c>
      <c r="P2114">
        <v>0</v>
      </c>
      <c r="Q2114">
        <v>0</v>
      </c>
      <c r="S2114">
        <v>29</v>
      </c>
      <c r="T2114">
        <v>1</v>
      </c>
      <c r="U2114">
        <v>6</v>
      </c>
      <c r="V2114">
        <v>234.87</v>
      </c>
      <c r="W2114">
        <v>13130002112</v>
      </c>
    </row>
    <row r="2115" spans="1:23" x14ac:dyDescent="0.2">
      <c r="A2115" s="1">
        <v>44797</v>
      </c>
      <c r="B2115" s="2">
        <v>0.81916666666666671</v>
      </c>
      <c r="C2115">
        <v>3113</v>
      </c>
      <c r="D2115">
        <v>13002561</v>
      </c>
      <c r="E2115">
        <v>13</v>
      </c>
      <c r="F2115">
        <v>22589</v>
      </c>
      <c r="G2115" t="s">
        <v>23</v>
      </c>
      <c r="H2115">
        <v>15</v>
      </c>
      <c r="I2115">
        <v>75744</v>
      </c>
      <c r="J2115" t="s">
        <v>88</v>
      </c>
      <c r="K2115" t="s">
        <v>60</v>
      </c>
      <c r="L2115" t="s">
        <v>29</v>
      </c>
      <c r="M2115">
        <v>2</v>
      </c>
      <c r="N2115">
        <v>326.47000000000003</v>
      </c>
      <c r="O2115">
        <v>476.18</v>
      </c>
      <c r="P2115">
        <v>23.81</v>
      </c>
      <c r="Q2115">
        <v>23.81</v>
      </c>
      <c r="R2115" t="s">
        <v>30</v>
      </c>
      <c r="S2115">
        <v>29</v>
      </c>
      <c r="T2115">
        <v>1</v>
      </c>
      <c r="U2115">
        <v>1</v>
      </c>
      <c r="V2115">
        <v>452.37</v>
      </c>
      <c r="W2115">
        <v>13130002113</v>
      </c>
    </row>
    <row r="2116" spans="1:23" x14ac:dyDescent="0.2">
      <c r="A2116" s="1">
        <v>44798</v>
      </c>
      <c r="B2116" s="2">
        <v>0.53306712962962965</v>
      </c>
      <c r="C2116">
        <v>3114</v>
      </c>
      <c r="D2116">
        <v>13002561</v>
      </c>
      <c r="E2116">
        <v>13</v>
      </c>
      <c r="F2116">
        <v>22589</v>
      </c>
      <c r="G2116" t="s">
        <v>23</v>
      </c>
      <c r="H2116">
        <v>15</v>
      </c>
      <c r="I2116">
        <v>79599</v>
      </c>
      <c r="J2116" t="s">
        <v>50</v>
      </c>
      <c r="K2116" t="s">
        <v>25</v>
      </c>
      <c r="L2116" t="s">
        <v>39</v>
      </c>
      <c r="M2116">
        <v>2</v>
      </c>
      <c r="N2116">
        <v>199.67</v>
      </c>
      <c r="O2116">
        <v>282.39999999999998</v>
      </c>
      <c r="P2116">
        <v>28.24</v>
      </c>
      <c r="Q2116">
        <v>28.24</v>
      </c>
      <c r="R2116" t="s">
        <v>30</v>
      </c>
      <c r="S2116">
        <v>29</v>
      </c>
      <c r="T2116">
        <v>1</v>
      </c>
      <c r="U2116">
        <v>2</v>
      </c>
      <c r="V2116">
        <v>254.16</v>
      </c>
      <c r="W2116">
        <v>13130002114</v>
      </c>
    </row>
    <row r="2117" spans="1:23" x14ac:dyDescent="0.2">
      <c r="A2117" s="1">
        <v>44788</v>
      </c>
      <c r="B2117" s="2">
        <v>0.37442129629629628</v>
      </c>
      <c r="C2117">
        <v>3115</v>
      </c>
      <c r="D2117">
        <v>13002561</v>
      </c>
      <c r="E2117">
        <v>13</v>
      </c>
      <c r="F2117">
        <v>22589</v>
      </c>
      <c r="G2117" t="s">
        <v>23</v>
      </c>
      <c r="H2117">
        <v>18</v>
      </c>
      <c r="I2117">
        <v>95297</v>
      </c>
      <c r="J2117" t="s">
        <v>46</v>
      </c>
      <c r="K2117" t="s">
        <v>25</v>
      </c>
      <c r="L2117" t="s">
        <v>32</v>
      </c>
      <c r="M2117">
        <v>2</v>
      </c>
      <c r="N2117">
        <v>384.45</v>
      </c>
      <c r="O2117">
        <v>591.51</v>
      </c>
      <c r="P2117">
        <v>59.15</v>
      </c>
      <c r="Q2117">
        <v>59.15</v>
      </c>
      <c r="R2117" t="s">
        <v>30</v>
      </c>
      <c r="S2117">
        <v>29</v>
      </c>
      <c r="T2117">
        <v>1</v>
      </c>
      <c r="U2117">
        <v>2</v>
      </c>
      <c r="V2117">
        <v>532.36</v>
      </c>
      <c r="W2117">
        <v>13130002115</v>
      </c>
    </row>
    <row r="2118" spans="1:23" x14ac:dyDescent="0.2">
      <c r="A2118" s="1">
        <v>44781</v>
      </c>
      <c r="B2118" s="2">
        <v>0.38870370370370372</v>
      </c>
      <c r="C2118">
        <v>3116</v>
      </c>
      <c r="D2118">
        <v>13002561</v>
      </c>
      <c r="E2118">
        <v>13</v>
      </c>
      <c r="F2118">
        <v>22589</v>
      </c>
      <c r="G2118" t="s">
        <v>23</v>
      </c>
      <c r="H2118">
        <v>15</v>
      </c>
      <c r="I2118">
        <v>11512</v>
      </c>
      <c r="J2118" t="s">
        <v>53</v>
      </c>
      <c r="K2118" t="s">
        <v>44</v>
      </c>
      <c r="L2118" t="s">
        <v>51</v>
      </c>
      <c r="M2118">
        <v>1</v>
      </c>
      <c r="N2118">
        <v>173.94</v>
      </c>
      <c r="O2118">
        <v>234.12</v>
      </c>
      <c r="P2118">
        <v>11.71</v>
      </c>
      <c r="Q2118">
        <v>11.71</v>
      </c>
      <c r="R2118" t="s">
        <v>30</v>
      </c>
      <c r="S2118">
        <v>29</v>
      </c>
      <c r="T2118">
        <v>1</v>
      </c>
      <c r="U2118">
        <v>5</v>
      </c>
      <c r="V2118">
        <v>222.41</v>
      </c>
      <c r="W2118">
        <v>13130002116</v>
      </c>
    </row>
    <row r="2119" spans="1:23" x14ac:dyDescent="0.2">
      <c r="A2119" s="1">
        <v>44799</v>
      </c>
      <c r="B2119" s="2">
        <v>0.91575231481481478</v>
      </c>
      <c r="C2119">
        <v>3117</v>
      </c>
      <c r="D2119">
        <v>13002561</v>
      </c>
      <c r="E2119">
        <v>13</v>
      </c>
      <c r="F2119">
        <v>22589</v>
      </c>
      <c r="G2119" t="s">
        <v>23</v>
      </c>
      <c r="H2119">
        <v>18</v>
      </c>
      <c r="I2119">
        <v>35890</v>
      </c>
      <c r="J2119" t="s">
        <v>115</v>
      </c>
      <c r="K2119" t="s">
        <v>38</v>
      </c>
      <c r="L2119" t="s">
        <v>34</v>
      </c>
      <c r="M2119">
        <v>1</v>
      </c>
      <c r="N2119">
        <v>92.04</v>
      </c>
      <c r="O2119">
        <v>131.1</v>
      </c>
      <c r="P2119">
        <v>6.55</v>
      </c>
      <c r="Q2119">
        <v>6.55</v>
      </c>
      <c r="R2119" t="s">
        <v>30</v>
      </c>
      <c r="S2119">
        <v>29</v>
      </c>
      <c r="T2119">
        <v>1</v>
      </c>
      <c r="U2119">
        <v>5</v>
      </c>
      <c r="V2119">
        <v>124.55</v>
      </c>
      <c r="W2119">
        <v>13130002117</v>
      </c>
    </row>
    <row r="2120" spans="1:23" x14ac:dyDescent="0.2">
      <c r="A2120" s="1">
        <v>44774</v>
      </c>
      <c r="B2120" s="2">
        <v>0.89260416666666664</v>
      </c>
      <c r="C2120">
        <v>3118</v>
      </c>
      <c r="D2120">
        <v>13002561</v>
      </c>
      <c r="E2120">
        <v>13</v>
      </c>
      <c r="F2120">
        <v>22589</v>
      </c>
      <c r="G2120" t="s">
        <v>23</v>
      </c>
      <c r="H2120">
        <v>15</v>
      </c>
      <c r="I2120">
        <v>88766</v>
      </c>
      <c r="J2120" t="s">
        <v>128</v>
      </c>
      <c r="K2120" t="s">
        <v>44</v>
      </c>
      <c r="L2120" t="s">
        <v>29</v>
      </c>
      <c r="M2120">
        <v>1</v>
      </c>
      <c r="N2120">
        <v>480.97</v>
      </c>
      <c r="O2120">
        <v>774.58</v>
      </c>
      <c r="P2120">
        <v>0</v>
      </c>
      <c r="Q2120">
        <v>0</v>
      </c>
      <c r="S2120">
        <v>29</v>
      </c>
      <c r="T2120">
        <v>1</v>
      </c>
      <c r="U2120">
        <v>5</v>
      </c>
      <c r="V2120">
        <v>774.58</v>
      </c>
      <c r="W2120">
        <v>13130002118</v>
      </c>
    </row>
    <row r="2121" spans="1:23" x14ac:dyDescent="0.2">
      <c r="A2121" s="1">
        <v>44803</v>
      </c>
      <c r="B2121" s="2">
        <v>0.37622685185185178</v>
      </c>
      <c r="C2121">
        <v>3119</v>
      </c>
      <c r="D2121">
        <v>13002561</v>
      </c>
      <c r="E2121">
        <v>13</v>
      </c>
      <c r="F2121">
        <v>22589</v>
      </c>
      <c r="G2121" t="s">
        <v>23</v>
      </c>
      <c r="H2121">
        <v>18</v>
      </c>
      <c r="I2121">
        <v>52154</v>
      </c>
      <c r="J2121" t="s">
        <v>63</v>
      </c>
      <c r="K2121" t="s">
        <v>44</v>
      </c>
      <c r="L2121" t="s">
        <v>36</v>
      </c>
      <c r="M2121">
        <v>2</v>
      </c>
      <c r="N2121">
        <v>486.4</v>
      </c>
      <c r="O2121">
        <v>693.33</v>
      </c>
      <c r="P2121">
        <v>69.33</v>
      </c>
      <c r="Q2121">
        <v>69.33</v>
      </c>
      <c r="R2121" t="s">
        <v>30</v>
      </c>
      <c r="S2121">
        <v>29</v>
      </c>
      <c r="T2121">
        <v>1</v>
      </c>
      <c r="U2121">
        <v>5</v>
      </c>
      <c r="V2121">
        <v>624</v>
      </c>
      <c r="W2121">
        <v>13130002119</v>
      </c>
    </row>
    <row r="2122" spans="1:23" x14ac:dyDescent="0.2">
      <c r="A2122" s="1">
        <v>44793</v>
      </c>
      <c r="B2122" s="2">
        <v>0.7801851851851852</v>
      </c>
      <c r="C2122">
        <v>3120</v>
      </c>
      <c r="D2122">
        <v>13002561</v>
      </c>
      <c r="E2122">
        <v>13</v>
      </c>
      <c r="F2122">
        <v>22589</v>
      </c>
      <c r="G2122" t="s">
        <v>23</v>
      </c>
      <c r="H2122">
        <v>18</v>
      </c>
      <c r="I2122">
        <v>70356</v>
      </c>
      <c r="J2122" t="s">
        <v>86</v>
      </c>
      <c r="K2122" t="s">
        <v>60</v>
      </c>
      <c r="L2122" t="s">
        <v>36</v>
      </c>
      <c r="M2122">
        <v>2</v>
      </c>
      <c r="N2122">
        <v>446.22</v>
      </c>
      <c r="O2122">
        <v>611.46</v>
      </c>
      <c r="P2122">
        <v>0</v>
      </c>
      <c r="Q2122">
        <v>0</v>
      </c>
      <c r="S2122">
        <v>29</v>
      </c>
      <c r="T2122">
        <v>1</v>
      </c>
      <c r="U2122">
        <v>5</v>
      </c>
      <c r="V2122">
        <v>611.46</v>
      </c>
      <c r="W2122">
        <v>13130002120</v>
      </c>
    </row>
    <row r="2123" spans="1:23" x14ac:dyDescent="0.2">
      <c r="A2123" s="1">
        <v>44784</v>
      </c>
      <c r="B2123" s="2">
        <v>0.72484953703703703</v>
      </c>
      <c r="C2123">
        <v>3121</v>
      </c>
      <c r="D2123">
        <v>13002561</v>
      </c>
      <c r="E2123">
        <v>13</v>
      </c>
      <c r="F2123">
        <v>22589</v>
      </c>
      <c r="G2123" t="s">
        <v>23</v>
      </c>
      <c r="H2123">
        <v>15</v>
      </c>
      <c r="I2123">
        <v>76032</v>
      </c>
      <c r="J2123" t="s">
        <v>48</v>
      </c>
      <c r="K2123" t="s">
        <v>45</v>
      </c>
      <c r="L2123" t="s">
        <v>39</v>
      </c>
      <c r="M2123">
        <v>1</v>
      </c>
      <c r="N2123">
        <v>175.32</v>
      </c>
      <c r="O2123">
        <v>231.62</v>
      </c>
      <c r="P2123">
        <v>23.16</v>
      </c>
      <c r="Q2123">
        <v>23.16</v>
      </c>
      <c r="R2123" t="s">
        <v>30</v>
      </c>
      <c r="S2123">
        <v>29</v>
      </c>
      <c r="T2123">
        <v>1</v>
      </c>
      <c r="U2123">
        <v>2</v>
      </c>
      <c r="V2123">
        <v>208.46</v>
      </c>
      <c r="W2123">
        <v>13130002121</v>
      </c>
    </row>
    <row r="2124" spans="1:23" x14ac:dyDescent="0.2">
      <c r="A2124" s="1">
        <v>44783</v>
      </c>
      <c r="B2124" s="2">
        <v>0.61635416666666665</v>
      </c>
      <c r="C2124">
        <v>3122</v>
      </c>
      <c r="D2124">
        <v>13002561</v>
      </c>
      <c r="E2124">
        <v>13</v>
      </c>
      <c r="F2124">
        <v>22589</v>
      </c>
      <c r="G2124" t="s">
        <v>23</v>
      </c>
      <c r="H2124">
        <v>18</v>
      </c>
      <c r="I2124">
        <v>40441</v>
      </c>
      <c r="J2124" t="s">
        <v>41</v>
      </c>
      <c r="K2124" t="s">
        <v>60</v>
      </c>
      <c r="L2124" t="s">
        <v>39</v>
      </c>
      <c r="M2124">
        <v>2</v>
      </c>
      <c r="N2124">
        <v>397.8</v>
      </c>
      <c r="O2124">
        <v>554.83000000000004</v>
      </c>
      <c r="P2124">
        <v>55.48</v>
      </c>
      <c r="Q2124">
        <v>55.48</v>
      </c>
      <c r="R2124" t="s">
        <v>30</v>
      </c>
      <c r="S2124">
        <v>29</v>
      </c>
      <c r="T2124">
        <v>1</v>
      </c>
      <c r="U2124">
        <v>2</v>
      </c>
      <c r="V2124">
        <v>499.35</v>
      </c>
      <c r="W2124">
        <v>13130002122</v>
      </c>
    </row>
    <row r="2125" spans="1:23" x14ac:dyDescent="0.2">
      <c r="A2125" s="1">
        <v>44777</v>
      </c>
      <c r="B2125" s="2">
        <v>0.60495370370370372</v>
      </c>
      <c r="C2125">
        <v>3123</v>
      </c>
      <c r="D2125">
        <v>13002561</v>
      </c>
      <c r="E2125">
        <v>13</v>
      </c>
      <c r="F2125">
        <v>22589</v>
      </c>
      <c r="G2125" t="s">
        <v>23</v>
      </c>
      <c r="H2125">
        <v>18</v>
      </c>
      <c r="I2125">
        <v>68548</v>
      </c>
      <c r="J2125" t="s">
        <v>43</v>
      </c>
      <c r="K2125" t="s">
        <v>45</v>
      </c>
      <c r="L2125" t="s">
        <v>51</v>
      </c>
      <c r="M2125">
        <v>1</v>
      </c>
      <c r="N2125">
        <v>581.84</v>
      </c>
      <c r="O2125">
        <v>942.57</v>
      </c>
      <c r="P2125">
        <v>0</v>
      </c>
      <c r="Q2125">
        <v>0</v>
      </c>
      <c r="S2125">
        <v>29</v>
      </c>
      <c r="T2125">
        <v>1</v>
      </c>
      <c r="U2125">
        <v>6</v>
      </c>
      <c r="V2125">
        <v>942.57</v>
      </c>
      <c r="W2125">
        <v>13130002123</v>
      </c>
    </row>
    <row r="2126" spans="1:23" x14ac:dyDescent="0.2">
      <c r="A2126" s="1">
        <v>44803</v>
      </c>
      <c r="B2126" s="2">
        <v>0.94253472222222223</v>
      </c>
      <c r="C2126">
        <v>3124</v>
      </c>
      <c r="D2126">
        <v>13002561</v>
      </c>
      <c r="E2126">
        <v>13</v>
      </c>
      <c r="F2126">
        <v>22589</v>
      </c>
      <c r="G2126" t="s">
        <v>23</v>
      </c>
      <c r="H2126">
        <v>15</v>
      </c>
      <c r="I2126">
        <v>88230</v>
      </c>
      <c r="J2126" t="s">
        <v>41</v>
      </c>
      <c r="K2126" t="s">
        <v>25</v>
      </c>
      <c r="L2126" t="s">
        <v>34</v>
      </c>
      <c r="M2126">
        <v>1</v>
      </c>
      <c r="N2126">
        <v>470.2</v>
      </c>
      <c r="O2126">
        <v>717.08</v>
      </c>
      <c r="P2126">
        <v>71.709999999999994</v>
      </c>
      <c r="Q2126">
        <v>71.709999999999994</v>
      </c>
      <c r="R2126" t="s">
        <v>30</v>
      </c>
      <c r="S2126">
        <v>29</v>
      </c>
      <c r="T2126">
        <v>1</v>
      </c>
      <c r="U2126">
        <v>4</v>
      </c>
      <c r="V2126">
        <v>645.37</v>
      </c>
      <c r="W2126">
        <v>13130002124</v>
      </c>
    </row>
    <row r="2127" spans="1:23" x14ac:dyDescent="0.2">
      <c r="A2127" s="1">
        <v>44796</v>
      </c>
      <c r="B2127" s="2">
        <v>0.64717592592592588</v>
      </c>
      <c r="C2127">
        <v>3125</v>
      </c>
      <c r="D2127">
        <v>13002561</v>
      </c>
      <c r="E2127">
        <v>13</v>
      </c>
      <c r="F2127">
        <v>22589</v>
      </c>
      <c r="G2127" t="s">
        <v>23</v>
      </c>
      <c r="H2127">
        <v>15</v>
      </c>
      <c r="I2127">
        <v>13302</v>
      </c>
      <c r="J2127" t="s">
        <v>68</v>
      </c>
      <c r="K2127" t="s">
        <v>45</v>
      </c>
      <c r="L2127" t="s">
        <v>34</v>
      </c>
      <c r="M2127">
        <v>3</v>
      </c>
      <c r="N2127">
        <v>570.41999999999996</v>
      </c>
      <c r="O2127">
        <v>762.71</v>
      </c>
      <c r="P2127">
        <v>38.14</v>
      </c>
      <c r="Q2127">
        <v>38.14</v>
      </c>
      <c r="R2127" t="s">
        <v>30</v>
      </c>
      <c r="S2127">
        <v>29</v>
      </c>
      <c r="T2127">
        <v>1</v>
      </c>
      <c r="U2127">
        <v>2</v>
      </c>
      <c r="V2127">
        <v>724.57</v>
      </c>
      <c r="W2127">
        <v>13130002125</v>
      </c>
    </row>
    <row r="2128" spans="1:23" x14ac:dyDescent="0.2">
      <c r="A2128" s="1">
        <v>44789</v>
      </c>
      <c r="B2128" s="2">
        <v>0.34996527777777781</v>
      </c>
      <c r="C2128">
        <v>3126</v>
      </c>
      <c r="D2128">
        <v>13002561</v>
      </c>
      <c r="E2128">
        <v>13</v>
      </c>
      <c r="F2128">
        <v>22589</v>
      </c>
      <c r="G2128" t="s">
        <v>23</v>
      </c>
      <c r="H2128">
        <v>18</v>
      </c>
      <c r="I2128">
        <v>55390</v>
      </c>
      <c r="J2128" t="s">
        <v>57</v>
      </c>
      <c r="K2128" t="s">
        <v>60</v>
      </c>
      <c r="L2128" t="s">
        <v>39</v>
      </c>
      <c r="M2128">
        <v>2</v>
      </c>
      <c r="N2128">
        <v>412.49</v>
      </c>
      <c r="O2128">
        <v>655.22</v>
      </c>
      <c r="P2128">
        <v>0</v>
      </c>
      <c r="Q2128">
        <v>0</v>
      </c>
      <c r="S2128">
        <v>29</v>
      </c>
      <c r="T2128">
        <v>1</v>
      </c>
      <c r="U2128">
        <v>6</v>
      </c>
      <c r="V2128">
        <v>655.22</v>
      </c>
      <c r="W2128">
        <v>13130002126</v>
      </c>
    </row>
    <row r="2129" spans="1:23" x14ac:dyDescent="0.2">
      <c r="A2129" s="1">
        <v>44774</v>
      </c>
      <c r="B2129" s="2">
        <v>0.89075231481481476</v>
      </c>
      <c r="C2129">
        <v>3127</v>
      </c>
      <c r="D2129">
        <v>13002561</v>
      </c>
      <c r="E2129">
        <v>13</v>
      </c>
      <c r="F2129">
        <v>22589</v>
      </c>
      <c r="G2129" t="s">
        <v>23</v>
      </c>
      <c r="H2129">
        <v>18</v>
      </c>
      <c r="I2129">
        <v>64448</v>
      </c>
      <c r="J2129" t="s">
        <v>112</v>
      </c>
      <c r="K2129" t="s">
        <v>25</v>
      </c>
      <c r="L2129" t="s">
        <v>36</v>
      </c>
      <c r="M2129">
        <v>1</v>
      </c>
      <c r="N2129">
        <v>238.66</v>
      </c>
      <c r="O2129">
        <v>362.61</v>
      </c>
      <c r="P2129">
        <v>0</v>
      </c>
      <c r="Q2129">
        <v>0</v>
      </c>
      <c r="S2129">
        <v>29</v>
      </c>
      <c r="T2129">
        <v>1</v>
      </c>
      <c r="U2129">
        <v>1</v>
      </c>
      <c r="V2129">
        <v>362.61</v>
      </c>
      <c r="W2129">
        <v>13130002127</v>
      </c>
    </row>
    <row r="2130" spans="1:23" x14ac:dyDescent="0.2">
      <c r="A2130" s="1">
        <v>44793</v>
      </c>
      <c r="B2130" s="2">
        <v>0.74443287037037043</v>
      </c>
      <c r="C2130">
        <v>3128</v>
      </c>
      <c r="D2130">
        <v>13002561</v>
      </c>
      <c r="E2130">
        <v>13</v>
      </c>
      <c r="F2130">
        <v>22589</v>
      </c>
      <c r="G2130" t="s">
        <v>23</v>
      </c>
      <c r="H2130">
        <v>15</v>
      </c>
      <c r="I2130">
        <v>85122</v>
      </c>
      <c r="J2130" t="s">
        <v>68</v>
      </c>
      <c r="K2130" t="s">
        <v>28</v>
      </c>
      <c r="L2130" t="s">
        <v>32</v>
      </c>
      <c r="M2130">
        <v>1</v>
      </c>
      <c r="N2130">
        <v>173.89</v>
      </c>
      <c r="O2130">
        <v>236.41</v>
      </c>
      <c r="P2130">
        <v>11.82</v>
      </c>
      <c r="Q2130">
        <v>11.82</v>
      </c>
      <c r="R2130" t="s">
        <v>30</v>
      </c>
      <c r="S2130">
        <v>29</v>
      </c>
      <c r="T2130">
        <v>1</v>
      </c>
      <c r="U2130">
        <v>6</v>
      </c>
      <c r="V2130">
        <v>224.59</v>
      </c>
      <c r="W2130">
        <v>13130002128</v>
      </c>
    </row>
    <row r="2131" spans="1:23" x14ac:dyDescent="0.2">
      <c r="A2131" s="1">
        <v>44804</v>
      </c>
      <c r="B2131" s="2">
        <v>0.39908564814814818</v>
      </c>
      <c r="C2131">
        <v>3129</v>
      </c>
      <c r="D2131">
        <v>13002561</v>
      </c>
      <c r="E2131">
        <v>13</v>
      </c>
      <c r="F2131">
        <v>22589</v>
      </c>
      <c r="G2131" t="s">
        <v>23</v>
      </c>
      <c r="H2131">
        <v>15</v>
      </c>
      <c r="I2131">
        <v>10029</v>
      </c>
      <c r="J2131" t="s">
        <v>120</v>
      </c>
      <c r="K2131" t="s">
        <v>60</v>
      </c>
      <c r="L2131" t="s">
        <v>39</v>
      </c>
      <c r="M2131">
        <v>3</v>
      </c>
      <c r="N2131">
        <v>447.5</v>
      </c>
      <c r="O2131">
        <v>625</v>
      </c>
      <c r="P2131">
        <v>62.5</v>
      </c>
      <c r="Q2131">
        <v>62.5</v>
      </c>
      <c r="R2131" t="s">
        <v>30</v>
      </c>
      <c r="S2131">
        <v>29</v>
      </c>
      <c r="T2131">
        <v>1</v>
      </c>
      <c r="U2131">
        <v>4</v>
      </c>
      <c r="V2131">
        <v>562.5</v>
      </c>
      <c r="W2131">
        <v>13130002129</v>
      </c>
    </row>
    <row r="2132" spans="1:23" x14ac:dyDescent="0.2">
      <c r="A2132" s="1">
        <v>44785</v>
      </c>
      <c r="B2132" s="2">
        <v>0.39476851851851852</v>
      </c>
      <c r="C2132">
        <v>3130</v>
      </c>
      <c r="D2132">
        <v>13002561</v>
      </c>
      <c r="E2132">
        <v>13</v>
      </c>
      <c r="F2132">
        <v>22589</v>
      </c>
      <c r="G2132" t="s">
        <v>23</v>
      </c>
      <c r="H2132">
        <v>15</v>
      </c>
      <c r="I2132">
        <v>85639</v>
      </c>
      <c r="J2132" t="s">
        <v>121</v>
      </c>
      <c r="K2132" t="s">
        <v>25</v>
      </c>
      <c r="L2132" t="s">
        <v>47</v>
      </c>
      <c r="M2132">
        <v>3</v>
      </c>
      <c r="N2132">
        <v>531.64</v>
      </c>
      <c r="O2132">
        <v>821.49</v>
      </c>
      <c r="P2132">
        <v>82.15</v>
      </c>
      <c r="Q2132">
        <v>82.15</v>
      </c>
      <c r="R2132" t="s">
        <v>30</v>
      </c>
      <c r="S2132">
        <v>29</v>
      </c>
      <c r="T2132">
        <v>1</v>
      </c>
      <c r="U2132">
        <v>1</v>
      </c>
      <c r="V2132">
        <v>739.34</v>
      </c>
      <c r="W2132">
        <v>13130002130</v>
      </c>
    </row>
    <row r="2133" spans="1:23" x14ac:dyDescent="0.2">
      <c r="A2133" s="1">
        <v>44796</v>
      </c>
      <c r="B2133" s="2">
        <v>0.68004629629629632</v>
      </c>
      <c r="C2133">
        <v>3131</v>
      </c>
      <c r="D2133">
        <v>13002561</v>
      </c>
      <c r="E2133">
        <v>13</v>
      </c>
      <c r="F2133">
        <v>22589</v>
      </c>
      <c r="G2133" t="s">
        <v>23</v>
      </c>
      <c r="H2133">
        <v>18</v>
      </c>
      <c r="I2133">
        <v>21670</v>
      </c>
      <c r="J2133" t="s">
        <v>95</v>
      </c>
      <c r="K2133" t="s">
        <v>28</v>
      </c>
      <c r="L2133" t="s">
        <v>39</v>
      </c>
      <c r="M2133">
        <v>3</v>
      </c>
      <c r="N2133">
        <v>126.4</v>
      </c>
      <c r="O2133">
        <v>190.35</v>
      </c>
      <c r="P2133">
        <v>19.04</v>
      </c>
      <c r="Q2133">
        <v>19.04</v>
      </c>
      <c r="R2133" t="s">
        <v>30</v>
      </c>
      <c r="S2133">
        <v>29</v>
      </c>
      <c r="T2133">
        <v>1</v>
      </c>
      <c r="U2133">
        <v>6</v>
      </c>
      <c r="V2133">
        <v>171.31</v>
      </c>
      <c r="W2133">
        <v>13130002131</v>
      </c>
    </row>
    <row r="2134" spans="1:23" x14ac:dyDescent="0.2">
      <c r="A2134" s="1">
        <v>44796</v>
      </c>
      <c r="B2134" s="2">
        <v>0.5737268518518519</v>
      </c>
      <c r="C2134">
        <v>3132</v>
      </c>
      <c r="D2134">
        <v>13002561</v>
      </c>
      <c r="E2134">
        <v>13</v>
      </c>
      <c r="F2134">
        <v>22589</v>
      </c>
      <c r="G2134" t="s">
        <v>23</v>
      </c>
      <c r="H2134">
        <v>18</v>
      </c>
      <c r="I2134">
        <v>62630</v>
      </c>
      <c r="J2134" t="s">
        <v>40</v>
      </c>
      <c r="K2134" t="s">
        <v>60</v>
      </c>
      <c r="L2134" t="s">
        <v>47</v>
      </c>
      <c r="M2134">
        <v>1</v>
      </c>
      <c r="N2134">
        <v>262.39</v>
      </c>
      <c r="O2134">
        <v>389.2</v>
      </c>
      <c r="P2134">
        <v>0</v>
      </c>
      <c r="Q2134">
        <v>0</v>
      </c>
      <c r="S2134">
        <v>29</v>
      </c>
      <c r="T2134">
        <v>1</v>
      </c>
      <c r="U2134">
        <v>5</v>
      </c>
      <c r="V2134">
        <v>389.2</v>
      </c>
      <c r="W2134">
        <v>13130002132</v>
      </c>
    </row>
    <row r="2135" spans="1:23" x14ac:dyDescent="0.2">
      <c r="A2135" s="1">
        <v>44797</v>
      </c>
      <c r="B2135" s="2">
        <v>0.82203703703703701</v>
      </c>
      <c r="C2135">
        <v>3133</v>
      </c>
      <c r="D2135">
        <v>13002561</v>
      </c>
      <c r="E2135">
        <v>13</v>
      </c>
      <c r="F2135">
        <v>22589</v>
      </c>
      <c r="G2135" t="s">
        <v>23</v>
      </c>
      <c r="H2135">
        <v>15</v>
      </c>
      <c r="I2135">
        <v>55443</v>
      </c>
      <c r="J2135" t="s">
        <v>125</v>
      </c>
      <c r="K2135" t="s">
        <v>28</v>
      </c>
      <c r="L2135" t="s">
        <v>32</v>
      </c>
      <c r="M2135">
        <v>1</v>
      </c>
      <c r="N2135">
        <v>354.79</v>
      </c>
      <c r="O2135">
        <v>541.92999999999995</v>
      </c>
      <c r="P2135">
        <v>27.1</v>
      </c>
      <c r="Q2135">
        <v>27.1</v>
      </c>
      <c r="R2135" t="s">
        <v>30</v>
      </c>
      <c r="S2135">
        <v>29</v>
      </c>
      <c r="T2135">
        <v>1</v>
      </c>
      <c r="U2135">
        <v>5</v>
      </c>
      <c r="V2135">
        <v>514.83000000000004</v>
      </c>
      <c r="W2135">
        <v>13130002133</v>
      </c>
    </row>
    <row r="2136" spans="1:23" x14ac:dyDescent="0.2">
      <c r="A2136" s="1">
        <v>44791</v>
      </c>
      <c r="B2136" s="2">
        <v>0.84460648148148143</v>
      </c>
      <c r="C2136">
        <v>3134</v>
      </c>
      <c r="D2136">
        <v>13002561</v>
      </c>
      <c r="E2136">
        <v>13</v>
      </c>
      <c r="F2136">
        <v>22589</v>
      </c>
      <c r="G2136" t="s">
        <v>23</v>
      </c>
      <c r="H2136">
        <v>15</v>
      </c>
      <c r="I2136">
        <v>53761</v>
      </c>
      <c r="J2136" t="s">
        <v>104</v>
      </c>
      <c r="K2136" t="s">
        <v>25</v>
      </c>
      <c r="L2136" t="s">
        <v>26</v>
      </c>
      <c r="M2136">
        <v>2</v>
      </c>
      <c r="N2136">
        <v>505.28</v>
      </c>
      <c r="O2136">
        <v>796.63</v>
      </c>
      <c r="P2136">
        <v>79.66</v>
      </c>
      <c r="Q2136">
        <v>79.66</v>
      </c>
      <c r="R2136" t="s">
        <v>30</v>
      </c>
      <c r="S2136">
        <v>29</v>
      </c>
      <c r="T2136">
        <v>1</v>
      </c>
      <c r="U2136">
        <v>1</v>
      </c>
      <c r="V2136">
        <v>716.97</v>
      </c>
      <c r="W2136">
        <v>13130002134</v>
      </c>
    </row>
    <row r="2137" spans="1:23" x14ac:dyDescent="0.2">
      <c r="A2137" s="1">
        <v>44779</v>
      </c>
      <c r="B2137" s="2">
        <v>0.72004629629629635</v>
      </c>
      <c r="C2137">
        <v>3135</v>
      </c>
      <c r="D2137">
        <v>13002561</v>
      </c>
      <c r="E2137">
        <v>13</v>
      </c>
      <c r="F2137">
        <v>22589</v>
      </c>
      <c r="G2137" t="s">
        <v>23</v>
      </c>
      <c r="H2137">
        <v>15</v>
      </c>
      <c r="I2137">
        <v>11976</v>
      </c>
      <c r="J2137" t="s">
        <v>124</v>
      </c>
      <c r="K2137" t="s">
        <v>45</v>
      </c>
      <c r="L2137" t="s">
        <v>26</v>
      </c>
      <c r="M2137">
        <v>3</v>
      </c>
      <c r="N2137">
        <v>398.07</v>
      </c>
      <c r="O2137">
        <v>617.92999999999995</v>
      </c>
      <c r="P2137">
        <v>0</v>
      </c>
      <c r="Q2137">
        <v>0</v>
      </c>
      <c r="S2137">
        <v>29</v>
      </c>
      <c r="T2137">
        <v>1</v>
      </c>
      <c r="U2137">
        <v>4</v>
      </c>
      <c r="V2137">
        <v>617.92999999999995</v>
      </c>
      <c r="W2137">
        <v>13130002135</v>
      </c>
    </row>
    <row r="2138" spans="1:23" x14ac:dyDescent="0.2">
      <c r="A2138" s="1">
        <v>44794</v>
      </c>
      <c r="B2138" s="2">
        <v>0.64328703703703705</v>
      </c>
      <c r="C2138">
        <v>3136</v>
      </c>
      <c r="D2138">
        <v>13002561</v>
      </c>
      <c r="E2138">
        <v>13</v>
      </c>
      <c r="F2138">
        <v>22589</v>
      </c>
      <c r="G2138" t="s">
        <v>23</v>
      </c>
      <c r="H2138">
        <v>15</v>
      </c>
      <c r="I2138">
        <v>16730</v>
      </c>
      <c r="J2138" t="s">
        <v>31</v>
      </c>
      <c r="K2138" t="s">
        <v>28</v>
      </c>
      <c r="L2138" t="s">
        <v>36</v>
      </c>
      <c r="M2138">
        <v>2</v>
      </c>
      <c r="N2138">
        <v>552.79</v>
      </c>
      <c r="O2138">
        <v>847.75</v>
      </c>
      <c r="P2138">
        <v>42.39</v>
      </c>
      <c r="Q2138">
        <v>42.39</v>
      </c>
      <c r="R2138" t="s">
        <v>30</v>
      </c>
      <c r="S2138">
        <v>29</v>
      </c>
      <c r="T2138">
        <v>1</v>
      </c>
      <c r="U2138">
        <v>6</v>
      </c>
      <c r="V2138">
        <v>805.36</v>
      </c>
      <c r="W2138">
        <v>13130002136</v>
      </c>
    </row>
    <row r="2139" spans="1:23" x14ac:dyDescent="0.2">
      <c r="A2139" s="1">
        <v>44795</v>
      </c>
      <c r="B2139" s="2">
        <v>0.92912037037037032</v>
      </c>
      <c r="C2139">
        <v>3137</v>
      </c>
      <c r="D2139">
        <v>13002561</v>
      </c>
      <c r="E2139">
        <v>13</v>
      </c>
      <c r="F2139">
        <v>22589</v>
      </c>
      <c r="G2139" t="s">
        <v>23</v>
      </c>
      <c r="H2139">
        <v>15</v>
      </c>
      <c r="I2139">
        <v>77534</v>
      </c>
      <c r="J2139" t="s">
        <v>100</v>
      </c>
      <c r="K2139" t="s">
        <v>45</v>
      </c>
      <c r="L2139" t="s">
        <v>32</v>
      </c>
      <c r="M2139">
        <v>1</v>
      </c>
      <c r="N2139">
        <v>124.45</v>
      </c>
      <c r="O2139">
        <v>194.34</v>
      </c>
      <c r="P2139">
        <v>19.43</v>
      </c>
      <c r="Q2139">
        <v>19.43</v>
      </c>
      <c r="R2139" t="s">
        <v>30</v>
      </c>
      <c r="S2139">
        <v>29</v>
      </c>
      <c r="T2139">
        <v>1</v>
      </c>
      <c r="U2139">
        <v>2</v>
      </c>
      <c r="V2139">
        <v>174.91</v>
      </c>
      <c r="W2139">
        <v>13130002137</v>
      </c>
    </row>
    <row r="2140" spans="1:23" x14ac:dyDescent="0.2">
      <c r="A2140" s="1">
        <v>44791</v>
      </c>
      <c r="B2140" s="2">
        <v>0.57168981481481485</v>
      </c>
      <c r="C2140">
        <v>3138</v>
      </c>
      <c r="D2140">
        <v>13002561</v>
      </c>
      <c r="E2140">
        <v>13</v>
      </c>
      <c r="F2140">
        <v>22589</v>
      </c>
      <c r="G2140" t="s">
        <v>23</v>
      </c>
      <c r="H2140">
        <v>15</v>
      </c>
      <c r="I2140">
        <v>84213</v>
      </c>
      <c r="J2140" t="s">
        <v>57</v>
      </c>
      <c r="K2140" t="s">
        <v>44</v>
      </c>
      <c r="L2140" t="s">
        <v>39</v>
      </c>
      <c r="M2140">
        <v>2</v>
      </c>
      <c r="N2140">
        <v>574.4</v>
      </c>
      <c r="O2140">
        <v>921.89</v>
      </c>
      <c r="P2140">
        <v>0</v>
      </c>
      <c r="Q2140">
        <v>0</v>
      </c>
      <c r="S2140">
        <v>29</v>
      </c>
      <c r="T2140">
        <v>1</v>
      </c>
      <c r="U2140">
        <v>5</v>
      </c>
      <c r="V2140">
        <v>921.89</v>
      </c>
      <c r="W2140">
        <v>13130002138</v>
      </c>
    </row>
    <row r="2141" spans="1:23" x14ac:dyDescent="0.2">
      <c r="A2141" s="1">
        <v>44803</v>
      </c>
      <c r="B2141" s="2">
        <v>0.69229166666666664</v>
      </c>
      <c r="C2141">
        <v>3139</v>
      </c>
      <c r="D2141">
        <v>13002561</v>
      </c>
      <c r="E2141">
        <v>13</v>
      </c>
      <c r="F2141">
        <v>22589</v>
      </c>
      <c r="G2141" t="s">
        <v>23</v>
      </c>
      <c r="H2141">
        <v>15</v>
      </c>
      <c r="I2141">
        <v>17471</v>
      </c>
      <c r="J2141" t="s">
        <v>68</v>
      </c>
      <c r="K2141" t="s">
        <v>60</v>
      </c>
      <c r="L2141" t="s">
        <v>26</v>
      </c>
      <c r="M2141">
        <v>2</v>
      </c>
      <c r="N2141">
        <v>110.52</v>
      </c>
      <c r="O2141">
        <v>176.69</v>
      </c>
      <c r="P2141">
        <v>0</v>
      </c>
      <c r="Q2141">
        <v>0</v>
      </c>
      <c r="S2141">
        <v>29</v>
      </c>
      <c r="T2141">
        <v>1</v>
      </c>
      <c r="U2141">
        <v>1</v>
      </c>
      <c r="V2141">
        <v>176.69</v>
      </c>
      <c r="W2141">
        <v>13130002139</v>
      </c>
    </row>
    <row r="2142" spans="1:23" x14ac:dyDescent="0.2">
      <c r="A2142" s="1">
        <v>44780</v>
      </c>
      <c r="B2142" s="2">
        <v>0.68922453703703701</v>
      </c>
      <c r="C2142">
        <v>3140</v>
      </c>
      <c r="D2142">
        <v>13002561</v>
      </c>
      <c r="E2142">
        <v>13</v>
      </c>
      <c r="F2142">
        <v>22589</v>
      </c>
      <c r="G2142" t="s">
        <v>23</v>
      </c>
      <c r="H2142">
        <v>18</v>
      </c>
      <c r="I2142">
        <v>89459</v>
      </c>
      <c r="J2142" t="s">
        <v>58</v>
      </c>
      <c r="K2142" t="s">
        <v>60</v>
      </c>
      <c r="L2142" t="s">
        <v>47</v>
      </c>
      <c r="M2142">
        <v>3</v>
      </c>
      <c r="N2142">
        <v>22.34</v>
      </c>
      <c r="O2142">
        <v>31.95</v>
      </c>
      <c r="P2142">
        <v>3.2</v>
      </c>
      <c r="Q2142">
        <v>3.2</v>
      </c>
      <c r="R2142" t="s">
        <v>30</v>
      </c>
      <c r="S2142">
        <v>29</v>
      </c>
      <c r="T2142">
        <v>1</v>
      </c>
      <c r="U2142">
        <v>6</v>
      </c>
      <c r="V2142">
        <v>28.75</v>
      </c>
      <c r="W2142">
        <v>13130002140</v>
      </c>
    </row>
    <row r="2143" spans="1:23" x14ac:dyDescent="0.2">
      <c r="A2143" s="1">
        <v>44776</v>
      </c>
      <c r="B2143" s="2">
        <v>0.47915509259259259</v>
      </c>
      <c r="C2143">
        <v>3141</v>
      </c>
      <c r="D2143">
        <v>13002561</v>
      </c>
      <c r="E2143">
        <v>13</v>
      </c>
      <c r="F2143">
        <v>22589</v>
      </c>
      <c r="G2143" t="s">
        <v>23</v>
      </c>
      <c r="H2143">
        <v>15</v>
      </c>
      <c r="I2143">
        <v>65979</v>
      </c>
      <c r="J2143" t="s">
        <v>89</v>
      </c>
      <c r="K2143" t="s">
        <v>38</v>
      </c>
      <c r="L2143" t="s">
        <v>34</v>
      </c>
      <c r="M2143">
        <v>2</v>
      </c>
      <c r="N2143">
        <v>542.79999999999995</v>
      </c>
      <c r="O2143">
        <v>796.78</v>
      </c>
      <c r="P2143">
        <v>39.840000000000003</v>
      </c>
      <c r="Q2143">
        <v>39.840000000000003</v>
      </c>
      <c r="R2143" t="s">
        <v>30</v>
      </c>
      <c r="S2143">
        <v>29</v>
      </c>
      <c r="T2143">
        <v>1</v>
      </c>
      <c r="U2143">
        <v>5</v>
      </c>
      <c r="V2143">
        <v>756.94</v>
      </c>
      <c r="W2143">
        <v>13130002141</v>
      </c>
    </row>
    <row r="2144" spans="1:23" x14ac:dyDescent="0.2">
      <c r="A2144" s="1">
        <v>44804</v>
      </c>
      <c r="B2144" s="2">
        <v>0.5115277777777778</v>
      </c>
      <c r="C2144">
        <v>3142</v>
      </c>
      <c r="D2144">
        <v>13002561</v>
      </c>
      <c r="E2144">
        <v>13</v>
      </c>
      <c r="F2144">
        <v>22589</v>
      </c>
      <c r="G2144" t="s">
        <v>23</v>
      </c>
      <c r="H2144">
        <v>18</v>
      </c>
      <c r="I2144">
        <v>47093</v>
      </c>
      <c r="J2144" t="s">
        <v>41</v>
      </c>
      <c r="K2144" t="s">
        <v>38</v>
      </c>
      <c r="L2144" t="s">
        <v>34</v>
      </c>
      <c r="M2144">
        <v>3</v>
      </c>
      <c r="N2144">
        <v>29.48</v>
      </c>
      <c r="O2144">
        <v>50.01</v>
      </c>
      <c r="P2144">
        <v>2.5</v>
      </c>
      <c r="Q2144">
        <v>2.5</v>
      </c>
      <c r="R2144" t="s">
        <v>30</v>
      </c>
      <c r="S2144">
        <v>29</v>
      </c>
      <c r="T2144">
        <v>1</v>
      </c>
      <c r="U2144">
        <v>4</v>
      </c>
      <c r="V2144">
        <v>47.51</v>
      </c>
      <c r="W2144">
        <v>13130002142</v>
      </c>
    </row>
    <row r="2145" spans="1:23" x14ac:dyDescent="0.2">
      <c r="A2145" s="1">
        <v>44783</v>
      </c>
      <c r="B2145" s="2">
        <v>0.42368055555555562</v>
      </c>
      <c r="C2145">
        <v>3143</v>
      </c>
      <c r="D2145">
        <v>13002561</v>
      </c>
      <c r="E2145">
        <v>13</v>
      </c>
      <c r="F2145">
        <v>22589</v>
      </c>
      <c r="G2145" t="s">
        <v>23</v>
      </c>
      <c r="H2145">
        <v>18</v>
      </c>
      <c r="I2145">
        <v>90992</v>
      </c>
      <c r="J2145" t="s">
        <v>59</v>
      </c>
      <c r="K2145" t="s">
        <v>60</v>
      </c>
      <c r="L2145" t="s">
        <v>39</v>
      </c>
      <c r="M2145">
        <v>2</v>
      </c>
      <c r="N2145">
        <v>175.6</v>
      </c>
      <c r="O2145">
        <v>233.02</v>
      </c>
      <c r="P2145">
        <v>23.3</v>
      </c>
      <c r="Q2145">
        <v>23.3</v>
      </c>
      <c r="R2145" t="s">
        <v>30</v>
      </c>
      <c r="S2145">
        <v>29</v>
      </c>
      <c r="T2145">
        <v>1</v>
      </c>
      <c r="U2145">
        <v>5</v>
      </c>
      <c r="V2145">
        <v>209.72</v>
      </c>
      <c r="W2145">
        <v>13130002143</v>
      </c>
    </row>
    <row r="2146" spans="1:23" x14ac:dyDescent="0.2">
      <c r="A2146" s="1">
        <v>44804</v>
      </c>
      <c r="B2146" s="2">
        <v>0.73146990740740736</v>
      </c>
      <c r="C2146">
        <v>3144</v>
      </c>
      <c r="D2146">
        <v>13002561</v>
      </c>
      <c r="E2146">
        <v>13</v>
      </c>
      <c r="F2146">
        <v>22589</v>
      </c>
      <c r="G2146" t="s">
        <v>23</v>
      </c>
      <c r="H2146">
        <v>18</v>
      </c>
      <c r="I2146">
        <v>24763</v>
      </c>
      <c r="J2146" t="s">
        <v>90</v>
      </c>
      <c r="K2146" t="s">
        <v>25</v>
      </c>
      <c r="L2146" t="s">
        <v>39</v>
      </c>
      <c r="M2146">
        <v>1</v>
      </c>
      <c r="N2146">
        <v>579.54</v>
      </c>
      <c r="O2146">
        <v>974.22</v>
      </c>
      <c r="P2146">
        <v>97.42</v>
      </c>
      <c r="Q2146">
        <v>97.42</v>
      </c>
      <c r="R2146" t="s">
        <v>30</v>
      </c>
      <c r="S2146">
        <v>29</v>
      </c>
      <c r="T2146">
        <v>1</v>
      </c>
      <c r="U2146">
        <v>2</v>
      </c>
      <c r="V2146">
        <v>876.8</v>
      </c>
      <c r="W2146">
        <v>13130002144</v>
      </c>
    </row>
    <row r="2147" spans="1:23" x14ac:dyDescent="0.2">
      <c r="A2147" s="1">
        <v>44784</v>
      </c>
      <c r="B2147" s="2">
        <v>0.57590277777777776</v>
      </c>
      <c r="C2147">
        <v>3145</v>
      </c>
      <c r="D2147">
        <v>13002561</v>
      </c>
      <c r="E2147">
        <v>13</v>
      </c>
      <c r="F2147">
        <v>22589</v>
      </c>
      <c r="G2147" t="s">
        <v>23</v>
      </c>
      <c r="H2147">
        <v>18</v>
      </c>
      <c r="I2147">
        <v>37436</v>
      </c>
      <c r="J2147" t="s">
        <v>66</v>
      </c>
      <c r="K2147" t="s">
        <v>44</v>
      </c>
      <c r="L2147" t="s">
        <v>26</v>
      </c>
      <c r="M2147">
        <v>2</v>
      </c>
      <c r="N2147">
        <v>311.26</v>
      </c>
      <c r="O2147">
        <v>409.2</v>
      </c>
      <c r="P2147">
        <v>40.92</v>
      </c>
      <c r="Q2147">
        <v>40.92</v>
      </c>
      <c r="R2147" t="s">
        <v>30</v>
      </c>
      <c r="S2147">
        <v>29</v>
      </c>
      <c r="T2147">
        <v>1</v>
      </c>
      <c r="U2147">
        <v>3</v>
      </c>
      <c r="V2147">
        <v>368.28</v>
      </c>
      <c r="W2147">
        <v>13130002145</v>
      </c>
    </row>
    <row r="2148" spans="1:23" x14ac:dyDescent="0.2">
      <c r="A2148" s="1">
        <v>44781</v>
      </c>
      <c r="B2148" s="2">
        <v>0.83590277777777777</v>
      </c>
      <c r="C2148">
        <v>3146</v>
      </c>
      <c r="D2148">
        <v>13002561</v>
      </c>
      <c r="E2148">
        <v>13</v>
      </c>
      <c r="F2148">
        <v>22589</v>
      </c>
      <c r="G2148" t="s">
        <v>23</v>
      </c>
      <c r="H2148">
        <v>18</v>
      </c>
      <c r="I2148">
        <v>49452</v>
      </c>
      <c r="J2148" t="s">
        <v>75</v>
      </c>
      <c r="K2148" t="s">
        <v>25</v>
      </c>
      <c r="L2148" t="s">
        <v>39</v>
      </c>
      <c r="M2148">
        <v>3</v>
      </c>
      <c r="N2148">
        <v>73.209999999999994</v>
      </c>
      <c r="O2148">
        <v>106.7</v>
      </c>
      <c r="P2148">
        <v>5.34</v>
      </c>
      <c r="Q2148">
        <v>5.34</v>
      </c>
      <c r="R2148" t="s">
        <v>30</v>
      </c>
      <c r="S2148">
        <v>29</v>
      </c>
      <c r="T2148">
        <v>1</v>
      </c>
      <c r="U2148">
        <v>2</v>
      </c>
      <c r="V2148">
        <v>101.36</v>
      </c>
      <c r="W2148">
        <v>13130002146</v>
      </c>
    </row>
    <row r="2149" spans="1:23" x14ac:dyDescent="0.2">
      <c r="A2149" s="1">
        <v>44784</v>
      </c>
      <c r="B2149" s="2">
        <v>0.94869212962962968</v>
      </c>
      <c r="C2149">
        <v>3147</v>
      </c>
      <c r="D2149">
        <v>13002561</v>
      </c>
      <c r="E2149">
        <v>13</v>
      </c>
      <c r="F2149">
        <v>22589</v>
      </c>
      <c r="G2149" t="s">
        <v>23</v>
      </c>
      <c r="H2149">
        <v>15</v>
      </c>
      <c r="I2149">
        <v>17144</v>
      </c>
      <c r="J2149" t="s">
        <v>107</v>
      </c>
      <c r="K2149" t="s">
        <v>38</v>
      </c>
      <c r="L2149" t="s">
        <v>51</v>
      </c>
      <c r="M2149">
        <v>1</v>
      </c>
      <c r="N2149">
        <v>429.83</v>
      </c>
      <c r="O2149">
        <v>609.39</v>
      </c>
      <c r="P2149">
        <v>60.94</v>
      </c>
      <c r="Q2149">
        <v>60.94</v>
      </c>
      <c r="R2149" t="s">
        <v>30</v>
      </c>
      <c r="S2149">
        <v>29</v>
      </c>
      <c r="T2149">
        <v>1</v>
      </c>
      <c r="U2149">
        <v>4</v>
      </c>
      <c r="V2149">
        <v>548.45000000000005</v>
      </c>
      <c r="W2149">
        <v>13130002147</v>
      </c>
    </row>
    <row r="2150" spans="1:23" x14ac:dyDescent="0.2">
      <c r="A2150" s="1">
        <v>44794</v>
      </c>
      <c r="B2150" s="2">
        <v>0.67960648148148151</v>
      </c>
      <c r="C2150">
        <v>3148</v>
      </c>
      <c r="D2150">
        <v>13002561</v>
      </c>
      <c r="E2150">
        <v>13</v>
      </c>
      <c r="F2150">
        <v>22589</v>
      </c>
      <c r="G2150" t="s">
        <v>23</v>
      </c>
      <c r="H2150">
        <v>15</v>
      </c>
      <c r="I2150">
        <v>73770</v>
      </c>
      <c r="J2150" t="s">
        <v>74</v>
      </c>
      <c r="K2150" t="s">
        <v>45</v>
      </c>
      <c r="L2150" t="s">
        <v>32</v>
      </c>
      <c r="M2150">
        <v>1</v>
      </c>
      <c r="N2150">
        <v>522.89</v>
      </c>
      <c r="O2150">
        <v>717.02</v>
      </c>
      <c r="P2150">
        <v>35.85</v>
      </c>
      <c r="Q2150">
        <v>35.85</v>
      </c>
      <c r="R2150" t="s">
        <v>30</v>
      </c>
      <c r="S2150">
        <v>29</v>
      </c>
      <c r="T2150">
        <v>1</v>
      </c>
      <c r="U2150">
        <v>6</v>
      </c>
      <c r="V2150">
        <v>681.17</v>
      </c>
      <c r="W2150">
        <v>13130002148</v>
      </c>
    </row>
    <row r="2151" spans="1:23" x14ac:dyDescent="0.2">
      <c r="A2151" s="1">
        <v>44795</v>
      </c>
      <c r="B2151" s="2">
        <v>0.52012731481481478</v>
      </c>
      <c r="C2151">
        <v>3149</v>
      </c>
      <c r="D2151">
        <v>13002561</v>
      </c>
      <c r="E2151">
        <v>13</v>
      </c>
      <c r="F2151">
        <v>22589</v>
      </c>
      <c r="G2151" t="s">
        <v>23</v>
      </c>
      <c r="H2151">
        <v>18</v>
      </c>
      <c r="I2151">
        <v>40599</v>
      </c>
      <c r="J2151" t="s">
        <v>127</v>
      </c>
      <c r="K2151" t="s">
        <v>38</v>
      </c>
      <c r="L2151" t="s">
        <v>32</v>
      </c>
      <c r="M2151">
        <v>3</v>
      </c>
      <c r="N2151">
        <v>296.32</v>
      </c>
      <c r="O2151">
        <v>442.03</v>
      </c>
      <c r="P2151">
        <v>22.1</v>
      </c>
      <c r="Q2151">
        <v>22.1</v>
      </c>
      <c r="R2151" t="s">
        <v>30</v>
      </c>
      <c r="S2151">
        <v>29</v>
      </c>
      <c r="T2151">
        <v>1</v>
      </c>
      <c r="U2151">
        <v>6</v>
      </c>
      <c r="V2151">
        <v>419.93</v>
      </c>
      <c r="W2151">
        <v>13130002149</v>
      </c>
    </row>
    <row r="2152" spans="1:23" x14ac:dyDescent="0.2">
      <c r="A2152" s="1">
        <v>44777</v>
      </c>
      <c r="B2152" s="2">
        <v>0.45788194444444452</v>
      </c>
      <c r="C2152">
        <v>3150</v>
      </c>
      <c r="D2152">
        <v>13002561</v>
      </c>
      <c r="E2152">
        <v>13</v>
      </c>
      <c r="F2152">
        <v>22589</v>
      </c>
      <c r="G2152" t="s">
        <v>23</v>
      </c>
      <c r="H2152">
        <v>18</v>
      </c>
      <c r="I2152">
        <v>40504</v>
      </c>
      <c r="J2152" t="s">
        <v>72</v>
      </c>
      <c r="K2152" t="s">
        <v>44</v>
      </c>
      <c r="L2152" t="s">
        <v>26</v>
      </c>
      <c r="M2152">
        <v>2</v>
      </c>
      <c r="N2152">
        <v>142.4</v>
      </c>
      <c r="O2152">
        <v>239.35</v>
      </c>
      <c r="P2152">
        <v>0</v>
      </c>
      <c r="Q2152">
        <v>0</v>
      </c>
      <c r="S2152">
        <v>29</v>
      </c>
      <c r="T2152">
        <v>1</v>
      </c>
      <c r="U2152">
        <v>5</v>
      </c>
      <c r="V2152">
        <v>239.35</v>
      </c>
      <c r="W2152">
        <v>13130002150</v>
      </c>
    </row>
    <row r="2153" spans="1:23" x14ac:dyDescent="0.2">
      <c r="A2153" s="1">
        <v>44789</v>
      </c>
      <c r="B2153" s="2">
        <v>0.68540509259259264</v>
      </c>
      <c r="C2153">
        <v>3151</v>
      </c>
      <c r="D2153">
        <v>13002561</v>
      </c>
      <c r="E2153">
        <v>13</v>
      </c>
      <c r="F2153">
        <v>22589</v>
      </c>
      <c r="G2153" t="s">
        <v>23</v>
      </c>
      <c r="H2153">
        <v>18</v>
      </c>
      <c r="I2153">
        <v>59011</v>
      </c>
      <c r="J2153" t="s">
        <v>110</v>
      </c>
      <c r="K2153" t="s">
        <v>60</v>
      </c>
      <c r="L2153" t="s">
        <v>32</v>
      </c>
      <c r="M2153">
        <v>2</v>
      </c>
      <c r="N2153">
        <v>61.89</v>
      </c>
      <c r="O2153">
        <v>81.16</v>
      </c>
      <c r="P2153">
        <v>0</v>
      </c>
      <c r="Q2153">
        <v>0</v>
      </c>
      <c r="S2153">
        <v>29</v>
      </c>
      <c r="T2153">
        <v>1</v>
      </c>
      <c r="U2153">
        <v>6</v>
      </c>
      <c r="V2153">
        <v>81.16</v>
      </c>
      <c r="W2153">
        <v>13130002151</v>
      </c>
    </row>
    <row r="2154" spans="1:23" x14ac:dyDescent="0.2">
      <c r="A2154" s="1">
        <v>44776</v>
      </c>
      <c r="B2154" s="2">
        <v>0.35984953703703698</v>
      </c>
      <c r="C2154">
        <v>3152</v>
      </c>
      <c r="D2154">
        <v>13002561</v>
      </c>
      <c r="E2154">
        <v>13</v>
      </c>
      <c r="F2154">
        <v>22589</v>
      </c>
      <c r="G2154" t="s">
        <v>23</v>
      </c>
      <c r="H2154">
        <v>15</v>
      </c>
      <c r="I2154">
        <v>48178</v>
      </c>
      <c r="J2154" t="s">
        <v>52</v>
      </c>
      <c r="K2154" t="s">
        <v>60</v>
      </c>
      <c r="L2154" t="s">
        <v>39</v>
      </c>
      <c r="M2154">
        <v>2</v>
      </c>
      <c r="N2154">
        <v>467.9</v>
      </c>
      <c r="O2154">
        <v>675.42</v>
      </c>
      <c r="P2154">
        <v>67.540000000000006</v>
      </c>
      <c r="Q2154">
        <v>67.540000000000006</v>
      </c>
      <c r="R2154" t="s">
        <v>30</v>
      </c>
      <c r="S2154">
        <v>29</v>
      </c>
      <c r="T2154">
        <v>1</v>
      </c>
      <c r="U2154">
        <v>5</v>
      </c>
      <c r="V2154">
        <v>607.88</v>
      </c>
      <c r="W2154">
        <v>13130002152</v>
      </c>
    </row>
    <row r="2155" spans="1:23" x14ac:dyDescent="0.2">
      <c r="A2155" s="1">
        <v>44799</v>
      </c>
      <c r="B2155" s="2">
        <v>0.91510416666666672</v>
      </c>
      <c r="C2155">
        <v>3153</v>
      </c>
      <c r="D2155">
        <v>13002561</v>
      </c>
      <c r="E2155">
        <v>13</v>
      </c>
      <c r="F2155">
        <v>22589</v>
      </c>
      <c r="G2155" t="s">
        <v>23</v>
      </c>
      <c r="H2155">
        <v>18</v>
      </c>
      <c r="I2155">
        <v>14877</v>
      </c>
      <c r="J2155" t="s">
        <v>42</v>
      </c>
      <c r="K2155" t="s">
        <v>60</v>
      </c>
      <c r="L2155" t="s">
        <v>36</v>
      </c>
      <c r="M2155">
        <v>3</v>
      </c>
      <c r="N2155">
        <v>43.69</v>
      </c>
      <c r="O2155">
        <v>56.1</v>
      </c>
      <c r="P2155">
        <v>5.61</v>
      </c>
      <c r="Q2155">
        <v>5.61</v>
      </c>
      <c r="R2155" t="s">
        <v>30</v>
      </c>
      <c r="S2155">
        <v>29</v>
      </c>
      <c r="T2155">
        <v>1</v>
      </c>
      <c r="U2155">
        <v>6</v>
      </c>
      <c r="V2155">
        <v>50.49</v>
      </c>
      <c r="W2155">
        <v>13130002153</v>
      </c>
    </row>
    <row r="2156" spans="1:23" x14ac:dyDescent="0.2">
      <c r="A2156" s="1">
        <v>44782</v>
      </c>
      <c r="B2156" s="2">
        <v>0.75111111111111106</v>
      </c>
      <c r="C2156">
        <v>3154</v>
      </c>
      <c r="D2156">
        <v>13002561</v>
      </c>
      <c r="E2156">
        <v>13</v>
      </c>
      <c r="F2156">
        <v>22589</v>
      </c>
      <c r="G2156" t="s">
        <v>23</v>
      </c>
      <c r="H2156">
        <v>18</v>
      </c>
      <c r="I2156">
        <v>74585</v>
      </c>
      <c r="J2156" t="s">
        <v>76</v>
      </c>
      <c r="K2156" t="s">
        <v>28</v>
      </c>
      <c r="L2156" t="s">
        <v>34</v>
      </c>
      <c r="M2156">
        <v>1</v>
      </c>
      <c r="N2156">
        <v>464.1</v>
      </c>
      <c r="O2156">
        <v>762.11</v>
      </c>
      <c r="P2156">
        <v>0</v>
      </c>
      <c r="Q2156">
        <v>0</v>
      </c>
      <c r="S2156">
        <v>29</v>
      </c>
      <c r="T2156">
        <v>1</v>
      </c>
      <c r="U2156">
        <v>4</v>
      </c>
      <c r="V2156">
        <v>762.11</v>
      </c>
      <c r="W2156">
        <v>13130002154</v>
      </c>
    </row>
    <row r="2157" spans="1:23" x14ac:dyDescent="0.2">
      <c r="A2157" s="1">
        <v>44796</v>
      </c>
      <c r="B2157" s="2">
        <v>0.34555555555555562</v>
      </c>
      <c r="C2157">
        <v>3155</v>
      </c>
      <c r="D2157">
        <v>13002561</v>
      </c>
      <c r="E2157">
        <v>13</v>
      </c>
      <c r="F2157">
        <v>22589</v>
      </c>
      <c r="G2157" t="s">
        <v>23</v>
      </c>
      <c r="H2157">
        <v>18</v>
      </c>
      <c r="I2157">
        <v>26810</v>
      </c>
      <c r="J2157" t="s">
        <v>62</v>
      </c>
      <c r="K2157" t="s">
        <v>45</v>
      </c>
      <c r="L2157" t="s">
        <v>36</v>
      </c>
      <c r="M2157">
        <v>2</v>
      </c>
      <c r="N2157">
        <v>79.08</v>
      </c>
      <c r="O2157">
        <v>119.85</v>
      </c>
      <c r="P2157">
        <v>5.99</v>
      </c>
      <c r="Q2157">
        <v>5.99</v>
      </c>
      <c r="R2157" t="s">
        <v>30</v>
      </c>
      <c r="S2157">
        <v>29</v>
      </c>
      <c r="T2157">
        <v>1</v>
      </c>
      <c r="U2157">
        <v>4</v>
      </c>
      <c r="V2157">
        <v>113.86</v>
      </c>
      <c r="W2157">
        <v>13130002155</v>
      </c>
    </row>
    <row r="2158" spans="1:23" x14ac:dyDescent="0.2">
      <c r="A2158" s="1">
        <v>44798</v>
      </c>
      <c r="B2158" s="2">
        <v>0.67252314814814818</v>
      </c>
      <c r="C2158">
        <v>3156</v>
      </c>
      <c r="D2158">
        <v>13002561</v>
      </c>
      <c r="E2158">
        <v>13</v>
      </c>
      <c r="F2158">
        <v>22589</v>
      </c>
      <c r="G2158" t="s">
        <v>23</v>
      </c>
      <c r="H2158">
        <v>18</v>
      </c>
      <c r="I2158">
        <v>27623</v>
      </c>
      <c r="J2158" t="s">
        <v>105</v>
      </c>
      <c r="K2158" t="s">
        <v>25</v>
      </c>
      <c r="L2158" t="s">
        <v>32</v>
      </c>
      <c r="M2158">
        <v>2</v>
      </c>
      <c r="N2158">
        <v>120.76</v>
      </c>
      <c r="O2158">
        <v>167.96</v>
      </c>
      <c r="P2158">
        <v>16.8</v>
      </c>
      <c r="Q2158">
        <v>16.8</v>
      </c>
      <c r="R2158" t="s">
        <v>30</v>
      </c>
      <c r="S2158">
        <v>29</v>
      </c>
      <c r="T2158">
        <v>1</v>
      </c>
      <c r="U2158">
        <v>4</v>
      </c>
      <c r="V2158">
        <v>151.16</v>
      </c>
      <c r="W2158">
        <v>13130002156</v>
      </c>
    </row>
    <row r="2159" spans="1:23" x14ac:dyDescent="0.2">
      <c r="A2159" s="1">
        <v>44802</v>
      </c>
      <c r="B2159" s="2">
        <v>0.40347222222222218</v>
      </c>
      <c r="C2159">
        <v>3157</v>
      </c>
      <c r="D2159">
        <v>13002561</v>
      </c>
      <c r="E2159">
        <v>13</v>
      </c>
      <c r="F2159">
        <v>22589</v>
      </c>
      <c r="G2159" t="s">
        <v>23</v>
      </c>
      <c r="H2159">
        <v>18</v>
      </c>
      <c r="I2159">
        <v>39951</v>
      </c>
      <c r="J2159" t="s">
        <v>111</v>
      </c>
      <c r="K2159" t="s">
        <v>44</v>
      </c>
      <c r="L2159" t="s">
        <v>47</v>
      </c>
      <c r="M2159">
        <v>2</v>
      </c>
      <c r="N2159">
        <v>309.73</v>
      </c>
      <c r="O2159">
        <v>483.63</v>
      </c>
      <c r="P2159">
        <v>24.18</v>
      </c>
      <c r="Q2159">
        <v>24.18</v>
      </c>
      <c r="R2159" t="s">
        <v>30</v>
      </c>
      <c r="S2159">
        <v>29</v>
      </c>
      <c r="T2159">
        <v>1</v>
      </c>
      <c r="U2159">
        <v>4</v>
      </c>
      <c r="V2159">
        <v>459.45</v>
      </c>
      <c r="W2159">
        <v>13130002157</v>
      </c>
    </row>
    <row r="2160" spans="1:23" x14ac:dyDescent="0.2">
      <c r="A2160" s="1">
        <v>44784</v>
      </c>
      <c r="B2160" s="2">
        <v>0.94</v>
      </c>
      <c r="C2160">
        <v>3158</v>
      </c>
      <c r="D2160">
        <v>13002561</v>
      </c>
      <c r="E2160">
        <v>13</v>
      </c>
      <c r="F2160">
        <v>22589</v>
      </c>
      <c r="G2160" t="s">
        <v>23</v>
      </c>
      <c r="H2160">
        <v>15</v>
      </c>
      <c r="I2160">
        <v>78392</v>
      </c>
      <c r="J2160" t="s">
        <v>90</v>
      </c>
      <c r="K2160" t="s">
        <v>60</v>
      </c>
      <c r="L2160" t="s">
        <v>34</v>
      </c>
      <c r="M2160">
        <v>3</v>
      </c>
      <c r="N2160">
        <v>521.79</v>
      </c>
      <c r="O2160">
        <v>781.03</v>
      </c>
      <c r="P2160">
        <v>39.049999999999997</v>
      </c>
      <c r="Q2160">
        <v>39.049999999999997</v>
      </c>
      <c r="R2160" t="s">
        <v>30</v>
      </c>
      <c r="S2160">
        <v>29</v>
      </c>
      <c r="T2160">
        <v>1</v>
      </c>
      <c r="U2160">
        <v>4</v>
      </c>
      <c r="V2160">
        <v>741.98</v>
      </c>
      <c r="W2160">
        <v>13130002158</v>
      </c>
    </row>
    <row r="2161" spans="1:23" x14ac:dyDescent="0.2">
      <c r="A2161" s="1">
        <v>44775</v>
      </c>
      <c r="B2161" s="2">
        <v>0.56983796296296296</v>
      </c>
      <c r="C2161">
        <v>3159</v>
      </c>
      <c r="D2161">
        <v>13002561</v>
      </c>
      <c r="E2161">
        <v>13</v>
      </c>
      <c r="F2161">
        <v>22589</v>
      </c>
      <c r="G2161" t="s">
        <v>23</v>
      </c>
      <c r="H2161">
        <v>18</v>
      </c>
      <c r="I2161">
        <v>68677</v>
      </c>
      <c r="J2161" t="s">
        <v>106</v>
      </c>
      <c r="K2161" t="s">
        <v>44</v>
      </c>
      <c r="L2161" t="s">
        <v>32</v>
      </c>
      <c r="M2161">
        <v>3</v>
      </c>
      <c r="N2161">
        <v>201.06</v>
      </c>
      <c r="O2161">
        <v>327.63</v>
      </c>
      <c r="P2161">
        <v>32.76</v>
      </c>
      <c r="Q2161">
        <v>32.76</v>
      </c>
      <c r="R2161" t="s">
        <v>30</v>
      </c>
      <c r="S2161">
        <v>29</v>
      </c>
      <c r="T2161">
        <v>1</v>
      </c>
      <c r="U2161">
        <v>4</v>
      </c>
      <c r="V2161">
        <v>294.87</v>
      </c>
      <c r="W2161">
        <v>13130002159</v>
      </c>
    </row>
    <row r="2162" spans="1:23" x14ac:dyDescent="0.2">
      <c r="A2162" s="1">
        <v>44781</v>
      </c>
      <c r="B2162" s="2">
        <v>0.59508101851851847</v>
      </c>
      <c r="C2162">
        <v>3160</v>
      </c>
      <c r="D2162">
        <v>13002561</v>
      </c>
      <c r="E2162">
        <v>13</v>
      </c>
      <c r="F2162">
        <v>22589</v>
      </c>
      <c r="G2162" t="s">
        <v>23</v>
      </c>
      <c r="H2162">
        <v>15</v>
      </c>
      <c r="I2162">
        <v>42613</v>
      </c>
      <c r="J2162" t="s">
        <v>62</v>
      </c>
      <c r="K2162" t="s">
        <v>38</v>
      </c>
      <c r="L2162" t="s">
        <v>39</v>
      </c>
      <c r="M2162">
        <v>1</v>
      </c>
      <c r="N2162">
        <v>128.33000000000001</v>
      </c>
      <c r="O2162">
        <v>209.94</v>
      </c>
      <c r="P2162">
        <v>20.99</v>
      </c>
      <c r="Q2162">
        <v>20.99</v>
      </c>
      <c r="R2162" t="s">
        <v>30</v>
      </c>
      <c r="S2162">
        <v>29</v>
      </c>
      <c r="T2162">
        <v>1</v>
      </c>
      <c r="U2162">
        <v>1</v>
      </c>
      <c r="V2162">
        <v>188.95</v>
      </c>
      <c r="W2162">
        <v>13130002160</v>
      </c>
    </row>
    <row r="2163" spans="1:23" x14ac:dyDescent="0.2">
      <c r="A2163" s="1">
        <v>44804</v>
      </c>
      <c r="B2163" s="2">
        <v>0.69505787037037037</v>
      </c>
      <c r="C2163">
        <v>3161</v>
      </c>
      <c r="D2163">
        <v>13002561</v>
      </c>
      <c r="E2163">
        <v>13</v>
      </c>
      <c r="F2163">
        <v>22589</v>
      </c>
      <c r="G2163" t="s">
        <v>23</v>
      </c>
      <c r="H2163">
        <v>15</v>
      </c>
      <c r="I2163">
        <v>60335</v>
      </c>
      <c r="J2163" t="s">
        <v>122</v>
      </c>
      <c r="K2163" t="s">
        <v>60</v>
      </c>
      <c r="L2163" t="s">
        <v>32</v>
      </c>
      <c r="M2163">
        <v>3</v>
      </c>
      <c r="N2163">
        <v>251.77</v>
      </c>
      <c r="O2163">
        <v>390.58</v>
      </c>
      <c r="P2163">
        <v>0</v>
      </c>
      <c r="Q2163">
        <v>0</v>
      </c>
      <c r="S2163">
        <v>29</v>
      </c>
      <c r="T2163">
        <v>1</v>
      </c>
      <c r="U2163">
        <v>3</v>
      </c>
      <c r="V2163">
        <v>390.58</v>
      </c>
      <c r="W2163">
        <v>13130002161</v>
      </c>
    </row>
    <row r="2164" spans="1:23" x14ac:dyDescent="0.2">
      <c r="A2164" s="1">
        <v>44800</v>
      </c>
      <c r="B2164" s="2">
        <v>0.48204861111111108</v>
      </c>
      <c r="C2164">
        <v>3162</v>
      </c>
      <c r="D2164">
        <v>13002561</v>
      </c>
      <c r="E2164">
        <v>13</v>
      </c>
      <c r="F2164">
        <v>22589</v>
      </c>
      <c r="G2164" t="s">
        <v>23</v>
      </c>
      <c r="H2164">
        <v>18</v>
      </c>
      <c r="I2164">
        <v>48859</v>
      </c>
      <c r="J2164" t="s">
        <v>99</v>
      </c>
      <c r="K2164" t="s">
        <v>25</v>
      </c>
      <c r="L2164" t="s">
        <v>47</v>
      </c>
      <c r="M2164">
        <v>2</v>
      </c>
      <c r="N2164">
        <v>381.04</v>
      </c>
      <c r="O2164">
        <v>487.29</v>
      </c>
      <c r="P2164">
        <v>0</v>
      </c>
      <c r="Q2164">
        <v>0</v>
      </c>
      <c r="S2164">
        <v>29</v>
      </c>
      <c r="T2164">
        <v>1</v>
      </c>
      <c r="U2164">
        <v>2</v>
      </c>
      <c r="V2164">
        <v>487.29</v>
      </c>
      <c r="W2164">
        <v>13130002162</v>
      </c>
    </row>
    <row r="2165" spans="1:23" x14ac:dyDescent="0.2">
      <c r="A2165" s="1">
        <v>44798</v>
      </c>
      <c r="B2165" s="2">
        <v>0.93420138888888893</v>
      </c>
      <c r="C2165">
        <v>3163</v>
      </c>
      <c r="D2165">
        <v>13002561</v>
      </c>
      <c r="E2165">
        <v>13</v>
      </c>
      <c r="F2165">
        <v>22589</v>
      </c>
      <c r="G2165" t="s">
        <v>23</v>
      </c>
      <c r="H2165">
        <v>15</v>
      </c>
      <c r="I2165">
        <v>30448</v>
      </c>
      <c r="J2165" t="s">
        <v>35</v>
      </c>
      <c r="K2165" t="s">
        <v>28</v>
      </c>
      <c r="L2165" t="s">
        <v>36</v>
      </c>
      <c r="M2165">
        <v>3</v>
      </c>
      <c r="N2165">
        <v>68.45</v>
      </c>
      <c r="O2165">
        <v>114.61</v>
      </c>
      <c r="P2165">
        <v>11.46</v>
      </c>
      <c r="Q2165">
        <v>11.46</v>
      </c>
      <c r="R2165" t="s">
        <v>30</v>
      </c>
      <c r="S2165">
        <v>29</v>
      </c>
      <c r="T2165">
        <v>1</v>
      </c>
      <c r="U2165">
        <v>2</v>
      </c>
      <c r="V2165">
        <v>103.15</v>
      </c>
      <c r="W2165">
        <v>13130002163</v>
      </c>
    </row>
    <row r="2166" spans="1:23" x14ac:dyDescent="0.2">
      <c r="A2166" s="1">
        <v>44788</v>
      </c>
      <c r="B2166" s="2">
        <v>0.65645833333333337</v>
      </c>
      <c r="C2166">
        <v>3164</v>
      </c>
      <c r="D2166">
        <v>13002561</v>
      </c>
      <c r="E2166">
        <v>13</v>
      </c>
      <c r="F2166">
        <v>22589</v>
      </c>
      <c r="G2166" t="s">
        <v>23</v>
      </c>
      <c r="H2166">
        <v>15</v>
      </c>
      <c r="I2166">
        <v>71873</v>
      </c>
      <c r="J2166" t="s">
        <v>92</v>
      </c>
      <c r="K2166" t="s">
        <v>60</v>
      </c>
      <c r="L2166" t="s">
        <v>47</v>
      </c>
      <c r="M2166">
        <v>2</v>
      </c>
      <c r="N2166">
        <v>217.48</v>
      </c>
      <c r="O2166">
        <v>318.95999999999998</v>
      </c>
      <c r="P2166">
        <v>31.9</v>
      </c>
      <c r="Q2166">
        <v>31.9</v>
      </c>
      <c r="R2166" t="s">
        <v>30</v>
      </c>
      <c r="S2166">
        <v>29</v>
      </c>
      <c r="T2166">
        <v>1</v>
      </c>
      <c r="U2166">
        <v>2</v>
      </c>
      <c r="V2166">
        <v>287.06</v>
      </c>
      <c r="W2166">
        <v>13130002164</v>
      </c>
    </row>
    <row r="2167" spans="1:23" x14ac:dyDescent="0.2">
      <c r="A2167" s="1">
        <v>44801</v>
      </c>
      <c r="B2167" s="2">
        <v>0.73827546296296298</v>
      </c>
      <c r="C2167">
        <v>3165</v>
      </c>
      <c r="D2167">
        <v>13002561</v>
      </c>
      <c r="E2167">
        <v>13</v>
      </c>
      <c r="F2167">
        <v>22589</v>
      </c>
      <c r="G2167" t="s">
        <v>23</v>
      </c>
      <c r="H2167">
        <v>18</v>
      </c>
      <c r="I2167">
        <v>99541</v>
      </c>
      <c r="J2167" t="s">
        <v>100</v>
      </c>
      <c r="K2167" t="s">
        <v>28</v>
      </c>
      <c r="L2167" t="s">
        <v>51</v>
      </c>
      <c r="M2167">
        <v>1</v>
      </c>
      <c r="N2167">
        <v>114.79</v>
      </c>
      <c r="O2167">
        <v>161.43</v>
      </c>
      <c r="P2167">
        <v>8.07</v>
      </c>
      <c r="Q2167">
        <v>8.07</v>
      </c>
      <c r="R2167" t="s">
        <v>30</v>
      </c>
      <c r="S2167">
        <v>29</v>
      </c>
      <c r="T2167">
        <v>1</v>
      </c>
      <c r="U2167">
        <v>4</v>
      </c>
      <c r="V2167">
        <v>153.36000000000001</v>
      </c>
      <c r="W2167">
        <v>13130002165</v>
      </c>
    </row>
    <row r="2168" spans="1:23" x14ac:dyDescent="0.2">
      <c r="A2168" s="1">
        <v>44798</v>
      </c>
      <c r="B2168" s="2">
        <v>0.42128472222222219</v>
      </c>
      <c r="C2168">
        <v>3166</v>
      </c>
      <c r="D2168">
        <v>13002561</v>
      </c>
      <c r="E2168">
        <v>13</v>
      </c>
      <c r="F2168">
        <v>22589</v>
      </c>
      <c r="G2168" t="s">
        <v>23</v>
      </c>
      <c r="H2168">
        <v>15</v>
      </c>
      <c r="I2168">
        <v>22906</v>
      </c>
      <c r="J2168" t="s">
        <v>35</v>
      </c>
      <c r="K2168" t="s">
        <v>38</v>
      </c>
      <c r="L2168" t="s">
        <v>29</v>
      </c>
      <c r="M2168">
        <v>3</v>
      </c>
      <c r="N2168">
        <v>134.57</v>
      </c>
      <c r="O2168">
        <v>227.22</v>
      </c>
      <c r="P2168">
        <v>0</v>
      </c>
      <c r="Q2168">
        <v>0</v>
      </c>
      <c r="S2168">
        <v>29</v>
      </c>
      <c r="T2168">
        <v>1</v>
      </c>
      <c r="U2168">
        <v>6</v>
      </c>
      <c r="V2168">
        <v>227.22</v>
      </c>
      <c r="W2168">
        <v>13130002166</v>
      </c>
    </row>
    <row r="2169" spans="1:23" x14ac:dyDescent="0.2">
      <c r="A2169" s="1">
        <v>44780</v>
      </c>
      <c r="B2169" s="2">
        <v>0.71871527777777777</v>
      </c>
      <c r="C2169">
        <v>3167</v>
      </c>
      <c r="D2169">
        <v>13002561</v>
      </c>
      <c r="E2169">
        <v>13</v>
      </c>
      <c r="F2169">
        <v>22589</v>
      </c>
      <c r="G2169" t="s">
        <v>23</v>
      </c>
      <c r="H2169">
        <v>15</v>
      </c>
      <c r="I2169">
        <v>14025</v>
      </c>
      <c r="J2169" t="s">
        <v>75</v>
      </c>
      <c r="K2169" t="s">
        <v>38</v>
      </c>
      <c r="L2169" t="s">
        <v>29</v>
      </c>
      <c r="M2169">
        <v>3</v>
      </c>
      <c r="N2169">
        <v>313.19</v>
      </c>
      <c r="O2169">
        <v>464.25</v>
      </c>
      <c r="P2169">
        <v>23.21</v>
      </c>
      <c r="Q2169">
        <v>23.21</v>
      </c>
      <c r="R2169" t="s">
        <v>30</v>
      </c>
      <c r="S2169">
        <v>29</v>
      </c>
      <c r="T2169">
        <v>1</v>
      </c>
      <c r="U2169">
        <v>1</v>
      </c>
      <c r="V2169">
        <v>441.04</v>
      </c>
      <c r="W2169">
        <v>13130002167</v>
      </c>
    </row>
    <row r="2170" spans="1:23" x14ac:dyDescent="0.2">
      <c r="A2170" s="1">
        <v>44777</v>
      </c>
      <c r="B2170" s="2">
        <v>0.64909722222222221</v>
      </c>
      <c r="C2170">
        <v>3168</v>
      </c>
      <c r="D2170">
        <v>13002561</v>
      </c>
      <c r="E2170">
        <v>13</v>
      </c>
      <c r="F2170">
        <v>22589</v>
      </c>
      <c r="G2170" t="s">
        <v>23</v>
      </c>
      <c r="H2170">
        <v>15</v>
      </c>
      <c r="I2170">
        <v>75837</v>
      </c>
      <c r="J2170" t="s">
        <v>89</v>
      </c>
      <c r="K2170" t="s">
        <v>38</v>
      </c>
      <c r="L2170" t="s">
        <v>32</v>
      </c>
      <c r="M2170">
        <v>3</v>
      </c>
      <c r="N2170">
        <v>294.58</v>
      </c>
      <c r="O2170">
        <v>494.05</v>
      </c>
      <c r="P2170">
        <v>49.41</v>
      </c>
      <c r="Q2170">
        <v>49.41</v>
      </c>
      <c r="R2170" t="s">
        <v>30</v>
      </c>
      <c r="S2170">
        <v>29</v>
      </c>
      <c r="T2170">
        <v>1</v>
      </c>
      <c r="U2170">
        <v>3</v>
      </c>
      <c r="V2170">
        <v>444.64</v>
      </c>
      <c r="W2170">
        <v>13130002168</v>
      </c>
    </row>
    <row r="2171" spans="1:23" x14ac:dyDescent="0.2">
      <c r="A2171" s="1">
        <v>44780</v>
      </c>
      <c r="B2171" s="2">
        <v>0.63459490740740743</v>
      </c>
      <c r="C2171">
        <v>3169</v>
      </c>
      <c r="D2171">
        <v>13002561</v>
      </c>
      <c r="E2171">
        <v>13</v>
      </c>
      <c r="F2171">
        <v>22589</v>
      </c>
      <c r="G2171" t="s">
        <v>23</v>
      </c>
      <c r="H2171">
        <v>15</v>
      </c>
      <c r="I2171">
        <v>31000</v>
      </c>
      <c r="J2171" t="s">
        <v>125</v>
      </c>
      <c r="K2171" t="s">
        <v>44</v>
      </c>
      <c r="L2171" t="s">
        <v>26</v>
      </c>
      <c r="M2171">
        <v>2</v>
      </c>
      <c r="N2171">
        <v>229.57</v>
      </c>
      <c r="O2171">
        <v>328.76</v>
      </c>
      <c r="P2171">
        <v>16.440000000000001</v>
      </c>
      <c r="Q2171">
        <v>16.440000000000001</v>
      </c>
      <c r="R2171" t="s">
        <v>30</v>
      </c>
      <c r="S2171">
        <v>29</v>
      </c>
      <c r="T2171">
        <v>1</v>
      </c>
      <c r="U2171">
        <v>2</v>
      </c>
      <c r="V2171">
        <v>312.32</v>
      </c>
      <c r="W2171">
        <v>13130002169</v>
      </c>
    </row>
    <row r="2172" spans="1:23" x14ac:dyDescent="0.2">
      <c r="A2172" s="1">
        <v>44780</v>
      </c>
      <c r="B2172" s="2">
        <v>0.39209490740740738</v>
      </c>
      <c r="C2172">
        <v>3170</v>
      </c>
      <c r="D2172">
        <v>13002561</v>
      </c>
      <c r="E2172">
        <v>13</v>
      </c>
      <c r="F2172">
        <v>22589</v>
      </c>
      <c r="G2172" t="s">
        <v>23</v>
      </c>
      <c r="H2172">
        <v>18</v>
      </c>
      <c r="I2172">
        <v>32304</v>
      </c>
      <c r="J2172" t="s">
        <v>106</v>
      </c>
      <c r="K2172" t="s">
        <v>60</v>
      </c>
      <c r="L2172" t="s">
        <v>29</v>
      </c>
      <c r="M2172">
        <v>1</v>
      </c>
      <c r="N2172">
        <v>144.37</v>
      </c>
      <c r="O2172">
        <v>180.88</v>
      </c>
      <c r="P2172">
        <v>9.0399999999999991</v>
      </c>
      <c r="Q2172">
        <v>9.0399999999999991</v>
      </c>
      <c r="R2172" t="s">
        <v>30</v>
      </c>
      <c r="S2172">
        <v>29</v>
      </c>
      <c r="T2172">
        <v>1</v>
      </c>
      <c r="U2172">
        <v>2</v>
      </c>
      <c r="V2172">
        <v>171.84</v>
      </c>
      <c r="W2172">
        <v>13130002170</v>
      </c>
    </row>
    <row r="2173" spans="1:23" x14ac:dyDescent="0.2">
      <c r="A2173" s="1">
        <v>44792</v>
      </c>
      <c r="B2173" s="2">
        <v>0.57554398148148145</v>
      </c>
      <c r="C2173">
        <v>3171</v>
      </c>
      <c r="D2173">
        <v>13002561</v>
      </c>
      <c r="E2173">
        <v>13</v>
      </c>
      <c r="F2173">
        <v>22589</v>
      </c>
      <c r="G2173" t="s">
        <v>23</v>
      </c>
      <c r="H2173">
        <v>18</v>
      </c>
      <c r="I2173">
        <v>84395</v>
      </c>
      <c r="J2173" t="s">
        <v>66</v>
      </c>
      <c r="K2173" t="s">
        <v>44</v>
      </c>
      <c r="L2173" t="s">
        <v>39</v>
      </c>
      <c r="M2173">
        <v>2</v>
      </c>
      <c r="N2173">
        <v>24.34</v>
      </c>
      <c r="O2173">
        <v>40.39</v>
      </c>
      <c r="P2173">
        <v>2.02</v>
      </c>
      <c r="Q2173">
        <v>2.02</v>
      </c>
      <c r="R2173" t="s">
        <v>30</v>
      </c>
      <c r="S2173">
        <v>29</v>
      </c>
      <c r="T2173">
        <v>1</v>
      </c>
      <c r="U2173">
        <v>1</v>
      </c>
      <c r="V2173">
        <v>38.369999999999997</v>
      </c>
      <c r="W2173">
        <v>13130002171</v>
      </c>
    </row>
    <row r="2174" spans="1:23" x14ac:dyDescent="0.2">
      <c r="A2174" s="1">
        <v>44789</v>
      </c>
      <c r="B2174" s="2">
        <v>0.607025462962963</v>
      </c>
      <c r="C2174">
        <v>3172</v>
      </c>
      <c r="D2174">
        <v>13002561</v>
      </c>
      <c r="E2174">
        <v>13</v>
      </c>
      <c r="F2174">
        <v>22589</v>
      </c>
      <c r="G2174" t="s">
        <v>23</v>
      </c>
      <c r="H2174">
        <v>18</v>
      </c>
      <c r="I2174">
        <v>99495</v>
      </c>
      <c r="J2174" t="s">
        <v>37</v>
      </c>
      <c r="K2174" t="s">
        <v>44</v>
      </c>
      <c r="L2174" t="s">
        <v>32</v>
      </c>
      <c r="M2174">
        <v>2</v>
      </c>
      <c r="N2174">
        <v>281.83</v>
      </c>
      <c r="O2174">
        <v>409.38</v>
      </c>
      <c r="P2174">
        <v>0</v>
      </c>
      <c r="Q2174">
        <v>0</v>
      </c>
      <c r="S2174">
        <v>29</v>
      </c>
      <c r="T2174">
        <v>1</v>
      </c>
      <c r="U2174">
        <v>4</v>
      </c>
      <c r="V2174">
        <v>409.38</v>
      </c>
      <c r="W2174">
        <v>13130002172</v>
      </c>
    </row>
    <row r="2175" spans="1:23" x14ac:dyDescent="0.2">
      <c r="A2175" s="1">
        <v>44804</v>
      </c>
      <c r="B2175" s="2">
        <v>0.54974537037037041</v>
      </c>
      <c r="C2175">
        <v>3173</v>
      </c>
      <c r="D2175">
        <v>13002561</v>
      </c>
      <c r="E2175">
        <v>13</v>
      </c>
      <c r="F2175">
        <v>22589</v>
      </c>
      <c r="G2175" t="s">
        <v>23</v>
      </c>
      <c r="H2175">
        <v>15</v>
      </c>
      <c r="I2175">
        <v>31481</v>
      </c>
      <c r="J2175" t="s">
        <v>27</v>
      </c>
      <c r="K2175" t="s">
        <v>45</v>
      </c>
      <c r="L2175" t="s">
        <v>29</v>
      </c>
      <c r="M2175">
        <v>2</v>
      </c>
      <c r="N2175">
        <v>149.88</v>
      </c>
      <c r="O2175">
        <v>242.03</v>
      </c>
      <c r="P2175">
        <v>12.1</v>
      </c>
      <c r="Q2175">
        <v>12.1</v>
      </c>
      <c r="R2175" t="s">
        <v>30</v>
      </c>
      <c r="S2175">
        <v>29</v>
      </c>
      <c r="T2175">
        <v>1</v>
      </c>
      <c r="U2175">
        <v>3</v>
      </c>
      <c r="V2175">
        <v>229.93</v>
      </c>
      <c r="W2175">
        <v>13130002173</v>
      </c>
    </row>
    <row r="2176" spans="1:23" x14ac:dyDescent="0.2">
      <c r="A2176" s="1">
        <v>44789</v>
      </c>
      <c r="B2176" s="2">
        <v>0.58443287037037039</v>
      </c>
      <c r="C2176">
        <v>3174</v>
      </c>
      <c r="D2176">
        <v>13002561</v>
      </c>
      <c r="E2176">
        <v>13</v>
      </c>
      <c r="F2176">
        <v>22589</v>
      </c>
      <c r="G2176" t="s">
        <v>23</v>
      </c>
      <c r="H2176">
        <v>18</v>
      </c>
      <c r="I2176">
        <v>94851</v>
      </c>
      <c r="J2176" t="s">
        <v>90</v>
      </c>
      <c r="K2176" t="s">
        <v>28</v>
      </c>
      <c r="L2176" t="s">
        <v>39</v>
      </c>
      <c r="M2176">
        <v>3</v>
      </c>
      <c r="N2176">
        <v>584.27</v>
      </c>
      <c r="O2176">
        <v>905.09</v>
      </c>
      <c r="P2176">
        <v>0</v>
      </c>
      <c r="Q2176">
        <v>0</v>
      </c>
      <c r="S2176">
        <v>29</v>
      </c>
      <c r="T2176">
        <v>1</v>
      </c>
      <c r="U2176">
        <v>1</v>
      </c>
      <c r="V2176">
        <v>905.09</v>
      </c>
      <c r="W2176">
        <v>13130002174</v>
      </c>
    </row>
    <row r="2177" spans="1:23" x14ac:dyDescent="0.2">
      <c r="A2177" s="1">
        <v>44775</v>
      </c>
      <c r="B2177" s="2">
        <v>0.43542824074074082</v>
      </c>
      <c r="C2177">
        <v>3175</v>
      </c>
      <c r="D2177">
        <v>13002561</v>
      </c>
      <c r="E2177">
        <v>13</v>
      </c>
      <c r="F2177">
        <v>22589</v>
      </c>
      <c r="G2177" t="s">
        <v>23</v>
      </c>
      <c r="H2177">
        <v>18</v>
      </c>
      <c r="I2177">
        <v>93487</v>
      </c>
      <c r="J2177" t="s">
        <v>61</v>
      </c>
      <c r="K2177" t="s">
        <v>38</v>
      </c>
      <c r="L2177" t="s">
        <v>32</v>
      </c>
      <c r="M2177">
        <v>3</v>
      </c>
      <c r="N2177">
        <v>474.76</v>
      </c>
      <c r="O2177">
        <v>743.07</v>
      </c>
      <c r="P2177">
        <v>37.15</v>
      </c>
      <c r="Q2177">
        <v>37.15</v>
      </c>
      <c r="R2177" t="s">
        <v>30</v>
      </c>
      <c r="S2177">
        <v>29</v>
      </c>
      <c r="T2177">
        <v>1</v>
      </c>
      <c r="U2177">
        <v>4</v>
      </c>
      <c r="V2177">
        <v>705.92</v>
      </c>
      <c r="W2177">
        <v>13130002175</v>
      </c>
    </row>
    <row r="2178" spans="1:23" x14ac:dyDescent="0.2">
      <c r="A2178" s="1">
        <v>44787</v>
      </c>
      <c r="B2178" s="2">
        <v>0.62771990740740746</v>
      </c>
      <c r="C2178">
        <v>3176</v>
      </c>
      <c r="D2178">
        <v>13002561</v>
      </c>
      <c r="E2178">
        <v>13</v>
      </c>
      <c r="F2178">
        <v>22589</v>
      </c>
      <c r="G2178" t="s">
        <v>23</v>
      </c>
      <c r="H2178">
        <v>15</v>
      </c>
      <c r="I2178">
        <v>33487</v>
      </c>
      <c r="J2178" t="s">
        <v>119</v>
      </c>
      <c r="K2178" t="s">
        <v>45</v>
      </c>
      <c r="L2178" t="s">
        <v>29</v>
      </c>
      <c r="M2178">
        <v>2</v>
      </c>
      <c r="N2178">
        <v>495.01</v>
      </c>
      <c r="O2178">
        <v>640.61</v>
      </c>
      <c r="P2178">
        <v>32.03</v>
      </c>
      <c r="Q2178">
        <v>32.03</v>
      </c>
      <c r="R2178" t="s">
        <v>30</v>
      </c>
      <c r="S2178">
        <v>29</v>
      </c>
      <c r="T2178">
        <v>1</v>
      </c>
      <c r="U2178">
        <v>2</v>
      </c>
      <c r="V2178">
        <v>608.58000000000004</v>
      </c>
      <c r="W2178">
        <v>13130002176</v>
      </c>
    </row>
    <row r="2179" spans="1:23" x14ac:dyDescent="0.2">
      <c r="A2179" s="1">
        <v>44774</v>
      </c>
      <c r="B2179" s="2">
        <v>0.9164930555555556</v>
      </c>
      <c r="C2179">
        <v>3177</v>
      </c>
      <c r="D2179">
        <v>13002561</v>
      </c>
      <c r="E2179">
        <v>13</v>
      </c>
      <c r="F2179">
        <v>22589</v>
      </c>
      <c r="G2179" t="s">
        <v>23</v>
      </c>
      <c r="H2179">
        <v>15</v>
      </c>
      <c r="I2179">
        <v>50432</v>
      </c>
      <c r="J2179" t="s">
        <v>73</v>
      </c>
      <c r="K2179" t="s">
        <v>25</v>
      </c>
      <c r="L2179" t="s">
        <v>36</v>
      </c>
      <c r="M2179">
        <v>3</v>
      </c>
      <c r="N2179">
        <v>23.75</v>
      </c>
      <c r="O2179">
        <v>30.51</v>
      </c>
      <c r="P2179">
        <v>3.05</v>
      </c>
      <c r="Q2179">
        <v>3.05</v>
      </c>
      <c r="R2179" t="s">
        <v>30</v>
      </c>
      <c r="S2179">
        <v>29</v>
      </c>
      <c r="T2179">
        <v>1</v>
      </c>
      <c r="U2179">
        <v>2</v>
      </c>
      <c r="V2179">
        <v>27.46</v>
      </c>
      <c r="W2179">
        <v>13130002177</v>
      </c>
    </row>
    <row r="2180" spans="1:23" x14ac:dyDescent="0.2">
      <c r="A2180" s="1">
        <v>44801</v>
      </c>
      <c r="B2180" s="2">
        <v>0.49151620370370369</v>
      </c>
      <c r="C2180">
        <v>3178</v>
      </c>
      <c r="D2180">
        <v>13002561</v>
      </c>
      <c r="E2180">
        <v>13</v>
      </c>
      <c r="F2180">
        <v>22589</v>
      </c>
      <c r="G2180" t="s">
        <v>23</v>
      </c>
      <c r="H2180">
        <v>18</v>
      </c>
      <c r="I2180">
        <v>80700</v>
      </c>
      <c r="J2180" t="s">
        <v>70</v>
      </c>
      <c r="K2180" t="s">
        <v>28</v>
      </c>
      <c r="L2180" t="s">
        <v>29</v>
      </c>
      <c r="M2180">
        <v>3</v>
      </c>
      <c r="N2180">
        <v>169.64</v>
      </c>
      <c r="O2180">
        <v>234.27</v>
      </c>
      <c r="P2180">
        <v>11.71</v>
      </c>
      <c r="Q2180">
        <v>11.71</v>
      </c>
      <c r="R2180" t="s">
        <v>30</v>
      </c>
      <c r="S2180">
        <v>29</v>
      </c>
      <c r="T2180">
        <v>1</v>
      </c>
      <c r="U2180">
        <v>1</v>
      </c>
      <c r="V2180">
        <v>222.56</v>
      </c>
      <c r="W2180">
        <v>13130002178</v>
      </c>
    </row>
    <row r="2181" spans="1:23" x14ac:dyDescent="0.2">
      <c r="A2181" s="1">
        <v>44775</v>
      </c>
      <c r="B2181" s="2">
        <v>0.86260416666666662</v>
      </c>
      <c r="C2181">
        <v>3179</v>
      </c>
      <c r="D2181">
        <v>13002561</v>
      </c>
      <c r="E2181">
        <v>13</v>
      </c>
      <c r="F2181">
        <v>22589</v>
      </c>
      <c r="G2181" t="s">
        <v>23</v>
      </c>
      <c r="H2181">
        <v>15</v>
      </c>
      <c r="I2181">
        <v>73862</v>
      </c>
      <c r="J2181" t="s">
        <v>114</v>
      </c>
      <c r="K2181" t="s">
        <v>38</v>
      </c>
      <c r="L2181" t="s">
        <v>26</v>
      </c>
      <c r="M2181">
        <v>2</v>
      </c>
      <c r="N2181">
        <v>423.82</v>
      </c>
      <c r="O2181">
        <v>612.08000000000004</v>
      </c>
      <c r="P2181">
        <v>30.6</v>
      </c>
      <c r="Q2181">
        <v>30.6</v>
      </c>
      <c r="R2181" t="s">
        <v>30</v>
      </c>
      <c r="S2181">
        <v>29</v>
      </c>
      <c r="T2181">
        <v>1</v>
      </c>
      <c r="U2181">
        <v>4</v>
      </c>
      <c r="V2181">
        <v>581.48</v>
      </c>
      <c r="W2181">
        <v>13130002179</v>
      </c>
    </row>
    <row r="2182" spans="1:23" x14ac:dyDescent="0.2">
      <c r="A2182" s="1">
        <v>44797</v>
      </c>
      <c r="B2182" s="2">
        <v>0.86090277777777779</v>
      </c>
      <c r="C2182">
        <v>3180</v>
      </c>
      <c r="D2182">
        <v>13002561</v>
      </c>
      <c r="E2182">
        <v>13</v>
      </c>
      <c r="F2182">
        <v>22589</v>
      </c>
      <c r="G2182" t="s">
        <v>23</v>
      </c>
      <c r="H2182">
        <v>15</v>
      </c>
      <c r="I2182">
        <v>73411</v>
      </c>
      <c r="J2182" t="s">
        <v>98</v>
      </c>
      <c r="K2182" t="s">
        <v>44</v>
      </c>
      <c r="L2182" t="s">
        <v>26</v>
      </c>
      <c r="M2182">
        <v>1</v>
      </c>
      <c r="N2182">
        <v>577.54999999999995</v>
      </c>
      <c r="O2182">
        <v>835.73</v>
      </c>
      <c r="P2182">
        <v>83.57</v>
      </c>
      <c r="Q2182">
        <v>83.57</v>
      </c>
      <c r="R2182" t="s">
        <v>30</v>
      </c>
      <c r="S2182">
        <v>29</v>
      </c>
      <c r="T2182">
        <v>1</v>
      </c>
      <c r="U2182">
        <v>5</v>
      </c>
      <c r="V2182">
        <v>752.16</v>
      </c>
      <c r="W2182">
        <v>13130002180</v>
      </c>
    </row>
    <row r="2183" spans="1:23" x14ac:dyDescent="0.2">
      <c r="A2183" s="1">
        <v>44796</v>
      </c>
      <c r="B2183" s="2">
        <v>0.45909722222222221</v>
      </c>
      <c r="C2183">
        <v>3181</v>
      </c>
      <c r="D2183">
        <v>13002561</v>
      </c>
      <c r="E2183">
        <v>13</v>
      </c>
      <c r="F2183">
        <v>22589</v>
      </c>
      <c r="G2183" t="s">
        <v>23</v>
      </c>
      <c r="H2183">
        <v>15</v>
      </c>
      <c r="I2183">
        <v>78299</v>
      </c>
      <c r="J2183" t="s">
        <v>73</v>
      </c>
      <c r="K2183" t="s">
        <v>25</v>
      </c>
      <c r="L2183" t="s">
        <v>29</v>
      </c>
      <c r="M2183">
        <v>2</v>
      </c>
      <c r="N2183">
        <v>486.3</v>
      </c>
      <c r="O2183">
        <v>743.66</v>
      </c>
      <c r="P2183">
        <v>0</v>
      </c>
      <c r="Q2183">
        <v>0</v>
      </c>
      <c r="S2183">
        <v>29</v>
      </c>
      <c r="T2183">
        <v>1</v>
      </c>
      <c r="U2183">
        <v>4</v>
      </c>
      <c r="V2183">
        <v>743.66</v>
      </c>
      <c r="W2183">
        <v>13130002181</v>
      </c>
    </row>
    <row r="2184" spans="1:23" x14ac:dyDescent="0.2">
      <c r="A2184" s="1">
        <v>44796</v>
      </c>
      <c r="B2184" s="2">
        <v>0.49697916666666669</v>
      </c>
      <c r="C2184">
        <v>3182</v>
      </c>
      <c r="D2184">
        <v>13002561</v>
      </c>
      <c r="E2184">
        <v>13</v>
      </c>
      <c r="F2184">
        <v>22589</v>
      </c>
      <c r="G2184" t="s">
        <v>23</v>
      </c>
      <c r="H2184">
        <v>18</v>
      </c>
      <c r="I2184">
        <v>43354</v>
      </c>
      <c r="J2184" t="s">
        <v>68</v>
      </c>
      <c r="K2184" t="s">
        <v>60</v>
      </c>
      <c r="L2184" t="s">
        <v>34</v>
      </c>
      <c r="M2184">
        <v>1</v>
      </c>
      <c r="N2184">
        <v>420.14</v>
      </c>
      <c r="O2184">
        <v>598</v>
      </c>
      <c r="P2184">
        <v>59.8</v>
      </c>
      <c r="Q2184">
        <v>59.8</v>
      </c>
      <c r="R2184" t="s">
        <v>30</v>
      </c>
      <c r="S2184">
        <v>29</v>
      </c>
      <c r="T2184">
        <v>1</v>
      </c>
      <c r="U2184">
        <v>1</v>
      </c>
      <c r="V2184">
        <v>538.20000000000005</v>
      </c>
      <c r="W2184">
        <v>13130002182</v>
      </c>
    </row>
    <row r="2185" spans="1:23" x14ac:dyDescent="0.2">
      <c r="A2185" s="1">
        <v>44798</v>
      </c>
      <c r="B2185" s="2">
        <v>0.93153935185185188</v>
      </c>
      <c r="C2185">
        <v>3183</v>
      </c>
      <c r="D2185">
        <v>13002561</v>
      </c>
      <c r="E2185">
        <v>13</v>
      </c>
      <c r="F2185">
        <v>22589</v>
      </c>
      <c r="G2185" t="s">
        <v>23</v>
      </c>
      <c r="H2185">
        <v>15</v>
      </c>
      <c r="I2185">
        <v>45875</v>
      </c>
      <c r="J2185" t="s">
        <v>116</v>
      </c>
      <c r="K2185" t="s">
        <v>45</v>
      </c>
      <c r="L2185" t="s">
        <v>34</v>
      </c>
      <c r="M2185">
        <v>3</v>
      </c>
      <c r="N2185">
        <v>246.47</v>
      </c>
      <c r="O2185">
        <v>333.55</v>
      </c>
      <c r="P2185">
        <v>33.36</v>
      </c>
      <c r="Q2185">
        <v>33.36</v>
      </c>
      <c r="R2185" t="s">
        <v>30</v>
      </c>
      <c r="S2185">
        <v>29</v>
      </c>
      <c r="T2185">
        <v>1</v>
      </c>
      <c r="U2185">
        <v>1</v>
      </c>
      <c r="V2185">
        <v>300.19</v>
      </c>
      <c r="W2185">
        <v>13130002183</v>
      </c>
    </row>
    <row r="2186" spans="1:23" x14ac:dyDescent="0.2">
      <c r="A2186" s="1">
        <v>44794</v>
      </c>
      <c r="B2186" s="2">
        <v>0.73531250000000004</v>
      </c>
      <c r="C2186">
        <v>3184</v>
      </c>
      <c r="D2186">
        <v>13002561</v>
      </c>
      <c r="E2186">
        <v>13</v>
      </c>
      <c r="F2186">
        <v>22589</v>
      </c>
      <c r="G2186" t="s">
        <v>23</v>
      </c>
      <c r="H2186">
        <v>18</v>
      </c>
      <c r="I2186">
        <v>57552</v>
      </c>
      <c r="J2186" t="s">
        <v>109</v>
      </c>
      <c r="K2186" t="s">
        <v>44</v>
      </c>
      <c r="L2186" t="s">
        <v>26</v>
      </c>
      <c r="M2186">
        <v>1</v>
      </c>
      <c r="N2186">
        <v>376.54</v>
      </c>
      <c r="O2186">
        <v>601.6</v>
      </c>
      <c r="P2186">
        <v>60.16</v>
      </c>
      <c r="Q2186">
        <v>60.16</v>
      </c>
      <c r="R2186" t="s">
        <v>30</v>
      </c>
      <c r="S2186">
        <v>29</v>
      </c>
      <c r="T2186">
        <v>1</v>
      </c>
      <c r="U2186">
        <v>6</v>
      </c>
      <c r="V2186">
        <v>541.44000000000005</v>
      </c>
      <c r="W2186">
        <v>13130002184</v>
      </c>
    </row>
    <row r="2187" spans="1:23" x14ac:dyDescent="0.2">
      <c r="A2187" s="1">
        <v>44789</v>
      </c>
      <c r="B2187" s="2">
        <v>0.39649305555555547</v>
      </c>
      <c r="C2187">
        <v>3185</v>
      </c>
      <c r="D2187">
        <v>13002561</v>
      </c>
      <c r="E2187">
        <v>13</v>
      </c>
      <c r="F2187">
        <v>22589</v>
      </c>
      <c r="G2187" t="s">
        <v>23</v>
      </c>
      <c r="H2187">
        <v>15</v>
      </c>
      <c r="I2187">
        <v>47814</v>
      </c>
      <c r="J2187" t="s">
        <v>109</v>
      </c>
      <c r="K2187" t="s">
        <v>45</v>
      </c>
      <c r="L2187" t="s">
        <v>26</v>
      </c>
      <c r="M2187">
        <v>3</v>
      </c>
      <c r="N2187">
        <v>115.49</v>
      </c>
      <c r="O2187">
        <v>151.9</v>
      </c>
      <c r="P2187">
        <v>7.6</v>
      </c>
      <c r="Q2187">
        <v>7.6</v>
      </c>
      <c r="R2187" t="s">
        <v>30</v>
      </c>
      <c r="S2187">
        <v>29</v>
      </c>
      <c r="T2187">
        <v>1</v>
      </c>
      <c r="U2187">
        <v>3</v>
      </c>
      <c r="V2187">
        <v>144.30000000000001</v>
      </c>
      <c r="W2187">
        <v>13130002185</v>
      </c>
    </row>
    <row r="2188" spans="1:23" x14ac:dyDescent="0.2">
      <c r="A2188" s="1">
        <v>44789</v>
      </c>
      <c r="B2188" s="2">
        <v>0.3974421296296296</v>
      </c>
      <c r="C2188">
        <v>3186</v>
      </c>
      <c r="D2188">
        <v>13002561</v>
      </c>
      <c r="E2188">
        <v>13</v>
      </c>
      <c r="F2188">
        <v>22589</v>
      </c>
      <c r="G2188" t="s">
        <v>23</v>
      </c>
      <c r="H2188">
        <v>18</v>
      </c>
      <c r="I2188">
        <v>76827</v>
      </c>
      <c r="J2188" t="s">
        <v>64</v>
      </c>
      <c r="K2188" t="s">
        <v>28</v>
      </c>
      <c r="L2188" t="s">
        <v>26</v>
      </c>
      <c r="M2188">
        <v>3</v>
      </c>
      <c r="N2188">
        <v>82.3</v>
      </c>
      <c r="O2188">
        <v>107.05</v>
      </c>
      <c r="P2188">
        <v>10.71</v>
      </c>
      <c r="Q2188">
        <v>10.71</v>
      </c>
      <c r="R2188" t="s">
        <v>30</v>
      </c>
      <c r="S2188">
        <v>29</v>
      </c>
      <c r="T2188">
        <v>1</v>
      </c>
      <c r="U2188">
        <v>6</v>
      </c>
      <c r="V2188">
        <v>96.34</v>
      </c>
      <c r="W2188">
        <v>13130002186</v>
      </c>
    </row>
    <row r="2189" spans="1:23" x14ac:dyDescent="0.2">
      <c r="A2189" s="1">
        <v>44788</v>
      </c>
      <c r="B2189" s="2">
        <v>0.91891203703703705</v>
      </c>
      <c r="C2189">
        <v>3187</v>
      </c>
      <c r="D2189">
        <v>13002561</v>
      </c>
      <c r="E2189">
        <v>13</v>
      </c>
      <c r="F2189">
        <v>22589</v>
      </c>
      <c r="G2189" t="s">
        <v>23</v>
      </c>
      <c r="H2189">
        <v>18</v>
      </c>
      <c r="I2189">
        <v>89638</v>
      </c>
      <c r="J2189" t="s">
        <v>43</v>
      </c>
      <c r="K2189" t="s">
        <v>25</v>
      </c>
      <c r="L2189" t="s">
        <v>34</v>
      </c>
      <c r="M2189">
        <v>1</v>
      </c>
      <c r="N2189">
        <v>346.22</v>
      </c>
      <c r="O2189">
        <v>499.4</v>
      </c>
      <c r="P2189">
        <v>49.94</v>
      </c>
      <c r="Q2189">
        <v>49.94</v>
      </c>
      <c r="R2189" t="s">
        <v>30</v>
      </c>
      <c r="S2189">
        <v>29</v>
      </c>
      <c r="T2189">
        <v>1</v>
      </c>
      <c r="U2189">
        <v>3</v>
      </c>
      <c r="V2189">
        <v>449.46</v>
      </c>
      <c r="W2189">
        <v>13130002187</v>
      </c>
    </row>
    <row r="2190" spans="1:23" x14ac:dyDescent="0.2">
      <c r="A2190" s="1">
        <v>44796</v>
      </c>
      <c r="B2190" s="2">
        <v>0.51004629629629628</v>
      </c>
      <c r="C2190">
        <v>3188</v>
      </c>
      <c r="D2190">
        <v>13002561</v>
      </c>
      <c r="E2190">
        <v>13</v>
      </c>
      <c r="F2190">
        <v>22589</v>
      </c>
      <c r="G2190" t="s">
        <v>23</v>
      </c>
      <c r="H2190">
        <v>18</v>
      </c>
      <c r="I2190">
        <v>18680</v>
      </c>
      <c r="J2190" t="s">
        <v>114</v>
      </c>
      <c r="K2190" t="s">
        <v>44</v>
      </c>
      <c r="L2190" t="s">
        <v>39</v>
      </c>
      <c r="M2190">
        <v>3</v>
      </c>
      <c r="N2190">
        <v>591.21</v>
      </c>
      <c r="O2190">
        <v>959.08</v>
      </c>
      <c r="P2190">
        <v>95.91</v>
      </c>
      <c r="Q2190">
        <v>95.91</v>
      </c>
      <c r="R2190" t="s">
        <v>30</v>
      </c>
      <c r="S2190">
        <v>29</v>
      </c>
      <c r="T2190">
        <v>1</v>
      </c>
      <c r="U2190">
        <v>3</v>
      </c>
      <c r="V2190">
        <v>863.17</v>
      </c>
      <c r="W2190">
        <v>13130002188</v>
      </c>
    </row>
    <row r="2191" spans="1:23" x14ac:dyDescent="0.2">
      <c r="A2191" s="1">
        <v>44774</v>
      </c>
      <c r="B2191" s="2">
        <v>0.83621527777777782</v>
      </c>
      <c r="C2191">
        <v>3189</v>
      </c>
      <c r="D2191">
        <v>13002561</v>
      </c>
      <c r="E2191">
        <v>13</v>
      </c>
      <c r="F2191">
        <v>22589</v>
      </c>
      <c r="G2191" t="s">
        <v>23</v>
      </c>
      <c r="H2191">
        <v>18</v>
      </c>
      <c r="I2191">
        <v>37726</v>
      </c>
      <c r="J2191" t="s">
        <v>122</v>
      </c>
      <c r="K2191" t="s">
        <v>60</v>
      </c>
      <c r="L2191" t="s">
        <v>29</v>
      </c>
      <c r="M2191">
        <v>1</v>
      </c>
      <c r="N2191">
        <v>485.93</v>
      </c>
      <c r="O2191">
        <v>806.09</v>
      </c>
      <c r="P2191">
        <v>80.61</v>
      </c>
      <c r="Q2191">
        <v>80.61</v>
      </c>
      <c r="R2191" t="s">
        <v>30</v>
      </c>
      <c r="S2191">
        <v>29</v>
      </c>
      <c r="T2191">
        <v>1</v>
      </c>
      <c r="U2191">
        <v>2</v>
      </c>
      <c r="V2191">
        <v>725.48</v>
      </c>
      <c r="W2191">
        <v>13130002189</v>
      </c>
    </row>
    <row r="2192" spans="1:23" x14ac:dyDescent="0.2">
      <c r="A2192" s="1">
        <v>44794</v>
      </c>
      <c r="B2192" s="2">
        <v>0.6115856481481482</v>
      </c>
      <c r="C2192">
        <v>3190</v>
      </c>
      <c r="D2192">
        <v>13002561</v>
      </c>
      <c r="E2192">
        <v>13</v>
      </c>
      <c r="F2192">
        <v>22589</v>
      </c>
      <c r="G2192" t="s">
        <v>23</v>
      </c>
      <c r="H2192">
        <v>15</v>
      </c>
      <c r="I2192">
        <v>35699</v>
      </c>
      <c r="J2192" t="s">
        <v>102</v>
      </c>
      <c r="K2192" t="s">
        <v>44</v>
      </c>
      <c r="L2192" t="s">
        <v>34</v>
      </c>
      <c r="M2192">
        <v>2</v>
      </c>
      <c r="N2192">
        <v>391.2</v>
      </c>
      <c r="O2192">
        <v>649.11</v>
      </c>
      <c r="P2192">
        <v>0</v>
      </c>
      <c r="Q2192">
        <v>0</v>
      </c>
      <c r="S2192">
        <v>29</v>
      </c>
      <c r="T2192">
        <v>1</v>
      </c>
      <c r="U2192">
        <v>6</v>
      </c>
      <c r="V2192">
        <v>649.11</v>
      </c>
      <c r="W2192">
        <v>13130002190</v>
      </c>
    </row>
    <row r="2193" spans="1:23" x14ac:dyDescent="0.2">
      <c r="A2193" s="1">
        <v>44782</v>
      </c>
      <c r="B2193" s="2">
        <v>0.77399305555555553</v>
      </c>
      <c r="C2193">
        <v>3191</v>
      </c>
      <c r="D2193">
        <v>13002561</v>
      </c>
      <c r="E2193">
        <v>13</v>
      </c>
      <c r="F2193">
        <v>22589</v>
      </c>
      <c r="G2193" t="s">
        <v>23</v>
      </c>
      <c r="H2193">
        <v>18</v>
      </c>
      <c r="I2193">
        <v>40924</v>
      </c>
      <c r="J2193" t="s">
        <v>43</v>
      </c>
      <c r="K2193" t="s">
        <v>44</v>
      </c>
      <c r="L2193" t="s">
        <v>51</v>
      </c>
      <c r="M2193">
        <v>3</v>
      </c>
      <c r="N2193">
        <v>105.95</v>
      </c>
      <c r="O2193">
        <v>134.76</v>
      </c>
      <c r="P2193">
        <v>0</v>
      </c>
      <c r="Q2193">
        <v>0</v>
      </c>
      <c r="S2193">
        <v>29</v>
      </c>
      <c r="T2193">
        <v>1</v>
      </c>
      <c r="U2193">
        <v>5</v>
      </c>
      <c r="V2193">
        <v>134.76</v>
      </c>
      <c r="W2193">
        <v>13130002191</v>
      </c>
    </row>
    <row r="2194" spans="1:23" x14ac:dyDescent="0.2">
      <c r="A2194" s="1">
        <v>44795</v>
      </c>
      <c r="B2194" s="2">
        <v>0.81462962962962959</v>
      </c>
      <c r="C2194">
        <v>3192</v>
      </c>
      <c r="D2194">
        <v>13002561</v>
      </c>
      <c r="E2194">
        <v>13</v>
      </c>
      <c r="F2194">
        <v>22589</v>
      </c>
      <c r="G2194" t="s">
        <v>23</v>
      </c>
      <c r="H2194">
        <v>15</v>
      </c>
      <c r="I2194">
        <v>51831</v>
      </c>
      <c r="J2194" t="s">
        <v>96</v>
      </c>
      <c r="K2194" t="s">
        <v>38</v>
      </c>
      <c r="L2194" t="s">
        <v>39</v>
      </c>
      <c r="M2194">
        <v>2</v>
      </c>
      <c r="N2194">
        <v>341.94</v>
      </c>
      <c r="O2194">
        <v>512.53</v>
      </c>
      <c r="P2194">
        <v>25.63</v>
      </c>
      <c r="Q2194">
        <v>25.63</v>
      </c>
      <c r="R2194" t="s">
        <v>30</v>
      </c>
      <c r="S2194">
        <v>29</v>
      </c>
      <c r="T2194">
        <v>1</v>
      </c>
      <c r="U2194">
        <v>3</v>
      </c>
      <c r="V2194">
        <v>486.9</v>
      </c>
      <c r="W2194">
        <v>13130002192</v>
      </c>
    </row>
    <row r="2195" spans="1:23" x14ac:dyDescent="0.2">
      <c r="A2195" s="1">
        <v>44777</v>
      </c>
      <c r="B2195" s="2">
        <v>0.53440972222222227</v>
      </c>
      <c r="C2195">
        <v>3193</v>
      </c>
      <c r="D2195">
        <v>13002561</v>
      </c>
      <c r="E2195">
        <v>13</v>
      </c>
      <c r="F2195">
        <v>22589</v>
      </c>
      <c r="G2195" t="s">
        <v>23</v>
      </c>
      <c r="H2195">
        <v>18</v>
      </c>
      <c r="I2195">
        <v>77194</v>
      </c>
      <c r="J2195" t="s">
        <v>58</v>
      </c>
      <c r="K2195" t="s">
        <v>38</v>
      </c>
      <c r="L2195" t="s">
        <v>36</v>
      </c>
      <c r="M2195">
        <v>3</v>
      </c>
      <c r="N2195">
        <v>111.39</v>
      </c>
      <c r="O2195">
        <v>144.83000000000001</v>
      </c>
      <c r="P2195">
        <v>14.48</v>
      </c>
      <c r="Q2195">
        <v>14.48</v>
      </c>
      <c r="R2195" t="s">
        <v>30</v>
      </c>
      <c r="S2195">
        <v>29</v>
      </c>
      <c r="T2195">
        <v>1</v>
      </c>
      <c r="U2195">
        <v>3</v>
      </c>
      <c r="V2195">
        <v>130.35</v>
      </c>
      <c r="W2195">
        <v>13130002193</v>
      </c>
    </row>
    <row r="2196" spans="1:23" x14ac:dyDescent="0.2">
      <c r="A2196" s="1">
        <v>44789</v>
      </c>
      <c r="B2196" s="2">
        <v>0.72440972222222222</v>
      </c>
      <c r="C2196">
        <v>3194</v>
      </c>
      <c r="D2196">
        <v>13002561</v>
      </c>
      <c r="E2196">
        <v>13</v>
      </c>
      <c r="F2196">
        <v>22589</v>
      </c>
      <c r="G2196" t="s">
        <v>23</v>
      </c>
      <c r="H2196">
        <v>15</v>
      </c>
      <c r="I2196">
        <v>64459</v>
      </c>
      <c r="J2196" t="s">
        <v>59</v>
      </c>
      <c r="K2196" t="s">
        <v>60</v>
      </c>
      <c r="L2196" t="s">
        <v>32</v>
      </c>
      <c r="M2196">
        <v>1</v>
      </c>
      <c r="N2196">
        <v>338.47</v>
      </c>
      <c r="O2196">
        <v>569.85</v>
      </c>
      <c r="P2196">
        <v>28.49</v>
      </c>
      <c r="Q2196">
        <v>28.49</v>
      </c>
      <c r="R2196" t="s">
        <v>30</v>
      </c>
      <c r="S2196">
        <v>29</v>
      </c>
      <c r="T2196">
        <v>1</v>
      </c>
      <c r="U2196">
        <v>1</v>
      </c>
      <c r="V2196">
        <v>541.36</v>
      </c>
      <c r="W2196">
        <v>13130002194</v>
      </c>
    </row>
    <row r="2197" spans="1:23" x14ac:dyDescent="0.2">
      <c r="A2197" s="1">
        <v>44798</v>
      </c>
      <c r="B2197" s="2">
        <v>0.41725694444444439</v>
      </c>
      <c r="C2197">
        <v>3195</v>
      </c>
      <c r="D2197">
        <v>13002561</v>
      </c>
      <c r="E2197">
        <v>13</v>
      </c>
      <c r="F2197">
        <v>22589</v>
      </c>
      <c r="G2197" t="s">
        <v>23</v>
      </c>
      <c r="H2197">
        <v>18</v>
      </c>
      <c r="I2197">
        <v>19346</v>
      </c>
      <c r="J2197" t="s">
        <v>66</v>
      </c>
      <c r="K2197" t="s">
        <v>25</v>
      </c>
      <c r="L2197" t="s">
        <v>29</v>
      </c>
      <c r="M2197">
        <v>2</v>
      </c>
      <c r="N2197">
        <v>291.72000000000003</v>
      </c>
      <c r="O2197">
        <v>414.12</v>
      </c>
      <c r="P2197">
        <v>0</v>
      </c>
      <c r="Q2197">
        <v>0</v>
      </c>
      <c r="S2197">
        <v>29</v>
      </c>
      <c r="T2197">
        <v>1</v>
      </c>
      <c r="U2197">
        <v>5</v>
      </c>
      <c r="V2197">
        <v>414.12</v>
      </c>
      <c r="W2197">
        <v>13130002195</v>
      </c>
    </row>
    <row r="2198" spans="1:23" x14ac:dyDescent="0.2">
      <c r="A2198" s="1">
        <v>44801</v>
      </c>
      <c r="B2198" s="2">
        <v>0.95673611111111112</v>
      </c>
      <c r="C2198">
        <v>3196</v>
      </c>
      <c r="D2198">
        <v>13002561</v>
      </c>
      <c r="E2198">
        <v>13</v>
      </c>
      <c r="F2198">
        <v>22589</v>
      </c>
      <c r="G2198" t="s">
        <v>23</v>
      </c>
      <c r="H2198">
        <v>18</v>
      </c>
      <c r="I2198">
        <v>84902</v>
      </c>
      <c r="J2198" t="s">
        <v>91</v>
      </c>
      <c r="K2198" t="s">
        <v>44</v>
      </c>
      <c r="L2198" t="s">
        <v>39</v>
      </c>
      <c r="M2198">
        <v>2</v>
      </c>
      <c r="N2198">
        <v>314.41000000000003</v>
      </c>
      <c r="O2198">
        <v>492.84</v>
      </c>
      <c r="P2198">
        <v>49.28</v>
      </c>
      <c r="Q2198">
        <v>49.28</v>
      </c>
      <c r="R2198" t="s">
        <v>30</v>
      </c>
      <c r="S2198">
        <v>29</v>
      </c>
      <c r="T2198">
        <v>1</v>
      </c>
      <c r="U2198">
        <v>3</v>
      </c>
      <c r="V2198">
        <v>443.56</v>
      </c>
      <c r="W2198">
        <v>13130002196</v>
      </c>
    </row>
    <row r="2199" spans="1:23" x14ac:dyDescent="0.2">
      <c r="A2199" s="1">
        <v>44799</v>
      </c>
      <c r="B2199" s="2">
        <v>0.93178240740740736</v>
      </c>
      <c r="C2199">
        <v>3197</v>
      </c>
      <c r="D2199">
        <v>13002561</v>
      </c>
      <c r="E2199">
        <v>13</v>
      </c>
      <c r="F2199">
        <v>22589</v>
      </c>
      <c r="G2199" t="s">
        <v>23</v>
      </c>
      <c r="H2199">
        <v>18</v>
      </c>
      <c r="I2199">
        <v>23751</v>
      </c>
      <c r="J2199" t="s">
        <v>55</v>
      </c>
      <c r="K2199" t="s">
        <v>45</v>
      </c>
      <c r="L2199" t="s">
        <v>51</v>
      </c>
      <c r="M2199">
        <v>2</v>
      </c>
      <c r="N2199">
        <v>374.39</v>
      </c>
      <c r="O2199">
        <v>470.34</v>
      </c>
      <c r="P2199">
        <v>47.03</v>
      </c>
      <c r="Q2199">
        <v>47.03</v>
      </c>
      <c r="R2199" t="s">
        <v>30</v>
      </c>
      <c r="S2199">
        <v>29</v>
      </c>
      <c r="T2199">
        <v>1</v>
      </c>
      <c r="U2199">
        <v>6</v>
      </c>
      <c r="V2199">
        <v>423.31</v>
      </c>
      <c r="W2199">
        <v>13130002197</v>
      </c>
    </row>
    <row r="2200" spans="1:23" x14ac:dyDescent="0.2">
      <c r="A2200" s="1">
        <v>44804</v>
      </c>
      <c r="B2200" s="2">
        <v>0.56226851851851856</v>
      </c>
      <c r="C2200">
        <v>3198</v>
      </c>
      <c r="D2200">
        <v>13002561</v>
      </c>
      <c r="E2200">
        <v>13</v>
      </c>
      <c r="F2200">
        <v>22589</v>
      </c>
      <c r="G2200" t="s">
        <v>23</v>
      </c>
      <c r="H2200">
        <v>18</v>
      </c>
      <c r="I2200">
        <v>65622</v>
      </c>
      <c r="J2200" t="s">
        <v>70</v>
      </c>
      <c r="K2200" t="s">
        <v>60</v>
      </c>
      <c r="L2200" t="s">
        <v>29</v>
      </c>
      <c r="M2200">
        <v>3</v>
      </c>
      <c r="N2200">
        <v>46.45</v>
      </c>
      <c r="O2200">
        <v>63.3</v>
      </c>
      <c r="P2200">
        <v>3.17</v>
      </c>
      <c r="Q2200">
        <v>3.17</v>
      </c>
      <c r="R2200" t="s">
        <v>30</v>
      </c>
      <c r="S2200">
        <v>29</v>
      </c>
      <c r="T2200">
        <v>1</v>
      </c>
      <c r="U2200">
        <v>3</v>
      </c>
      <c r="V2200">
        <v>60.13</v>
      </c>
      <c r="W2200">
        <v>13130002198</v>
      </c>
    </row>
    <row r="2201" spans="1:23" x14ac:dyDescent="0.2">
      <c r="A2201" s="1">
        <v>44804</v>
      </c>
      <c r="B2201" s="2">
        <v>0.38871527777777781</v>
      </c>
      <c r="C2201">
        <v>3199</v>
      </c>
      <c r="D2201">
        <v>13002561</v>
      </c>
      <c r="E2201">
        <v>13</v>
      </c>
      <c r="F2201">
        <v>22589</v>
      </c>
      <c r="G2201" t="s">
        <v>23</v>
      </c>
      <c r="H2201">
        <v>18</v>
      </c>
      <c r="I2201">
        <v>15545</v>
      </c>
      <c r="J2201" t="s">
        <v>79</v>
      </c>
      <c r="K2201" t="s">
        <v>25</v>
      </c>
      <c r="L2201" t="s">
        <v>26</v>
      </c>
      <c r="M2201">
        <v>3</v>
      </c>
      <c r="N2201">
        <v>197.46</v>
      </c>
      <c r="O2201">
        <v>288.54000000000002</v>
      </c>
      <c r="P2201">
        <v>0</v>
      </c>
      <c r="Q2201">
        <v>0</v>
      </c>
      <c r="S2201">
        <v>29</v>
      </c>
      <c r="T2201">
        <v>1</v>
      </c>
      <c r="U2201">
        <v>5</v>
      </c>
      <c r="V2201">
        <v>288.54000000000002</v>
      </c>
      <c r="W2201">
        <v>13130002199</v>
      </c>
    </row>
    <row r="2202" spans="1:23" x14ac:dyDescent="0.2">
      <c r="A2202" s="1">
        <v>44802</v>
      </c>
      <c r="B2202" s="2">
        <v>0.6912962962962963</v>
      </c>
      <c r="C2202">
        <v>3200</v>
      </c>
      <c r="D2202">
        <v>13002561</v>
      </c>
      <c r="E2202">
        <v>13</v>
      </c>
      <c r="F2202">
        <v>22589</v>
      </c>
      <c r="G2202" t="s">
        <v>23</v>
      </c>
      <c r="H2202">
        <v>15</v>
      </c>
      <c r="I2202">
        <v>60548</v>
      </c>
      <c r="J2202" t="s">
        <v>53</v>
      </c>
      <c r="K2202" t="s">
        <v>38</v>
      </c>
      <c r="L2202" t="s">
        <v>36</v>
      </c>
      <c r="M2202">
        <v>2</v>
      </c>
      <c r="N2202">
        <v>420.33</v>
      </c>
      <c r="O2202">
        <v>617.46</v>
      </c>
      <c r="P2202">
        <v>30.87</v>
      </c>
      <c r="Q2202">
        <v>30.87</v>
      </c>
      <c r="R2202" t="s">
        <v>30</v>
      </c>
      <c r="S2202">
        <v>29</v>
      </c>
      <c r="T2202">
        <v>1</v>
      </c>
      <c r="U2202">
        <v>5</v>
      </c>
      <c r="V2202">
        <v>586.59</v>
      </c>
      <c r="W2202">
        <v>13130002200</v>
      </c>
    </row>
    <row r="2203" spans="1:23" x14ac:dyDescent="0.2">
      <c r="A2203" s="1">
        <v>44795</v>
      </c>
      <c r="B2203" s="2">
        <v>0.88103009259259257</v>
      </c>
      <c r="C2203">
        <v>3201</v>
      </c>
      <c r="D2203">
        <v>13002561</v>
      </c>
      <c r="E2203">
        <v>13</v>
      </c>
      <c r="F2203">
        <v>22589</v>
      </c>
      <c r="G2203" t="s">
        <v>23</v>
      </c>
      <c r="H2203">
        <v>18</v>
      </c>
      <c r="I2203">
        <v>37934</v>
      </c>
      <c r="J2203" t="s">
        <v>115</v>
      </c>
      <c r="K2203" t="s">
        <v>38</v>
      </c>
      <c r="L2203" t="s">
        <v>36</v>
      </c>
      <c r="M2203">
        <v>1</v>
      </c>
      <c r="N2203">
        <v>138.35</v>
      </c>
      <c r="O2203">
        <v>197.46</v>
      </c>
      <c r="P2203">
        <v>0</v>
      </c>
      <c r="Q2203">
        <v>0</v>
      </c>
      <c r="S2203">
        <v>29</v>
      </c>
      <c r="T2203">
        <v>1</v>
      </c>
      <c r="U2203">
        <v>6</v>
      </c>
      <c r="V2203">
        <v>197.46</v>
      </c>
      <c r="W2203">
        <v>13130002201</v>
      </c>
    </row>
    <row r="2204" spans="1:23" x14ac:dyDescent="0.2">
      <c r="A2204" s="1">
        <v>44774</v>
      </c>
      <c r="B2204" s="2">
        <v>0.58061342592592591</v>
      </c>
      <c r="C2204">
        <v>3202</v>
      </c>
      <c r="D2204">
        <v>13002561</v>
      </c>
      <c r="E2204">
        <v>13</v>
      </c>
      <c r="F2204">
        <v>22589</v>
      </c>
      <c r="G2204" t="s">
        <v>23</v>
      </c>
      <c r="H2204">
        <v>15</v>
      </c>
      <c r="I2204">
        <v>31758</v>
      </c>
      <c r="J2204" t="s">
        <v>116</v>
      </c>
      <c r="K2204" t="s">
        <v>28</v>
      </c>
      <c r="L2204" t="s">
        <v>32</v>
      </c>
      <c r="M2204">
        <v>2</v>
      </c>
      <c r="N2204">
        <v>249.14</v>
      </c>
      <c r="O2204">
        <v>410.77</v>
      </c>
      <c r="P2204">
        <v>0</v>
      </c>
      <c r="Q2204">
        <v>0</v>
      </c>
      <c r="S2204">
        <v>29</v>
      </c>
      <c r="T2204">
        <v>1</v>
      </c>
      <c r="U2204">
        <v>5</v>
      </c>
      <c r="V2204">
        <v>410.77</v>
      </c>
      <c r="W2204">
        <v>13130002202</v>
      </c>
    </row>
    <row r="2205" spans="1:23" x14ac:dyDescent="0.2">
      <c r="A2205" s="1">
        <v>44799</v>
      </c>
      <c r="B2205" s="2">
        <v>0.54728009259259258</v>
      </c>
      <c r="C2205">
        <v>3203</v>
      </c>
      <c r="D2205">
        <v>13002561</v>
      </c>
      <c r="E2205">
        <v>13</v>
      </c>
      <c r="F2205">
        <v>22589</v>
      </c>
      <c r="G2205" t="s">
        <v>23</v>
      </c>
      <c r="H2205">
        <v>18</v>
      </c>
      <c r="I2205">
        <v>50751</v>
      </c>
      <c r="J2205" t="s">
        <v>72</v>
      </c>
      <c r="K2205" t="s">
        <v>60</v>
      </c>
      <c r="L2205" t="s">
        <v>32</v>
      </c>
      <c r="M2205">
        <v>3</v>
      </c>
      <c r="N2205">
        <v>376.98</v>
      </c>
      <c r="O2205">
        <v>634.97</v>
      </c>
      <c r="P2205">
        <v>63.5</v>
      </c>
      <c r="Q2205">
        <v>63.5</v>
      </c>
      <c r="R2205" t="s">
        <v>30</v>
      </c>
      <c r="S2205">
        <v>29</v>
      </c>
      <c r="T2205">
        <v>1</v>
      </c>
      <c r="U2205">
        <v>3</v>
      </c>
      <c r="V2205">
        <v>571.47</v>
      </c>
      <c r="W2205">
        <v>13130002203</v>
      </c>
    </row>
    <row r="2206" spans="1:23" x14ac:dyDescent="0.2">
      <c r="A2206" s="1">
        <v>44785</v>
      </c>
      <c r="B2206" s="2">
        <v>0.57604166666666667</v>
      </c>
      <c r="C2206">
        <v>3204</v>
      </c>
      <c r="D2206">
        <v>13002561</v>
      </c>
      <c r="E2206">
        <v>13</v>
      </c>
      <c r="F2206">
        <v>22589</v>
      </c>
      <c r="G2206" t="s">
        <v>23</v>
      </c>
      <c r="H2206">
        <v>18</v>
      </c>
      <c r="I2206">
        <v>71619</v>
      </c>
      <c r="J2206" t="s">
        <v>70</v>
      </c>
      <c r="K2206" t="s">
        <v>38</v>
      </c>
      <c r="L2206" t="s">
        <v>39</v>
      </c>
      <c r="M2206">
        <v>2</v>
      </c>
      <c r="N2206">
        <v>171.01</v>
      </c>
      <c r="O2206">
        <v>255.21</v>
      </c>
      <c r="P2206">
        <v>12.76</v>
      </c>
      <c r="Q2206">
        <v>12.76</v>
      </c>
      <c r="R2206" t="s">
        <v>30</v>
      </c>
      <c r="S2206">
        <v>29</v>
      </c>
      <c r="T2206">
        <v>1</v>
      </c>
      <c r="U2206">
        <v>6</v>
      </c>
      <c r="V2206">
        <v>242.45</v>
      </c>
      <c r="W2206">
        <v>13130002204</v>
      </c>
    </row>
    <row r="2207" spans="1:23" x14ac:dyDescent="0.2">
      <c r="A2207" s="1">
        <v>44800</v>
      </c>
      <c r="B2207" s="2">
        <v>0.63947916666666671</v>
      </c>
      <c r="C2207">
        <v>3205</v>
      </c>
      <c r="D2207">
        <v>13002561</v>
      </c>
      <c r="E2207">
        <v>13</v>
      </c>
      <c r="F2207">
        <v>22589</v>
      </c>
      <c r="G2207" t="s">
        <v>23</v>
      </c>
      <c r="H2207">
        <v>15</v>
      </c>
      <c r="I2207">
        <v>38535</v>
      </c>
      <c r="J2207" t="s">
        <v>27</v>
      </c>
      <c r="K2207" t="s">
        <v>60</v>
      </c>
      <c r="L2207" t="s">
        <v>32</v>
      </c>
      <c r="M2207">
        <v>3</v>
      </c>
      <c r="N2207">
        <v>213.26</v>
      </c>
      <c r="O2207">
        <v>337.69</v>
      </c>
      <c r="P2207">
        <v>16.88</v>
      </c>
      <c r="Q2207">
        <v>16.88</v>
      </c>
      <c r="R2207" t="s">
        <v>30</v>
      </c>
      <c r="S2207">
        <v>29</v>
      </c>
      <c r="T2207">
        <v>1</v>
      </c>
      <c r="U2207">
        <v>2</v>
      </c>
      <c r="V2207">
        <v>320.81</v>
      </c>
      <c r="W2207">
        <v>13130002205</v>
      </c>
    </row>
    <row r="2208" spans="1:23" x14ac:dyDescent="0.2">
      <c r="A2208" s="1">
        <v>44796</v>
      </c>
      <c r="B2208" s="2">
        <v>0.46797453703703712</v>
      </c>
      <c r="C2208">
        <v>3206</v>
      </c>
      <c r="D2208">
        <v>13002561</v>
      </c>
      <c r="E2208">
        <v>13</v>
      </c>
      <c r="F2208">
        <v>22589</v>
      </c>
      <c r="G2208" t="s">
        <v>23</v>
      </c>
      <c r="H2208">
        <v>15</v>
      </c>
      <c r="I2208">
        <v>87135</v>
      </c>
      <c r="J2208" t="s">
        <v>59</v>
      </c>
      <c r="K2208" t="s">
        <v>45</v>
      </c>
      <c r="L2208" t="s">
        <v>39</v>
      </c>
      <c r="M2208">
        <v>2</v>
      </c>
      <c r="N2208">
        <v>83.5</v>
      </c>
      <c r="O2208">
        <v>107.87</v>
      </c>
      <c r="P2208">
        <v>10.79</v>
      </c>
      <c r="Q2208">
        <v>10.79</v>
      </c>
      <c r="R2208" t="s">
        <v>30</v>
      </c>
      <c r="S2208">
        <v>29</v>
      </c>
      <c r="T2208">
        <v>1</v>
      </c>
      <c r="U2208">
        <v>6</v>
      </c>
      <c r="V2208">
        <v>97.08</v>
      </c>
      <c r="W2208">
        <v>13130002206</v>
      </c>
    </row>
    <row r="2209" spans="1:23" x14ac:dyDescent="0.2">
      <c r="A2209" s="1">
        <v>44791</v>
      </c>
      <c r="B2209" s="2">
        <v>0.44247685185185193</v>
      </c>
      <c r="C2209">
        <v>3207</v>
      </c>
      <c r="D2209">
        <v>13002561</v>
      </c>
      <c r="E2209">
        <v>13</v>
      </c>
      <c r="F2209">
        <v>22589</v>
      </c>
      <c r="G2209" t="s">
        <v>23</v>
      </c>
      <c r="H2209">
        <v>15</v>
      </c>
      <c r="I2209">
        <v>37357</v>
      </c>
      <c r="J2209" t="s">
        <v>79</v>
      </c>
      <c r="K2209" t="s">
        <v>44</v>
      </c>
      <c r="L2209" t="s">
        <v>39</v>
      </c>
      <c r="M2209">
        <v>2</v>
      </c>
      <c r="N2209">
        <v>565.54999999999995</v>
      </c>
      <c r="O2209">
        <v>728.31</v>
      </c>
      <c r="P2209">
        <v>72.83</v>
      </c>
      <c r="Q2209">
        <v>72.83</v>
      </c>
      <c r="R2209" t="s">
        <v>30</v>
      </c>
      <c r="S2209">
        <v>29</v>
      </c>
      <c r="T2209">
        <v>1</v>
      </c>
      <c r="U2209">
        <v>1</v>
      </c>
      <c r="V2209">
        <v>655.48</v>
      </c>
      <c r="W2209">
        <v>13130002207</v>
      </c>
    </row>
    <row r="2210" spans="1:23" x14ac:dyDescent="0.2">
      <c r="A2210" s="1">
        <v>44796</v>
      </c>
      <c r="B2210" s="2">
        <v>0.95399305555555558</v>
      </c>
      <c r="C2210">
        <v>3208</v>
      </c>
      <c r="D2210">
        <v>13002561</v>
      </c>
      <c r="E2210">
        <v>13</v>
      </c>
      <c r="F2210">
        <v>22589</v>
      </c>
      <c r="G2210" t="s">
        <v>23</v>
      </c>
      <c r="H2210">
        <v>18</v>
      </c>
      <c r="I2210">
        <v>71837</v>
      </c>
      <c r="J2210" t="s">
        <v>67</v>
      </c>
      <c r="K2210" t="s">
        <v>25</v>
      </c>
      <c r="L2210" t="s">
        <v>34</v>
      </c>
      <c r="M2210">
        <v>3</v>
      </c>
      <c r="N2210">
        <v>513.72</v>
      </c>
      <c r="O2210">
        <v>802.13</v>
      </c>
      <c r="P2210">
        <v>40.11</v>
      </c>
      <c r="Q2210">
        <v>40.11</v>
      </c>
      <c r="R2210" t="s">
        <v>30</v>
      </c>
      <c r="S2210">
        <v>29</v>
      </c>
      <c r="T2210">
        <v>1</v>
      </c>
      <c r="U2210">
        <v>6</v>
      </c>
      <c r="V2210">
        <v>762.02</v>
      </c>
      <c r="W2210">
        <v>13130002208</v>
      </c>
    </row>
    <row r="2211" spans="1:23" x14ac:dyDescent="0.2">
      <c r="A2211" s="1">
        <v>44793</v>
      </c>
      <c r="B2211" s="2">
        <v>0.76710648148148153</v>
      </c>
      <c r="C2211">
        <v>3209</v>
      </c>
      <c r="D2211">
        <v>13002561</v>
      </c>
      <c r="E2211">
        <v>13</v>
      </c>
      <c r="F2211">
        <v>22589</v>
      </c>
      <c r="G2211" t="s">
        <v>23</v>
      </c>
      <c r="H2211">
        <v>18</v>
      </c>
      <c r="I2211">
        <v>11001</v>
      </c>
      <c r="J2211" t="s">
        <v>109</v>
      </c>
      <c r="K2211" t="s">
        <v>44</v>
      </c>
      <c r="L2211" t="s">
        <v>47</v>
      </c>
      <c r="M2211">
        <v>3</v>
      </c>
      <c r="N2211">
        <v>369.27</v>
      </c>
      <c r="O2211">
        <v>606.16</v>
      </c>
      <c r="P2211">
        <v>0</v>
      </c>
      <c r="Q2211">
        <v>0</v>
      </c>
      <c r="S2211">
        <v>29</v>
      </c>
      <c r="T2211">
        <v>1</v>
      </c>
      <c r="U2211">
        <v>4</v>
      </c>
      <c r="V2211">
        <v>606.16</v>
      </c>
      <c r="W2211">
        <v>13130002209</v>
      </c>
    </row>
    <row r="2212" spans="1:23" x14ac:dyDescent="0.2">
      <c r="A2212" s="1">
        <v>44793</v>
      </c>
      <c r="B2212" s="2">
        <v>0.43225694444444451</v>
      </c>
      <c r="C2212">
        <v>3210</v>
      </c>
      <c r="D2212">
        <v>13002561</v>
      </c>
      <c r="E2212">
        <v>13</v>
      </c>
      <c r="F2212">
        <v>22589</v>
      </c>
      <c r="G2212" t="s">
        <v>23</v>
      </c>
      <c r="H2212">
        <v>18</v>
      </c>
      <c r="I2212">
        <v>19985</v>
      </c>
      <c r="J2212" t="s">
        <v>94</v>
      </c>
      <c r="K2212" t="s">
        <v>44</v>
      </c>
      <c r="L2212" t="s">
        <v>26</v>
      </c>
      <c r="M2212">
        <v>2</v>
      </c>
      <c r="N2212">
        <v>576.36</v>
      </c>
      <c r="O2212">
        <v>858.74</v>
      </c>
      <c r="P2212">
        <v>85.87</v>
      </c>
      <c r="Q2212">
        <v>85.87</v>
      </c>
      <c r="R2212" t="s">
        <v>30</v>
      </c>
      <c r="S2212">
        <v>29</v>
      </c>
      <c r="T2212">
        <v>1</v>
      </c>
      <c r="U2212">
        <v>6</v>
      </c>
      <c r="V2212">
        <v>772.87</v>
      </c>
      <c r="W2212">
        <v>13130002210</v>
      </c>
    </row>
    <row r="2213" spans="1:23" x14ac:dyDescent="0.2">
      <c r="A2213" s="1">
        <v>44798</v>
      </c>
      <c r="B2213" s="2">
        <v>0.93406250000000002</v>
      </c>
      <c r="C2213">
        <v>3211</v>
      </c>
      <c r="D2213">
        <v>13002561</v>
      </c>
      <c r="E2213">
        <v>13</v>
      </c>
      <c r="F2213">
        <v>22589</v>
      </c>
      <c r="G2213" t="s">
        <v>23</v>
      </c>
      <c r="H2213">
        <v>18</v>
      </c>
      <c r="I2213">
        <v>60319</v>
      </c>
      <c r="J2213" t="s">
        <v>97</v>
      </c>
      <c r="K2213" t="s">
        <v>60</v>
      </c>
      <c r="L2213" t="s">
        <v>34</v>
      </c>
      <c r="M2213">
        <v>1</v>
      </c>
      <c r="N2213">
        <v>428.59</v>
      </c>
      <c r="O2213">
        <v>682.24</v>
      </c>
      <c r="P2213">
        <v>34.11</v>
      </c>
      <c r="Q2213">
        <v>34.11</v>
      </c>
      <c r="R2213" t="s">
        <v>30</v>
      </c>
      <c r="S2213">
        <v>29</v>
      </c>
      <c r="T2213">
        <v>1</v>
      </c>
      <c r="U2213">
        <v>5</v>
      </c>
      <c r="V2213">
        <v>648.13</v>
      </c>
      <c r="W2213">
        <v>13130002211</v>
      </c>
    </row>
    <row r="2214" spans="1:23" x14ac:dyDescent="0.2">
      <c r="A2214" s="1">
        <v>44789</v>
      </c>
      <c r="B2214" s="2">
        <v>0.81820601851851849</v>
      </c>
      <c r="C2214">
        <v>3212</v>
      </c>
      <c r="D2214">
        <v>13002561</v>
      </c>
      <c r="E2214">
        <v>13</v>
      </c>
      <c r="F2214">
        <v>22589</v>
      </c>
      <c r="G2214" t="s">
        <v>23</v>
      </c>
      <c r="H2214">
        <v>15</v>
      </c>
      <c r="I2214">
        <v>86749</v>
      </c>
      <c r="J2214" t="s">
        <v>41</v>
      </c>
      <c r="K2214" t="s">
        <v>45</v>
      </c>
      <c r="L2214" t="s">
        <v>51</v>
      </c>
      <c r="M2214">
        <v>1</v>
      </c>
      <c r="N2214">
        <v>347.6</v>
      </c>
      <c r="O2214">
        <v>477.66</v>
      </c>
      <c r="P2214">
        <v>47.77</v>
      </c>
      <c r="Q2214">
        <v>47.77</v>
      </c>
      <c r="R2214" t="s">
        <v>30</v>
      </c>
      <c r="S2214">
        <v>29</v>
      </c>
      <c r="T2214">
        <v>1</v>
      </c>
      <c r="U2214">
        <v>3</v>
      </c>
      <c r="V2214">
        <v>429.89</v>
      </c>
      <c r="W2214">
        <v>13130002212</v>
      </c>
    </row>
    <row r="2215" spans="1:23" x14ac:dyDescent="0.2">
      <c r="A2215" s="1">
        <v>44779</v>
      </c>
      <c r="B2215" s="2">
        <v>0.93319444444444444</v>
      </c>
      <c r="C2215">
        <v>3213</v>
      </c>
      <c r="D2215">
        <v>13002561</v>
      </c>
      <c r="E2215">
        <v>13</v>
      </c>
      <c r="F2215">
        <v>22589</v>
      </c>
      <c r="G2215" t="s">
        <v>23</v>
      </c>
      <c r="H2215">
        <v>15</v>
      </c>
      <c r="I2215">
        <v>88422</v>
      </c>
      <c r="J2215" t="s">
        <v>83</v>
      </c>
      <c r="K2215" t="s">
        <v>60</v>
      </c>
      <c r="L2215" t="s">
        <v>47</v>
      </c>
      <c r="M2215">
        <v>3</v>
      </c>
      <c r="N2215">
        <v>141.76</v>
      </c>
      <c r="O2215">
        <v>238.67</v>
      </c>
      <c r="P2215">
        <v>0</v>
      </c>
      <c r="Q2215">
        <v>0</v>
      </c>
      <c r="S2215">
        <v>29</v>
      </c>
      <c r="T2215">
        <v>1</v>
      </c>
      <c r="U2215">
        <v>2</v>
      </c>
      <c r="V2215">
        <v>238.67</v>
      </c>
      <c r="W2215">
        <v>13130002213</v>
      </c>
    </row>
    <row r="2216" spans="1:23" x14ac:dyDescent="0.2">
      <c r="A2216" s="1">
        <v>44799</v>
      </c>
      <c r="B2216" s="2">
        <v>0.69412037037037033</v>
      </c>
      <c r="C2216">
        <v>3214</v>
      </c>
      <c r="D2216">
        <v>13002561</v>
      </c>
      <c r="E2216">
        <v>13</v>
      </c>
      <c r="F2216">
        <v>22589</v>
      </c>
      <c r="G2216" t="s">
        <v>23</v>
      </c>
      <c r="H2216">
        <v>15</v>
      </c>
      <c r="I2216">
        <v>44998</v>
      </c>
      <c r="J2216" t="s">
        <v>69</v>
      </c>
      <c r="K2216" t="s">
        <v>28</v>
      </c>
      <c r="L2216" t="s">
        <v>29</v>
      </c>
      <c r="M2216">
        <v>1</v>
      </c>
      <c r="N2216">
        <v>406.03</v>
      </c>
      <c r="O2216">
        <v>559.53</v>
      </c>
      <c r="P2216">
        <v>27.98</v>
      </c>
      <c r="Q2216">
        <v>27.98</v>
      </c>
      <c r="R2216" t="s">
        <v>30</v>
      </c>
      <c r="S2216">
        <v>29</v>
      </c>
      <c r="T2216">
        <v>1</v>
      </c>
      <c r="U2216">
        <v>5</v>
      </c>
      <c r="V2216">
        <v>531.54999999999995</v>
      </c>
      <c r="W2216">
        <v>13130002214</v>
      </c>
    </row>
    <row r="2217" spans="1:23" x14ac:dyDescent="0.2">
      <c r="A2217" s="1">
        <v>44775</v>
      </c>
      <c r="B2217" s="2">
        <v>0.75473379629629633</v>
      </c>
      <c r="C2217">
        <v>3215</v>
      </c>
      <c r="D2217">
        <v>13002561</v>
      </c>
      <c r="E2217">
        <v>13</v>
      </c>
      <c r="F2217">
        <v>22589</v>
      </c>
      <c r="G2217" t="s">
        <v>23</v>
      </c>
      <c r="H2217">
        <v>18</v>
      </c>
      <c r="I2217">
        <v>65540</v>
      </c>
      <c r="J2217" t="s">
        <v>101</v>
      </c>
      <c r="K2217" t="s">
        <v>25</v>
      </c>
      <c r="L2217" t="s">
        <v>36</v>
      </c>
      <c r="M2217">
        <v>2</v>
      </c>
      <c r="N2217">
        <v>554.63</v>
      </c>
      <c r="O2217">
        <v>701.83</v>
      </c>
      <c r="P2217">
        <v>70.180000000000007</v>
      </c>
      <c r="Q2217">
        <v>70.180000000000007</v>
      </c>
      <c r="R2217" t="s">
        <v>30</v>
      </c>
      <c r="S2217">
        <v>29</v>
      </c>
      <c r="T2217">
        <v>1</v>
      </c>
      <c r="U2217">
        <v>6</v>
      </c>
      <c r="V2217">
        <v>631.65</v>
      </c>
      <c r="W2217">
        <v>13130002215</v>
      </c>
    </row>
    <row r="2218" spans="1:23" x14ac:dyDescent="0.2">
      <c r="A2218" s="1">
        <v>44777</v>
      </c>
      <c r="B2218" s="2">
        <v>0.58269675925925923</v>
      </c>
      <c r="C2218">
        <v>3216</v>
      </c>
      <c r="D2218">
        <v>13002561</v>
      </c>
      <c r="E2218">
        <v>13</v>
      </c>
      <c r="F2218">
        <v>22589</v>
      </c>
      <c r="G2218" t="s">
        <v>23</v>
      </c>
      <c r="H2218">
        <v>15</v>
      </c>
      <c r="I2218">
        <v>53829</v>
      </c>
      <c r="J2218" t="s">
        <v>82</v>
      </c>
      <c r="K2218" t="s">
        <v>45</v>
      </c>
      <c r="L2218" t="s">
        <v>47</v>
      </c>
      <c r="M2218">
        <v>2</v>
      </c>
      <c r="N2218">
        <v>501.5</v>
      </c>
      <c r="O2218">
        <v>837.92</v>
      </c>
      <c r="P2218">
        <v>0</v>
      </c>
      <c r="Q2218">
        <v>0</v>
      </c>
      <c r="S2218">
        <v>29</v>
      </c>
      <c r="T2218">
        <v>1</v>
      </c>
      <c r="U2218">
        <v>4</v>
      </c>
      <c r="V2218">
        <v>837.92</v>
      </c>
      <c r="W2218">
        <v>13130002216</v>
      </c>
    </row>
    <row r="2219" spans="1:23" x14ac:dyDescent="0.2">
      <c r="A2219" s="1">
        <v>44789</v>
      </c>
      <c r="B2219" s="2">
        <v>0.42201388888888891</v>
      </c>
      <c r="C2219">
        <v>3217</v>
      </c>
      <c r="D2219">
        <v>13002561</v>
      </c>
      <c r="E2219">
        <v>13</v>
      </c>
      <c r="F2219">
        <v>22589</v>
      </c>
      <c r="G2219" t="s">
        <v>23</v>
      </c>
      <c r="H2219">
        <v>18</v>
      </c>
      <c r="I2219">
        <v>28958</v>
      </c>
      <c r="J2219" t="s">
        <v>67</v>
      </c>
      <c r="K2219" t="s">
        <v>25</v>
      </c>
      <c r="L2219" t="s">
        <v>47</v>
      </c>
      <c r="M2219">
        <v>2</v>
      </c>
      <c r="N2219">
        <v>193.7</v>
      </c>
      <c r="O2219">
        <v>272.5</v>
      </c>
      <c r="P2219">
        <v>0</v>
      </c>
      <c r="Q2219">
        <v>0</v>
      </c>
      <c r="S2219">
        <v>29</v>
      </c>
      <c r="T2219">
        <v>1</v>
      </c>
      <c r="U2219">
        <v>1</v>
      </c>
      <c r="V2219">
        <v>272.5</v>
      </c>
      <c r="W2219">
        <v>13130002217</v>
      </c>
    </row>
    <row r="2220" spans="1:23" x14ac:dyDescent="0.2">
      <c r="A2220" s="1">
        <v>44789</v>
      </c>
      <c r="B2220" s="2">
        <v>0.50802083333333337</v>
      </c>
      <c r="C2220">
        <v>3218</v>
      </c>
      <c r="D2220">
        <v>13002561</v>
      </c>
      <c r="E2220">
        <v>13</v>
      </c>
      <c r="F2220">
        <v>22589</v>
      </c>
      <c r="G2220" t="s">
        <v>23</v>
      </c>
      <c r="H2220">
        <v>15</v>
      </c>
      <c r="I2220">
        <v>99856</v>
      </c>
      <c r="J2220" t="s">
        <v>84</v>
      </c>
      <c r="K2220" t="s">
        <v>45</v>
      </c>
      <c r="L2220" t="s">
        <v>29</v>
      </c>
      <c r="M2220">
        <v>3</v>
      </c>
      <c r="N2220">
        <v>282.39999999999998</v>
      </c>
      <c r="O2220">
        <v>451.58</v>
      </c>
      <c r="P2220">
        <v>0</v>
      </c>
      <c r="Q2220">
        <v>0</v>
      </c>
      <c r="S2220">
        <v>29</v>
      </c>
      <c r="T2220">
        <v>1</v>
      </c>
      <c r="U2220">
        <v>2</v>
      </c>
      <c r="V2220">
        <v>451.58</v>
      </c>
      <c r="W2220">
        <v>13130002218</v>
      </c>
    </row>
    <row r="2221" spans="1:23" x14ac:dyDescent="0.2">
      <c r="A2221" s="1">
        <v>44775</v>
      </c>
      <c r="B2221" s="2">
        <v>0.80450231481481482</v>
      </c>
      <c r="C2221">
        <v>3219</v>
      </c>
      <c r="D2221">
        <v>13002561</v>
      </c>
      <c r="E2221">
        <v>13</v>
      </c>
      <c r="F2221">
        <v>22589</v>
      </c>
      <c r="G2221" t="s">
        <v>23</v>
      </c>
      <c r="H2221">
        <v>15</v>
      </c>
      <c r="I2221">
        <v>39816</v>
      </c>
      <c r="J2221" t="s">
        <v>59</v>
      </c>
      <c r="K2221" t="s">
        <v>25</v>
      </c>
      <c r="L2221" t="s">
        <v>29</v>
      </c>
      <c r="M2221">
        <v>3</v>
      </c>
      <c r="N2221">
        <v>438.07</v>
      </c>
      <c r="O2221">
        <v>634</v>
      </c>
      <c r="P2221">
        <v>0</v>
      </c>
      <c r="Q2221">
        <v>0</v>
      </c>
      <c r="S2221">
        <v>29</v>
      </c>
      <c r="T2221">
        <v>1</v>
      </c>
      <c r="U2221">
        <v>5</v>
      </c>
      <c r="V2221">
        <v>634</v>
      </c>
      <c r="W2221">
        <v>13130002219</v>
      </c>
    </row>
    <row r="2222" spans="1:23" x14ac:dyDescent="0.2">
      <c r="A2222" s="1">
        <v>44795</v>
      </c>
      <c r="B2222" s="2">
        <v>0.95627314814814812</v>
      </c>
      <c r="C2222">
        <v>3220</v>
      </c>
      <c r="D2222">
        <v>13002561</v>
      </c>
      <c r="E2222">
        <v>13</v>
      </c>
      <c r="F2222">
        <v>22589</v>
      </c>
      <c r="G2222" t="s">
        <v>23</v>
      </c>
      <c r="H2222">
        <v>18</v>
      </c>
      <c r="I2222">
        <v>60055</v>
      </c>
      <c r="J2222" t="s">
        <v>121</v>
      </c>
      <c r="K2222" t="s">
        <v>45</v>
      </c>
      <c r="L2222" t="s">
        <v>26</v>
      </c>
      <c r="M2222">
        <v>1</v>
      </c>
      <c r="N2222">
        <v>351.56</v>
      </c>
      <c r="O2222">
        <v>566.41999999999996</v>
      </c>
      <c r="P2222">
        <v>56.64</v>
      </c>
      <c r="Q2222">
        <v>56.64</v>
      </c>
      <c r="R2222" t="s">
        <v>30</v>
      </c>
      <c r="S2222">
        <v>29</v>
      </c>
      <c r="T2222">
        <v>1</v>
      </c>
      <c r="U2222">
        <v>3</v>
      </c>
      <c r="V2222">
        <v>509.78</v>
      </c>
      <c r="W2222">
        <v>13130002220</v>
      </c>
    </row>
    <row r="2223" spans="1:23" x14ac:dyDescent="0.2">
      <c r="A2223" s="1">
        <v>44782</v>
      </c>
      <c r="B2223" s="2">
        <v>0.3951736111111111</v>
      </c>
      <c r="C2223">
        <v>3221</v>
      </c>
      <c r="D2223">
        <v>13002561</v>
      </c>
      <c r="E2223">
        <v>13</v>
      </c>
      <c r="F2223">
        <v>22589</v>
      </c>
      <c r="G2223" t="s">
        <v>23</v>
      </c>
      <c r="H2223">
        <v>15</v>
      </c>
      <c r="I2223">
        <v>34309</v>
      </c>
      <c r="J2223" t="s">
        <v>46</v>
      </c>
      <c r="K2223" t="s">
        <v>38</v>
      </c>
      <c r="L2223" t="s">
        <v>39</v>
      </c>
      <c r="M2223">
        <v>3</v>
      </c>
      <c r="N2223">
        <v>291.75</v>
      </c>
      <c r="O2223">
        <v>373.76</v>
      </c>
      <c r="P2223">
        <v>0</v>
      </c>
      <c r="Q2223">
        <v>0</v>
      </c>
      <c r="S2223">
        <v>29</v>
      </c>
      <c r="T2223">
        <v>1</v>
      </c>
      <c r="U2223">
        <v>5</v>
      </c>
      <c r="V2223">
        <v>373.76</v>
      </c>
      <c r="W2223">
        <v>13130002221</v>
      </c>
    </row>
    <row r="2224" spans="1:23" x14ac:dyDescent="0.2">
      <c r="A2224" s="1">
        <v>44777</v>
      </c>
      <c r="B2224" s="2">
        <v>0.86217592592592596</v>
      </c>
      <c r="C2224">
        <v>3222</v>
      </c>
      <c r="D2224">
        <v>13002561</v>
      </c>
      <c r="E2224">
        <v>13</v>
      </c>
      <c r="F2224">
        <v>22589</v>
      </c>
      <c r="G2224" t="s">
        <v>23</v>
      </c>
      <c r="H2224">
        <v>15</v>
      </c>
      <c r="I2224">
        <v>12472</v>
      </c>
      <c r="J2224" t="s">
        <v>111</v>
      </c>
      <c r="K2224" t="s">
        <v>28</v>
      </c>
      <c r="L2224" t="s">
        <v>32</v>
      </c>
      <c r="M2224">
        <v>1</v>
      </c>
      <c r="N2224">
        <v>13.43</v>
      </c>
      <c r="O2224">
        <v>18.02</v>
      </c>
      <c r="P2224">
        <v>0.9</v>
      </c>
      <c r="Q2224">
        <v>0.9</v>
      </c>
      <c r="R2224" t="s">
        <v>30</v>
      </c>
      <c r="S2224">
        <v>29</v>
      </c>
      <c r="T2224">
        <v>1</v>
      </c>
      <c r="U2224">
        <v>4</v>
      </c>
      <c r="V2224">
        <v>17.12</v>
      </c>
      <c r="W2224">
        <v>13130002222</v>
      </c>
    </row>
    <row r="2225" spans="1:23" x14ac:dyDescent="0.2">
      <c r="A2225" s="1">
        <v>44784</v>
      </c>
      <c r="B2225" s="2">
        <v>0.74842592592592594</v>
      </c>
      <c r="C2225">
        <v>3223</v>
      </c>
      <c r="D2225">
        <v>13002561</v>
      </c>
      <c r="E2225">
        <v>13</v>
      </c>
      <c r="F2225">
        <v>22589</v>
      </c>
      <c r="G2225" t="s">
        <v>23</v>
      </c>
      <c r="H2225">
        <v>15</v>
      </c>
      <c r="I2225">
        <v>64253</v>
      </c>
      <c r="J2225" t="s">
        <v>65</v>
      </c>
      <c r="K2225" t="s">
        <v>60</v>
      </c>
      <c r="L2225" t="s">
        <v>29</v>
      </c>
      <c r="M2225">
        <v>3</v>
      </c>
      <c r="N2225">
        <v>415.67</v>
      </c>
      <c r="O2225">
        <v>541.45000000000005</v>
      </c>
      <c r="P2225">
        <v>0</v>
      </c>
      <c r="Q2225">
        <v>0</v>
      </c>
      <c r="S2225">
        <v>29</v>
      </c>
      <c r="T2225">
        <v>1</v>
      </c>
      <c r="U2225">
        <v>6</v>
      </c>
      <c r="V2225">
        <v>541.45000000000005</v>
      </c>
      <c r="W2225">
        <v>13130002223</v>
      </c>
    </row>
    <row r="2226" spans="1:23" x14ac:dyDescent="0.2">
      <c r="A2226" s="1">
        <v>44797</v>
      </c>
      <c r="B2226" s="2">
        <v>0.65704861111111112</v>
      </c>
      <c r="C2226">
        <v>3224</v>
      </c>
      <c r="D2226">
        <v>13002561</v>
      </c>
      <c r="E2226">
        <v>13</v>
      </c>
      <c r="F2226">
        <v>22589</v>
      </c>
      <c r="G2226" t="s">
        <v>23</v>
      </c>
      <c r="H2226">
        <v>15</v>
      </c>
      <c r="I2226">
        <v>84374</v>
      </c>
      <c r="J2226" t="s">
        <v>119</v>
      </c>
      <c r="K2226" t="s">
        <v>45</v>
      </c>
      <c r="L2226" t="s">
        <v>51</v>
      </c>
      <c r="M2226">
        <v>2</v>
      </c>
      <c r="N2226">
        <v>187.46</v>
      </c>
      <c r="O2226">
        <v>236.43</v>
      </c>
      <c r="P2226">
        <v>23.64</v>
      </c>
      <c r="Q2226">
        <v>23.64</v>
      </c>
      <c r="R2226" t="s">
        <v>30</v>
      </c>
      <c r="S2226">
        <v>29</v>
      </c>
      <c r="T2226">
        <v>1</v>
      </c>
      <c r="U2226">
        <v>5</v>
      </c>
      <c r="V2226">
        <v>212.79</v>
      </c>
      <c r="W2226">
        <v>13130002224</v>
      </c>
    </row>
    <row r="2227" spans="1:23" x14ac:dyDescent="0.2">
      <c r="A2227" s="1">
        <v>44782</v>
      </c>
      <c r="B2227" s="2">
        <v>0.65376157407407409</v>
      </c>
      <c r="C2227">
        <v>3225</v>
      </c>
      <c r="D2227">
        <v>13002561</v>
      </c>
      <c r="E2227">
        <v>13</v>
      </c>
      <c r="F2227">
        <v>22589</v>
      </c>
      <c r="G2227" t="s">
        <v>23</v>
      </c>
      <c r="H2227">
        <v>18</v>
      </c>
      <c r="I2227">
        <v>63806</v>
      </c>
      <c r="J2227" t="s">
        <v>48</v>
      </c>
      <c r="K2227" t="s">
        <v>44</v>
      </c>
      <c r="L2227" t="s">
        <v>32</v>
      </c>
      <c r="M2227">
        <v>2</v>
      </c>
      <c r="N2227">
        <v>40.44</v>
      </c>
      <c r="O2227">
        <v>51.18</v>
      </c>
      <c r="P2227">
        <v>2.56</v>
      </c>
      <c r="Q2227">
        <v>2.56</v>
      </c>
      <c r="R2227" t="s">
        <v>30</v>
      </c>
      <c r="S2227">
        <v>29</v>
      </c>
      <c r="T2227">
        <v>1</v>
      </c>
      <c r="U2227">
        <v>3</v>
      </c>
      <c r="V2227">
        <v>48.62</v>
      </c>
      <c r="W2227">
        <v>13130002225</v>
      </c>
    </row>
    <row r="2228" spans="1:23" x14ac:dyDescent="0.2">
      <c r="A2228" s="1">
        <v>44777</v>
      </c>
      <c r="B2228" s="2">
        <v>0.45450231481481479</v>
      </c>
      <c r="C2228">
        <v>3226</v>
      </c>
      <c r="D2228">
        <v>13002561</v>
      </c>
      <c r="E2228">
        <v>13</v>
      </c>
      <c r="F2228">
        <v>22589</v>
      </c>
      <c r="G2228" t="s">
        <v>23</v>
      </c>
      <c r="H2228">
        <v>15</v>
      </c>
      <c r="I2228">
        <v>51275</v>
      </c>
      <c r="J2228" t="s">
        <v>40</v>
      </c>
      <c r="K2228" t="s">
        <v>44</v>
      </c>
      <c r="L2228" t="s">
        <v>51</v>
      </c>
      <c r="M2228">
        <v>2</v>
      </c>
      <c r="N2228">
        <v>187.11</v>
      </c>
      <c r="O2228">
        <v>311.55</v>
      </c>
      <c r="P2228">
        <v>15.58</v>
      </c>
      <c r="Q2228">
        <v>15.58</v>
      </c>
      <c r="R2228" t="s">
        <v>30</v>
      </c>
      <c r="S2228">
        <v>29</v>
      </c>
      <c r="T2228">
        <v>1</v>
      </c>
      <c r="U2228">
        <v>4</v>
      </c>
      <c r="V2228">
        <v>295.97000000000003</v>
      </c>
      <c r="W2228">
        <v>13130002226</v>
      </c>
    </row>
    <row r="2229" spans="1:23" x14ac:dyDescent="0.2">
      <c r="A2229" s="1">
        <v>44777</v>
      </c>
      <c r="B2229" s="2">
        <v>0.64840277777777777</v>
      </c>
      <c r="C2229">
        <v>3227</v>
      </c>
      <c r="D2229">
        <v>13002561</v>
      </c>
      <c r="E2229">
        <v>13</v>
      </c>
      <c r="F2229">
        <v>22589</v>
      </c>
      <c r="G2229" t="s">
        <v>23</v>
      </c>
      <c r="H2229">
        <v>15</v>
      </c>
      <c r="I2229">
        <v>90565</v>
      </c>
      <c r="J2229" t="s">
        <v>110</v>
      </c>
      <c r="K2229" t="s">
        <v>38</v>
      </c>
      <c r="L2229" t="s">
        <v>26</v>
      </c>
      <c r="M2229">
        <v>2</v>
      </c>
      <c r="N2229">
        <v>350.58</v>
      </c>
      <c r="O2229">
        <v>525</v>
      </c>
      <c r="P2229">
        <v>52.5</v>
      </c>
      <c r="Q2229">
        <v>52.5</v>
      </c>
      <c r="R2229" t="s">
        <v>30</v>
      </c>
      <c r="S2229">
        <v>29</v>
      </c>
      <c r="T2229">
        <v>1</v>
      </c>
      <c r="U2229">
        <v>4</v>
      </c>
      <c r="V2229">
        <v>472.5</v>
      </c>
      <c r="W2229">
        <v>13130002227</v>
      </c>
    </row>
    <row r="2230" spans="1:23" x14ac:dyDescent="0.2">
      <c r="A2230" s="1">
        <v>44800</v>
      </c>
      <c r="B2230" s="2">
        <v>0.5798726851851852</v>
      </c>
      <c r="C2230">
        <v>3228</v>
      </c>
      <c r="D2230">
        <v>13002561</v>
      </c>
      <c r="E2230">
        <v>13</v>
      </c>
      <c r="F2230">
        <v>22589</v>
      </c>
      <c r="G2230" t="s">
        <v>23</v>
      </c>
      <c r="H2230">
        <v>15</v>
      </c>
      <c r="I2230">
        <v>69393</v>
      </c>
      <c r="J2230" t="s">
        <v>124</v>
      </c>
      <c r="K2230" t="s">
        <v>38</v>
      </c>
      <c r="L2230" t="s">
        <v>32</v>
      </c>
      <c r="M2230">
        <v>1</v>
      </c>
      <c r="N2230">
        <v>306.02999999999997</v>
      </c>
      <c r="O2230">
        <v>477.99</v>
      </c>
      <c r="P2230">
        <v>0</v>
      </c>
      <c r="Q2230">
        <v>0</v>
      </c>
      <c r="S2230">
        <v>29</v>
      </c>
      <c r="T2230">
        <v>1</v>
      </c>
      <c r="U2230">
        <v>1</v>
      </c>
      <c r="V2230">
        <v>477.99</v>
      </c>
      <c r="W2230">
        <v>13130002228</v>
      </c>
    </row>
    <row r="2231" spans="1:23" x14ac:dyDescent="0.2">
      <c r="A2231" s="1">
        <v>44780</v>
      </c>
      <c r="B2231" s="2">
        <v>0.86045138888888884</v>
      </c>
      <c r="C2231">
        <v>3229</v>
      </c>
      <c r="D2231">
        <v>13002561</v>
      </c>
      <c r="E2231">
        <v>13</v>
      </c>
      <c r="F2231">
        <v>22589</v>
      </c>
      <c r="G2231" t="s">
        <v>23</v>
      </c>
      <c r="H2231">
        <v>15</v>
      </c>
      <c r="I2231">
        <v>95409</v>
      </c>
      <c r="J2231" t="s">
        <v>106</v>
      </c>
      <c r="K2231" t="s">
        <v>44</v>
      </c>
      <c r="L2231" t="s">
        <v>29</v>
      </c>
      <c r="M2231">
        <v>2</v>
      </c>
      <c r="N2231">
        <v>114.64</v>
      </c>
      <c r="O2231">
        <v>190</v>
      </c>
      <c r="P2231">
        <v>19</v>
      </c>
      <c r="Q2231">
        <v>19</v>
      </c>
      <c r="R2231" t="s">
        <v>30</v>
      </c>
      <c r="S2231">
        <v>29</v>
      </c>
      <c r="T2231">
        <v>1</v>
      </c>
      <c r="U2231">
        <v>4</v>
      </c>
      <c r="V2231">
        <v>171</v>
      </c>
      <c r="W2231">
        <v>13130002229</v>
      </c>
    </row>
    <row r="2232" spans="1:23" x14ac:dyDescent="0.2">
      <c r="A2232" s="1">
        <v>44793</v>
      </c>
      <c r="B2232" s="2">
        <v>0.73854166666666665</v>
      </c>
      <c r="C2232">
        <v>3230</v>
      </c>
      <c r="D2232">
        <v>13002561</v>
      </c>
      <c r="E2232">
        <v>13</v>
      </c>
      <c r="F2232">
        <v>22589</v>
      </c>
      <c r="G2232" t="s">
        <v>23</v>
      </c>
      <c r="H2232">
        <v>18</v>
      </c>
      <c r="I2232">
        <v>23836</v>
      </c>
      <c r="J2232" t="s">
        <v>99</v>
      </c>
      <c r="K2232" t="s">
        <v>45</v>
      </c>
      <c r="L2232" t="s">
        <v>26</v>
      </c>
      <c r="M2232">
        <v>1</v>
      </c>
      <c r="N2232">
        <v>307.7</v>
      </c>
      <c r="O2232">
        <v>398.09</v>
      </c>
      <c r="P2232">
        <v>0</v>
      </c>
      <c r="Q2232">
        <v>0</v>
      </c>
      <c r="S2232">
        <v>29</v>
      </c>
      <c r="T2232">
        <v>1</v>
      </c>
      <c r="U2232">
        <v>1</v>
      </c>
      <c r="V2232">
        <v>398.09</v>
      </c>
      <c r="W2232">
        <v>13130002230</v>
      </c>
    </row>
    <row r="2233" spans="1:23" x14ac:dyDescent="0.2">
      <c r="A2233" s="1">
        <v>44802</v>
      </c>
      <c r="B2233" s="2">
        <v>0.5261689814814815</v>
      </c>
      <c r="C2233">
        <v>3231</v>
      </c>
      <c r="D2233">
        <v>13002561</v>
      </c>
      <c r="E2233">
        <v>13</v>
      </c>
      <c r="F2233">
        <v>22589</v>
      </c>
      <c r="G2233" t="s">
        <v>23</v>
      </c>
      <c r="H2233">
        <v>18</v>
      </c>
      <c r="I2233">
        <v>99348</v>
      </c>
      <c r="J2233" t="s">
        <v>87</v>
      </c>
      <c r="K2233" t="s">
        <v>25</v>
      </c>
      <c r="L2233" t="s">
        <v>47</v>
      </c>
      <c r="M2233">
        <v>3</v>
      </c>
      <c r="N2233">
        <v>532.51</v>
      </c>
      <c r="O2233">
        <v>689.31</v>
      </c>
      <c r="P2233">
        <v>0</v>
      </c>
      <c r="Q2233">
        <v>0</v>
      </c>
      <c r="S2233">
        <v>29</v>
      </c>
      <c r="T2233">
        <v>1</v>
      </c>
      <c r="U2233">
        <v>5</v>
      </c>
      <c r="V2233">
        <v>689.31</v>
      </c>
      <c r="W2233">
        <v>13130002231</v>
      </c>
    </row>
    <row r="2234" spans="1:23" x14ac:dyDescent="0.2">
      <c r="A2234" s="1">
        <v>44777</v>
      </c>
      <c r="B2234" s="2">
        <v>0.84240740740740738</v>
      </c>
      <c r="C2234">
        <v>3232</v>
      </c>
      <c r="D2234">
        <v>13002561</v>
      </c>
      <c r="E2234">
        <v>13</v>
      </c>
      <c r="F2234">
        <v>22589</v>
      </c>
      <c r="G2234" t="s">
        <v>23</v>
      </c>
      <c r="H2234">
        <v>18</v>
      </c>
      <c r="I2234">
        <v>29639</v>
      </c>
      <c r="J2234" t="s">
        <v>70</v>
      </c>
      <c r="K2234" t="s">
        <v>44</v>
      </c>
      <c r="L2234" t="s">
        <v>47</v>
      </c>
      <c r="M2234">
        <v>3</v>
      </c>
      <c r="N2234">
        <v>469.85</v>
      </c>
      <c r="O2234">
        <v>625.86</v>
      </c>
      <c r="P2234">
        <v>31.29</v>
      </c>
      <c r="Q2234">
        <v>31.29</v>
      </c>
      <c r="R2234" t="s">
        <v>30</v>
      </c>
      <c r="S2234">
        <v>29</v>
      </c>
      <c r="T2234">
        <v>1</v>
      </c>
      <c r="U2234">
        <v>2</v>
      </c>
      <c r="V2234">
        <v>594.57000000000005</v>
      </c>
      <c r="W2234">
        <v>13130002232</v>
      </c>
    </row>
    <row r="2235" spans="1:23" x14ac:dyDescent="0.2">
      <c r="A2235" s="1">
        <v>44797</v>
      </c>
      <c r="B2235" s="2">
        <v>0.56395833333333334</v>
      </c>
      <c r="C2235">
        <v>3233</v>
      </c>
      <c r="D2235">
        <v>13002561</v>
      </c>
      <c r="E2235">
        <v>13</v>
      </c>
      <c r="F2235">
        <v>22589</v>
      </c>
      <c r="G2235" t="s">
        <v>23</v>
      </c>
      <c r="H2235">
        <v>15</v>
      </c>
      <c r="I2235">
        <v>32966</v>
      </c>
      <c r="J2235" t="s">
        <v>119</v>
      </c>
      <c r="K2235" t="s">
        <v>60</v>
      </c>
      <c r="L2235" t="s">
        <v>26</v>
      </c>
      <c r="M2235">
        <v>1</v>
      </c>
      <c r="N2235">
        <v>297.74</v>
      </c>
      <c r="O2235">
        <v>387.65</v>
      </c>
      <c r="P2235">
        <v>0</v>
      </c>
      <c r="Q2235">
        <v>0</v>
      </c>
      <c r="S2235">
        <v>29</v>
      </c>
      <c r="T2235">
        <v>1</v>
      </c>
      <c r="U2235">
        <v>6</v>
      </c>
      <c r="V2235">
        <v>387.65</v>
      </c>
      <c r="W2235">
        <v>13130002233</v>
      </c>
    </row>
    <row r="2236" spans="1:23" x14ac:dyDescent="0.2">
      <c r="A2236" s="1">
        <v>44798</v>
      </c>
      <c r="B2236" s="2">
        <v>0.79605324074074069</v>
      </c>
      <c r="C2236">
        <v>3234</v>
      </c>
      <c r="D2236">
        <v>13002561</v>
      </c>
      <c r="E2236">
        <v>13</v>
      </c>
      <c r="F2236">
        <v>22589</v>
      </c>
      <c r="G2236" t="s">
        <v>23</v>
      </c>
      <c r="H2236">
        <v>18</v>
      </c>
      <c r="I2236">
        <v>56304</v>
      </c>
      <c r="J2236" t="s">
        <v>42</v>
      </c>
      <c r="K2236" t="s">
        <v>44</v>
      </c>
      <c r="L2236" t="s">
        <v>34</v>
      </c>
      <c r="M2236">
        <v>1</v>
      </c>
      <c r="N2236">
        <v>171.78</v>
      </c>
      <c r="O2236">
        <v>225.91</v>
      </c>
      <c r="P2236">
        <v>22.59</v>
      </c>
      <c r="Q2236">
        <v>22.59</v>
      </c>
      <c r="R2236" t="s">
        <v>30</v>
      </c>
      <c r="S2236">
        <v>29</v>
      </c>
      <c r="T2236">
        <v>1</v>
      </c>
      <c r="U2236">
        <v>2</v>
      </c>
      <c r="V2236">
        <v>203.32</v>
      </c>
      <c r="W2236">
        <v>13130002234</v>
      </c>
    </row>
    <row r="2237" spans="1:23" x14ac:dyDescent="0.2">
      <c r="A2237" s="1">
        <v>44798</v>
      </c>
      <c r="B2237" s="2">
        <v>0.86839120370370371</v>
      </c>
      <c r="C2237">
        <v>3235</v>
      </c>
      <c r="D2237">
        <v>13002561</v>
      </c>
      <c r="E2237">
        <v>13</v>
      </c>
      <c r="F2237">
        <v>22589</v>
      </c>
      <c r="G2237" t="s">
        <v>23</v>
      </c>
      <c r="H2237">
        <v>18</v>
      </c>
      <c r="I2237">
        <v>77389</v>
      </c>
      <c r="J2237" t="s">
        <v>100</v>
      </c>
      <c r="K2237" t="s">
        <v>45</v>
      </c>
      <c r="L2237" t="s">
        <v>51</v>
      </c>
      <c r="M2237">
        <v>1</v>
      </c>
      <c r="N2237">
        <v>196.19</v>
      </c>
      <c r="O2237">
        <v>261.47000000000003</v>
      </c>
      <c r="P2237">
        <v>26.15</v>
      </c>
      <c r="Q2237">
        <v>26.15</v>
      </c>
      <c r="R2237" t="s">
        <v>30</v>
      </c>
      <c r="S2237">
        <v>29</v>
      </c>
      <c r="T2237">
        <v>1</v>
      </c>
      <c r="U2237">
        <v>3</v>
      </c>
      <c r="V2237">
        <v>235.32</v>
      </c>
      <c r="W2237">
        <v>13130002235</v>
      </c>
    </row>
    <row r="2238" spans="1:23" x14ac:dyDescent="0.2">
      <c r="A2238" s="1">
        <v>44775</v>
      </c>
      <c r="B2238" s="2">
        <v>0.55254629629629626</v>
      </c>
      <c r="C2238">
        <v>3236</v>
      </c>
      <c r="D2238">
        <v>13002561</v>
      </c>
      <c r="E2238">
        <v>13</v>
      </c>
      <c r="F2238">
        <v>22589</v>
      </c>
      <c r="G2238" t="s">
        <v>23</v>
      </c>
      <c r="H2238">
        <v>18</v>
      </c>
      <c r="I2238">
        <v>99811</v>
      </c>
      <c r="J2238" t="s">
        <v>86</v>
      </c>
      <c r="K2238" t="s">
        <v>60</v>
      </c>
      <c r="L2238" t="s">
        <v>29</v>
      </c>
      <c r="M2238">
        <v>2</v>
      </c>
      <c r="N2238">
        <v>112.87</v>
      </c>
      <c r="O2238">
        <v>191.46</v>
      </c>
      <c r="P2238">
        <v>9.57</v>
      </c>
      <c r="Q2238">
        <v>9.57</v>
      </c>
      <c r="R2238" t="s">
        <v>30</v>
      </c>
      <c r="S2238">
        <v>29</v>
      </c>
      <c r="T2238">
        <v>1</v>
      </c>
      <c r="U2238">
        <v>6</v>
      </c>
      <c r="V2238">
        <v>181.89</v>
      </c>
      <c r="W2238">
        <v>13130002236</v>
      </c>
    </row>
    <row r="2239" spans="1:23" x14ac:dyDescent="0.2">
      <c r="A2239" s="1">
        <v>44799</v>
      </c>
      <c r="B2239" s="2">
        <v>0.64857638888888891</v>
      </c>
      <c r="C2239">
        <v>3237</v>
      </c>
      <c r="D2239">
        <v>13002561</v>
      </c>
      <c r="E2239">
        <v>13</v>
      </c>
      <c r="F2239">
        <v>22589</v>
      </c>
      <c r="G2239" t="s">
        <v>23</v>
      </c>
      <c r="H2239">
        <v>18</v>
      </c>
      <c r="I2239">
        <v>79038</v>
      </c>
      <c r="J2239" t="s">
        <v>103</v>
      </c>
      <c r="K2239" t="s">
        <v>25</v>
      </c>
      <c r="L2239" t="s">
        <v>32</v>
      </c>
      <c r="M2239">
        <v>2</v>
      </c>
      <c r="N2239">
        <v>425.68</v>
      </c>
      <c r="O2239">
        <v>656.64</v>
      </c>
      <c r="P2239">
        <v>0</v>
      </c>
      <c r="Q2239">
        <v>0</v>
      </c>
      <c r="S2239">
        <v>29</v>
      </c>
      <c r="T2239">
        <v>1</v>
      </c>
      <c r="U2239">
        <v>4</v>
      </c>
      <c r="V2239">
        <v>656.64</v>
      </c>
      <c r="W2239">
        <v>13130002237</v>
      </c>
    </row>
    <row r="2240" spans="1:23" x14ac:dyDescent="0.2">
      <c r="A2240" s="1">
        <v>44789</v>
      </c>
      <c r="B2240" s="2">
        <v>0.44701388888888888</v>
      </c>
      <c r="C2240">
        <v>3238</v>
      </c>
      <c r="D2240">
        <v>13002561</v>
      </c>
      <c r="E2240">
        <v>13</v>
      </c>
      <c r="F2240">
        <v>22589</v>
      </c>
      <c r="G2240" t="s">
        <v>23</v>
      </c>
      <c r="H2240">
        <v>15</v>
      </c>
      <c r="I2240">
        <v>79178</v>
      </c>
      <c r="J2240" t="s">
        <v>97</v>
      </c>
      <c r="K2240" t="s">
        <v>28</v>
      </c>
      <c r="L2240" t="s">
        <v>26</v>
      </c>
      <c r="M2240">
        <v>3</v>
      </c>
      <c r="N2240">
        <v>223.26</v>
      </c>
      <c r="O2240">
        <v>299.41000000000003</v>
      </c>
      <c r="P2240">
        <v>0</v>
      </c>
      <c r="Q2240">
        <v>0</v>
      </c>
      <c r="S2240">
        <v>29</v>
      </c>
      <c r="T2240">
        <v>1</v>
      </c>
      <c r="U2240">
        <v>2</v>
      </c>
      <c r="V2240">
        <v>299.41000000000003</v>
      </c>
      <c r="W2240">
        <v>13130002238</v>
      </c>
    </row>
    <row r="2241" spans="1:23" x14ac:dyDescent="0.2">
      <c r="A2241" s="1">
        <v>44798</v>
      </c>
      <c r="B2241" s="2">
        <v>0.60223379629629625</v>
      </c>
      <c r="C2241">
        <v>3239</v>
      </c>
      <c r="D2241">
        <v>13002561</v>
      </c>
      <c r="E2241">
        <v>13</v>
      </c>
      <c r="F2241">
        <v>22589</v>
      </c>
      <c r="G2241" t="s">
        <v>23</v>
      </c>
      <c r="H2241">
        <v>15</v>
      </c>
      <c r="I2241">
        <v>79739</v>
      </c>
      <c r="J2241" t="s">
        <v>43</v>
      </c>
      <c r="K2241" t="s">
        <v>60</v>
      </c>
      <c r="L2241" t="s">
        <v>26</v>
      </c>
      <c r="M2241">
        <v>1</v>
      </c>
      <c r="N2241">
        <v>113.86</v>
      </c>
      <c r="O2241">
        <v>165.74</v>
      </c>
      <c r="P2241">
        <v>0</v>
      </c>
      <c r="Q2241">
        <v>0</v>
      </c>
      <c r="S2241">
        <v>29</v>
      </c>
      <c r="T2241">
        <v>1</v>
      </c>
      <c r="U2241">
        <v>5</v>
      </c>
      <c r="V2241">
        <v>165.74</v>
      </c>
      <c r="W2241">
        <v>13130002239</v>
      </c>
    </row>
    <row r="2242" spans="1:23" x14ac:dyDescent="0.2">
      <c r="A2242" s="1">
        <v>44787</v>
      </c>
      <c r="B2242" s="2">
        <v>0.52376157407407409</v>
      </c>
      <c r="C2242">
        <v>3240</v>
      </c>
      <c r="D2242">
        <v>13002561</v>
      </c>
      <c r="E2242">
        <v>13</v>
      </c>
      <c r="F2242">
        <v>22589</v>
      </c>
      <c r="G2242" t="s">
        <v>23</v>
      </c>
      <c r="H2242">
        <v>18</v>
      </c>
      <c r="I2242">
        <v>52617</v>
      </c>
      <c r="J2242" t="s">
        <v>118</v>
      </c>
      <c r="K2242" t="s">
        <v>45</v>
      </c>
      <c r="L2242" t="s">
        <v>51</v>
      </c>
      <c r="M2242">
        <v>2</v>
      </c>
      <c r="N2242">
        <v>376.33</v>
      </c>
      <c r="O2242">
        <v>629.4</v>
      </c>
      <c r="P2242">
        <v>62.94</v>
      </c>
      <c r="Q2242">
        <v>62.94</v>
      </c>
      <c r="R2242" t="s">
        <v>30</v>
      </c>
      <c r="S2242">
        <v>29</v>
      </c>
      <c r="T2242">
        <v>1</v>
      </c>
      <c r="U2242">
        <v>1</v>
      </c>
      <c r="V2242">
        <v>566.46</v>
      </c>
      <c r="W2242">
        <v>13130002240</v>
      </c>
    </row>
    <row r="2243" spans="1:23" x14ac:dyDescent="0.2">
      <c r="A2243" s="1">
        <v>44784</v>
      </c>
      <c r="B2243" s="2">
        <v>0.37482638888888892</v>
      </c>
      <c r="C2243">
        <v>3241</v>
      </c>
      <c r="D2243">
        <v>13002561</v>
      </c>
      <c r="E2243">
        <v>13</v>
      </c>
      <c r="F2243">
        <v>22589</v>
      </c>
      <c r="G2243" t="s">
        <v>23</v>
      </c>
      <c r="H2243">
        <v>15</v>
      </c>
      <c r="I2243">
        <v>14050</v>
      </c>
      <c r="J2243" t="s">
        <v>41</v>
      </c>
      <c r="K2243" t="s">
        <v>45</v>
      </c>
      <c r="L2243" t="s">
        <v>39</v>
      </c>
      <c r="M2243">
        <v>2</v>
      </c>
      <c r="N2243">
        <v>588.62</v>
      </c>
      <c r="O2243">
        <v>971.35</v>
      </c>
      <c r="P2243">
        <v>0</v>
      </c>
      <c r="Q2243">
        <v>0</v>
      </c>
      <c r="S2243">
        <v>29</v>
      </c>
      <c r="T2243">
        <v>1</v>
      </c>
      <c r="U2243">
        <v>1</v>
      </c>
      <c r="V2243">
        <v>971.35</v>
      </c>
      <c r="W2243">
        <v>13130002241</v>
      </c>
    </row>
    <row r="2244" spans="1:23" x14ac:dyDescent="0.2">
      <c r="A2244" s="1">
        <v>44786</v>
      </c>
      <c r="B2244" s="2">
        <v>0.64931712962962962</v>
      </c>
      <c r="C2244">
        <v>3242</v>
      </c>
      <c r="D2244">
        <v>13002561</v>
      </c>
      <c r="E2244">
        <v>13</v>
      </c>
      <c r="F2244">
        <v>22589</v>
      </c>
      <c r="G2244" t="s">
        <v>23</v>
      </c>
      <c r="H2244">
        <v>18</v>
      </c>
      <c r="I2244">
        <v>50724</v>
      </c>
      <c r="J2244" t="s">
        <v>46</v>
      </c>
      <c r="K2244" t="s">
        <v>45</v>
      </c>
      <c r="L2244" t="s">
        <v>47</v>
      </c>
      <c r="M2244">
        <v>2</v>
      </c>
      <c r="N2244">
        <v>463.82</v>
      </c>
      <c r="O2244">
        <v>734.72</v>
      </c>
      <c r="P2244">
        <v>36.74</v>
      </c>
      <c r="Q2244">
        <v>36.74</v>
      </c>
      <c r="R2244" t="s">
        <v>30</v>
      </c>
      <c r="S2244">
        <v>29</v>
      </c>
      <c r="T2244">
        <v>1</v>
      </c>
      <c r="U2244">
        <v>5</v>
      </c>
      <c r="V2244">
        <v>697.98</v>
      </c>
      <c r="W2244">
        <v>13130002242</v>
      </c>
    </row>
    <row r="2245" spans="1:23" x14ac:dyDescent="0.2">
      <c r="A2245" s="1">
        <v>44780</v>
      </c>
      <c r="B2245" s="2">
        <v>0.9415972222222222</v>
      </c>
      <c r="C2245">
        <v>3243</v>
      </c>
      <c r="D2245">
        <v>13002561</v>
      </c>
      <c r="E2245">
        <v>13</v>
      </c>
      <c r="F2245">
        <v>22589</v>
      </c>
      <c r="G2245" t="s">
        <v>23</v>
      </c>
      <c r="H2245">
        <v>18</v>
      </c>
      <c r="I2245">
        <v>86936</v>
      </c>
      <c r="J2245" t="s">
        <v>78</v>
      </c>
      <c r="K2245" t="s">
        <v>28</v>
      </c>
      <c r="L2245" t="s">
        <v>34</v>
      </c>
      <c r="M2245">
        <v>1</v>
      </c>
      <c r="N2245">
        <v>381.45</v>
      </c>
      <c r="O2245">
        <v>502.48</v>
      </c>
      <c r="P2245">
        <v>50.25</v>
      </c>
      <c r="Q2245">
        <v>50.25</v>
      </c>
      <c r="R2245" t="s">
        <v>30</v>
      </c>
      <c r="S2245">
        <v>29</v>
      </c>
      <c r="T2245">
        <v>1</v>
      </c>
      <c r="U2245">
        <v>3</v>
      </c>
      <c r="V2245">
        <v>452.23</v>
      </c>
      <c r="W2245">
        <v>13130002243</v>
      </c>
    </row>
    <row r="2246" spans="1:23" x14ac:dyDescent="0.2">
      <c r="A2246" s="1">
        <v>44775</v>
      </c>
      <c r="B2246" s="2">
        <v>0.60699074074074078</v>
      </c>
      <c r="C2246">
        <v>3244</v>
      </c>
      <c r="D2246">
        <v>13002561</v>
      </c>
      <c r="E2246">
        <v>13</v>
      </c>
      <c r="F2246">
        <v>22589</v>
      </c>
      <c r="G2246" t="s">
        <v>23</v>
      </c>
      <c r="H2246">
        <v>18</v>
      </c>
      <c r="I2246">
        <v>34513</v>
      </c>
      <c r="J2246" t="s">
        <v>114</v>
      </c>
      <c r="K2246" t="s">
        <v>38</v>
      </c>
      <c r="L2246" t="s">
        <v>47</v>
      </c>
      <c r="M2246">
        <v>2</v>
      </c>
      <c r="N2246">
        <v>589.20000000000005</v>
      </c>
      <c r="O2246">
        <v>989.26</v>
      </c>
      <c r="P2246">
        <v>0</v>
      </c>
      <c r="Q2246">
        <v>0</v>
      </c>
      <c r="S2246">
        <v>29</v>
      </c>
      <c r="T2246">
        <v>1</v>
      </c>
      <c r="U2246">
        <v>4</v>
      </c>
      <c r="V2246">
        <v>989.26</v>
      </c>
      <c r="W2246">
        <v>13130002244</v>
      </c>
    </row>
    <row r="2247" spans="1:23" x14ac:dyDescent="0.2">
      <c r="A2247" s="1">
        <v>44797</v>
      </c>
      <c r="B2247" s="2">
        <v>0.45283564814814808</v>
      </c>
      <c r="C2247">
        <v>3245</v>
      </c>
      <c r="D2247">
        <v>13002561</v>
      </c>
      <c r="E2247">
        <v>13</v>
      </c>
      <c r="F2247">
        <v>22589</v>
      </c>
      <c r="G2247" t="s">
        <v>23</v>
      </c>
      <c r="H2247">
        <v>18</v>
      </c>
      <c r="I2247">
        <v>75301</v>
      </c>
      <c r="J2247" t="s">
        <v>48</v>
      </c>
      <c r="K2247" t="s">
        <v>38</v>
      </c>
      <c r="L2247" t="s">
        <v>34</v>
      </c>
      <c r="M2247">
        <v>2</v>
      </c>
      <c r="N2247">
        <v>205.4</v>
      </c>
      <c r="O2247">
        <v>348.92</v>
      </c>
      <c r="P2247">
        <v>17.45</v>
      </c>
      <c r="Q2247">
        <v>17.45</v>
      </c>
      <c r="R2247" t="s">
        <v>30</v>
      </c>
      <c r="S2247">
        <v>29</v>
      </c>
      <c r="T2247">
        <v>1</v>
      </c>
      <c r="U2247">
        <v>1</v>
      </c>
      <c r="V2247">
        <v>331.47</v>
      </c>
      <c r="W2247">
        <v>13130002245</v>
      </c>
    </row>
    <row r="2248" spans="1:23" x14ac:dyDescent="0.2">
      <c r="A2248" s="1">
        <v>44790</v>
      </c>
      <c r="B2248" s="2">
        <v>0.76616898148148149</v>
      </c>
      <c r="C2248">
        <v>3246</v>
      </c>
      <c r="D2248">
        <v>13002561</v>
      </c>
      <c r="E2248">
        <v>13</v>
      </c>
      <c r="F2248">
        <v>22589</v>
      </c>
      <c r="G2248" t="s">
        <v>23</v>
      </c>
      <c r="H2248">
        <v>18</v>
      </c>
      <c r="I2248">
        <v>91962</v>
      </c>
      <c r="J2248" t="s">
        <v>71</v>
      </c>
      <c r="K2248" t="s">
        <v>60</v>
      </c>
      <c r="L2248" t="s">
        <v>51</v>
      </c>
      <c r="M2248">
        <v>1</v>
      </c>
      <c r="N2248">
        <v>541.62</v>
      </c>
      <c r="O2248">
        <v>714.14</v>
      </c>
      <c r="P2248">
        <v>35.71</v>
      </c>
      <c r="Q2248">
        <v>35.71</v>
      </c>
      <c r="R2248" t="s">
        <v>30</v>
      </c>
      <c r="S2248">
        <v>29</v>
      </c>
      <c r="T2248">
        <v>1</v>
      </c>
      <c r="U2248">
        <v>5</v>
      </c>
      <c r="V2248">
        <v>678.43</v>
      </c>
      <c r="W2248">
        <v>13130002246</v>
      </c>
    </row>
    <row r="2249" spans="1:23" x14ac:dyDescent="0.2">
      <c r="A2249" s="1">
        <v>44804</v>
      </c>
      <c r="B2249" s="2">
        <v>0.40337962962962959</v>
      </c>
      <c r="C2249">
        <v>3247</v>
      </c>
      <c r="D2249">
        <v>13002561</v>
      </c>
      <c r="E2249">
        <v>13</v>
      </c>
      <c r="F2249">
        <v>22589</v>
      </c>
      <c r="G2249" t="s">
        <v>23</v>
      </c>
      <c r="H2249">
        <v>18</v>
      </c>
      <c r="I2249">
        <v>14952</v>
      </c>
      <c r="J2249" t="s">
        <v>55</v>
      </c>
      <c r="K2249" t="s">
        <v>25</v>
      </c>
      <c r="L2249" t="s">
        <v>51</v>
      </c>
      <c r="M2249">
        <v>3</v>
      </c>
      <c r="N2249">
        <v>245.56</v>
      </c>
      <c r="O2249">
        <v>364.11</v>
      </c>
      <c r="P2249">
        <v>36.409999999999997</v>
      </c>
      <c r="Q2249">
        <v>36.409999999999997</v>
      </c>
      <c r="R2249" t="s">
        <v>30</v>
      </c>
      <c r="S2249">
        <v>29</v>
      </c>
      <c r="T2249">
        <v>1</v>
      </c>
      <c r="U2249">
        <v>6</v>
      </c>
      <c r="V2249">
        <v>327.7</v>
      </c>
      <c r="W2249">
        <v>13130002247</v>
      </c>
    </row>
    <row r="2250" spans="1:23" x14ac:dyDescent="0.2">
      <c r="A2250" s="1">
        <v>44801</v>
      </c>
      <c r="B2250" s="2">
        <v>0.47275462962962961</v>
      </c>
      <c r="C2250">
        <v>3248</v>
      </c>
      <c r="D2250">
        <v>13002561</v>
      </c>
      <c r="E2250">
        <v>13</v>
      </c>
      <c r="F2250">
        <v>22589</v>
      </c>
      <c r="G2250" t="s">
        <v>23</v>
      </c>
      <c r="H2250">
        <v>15</v>
      </c>
      <c r="I2250">
        <v>71190</v>
      </c>
      <c r="J2250" t="s">
        <v>120</v>
      </c>
      <c r="K2250" t="s">
        <v>38</v>
      </c>
      <c r="L2250" t="s">
        <v>34</v>
      </c>
      <c r="M2250">
        <v>3</v>
      </c>
      <c r="N2250">
        <v>298.82</v>
      </c>
      <c r="O2250">
        <v>421.06</v>
      </c>
      <c r="P2250">
        <v>0</v>
      </c>
      <c r="Q2250">
        <v>0</v>
      </c>
      <c r="S2250">
        <v>29</v>
      </c>
      <c r="T2250">
        <v>1</v>
      </c>
      <c r="U2250">
        <v>3</v>
      </c>
      <c r="V2250">
        <v>421.06</v>
      </c>
      <c r="W2250">
        <v>13130002248</v>
      </c>
    </row>
    <row r="2251" spans="1:23" x14ac:dyDescent="0.2">
      <c r="A2251" s="1">
        <v>44774</v>
      </c>
      <c r="B2251" s="2">
        <v>0.53732638888888884</v>
      </c>
      <c r="C2251">
        <v>3249</v>
      </c>
      <c r="D2251">
        <v>13002561</v>
      </c>
      <c r="E2251">
        <v>13</v>
      </c>
      <c r="F2251">
        <v>22589</v>
      </c>
      <c r="G2251" t="s">
        <v>23</v>
      </c>
      <c r="H2251">
        <v>15</v>
      </c>
      <c r="I2251">
        <v>80745</v>
      </c>
      <c r="J2251" t="s">
        <v>53</v>
      </c>
      <c r="K2251" t="s">
        <v>38</v>
      </c>
      <c r="L2251" t="s">
        <v>26</v>
      </c>
      <c r="M2251">
        <v>2</v>
      </c>
      <c r="N2251">
        <v>310.05</v>
      </c>
      <c r="O2251">
        <v>486.53</v>
      </c>
      <c r="P2251">
        <v>48.65</v>
      </c>
      <c r="Q2251">
        <v>48.65</v>
      </c>
      <c r="R2251" t="s">
        <v>30</v>
      </c>
      <c r="S2251">
        <v>29</v>
      </c>
      <c r="T2251">
        <v>1</v>
      </c>
      <c r="U2251">
        <v>2</v>
      </c>
      <c r="V2251">
        <v>437.88</v>
      </c>
      <c r="W2251">
        <v>13130002249</v>
      </c>
    </row>
    <row r="2252" spans="1:23" x14ac:dyDescent="0.2">
      <c r="A2252" s="1">
        <v>44781</v>
      </c>
      <c r="B2252" s="2">
        <v>0.67358796296296297</v>
      </c>
      <c r="C2252">
        <v>3250</v>
      </c>
      <c r="D2252">
        <v>13002561</v>
      </c>
      <c r="E2252">
        <v>13</v>
      </c>
      <c r="F2252">
        <v>22589</v>
      </c>
      <c r="G2252" t="s">
        <v>23</v>
      </c>
      <c r="H2252">
        <v>15</v>
      </c>
      <c r="I2252">
        <v>14354</v>
      </c>
      <c r="J2252" t="s">
        <v>126</v>
      </c>
      <c r="K2252" t="s">
        <v>44</v>
      </c>
      <c r="L2252" t="s">
        <v>34</v>
      </c>
      <c r="M2252">
        <v>3</v>
      </c>
      <c r="N2252">
        <v>545.47</v>
      </c>
      <c r="O2252">
        <v>739.28</v>
      </c>
      <c r="P2252">
        <v>36.96</v>
      </c>
      <c r="Q2252">
        <v>36.96</v>
      </c>
      <c r="R2252" t="s">
        <v>30</v>
      </c>
      <c r="S2252">
        <v>29</v>
      </c>
      <c r="T2252">
        <v>1</v>
      </c>
      <c r="U2252">
        <v>6</v>
      </c>
      <c r="V2252">
        <v>702.32</v>
      </c>
      <c r="W2252">
        <v>13130002250</v>
      </c>
    </row>
    <row r="2253" spans="1:23" x14ac:dyDescent="0.2">
      <c r="A2253" s="1">
        <v>44803</v>
      </c>
      <c r="B2253" s="2">
        <v>0.79762731481481486</v>
      </c>
      <c r="C2253">
        <v>3251</v>
      </c>
      <c r="D2253">
        <v>13002561</v>
      </c>
      <c r="E2253">
        <v>13</v>
      </c>
      <c r="F2253">
        <v>22589</v>
      </c>
      <c r="G2253" t="s">
        <v>23</v>
      </c>
      <c r="H2253">
        <v>18</v>
      </c>
      <c r="I2253">
        <v>89980</v>
      </c>
      <c r="J2253" t="s">
        <v>126</v>
      </c>
      <c r="K2253" t="s">
        <v>25</v>
      </c>
      <c r="L2253" t="s">
        <v>34</v>
      </c>
      <c r="M2253">
        <v>3</v>
      </c>
      <c r="N2253">
        <v>214.57</v>
      </c>
      <c r="O2253">
        <v>344.75</v>
      </c>
      <c r="P2253">
        <v>34.479999999999997</v>
      </c>
      <c r="Q2253">
        <v>34.479999999999997</v>
      </c>
      <c r="R2253" t="s">
        <v>30</v>
      </c>
      <c r="S2253">
        <v>29</v>
      </c>
      <c r="T2253">
        <v>1</v>
      </c>
      <c r="U2253">
        <v>5</v>
      </c>
      <c r="V2253">
        <v>310.27</v>
      </c>
      <c r="W2253">
        <v>13130002251</v>
      </c>
    </row>
    <row r="2254" spans="1:23" x14ac:dyDescent="0.2">
      <c r="A2254" s="1">
        <v>44781</v>
      </c>
      <c r="B2254" s="2">
        <v>0.87268518518518523</v>
      </c>
      <c r="C2254">
        <v>3252</v>
      </c>
      <c r="D2254">
        <v>13002561</v>
      </c>
      <c r="E2254">
        <v>13</v>
      </c>
      <c r="F2254">
        <v>22589</v>
      </c>
      <c r="G2254" t="s">
        <v>23</v>
      </c>
      <c r="H2254">
        <v>18</v>
      </c>
      <c r="I2254">
        <v>73448</v>
      </c>
      <c r="J2254" t="s">
        <v>53</v>
      </c>
      <c r="K2254" t="s">
        <v>45</v>
      </c>
      <c r="L2254" t="s">
        <v>47</v>
      </c>
      <c r="M2254">
        <v>1</v>
      </c>
      <c r="N2254">
        <v>281.02</v>
      </c>
      <c r="O2254">
        <v>439.65</v>
      </c>
      <c r="P2254">
        <v>0</v>
      </c>
      <c r="Q2254">
        <v>0</v>
      </c>
      <c r="S2254">
        <v>29</v>
      </c>
      <c r="T2254">
        <v>1</v>
      </c>
      <c r="U2254">
        <v>2</v>
      </c>
      <c r="V2254">
        <v>439.65</v>
      </c>
      <c r="W2254">
        <v>13130002252</v>
      </c>
    </row>
    <row r="2255" spans="1:23" x14ac:dyDescent="0.2">
      <c r="A2255" s="1">
        <v>44777</v>
      </c>
      <c r="B2255" s="2">
        <v>0.50774305555555554</v>
      </c>
      <c r="C2255">
        <v>3253</v>
      </c>
      <c r="D2255">
        <v>13002561</v>
      </c>
      <c r="E2255">
        <v>13</v>
      </c>
      <c r="F2255">
        <v>22589</v>
      </c>
      <c r="G2255" t="s">
        <v>23</v>
      </c>
      <c r="H2255">
        <v>18</v>
      </c>
      <c r="I2255">
        <v>91111</v>
      </c>
      <c r="J2255" t="s">
        <v>63</v>
      </c>
      <c r="K2255" t="s">
        <v>38</v>
      </c>
      <c r="L2255" t="s">
        <v>36</v>
      </c>
      <c r="M2255">
        <v>2</v>
      </c>
      <c r="N2255">
        <v>512.19000000000005</v>
      </c>
      <c r="O2255">
        <v>760.94</v>
      </c>
      <c r="P2255">
        <v>0</v>
      </c>
      <c r="Q2255">
        <v>0</v>
      </c>
      <c r="S2255">
        <v>29</v>
      </c>
      <c r="T2255">
        <v>1</v>
      </c>
      <c r="U2255">
        <v>5</v>
      </c>
      <c r="V2255">
        <v>760.94</v>
      </c>
      <c r="W2255">
        <v>13130002253</v>
      </c>
    </row>
    <row r="2256" spans="1:23" x14ac:dyDescent="0.2">
      <c r="A2256" s="1">
        <v>44797</v>
      </c>
      <c r="B2256" s="2">
        <v>0.60802083333333334</v>
      </c>
      <c r="C2256">
        <v>3254</v>
      </c>
      <c r="D2256">
        <v>13002561</v>
      </c>
      <c r="E2256">
        <v>13</v>
      </c>
      <c r="F2256">
        <v>22589</v>
      </c>
      <c r="G2256" t="s">
        <v>23</v>
      </c>
      <c r="H2256">
        <v>15</v>
      </c>
      <c r="I2256">
        <v>93212</v>
      </c>
      <c r="J2256" t="s">
        <v>77</v>
      </c>
      <c r="K2256" t="s">
        <v>45</v>
      </c>
      <c r="L2256" t="s">
        <v>34</v>
      </c>
      <c r="M2256">
        <v>3</v>
      </c>
      <c r="N2256">
        <v>541.29999999999995</v>
      </c>
      <c r="O2256">
        <v>898.18</v>
      </c>
      <c r="P2256">
        <v>44.91</v>
      </c>
      <c r="Q2256">
        <v>44.91</v>
      </c>
      <c r="R2256" t="s">
        <v>30</v>
      </c>
      <c r="S2256">
        <v>29</v>
      </c>
      <c r="T2256">
        <v>1</v>
      </c>
      <c r="U2256">
        <v>2</v>
      </c>
      <c r="V2256">
        <v>853.27</v>
      </c>
      <c r="W2256">
        <v>13130002254</v>
      </c>
    </row>
    <row r="2257" spans="1:23" x14ac:dyDescent="0.2">
      <c r="A2257" s="1">
        <v>44792</v>
      </c>
      <c r="B2257" s="2">
        <v>0.61410879629629633</v>
      </c>
      <c r="C2257">
        <v>3255</v>
      </c>
      <c r="D2257">
        <v>13002561</v>
      </c>
      <c r="E2257">
        <v>13</v>
      </c>
      <c r="F2257">
        <v>22589</v>
      </c>
      <c r="G2257" t="s">
        <v>23</v>
      </c>
      <c r="H2257">
        <v>15</v>
      </c>
      <c r="I2257">
        <v>25181</v>
      </c>
      <c r="J2257" t="s">
        <v>56</v>
      </c>
      <c r="K2257" t="s">
        <v>44</v>
      </c>
      <c r="L2257" t="s">
        <v>47</v>
      </c>
      <c r="M2257">
        <v>3</v>
      </c>
      <c r="N2257">
        <v>444.3</v>
      </c>
      <c r="O2257">
        <v>656.28</v>
      </c>
      <c r="P2257">
        <v>65.63</v>
      </c>
      <c r="Q2257">
        <v>65.63</v>
      </c>
      <c r="R2257" t="s">
        <v>30</v>
      </c>
      <c r="S2257">
        <v>29</v>
      </c>
      <c r="T2257">
        <v>1</v>
      </c>
      <c r="U2257">
        <v>1</v>
      </c>
      <c r="V2257">
        <v>590.65</v>
      </c>
      <c r="W2257">
        <v>13130002255</v>
      </c>
    </row>
    <row r="2258" spans="1:23" x14ac:dyDescent="0.2">
      <c r="A2258" s="1">
        <v>44780</v>
      </c>
      <c r="B2258" s="2">
        <v>0.7643981481481481</v>
      </c>
      <c r="C2258">
        <v>3256</v>
      </c>
      <c r="D2258">
        <v>13002561</v>
      </c>
      <c r="E2258">
        <v>13</v>
      </c>
      <c r="F2258">
        <v>22589</v>
      </c>
      <c r="G2258" t="s">
        <v>23</v>
      </c>
      <c r="H2258">
        <v>18</v>
      </c>
      <c r="I2258">
        <v>98935</v>
      </c>
      <c r="J2258" t="s">
        <v>37</v>
      </c>
      <c r="K2258" t="s">
        <v>44</v>
      </c>
      <c r="L2258" t="s">
        <v>51</v>
      </c>
      <c r="M2258">
        <v>2</v>
      </c>
      <c r="N2258">
        <v>455.17</v>
      </c>
      <c r="O2258">
        <v>576.20000000000005</v>
      </c>
      <c r="P2258">
        <v>57.62</v>
      </c>
      <c r="Q2258">
        <v>57.62</v>
      </c>
      <c r="R2258" t="s">
        <v>30</v>
      </c>
      <c r="S2258">
        <v>29</v>
      </c>
      <c r="T2258">
        <v>1</v>
      </c>
      <c r="U2258">
        <v>6</v>
      </c>
      <c r="V2258">
        <v>518.58000000000004</v>
      </c>
      <c r="W2258">
        <v>13130002256</v>
      </c>
    </row>
    <row r="2259" spans="1:23" x14ac:dyDescent="0.2">
      <c r="A2259" s="1">
        <v>44794</v>
      </c>
      <c r="B2259" s="2">
        <v>0.71789351851851857</v>
      </c>
      <c r="C2259">
        <v>3257</v>
      </c>
      <c r="D2259">
        <v>13002561</v>
      </c>
      <c r="E2259">
        <v>13</v>
      </c>
      <c r="F2259">
        <v>22589</v>
      </c>
      <c r="G2259" t="s">
        <v>23</v>
      </c>
      <c r="H2259">
        <v>15</v>
      </c>
      <c r="I2259">
        <v>98687</v>
      </c>
      <c r="J2259" t="s">
        <v>69</v>
      </c>
      <c r="K2259" t="s">
        <v>28</v>
      </c>
      <c r="L2259" t="s">
        <v>29</v>
      </c>
      <c r="M2259">
        <v>2</v>
      </c>
      <c r="N2259">
        <v>149.55000000000001</v>
      </c>
      <c r="O2259">
        <v>251.95</v>
      </c>
      <c r="P2259">
        <v>25.2</v>
      </c>
      <c r="Q2259">
        <v>25.2</v>
      </c>
      <c r="R2259" t="s">
        <v>30</v>
      </c>
      <c r="S2259">
        <v>29</v>
      </c>
      <c r="T2259">
        <v>1</v>
      </c>
      <c r="U2259">
        <v>5</v>
      </c>
      <c r="V2259">
        <v>226.75</v>
      </c>
      <c r="W2259">
        <v>13130002257</v>
      </c>
    </row>
    <row r="2260" spans="1:23" x14ac:dyDescent="0.2">
      <c r="A2260" s="1">
        <v>44797</v>
      </c>
      <c r="B2260" s="2">
        <v>0.67553240740740739</v>
      </c>
      <c r="C2260">
        <v>3258</v>
      </c>
      <c r="D2260">
        <v>13002561</v>
      </c>
      <c r="E2260">
        <v>13</v>
      </c>
      <c r="F2260">
        <v>22589</v>
      </c>
      <c r="G2260" t="s">
        <v>23</v>
      </c>
      <c r="H2260">
        <v>18</v>
      </c>
      <c r="I2260">
        <v>82250</v>
      </c>
      <c r="J2260" t="s">
        <v>62</v>
      </c>
      <c r="K2260" t="s">
        <v>28</v>
      </c>
      <c r="L2260" t="s">
        <v>39</v>
      </c>
      <c r="M2260">
        <v>1</v>
      </c>
      <c r="N2260">
        <v>396.49</v>
      </c>
      <c r="O2260">
        <v>600.9</v>
      </c>
      <c r="P2260">
        <v>30.05</v>
      </c>
      <c r="Q2260">
        <v>30.05</v>
      </c>
      <c r="R2260" t="s">
        <v>30</v>
      </c>
      <c r="S2260">
        <v>29</v>
      </c>
      <c r="T2260">
        <v>1</v>
      </c>
      <c r="U2260">
        <v>5</v>
      </c>
      <c r="V2260">
        <v>570.85</v>
      </c>
      <c r="W2260">
        <v>13130002258</v>
      </c>
    </row>
    <row r="2261" spans="1:23" x14ac:dyDescent="0.2">
      <c r="A2261" s="1">
        <v>44793</v>
      </c>
      <c r="B2261" s="2">
        <v>0.50285879629629626</v>
      </c>
      <c r="C2261">
        <v>3259</v>
      </c>
      <c r="D2261">
        <v>13002561</v>
      </c>
      <c r="E2261">
        <v>13</v>
      </c>
      <c r="F2261">
        <v>22589</v>
      </c>
      <c r="G2261" t="s">
        <v>23</v>
      </c>
      <c r="H2261">
        <v>15</v>
      </c>
      <c r="I2261">
        <v>91383</v>
      </c>
      <c r="J2261" t="s">
        <v>106</v>
      </c>
      <c r="K2261" t="s">
        <v>38</v>
      </c>
      <c r="L2261" t="s">
        <v>29</v>
      </c>
      <c r="M2261">
        <v>2</v>
      </c>
      <c r="N2261">
        <v>585.47</v>
      </c>
      <c r="O2261">
        <v>775.49</v>
      </c>
      <c r="P2261">
        <v>38.770000000000003</v>
      </c>
      <c r="Q2261">
        <v>38.770000000000003</v>
      </c>
      <c r="R2261" t="s">
        <v>30</v>
      </c>
      <c r="S2261">
        <v>29</v>
      </c>
      <c r="T2261">
        <v>1</v>
      </c>
      <c r="U2261">
        <v>1</v>
      </c>
      <c r="V2261">
        <v>736.72</v>
      </c>
      <c r="W2261">
        <v>13130002259</v>
      </c>
    </row>
    <row r="2262" spans="1:23" x14ac:dyDescent="0.2">
      <c r="A2262" s="1">
        <v>44776</v>
      </c>
      <c r="B2262" s="2">
        <v>0.9564583333333333</v>
      </c>
      <c r="C2262">
        <v>3260</v>
      </c>
      <c r="D2262">
        <v>13002561</v>
      </c>
      <c r="E2262">
        <v>13</v>
      </c>
      <c r="F2262">
        <v>22589</v>
      </c>
      <c r="G2262" t="s">
        <v>23</v>
      </c>
      <c r="H2262">
        <v>18</v>
      </c>
      <c r="I2262">
        <v>81960</v>
      </c>
      <c r="J2262" t="s">
        <v>106</v>
      </c>
      <c r="K2262" t="s">
        <v>25</v>
      </c>
      <c r="L2262" t="s">
        <v>36</v>
      </c>
      <c r="M2262">
        <v>1</v>
      </c>
      <c r="N2262">
        <v>559.15</v>
      </c>
      <c r="O2262">
        <v>821.85</v>
      </c>
      <c r="P2262">
        <v>0</v>
      </c>
      <c r="Q2262">
        <v>0</v>
      </c>
      <c r="S2262">
        <v>29</v>
      </c>
      <c r="T2262">
        <v>1</v>
      </c>
      <c r="U2262">
        <v>6</v>
      </c>
      <c r="V2262">
        <v>821.85</v>
      </c>
      <c r="W2262">
        <v>13130002260</v>
      </c>
    </row>
    <row r="2263" spans="1:23" x14ac:dyDescent="0.2">
      <c r="A2263" s="1">
        <v>44781</v>
      </c>
      <c r="B2263" s="2">
        <v>0.77725694444444449</v>
      </c>
      <c r="C2263">
        <v>3261</v>
      </c>
      <c r="D2263">
        <v>13002561</v>
      </c>
      <c r="E2263">
        <v>13</v>
      </c>
      <c r="F2263">
        <v>22589</v>
      </c>
      <c r="G2263" t="s">
        <v>23</v>
      </c>
      <c r="H2263">
        <v>15</v>
      </c>
      <c r="I2263">
        <v>17211</v>
      </c>
      <c r="J2263" t="s">
        <v>106</v>
      </c>
      <c r="K2263" t="s">
        <v>25</v>
      </c>
      <c r="L2263" t="s">
        <v>26</v>
      </c>
      <c r="M2263">
        <v>3</v>
      </c>
      <c r="N2263">
        <v>396.58</v>
      </c>
      <c r="O2263">
        <v>632.26</v>
      </c>
      <c r="P2263">
        <v>63.23</v>
      </c>
      <c r="Q2263">
        <v>63.23</v>
      </c>
      <c r="R2263" t="s">
        <v>30</v>
      </c>
      <c r="S2263">
        <v>29</v>
      </c>
      <c r="T2263">
        <v>1</v>
      </c>
      <c r="U2263">
        <v>6</v>
      </c>
      <c r="V2263">
        <v>569.03</v>
      </c>
      <c r="W2263">
        <v>13130002261</v>
      </c>
    </row>
    <row r="2264" spans="1:23" x14ac:dyDescent="0.2">
      <c r="A2264" s="1">
        <v>44787</v>
      </c>
      <c r="B2264" s="2">
        <v>0.7754050925925926</v>
      </c>
      <c r="C2264">
        <v>3262</v>
      </c>
      <c r="D2264">
        <v>13002561</v>
      </c>
      <c r="E2264">
        <v>13</v>
      </c>
      <c r="F2264">
        <v>22589</v>
      </c>
      <c r="G2264" t="s">
        <v>23</v>
      </c>
      <c r="H2264">
        <v>15</v>
      </c>
      <c r="I2264">
        <v>52239</v>
      </c>
      <c r="J2264" t="s">
        <v>113</v>
      </c>
      <c r="K2264" t="s">
        <v>38</v>
      </c>
      <c r="L2264" t="s">
        <v>26</v>
      </c>
      <c r="M2264">
        <v>3</v>
      </c>
      <c r="N2264">
        <v>101.95</v>
      </c>
      <c r="O2264">
        <v>135.85</v>
      </c>
      <c r="P2264">
        <v>6.79</v>
      </c>
      <c r="Q2264">
        <v>6.79</v>
      </c>
      <c r="R2264" t="s">
        <v>30</v>
      </c>
      <c r="S2264">
        <v>29</v>
      </c>
      <c r="T2264">
        <v>1</v>
      </c>
      <c r="U2264">
        <v>1</v>
      </c>
      <c r="V2264">
        <v>129.06</v>
      </c>
      <c r="W2264">
        <v>13130002262</v>
      </c>
    </row>
    <row r="2265" spans="1:23" x14ac:dyDescent="0.2">
      <c r="A2265" s="1">
        <v>44795</v>
      </c>
      <c r="B2265" s="2">
        <v>0.91596064814814815</v>
      </c>
      <c r="C2265">
        <v>3263</v>
      </c>
      <c r="D2265">
        <v>13002561</v>
      </c>
      <c r="E2265">
        <v>13</v>
      </c>
      <c r="F2265">
        <v>22589</v>
      </c>
      <c r="G2265" t="s">
        <v>23</v>
      </c>
      <c r="H2265">
        <v>18</v>
      </c>
      <c r="I2265">
        <v>90925</v>
      </c>
      <c r="J2265" t="s">
        <v>114</v>
      </c>
      <c r="K2265" t="s">
        <v>25</v>
      </c>
      <c r="L2265" t="s">
        <v>36</v>
      </c>
      <c r="M2265">
        <v>1</v>
      </c>
      <c r="N2265">
        <v>152.66</v>
      </c>
      <c r="O2265">
        <v>198.97</v>
      </c>
      <c r="P2265">
        <v>9.9499999999999993</v>
      </c>
      <c r="Q2265">
        <v>9.9499999999999993</v>
      </c>
      <c r="R2265" t="s">
        <v>30</v>
      </c>
      <c r="S2265">
        <v>29</v>
      </c>
      <c r="T2265">
        <v>1</v>
      </c>
      <c r="U2265">
        <v>6</v>
      </c>
      <c r="V2265">
        <v>189.02</v>
      </c>
      <c r="W2265">
        <v>13130002263</v>
      </c>
    </row>
    <row r="2266" spans="1:23" x14ac:dyDescent="0.2">
      <c r="A2266" s="1">
        <v>44787</v>
      </c>
      <c r="B2266" s="2">
        <v>0.94664351851851847</v>
      </c>
      <c r="C2266">
        <v>3264</v>
      </c>
      <c r="D2266">
        <v>13002561</v>
      </c>
      <c r="E2266">
        <v>13</v>
      </c>
      <c r="F2266">
        <v>22589</v>
      </c>
      <c r="G2266" t="s">
        <v>23</v>
      </c>
      <c r="H2266">
        <v>15</v>
      </c>
      <c r="I2266">
        <v>46585</v>
      </c>
      <c r="J2266" t="s">
        <v>52</v>
      </c>
      <c r="K2266" t="s">
        <v>60</v>
      </c>
      <c r="L2266" t="s">
        <v>39</v>
      </c>
      <c r="M2266">
        <v>1</v>
      </c>
      <c r="N2266">
        <v>250.72</v>
      </c>
      <c r="O2266">
        <v>399.22</v>
      </c>
      <c r="P2266">
        <v>19.96</v>
      </c>
      <c r="Q2266">
        <v>19.96</v>
      </c>
      <c r="R2266" t="s">
        <v>30</v>
      </c>
      <c r="S2266">
        <v>29</v>
      </c>
      <c r="T2266">
        <v>1</v>
      </c>
      <c r="U2266">
        <v>1</v>
      </c>
      <c r="V2266">
        <v>379.26</v>
      </c>
      <c r="W2266">
        <v>13130002264</v>
      </c>
    </row>
    <row r="2267" spans="1:23" x14ac:dyDescent="0.2">
      <c r="A2267" s="1">
        <v>44784</v>
      </c>
      <c r="B2267" s="2">
        <v>0.66530092592592593</v>
      </c>
      <c r="C2267">
        <v>3265</v>
      </c>
      <c r="D2267">
        <v>13002561</v>
      </c>
      <c r="E2267">
        <v>13</v>
      </c>
      <c r="F2267">
        <v>22589</v>
      </c>
      <c r="G2267" t="s">
        <v>23</v>
      </c>
      <c r="H2267">
        <v>15</v>
      </c>
      <c r="I2267">
        <v>23377</v>
      </c>
      <c r="J2267" t="s">
        <v>92</v>
      </c>
      <c r="K2267" t="s">
        <v>25</v>
      </c>
      <c r="L2267" t="s">
        <v>26</v>
      </c>
      <c r="M2267">
        <v>3</v>
      </c>
      <c r="N2267">
        <v>12.49</v>
      </c>
      <c r="O2267">
        <v>18.05</v>
      </c>
      <c r="P2267">
        <v>0.9</v>
      </c>
      <c r="Q2267">
        <v>0.9</v>
      </c>
      <c r="R2267" t="s">
        <v>30</v>
      </c>
      <c r="S2267">
        <v>29</v>
      </c>
      <c r="T2267">
        <v>1</v>
      </c>
      <c r="U2267">
        <v>1</v>
      </c>
      <c r="V2267">
        <v>17.149999999999999</v>
      </c>
      <c r="W2267">
        <v>13130002265</v>
      </c>
    </row>
    <row r="2268" spans="1:23" x14ac:dyDescent="0.2">
      <c r="A2268" s="1">
        <v>44785</v>
      </c>
      <c r="B2268" s="2">
        <v>0.74710648148148151</v>
      </c>
      <c r="C2268">
        <v>3266</v>
      </c>
      <c r="D2268">
        <v>13002561</v>
      </c>
      <c r="E2268">
        <v>13</v>
      </c>
      <c r="F2268">
        <v>22589</v>
      </c>
      <c r="G2268" t="s">
        <v>23</v>
      </c>
      <c r="H2268">
        <v>18</v>
      </c>
      <c r="I2268">
        <v>79399</v>
      </c>
      <c r="J2268" t="s">
        <v>113</v>
      </c>
      <c r="K2268" t="s">
        <v>60</v>
      </c>
      <c r="L2268" t="s">
        <v>26</v>
      </c>
      <c r="M2268">
        <v>3</v>
      </c>
      <c r="N2268">
        <v>286.89</v>
      </c>
      <c r="O2268">
        <v>441</v>
      </c>
      <c r="P2268">
        <v>22.05</v>
      </c>
      <c r="Q2268">
        <v>22.05</v>
      </c>
      <c r="R2268" t="s">
        <v>30</v>
      </c>
      <c r="S2268">
        <v>29</v>
      </c>
      <c r="T2268">
        <v>1</v>
      </c>
      <c r="U2268">
        <v>1</v>
      </c>
      <c r="V2268">
        <v>418.95</v>
      </c>
      <c r="W2268">
        <v>13130002266</v>
      </c>
    </row>
    <row r="2269" spans="1:23" x14ac:dyDescent="0.2">
      <c r="A2269" s="1">
        <v>44786</v>
      </c>
      <c r="B2269" s="2">
        <v>0.82548611111111114</v>
      </c>
      <c r="C2269">
        <v>3267</v>
      </c>
      <c r="D2269">
        <v>13002561</v>
      </c>
      <c r="E2269">
        <v>13</v>
      </c>
      <c r="F2269">
        <v>22589</v>
      </c>
      <c r="G2269" t="s">
        <v>23</v>
      </c>
      <c r="H2269">
        <v>18</v>
      </c>
      <c r="I2269">
        <v>67526</v>
      </c>
      <c r="J2269" t="s">
        <v>90</v>
      </c>
      <c r="K2269" t="s">
        <v>25</v>
      </c>
      <c r="L2269" t="s">
        <v>39</v>
      </c>
      <c r="M2269">
        <v>2</v>
      </c>
      <c r="N2269">
        <v>304.79000000000002</v>
      </c>
      <c r="O2269">
        <v>473.79</v>
      </c>
      <c r="P2269">
        <v>23.69</v>
      </c>
      <c r="Q2269">
        <v>23.69</v>
      </c>
      <c r="R2269" t="s">
        <v>30</v>
      </c>
      <c r="S2269">
        <v>29</v>
      </c>
      <c r="T2269">
        <v>1</v>
      </c>
      <c r="U2269">
        <v>4</v>
      </c>
      <c r="V2269">
        <v>450.1</v>
      </c>
      <c r="W2269">
        <v>13130002267</v>
      </c>
    </row>
    <row r="2270" spans="1:23" x14ac:dyDescent="0.2">
      <c r="A2270" s="1">
        <v>44799</v>
      </c>
      <c r="B2270" s="2">
        <v>0.33585648148148151</v>
      </c>
      <c r="C2270">
        <v>3268</v>
      </c>
      <c r="D2270">
        <v>13002561</v>
      </c>
      <c r="E2270">
        <v>13</v>
      </c>
      <c r="F2270">
        <v>22589</v>
      </c>
      <c r="G2270" t="s">
        <v>23</v>
      </c>
      <c r="H2270">
        <v>18</v>
      </c>
      <c r="I2270">
        <v>41670</v>
      </c>
      <c r="J2270" t="s">
        <v>48</v>
      </c>
      <c r="K2270" t="s">
        <v>38</v>
      </c>
      <c r="L2270" t="s">
        <v>47</v>
      </c>
      <c r="M2270">
        <v>3</v>
      </c>
      <c r="N2270">
        <v>154.12</v>
      </c>
      <c r="O2270">
        <v>204.12</v>
      </c>
      <c r="P2270">
        <v>10.210000000000001</v>
      </c>
      <c r="Q2270">
        <v>10.210000000000001</v>
      </c>
      <c r="R2270" t="s">
        <v>30</v>
      </c>
      <c r="S2270">
        <v>29</v>
      </c>
      <c r="T2270">
        <v>1</v>
      </c>
      <c r="U2270">
        <v>5</v>
      </c>
      <c r="V2270">
        <v>193.91</v>
      </c>
      <c r="W2270">
        <v>13130002268</v>
      </c>
    </row>
    <row r="2271" spans="1:23" x14ac:dyDescent="0.2">
      <c r="A2271" s="1">
        <v>44775</v>
      </c>
      <c r="B2271" s="2">
        <v>0.54230324074074077</v>
      </c>
      <c r="C2271">
        <v>3269</v>
      </c>
      <c r="D2271">
        <v>13002561</v>
      </c>
      <c r="E2271">
        <v>13</v>
      </c>
      <c r="F2271">
        <v>22589</v>
      </c>
      <c r="G2271" t="s">
        <v>23</v>
      </c>
      <c r="H2271">
        <v>15</v>
      </c>
      <c r="I2271">
        <v>31854</v>
      </c>
      <c r="J2271" t="s">
        <v>64</v>
      </c>
      <c r="K2271" t="s">
        <v>28</v>
      </c>
      <c r="L2271" t="s">
        <v>51</v>
      </c>
      <c r="M2271">
        <v>1</v>
      </c>
      <c r="N2271">
        <v>466.67</v>
      </c>
      <c r="O2271">
        <v>619.39</v>
      </c>
      <c r="P2271">
        <v>61.94</v>
      </c>
      <c r="Q2271">
        <v>61.94</v>
      </c>
      <c r="R2271" t="s">
        <v>30</v>
      </c>
      <c r="S2271">
        <v>29</v>
      </c>
      <c r="T2271">
        <v>1</v>
      </c>
      <c r="U2271">
        <v>4</v>
      </c>
      <c r="V2271">
        <v>557.45000000000005</v>
      </c>
      <c r="W2271">
        <v>13130002269</v>
      </c>
    </row>
    <row r="2272" spans="1:23" x14ac:dyDescent="0.2">
      <c r="A2272" s="1">
        <v>44785</v>
      </c>
      <c r="B2272" s="2">
        <v>0.79365740740740742</v>
      </c>
      <c r="C2272">
        <v>3270</v>
      </c>
      <c r="D2272">
        <v>13002561</v>
      </c>
      <c r="E2272">
        <v>13</v>
      </c>
      <c r="F2272">
        <v>22589</v>
      </c>
      <c r="G2272" t="s">
        <v>23</v>
      </c>
      <c r="H2272">
        <v>15</v>
      </c>
      <c r="I2272">
        <v>67917</v>
      </c>
      <c r="J2272" t="s">
        <v>41</v>
      </c>
      <c r="K2272" t="s">
        <v>28</v>
      </c>
      <c r="L2272" t="s">
        <v>26</v>
      </c>
      <c r="M2272">
        <v>3</v>
      </c>
      <c r="N2272">
        <v>584.96</v>
      </c>
      <c r="O2272">
        <v>735.94</v>
      </c>
      <c r="P2272">
        <v>73.59</v>
      </c>
      <c r="Q2272">
        <v>73.59</v>
      </c>
      <c r="R2272" t="s">
        <v>30</v>
      </c>
      <c r="S2272">
        <v>29</v>
      </c>
      <c r="T2272">
        <v>1</v>
      </c>
      <c r="U2272">
        <v>1</v>
      </c>
      <c r="V2272">
        <v>662.35</v>
      </c>
      <c r="W2272">
        <v>13130002270</v>
      </c>
    </row>
    <row r="2273" spans="1:23" x14ac:dyDescent="0.2">
      <c r="A2273" s="1">
        <v>44803</v>
      </c>
      <c r="B2273" s="2">
        <v>0.48104166666666659</v>
      </c>
      <c r="C2273">
        <v>3271</v>
      </c>
      <c r="D2273">
        <v>13002561</v>
      </c>
      <c r="E2273">
        <v>13</v>
      </c>
      <c r="F2273">
        <v>22589</v>
      </c>
      <c r="G2273" t="s">
        <v>23</v>
      </c>
      <c r="H2273">
        <v>15</v>
      </c>
      <c r="I2273">
        <v>14173</v>
      </c>
      <c r="J2273" t="s">
        <v>100</v>
      </c>
      <c r="K2273" t="s">
        <v>25</v>
      </c>
      <c r="L2273" t="s">
        <v>36</v>
      </c>
      <c r="M2273">
        <v>3</v>
      </c>
      <c r="N2273">
        <v>110.44</v>
      </c>
      <c r="O2273">
        <v>173.44</v>
      </c>
      <c r="P2273">
        <v>0</v>
      </c>
      <c r="Q2273">
        <v>0</v>
      </c>
      <c r="S2273">
        <v>29</v>
      </c>
      <c r="T2273">
        <v>1</v>
      </c>
      <c r="U2273">
        <v>4</v>
      </c>
      <c r="V2273">
        <v>173.44</v>
      </c>
      <c r="W2273">
        <v>13130002271</v>
      </c>
    </row>
    <row r="2274" spans="1:23" x14ac:dyDescent="0.2">
      <c r="A2274" s="1">
        <v>44799</v>
      </c>
      <c r="B2274" s="2">
        <v>0.4607175925925926</v>
      </c>
      <c r="C2274">
        <v>3272</v>
      </c>
      <c r="D2274">
        <v>13002561</v>
      </c>
      <c r="E2274">
        <v>13</v>
      </c>
      <c r="F2274">
        <v>22589</v>
      </c>
      <c r="G2274" t="s">
        <v>23</v>
      </c>
      <c r="H2274">
        <v>18</v>
      </c>
      <c r="I2274">
        <v>48215</v>
      </c>
      <c r="J2274" t="s">
        <v>68</v>
      </c>
      <c r="K2274" t="s">
        <v>60</v>
      </c>
      <c r="L2274" t="s">
        <v>29</v>
      </c>
      <c r="M2274">
        <v>2</v>
      </c>
      <c r="N2274">
        <v>396.3</v>
      </c>
      <c r="O2274">
        <v>649.02</v>
      </c>
      <c r="P2274">
        <v>32.450000000000003</v>
      </c>
      <c r="Q2274">
        <v>32.450000000000003</v>
      </c>
      <c r="R2274" t="s">
        <v>30</v>
      </c>
      <c r="S2274">
        <v>29</v>
      </c>
      <c r="T2274">
        <v>1</v>
      </c>
      <c r="U2274">
        <v>1</v>
      </c>
      <c r="V2274">
        <v>616.57000000000005</v>
      </c>
      <c r="W2274">
        <v>13130002272</v>
      </c>
    </row>
    <row r="2275" spans="1:23" x14ac:dyDescent="0.2">
      <c r="A2275" s="1">
        <v>44797</v>
      </c>
      <c r="B2275" s="2">
        <v>0.54461805555555554</v>
      </c>
      <c r="C2275">
        <v>3273</v>
      </c>
      <c r="D2275">
        <v>13002561</v>
      </c>
      <c r="E2275">
        <v>13</v>
      </c>
      <c r="F2275">
        <v>22589</v>
      </c>
      <c r="G2275" t="s">
        <v>23</v>
      </c>
      <c r="H2275">
        <v>15</v>
      </c>
      <c r="I2275">
        <v>53842</v>
      </c>
      <c r="J2275" t="s">
        <v>94</v>
      </c>
      <c r="K2275" t="s">
        <v>44</v>
      </c>
      <c r="L2275" t="s">
        <v>32</v>
      </c>
      <c r="M2275">
        <v>3</v>
      </c>
      <c r="N2275">
        <v>436.02</v>
      </c>
      <c r="O2275">
        <v>557.65</v>
      </c>
      <c r="P2275">
        <v>0</v>
      </c>
      <c r="Q2275">
        <v>0</v>
      </c>
      <c r="S2275">
        <v>29</v>
      </c>
      <c r="T2275">
        <v>1</v>
      </c>
      <c r="U2275">
        <v>4</v>
      </c>
      <c r="V2275">
        <v>557.65</v>
      </c>
      <c r="W2275">
        <v>13130002273</v>
      </c>
    </row>
    <row r="2276" spans="1:23" x14ac:dyDescent="0.2">
      <c r="A2276" s="1">
        <v>44792</v>
      </c>
      <c r="B2276" s="2">
        <v>0.70524305555555555</v>
      </c>
      <c r="C2276">
        <v>3274</v>
      </c>
      <c r="D2276">
        <v>13002561</v>
      </c>
      <c r="E2276">
        <v>13</v>
      </c>
      <c r="F2276">
        <v>22589</v>
      </c>
      <c r="G2276" t="s">
        <v>23</v>
      </c>
      <c r="H2276">
        <v>18</v>
      </c>
      <c r="I2276">
        <v>49994</v>
      </c>
      <c r="J2276" t="s">
        <v>101</v>
      </c>
      <c r="K2276" t="s">
        <v>25</v>
      </c>
      <c r="L2276" t="s">
        <v>26</v>
      </c>
      <c r="M2276">
        <v>2</v>
      </c>
      <c r="N2276">
        <v>464.45</v>
      </c>
      <c r="O2276">
        <v>699.58</v>
      </c>
      <c r="P2276">
        <v>69.959999999999994</v>
      </c>
      <c r="Q2276">
        <v>69.959999999999994</v>
      </c>
      <c r="R2276" t="s">
        <v>30</v>
      </c>
      <c r="S2276">
        <v>29</v>
      </c>
      <c r="T2276">
        <v>1</v>
      </c>
      <c r="U2276">
        <v>4</v>
      </c>
      <c r="V2276">
        <v>629.62</v>
      </c>
      <c r="W2276">
        <v>13130002274</v>
      </c>
    </row>
    <row r="2277" spans="1:23" x14ac:dyDescent="0.2">
      <c r="A2277" s="1">
        <v>44796</v>
      </c>
      <c r="B2277" s="2">
        <v>0.37777777777777782</v>
      </c>
      <c r="C2277">
        <v>3275</v>
      </c>
      <c r="D2277">
        <v>13002561</v>
      </c>
      <c r="E2277">
        <v>13</v>
      </c>
      <c r="F2277">
        <v>22589</v>
      </c>
      <c r="G2277" t="s">
        <v>23</v>
      </c>
      <c r="H2277">
        <v>15</v>
      </c>
      <c r="I2277">
        <v>56427</v>
      </c>
      <c r="J2277" t="s">
        <v>84</v>
      </c>
      <c r="K2277" t="s">
        <v>45</v>
      </c>
      <c r="L2277" t="s">
        <v>36</v>
      </c>
      <c r="M2277">
        <v>2</v>
      </c>
      <c r="N2277">
        <v>461.08</v>
      </c>
      <c r="O2277">
        <v>589.75</v>
      </c>
      <c r="P2277">
        <v>29.49</v>
      </c>
      <c r="Q2277">
        <v>29.49</v>
      </c>
      <c r="R2277" t="s">
        <v>30</v>
      </c>
      <c r="S2277">
        <v>29</v>
      </c>
      <c r="T2277">
        <v>1</v>
      </c>
      <c r="U2277">
        <v>4</v>
      </c>
      <c r="V2277">
        <v>560.26</v>
      </c>
      <c r="W2277">
        <v>13130002275</v>
      </c>
    </row>
    <row r="2278" spans="1:23" x14ac:dyDescent="0.2">
      <c r="A2278" s="1">
        <v>44787</v>
      </c>
      <c r="B2278" s="2">
        <v>0.82187500000000002</v>
      </c>
      <c r="C2278">
        <v>3276</v>
      </c>
      <c r="D2278">
        <v>13002561</v>
      </c>
      <c r="E2278">
        <v>13</v>
      </c>
      <c r="F2278">
        <v>22589</v>
      </c>
      <c r="G2278" t="s">
        <v>23</v>
      </c>
      <c r="H2278">
        <v>15</v>
      </c>
      <c r="I2278">
        <v>51758</v>
      </c>
      <c r="J2278" t="s">
        <v>104</v>
      </c>
      <c r="K2278" t="s">
        <v>28</v>
      </c>
      <c r="L2278" t="s">
        <v>51</v>
      </c>
      <c r="M2278">
        <v>3</v>
      </c>
      <c r="N2278">
        <v>63.48</v>
      </c>
      <c r="O2278">
        <v>95.69</v>
      </c>
      <c r="P2278">
        <v>4.78</v>
      </c>
      <c r="Q2278">
        <v>4.78</v>
      </c>
      <c r="R2278" t="s">
        <v>30</v>
      </c>
      <c r="S2278">
        <v>29</v>
      </c>
      <c r="T2278">
        <v>1</v>
      </c>
      <c r="U2278">
        <v>4</v>
      </c>
      <c r="V2278">
        <v>90.91</v>
      </c>
      <c r="W2278">
        <v>13130002276</v>
      </c>
    </row>
    <row r="2279" spans="1:23" x14ac:dyDescent="0.2">
      <c r="A2279" s="1">
        <v>44803</v>
      </c>
      <c r="B2279" s="2">
        <v>0.64006944444444447</v>
      </c>
      <c r="C2279">
        <v>3277</v>
      </c>
      <c r="D2279">
        <v>13002561</v>
      </c>
      <c r="E2279">
        <v>13</v>
      </c>
      <c r="F2279">
        <v>22589</v>
      </c>
      <c r="G2279" t="s">
        <v>23</v>
      </c>
      <c r="H2279">
        <v>18</v>
      </c>
      <c r="I2279">
        <v>84349</v>
      </c>
      <c r="J2279" t="s">
        <v>67</v>
      </c>
      <c r="K2279" t="s">
        <v>38</v>
      </c>
      <c r="L2279" t="s">
        <v>34</v>
      </c>
      <c r="M2279">
        <v>2</v>
      </c>
      <c r="N2279">
        <v>342.05</v>
      </c>
      <c r="O2279">
        <v>434.44</v>
      </c>
      <c r="P2279">
        <v>21.72</v>
      </c>
      <c r="Q2279">
        <v>21.72</v>
      </c>
      <c r="R2279" t="s">
        <v>30</v>
      </c>
      <c r="S2279">
        <v>29</v>
      </c>
      <c r="T2279">
        <v>1</v>
      </c>
      <c r="U2279">
        <v>4</v>
      </c>
      <c r="V2279">
        <v>412.72</v>
      </c>
      <c r="W2279">
        <v>13130002277</v>
      </c>
    </row>
    <row r="2280" spans="1:23" x14ac:dyDescent="0.2">
      <c r="A2280" s="1">
        <v>44797</v>
      </c>
      <c r="B2280" s="2">
        <v>0.49965277777777778</v>
      </c>
      <c r="C2280">
        <v>3278</v>
      </c>
      <c r="D2280">
        <v>13002561</v>
      </c>
      <c r="E2280">
        <v>13</v>
      </c>
      <c r="F2280">
        <v>22589</v>
      </c>
      <c r="G2280" t="s">
        <v>23</v>
      </c>
      <c r="H2280">
        <v>15</v>
      </c>
      <c r="I2280">
        <v>44122</v>
      </c>
      <c r="J2280" t="s">
        <v>62</v>
      </c>
      <c r="K2280" t="s">
        <v>45</v>
      </c>
      <c r="L2280" t="s">
        <v>51</v>
      </c>
      <c r="M2280">
        <v>2</v>
      </c>
      <c r="N2280">
        <v>579</v>
      </c>
      <c r="O2280">
        <v>848.42</v>
      </c>
      <c r="P2280">
        <v>42.42</v>
      </c>
      <c r="Q2280">
        <v>42.42</v>
      </c>
      <c r="R2280" t="s">
        <v>30</v>
      </c>
      <c r="S2280">
        <v>29</v>
      </c>
      <c r="T2280">
        <v>1</v>
      </c>
      <c r="U2280">
        <v>1</v>
      </c>
      <c r="V2280">
        <v>806</v>
      </c>
      <c r="W2280">
        <v>13130002278</v>
      </c>
    </row>
    <row r="2281" spans="1:23" x14ac:dyDescent="0.2">
      <c r="A2281" s="1">
        <v>44789</v>
      </c>
      <c r="B2281" s="2">
        <v>0.88609953703703703</v>
      </c>
      <c r="C2281">
        <v>3279</v>
      </c>
      <c r="D2281">
        <v>13002561</v>
      </c>
      <c r="E2281">
        <v>13</v>
      </c>
      <c r="F2281">
        <v>22589</v>
      </c>
      <c r="G2281" t="s">
        <v>23</v>
      </c>
      <c r="H2281">
        <v>15</v>
      </c>
      <c r="I2281">
        <v>21049</v>
      </c>
      <c r="J2281" t="s">
        <v>112</v>
      </c>
      <c r="K2281" t="s">
        <v>45</v>
      </c>
      <c r="L2281" t="s">
        <v>47</v>
      </c>
      <c r="M2281">
        <v>2</v>
      </c>
      <c r="N2281">
        <v>275.95999999999998</v>
      </c>
      <c r="O2281">
        <v>346.77</v>
      </c>
      <c r="P2281">
        <v>34.68</v>
      </c>
      <c r="Q2281">
        <v>34.68</v>
      </c>
      <c r="R2281" t="s">
        <v>30</v>
      </c>
      <c r="S2281">
        <v>29</v>
      </c>
      <c r="T2281">
        <v>1</v>
      </c>
      <c r="U2281">
        <v>5</v>
      </c>
      <c r="V2281">
        <v>312.08999999999997</v>
      </c>
      <c r="W2281">
        <v>13130002279</v>
      </c>
    </row>
    <row r="2282" spans="1:23" x14ac:dyDescent="0.2">
      <c r="A2282" s="1">
        <v>44780</v>
      </c>
      <c r="B2282" s="2">
        <v>0.64982638888888888</v>
      </c>
      <c r="C2282">
        <v>3280</v>
      </c>
      <c r="D2282">
        <v>13002561</v>
      </c>
      <c r="E2282">
        <v>13</v>
      </c>
      <c r="F2282">
        <v>22589</v>
      </c>
      <c r="G2282" t="s">
        <v>23</v>
      </c>
      <c r="H2282">
        <v>18</v>
      </c>
      <c r="I2282">
        <v>52149</v>
      </c>
      <c r="J2282" t="s">
        <v>123</v>
      </c>
      <c r="K2282" t="s">
        <v>44</v>
      </c>
      <c r="L2282" t="s">
        <v>26</v>
      </c>
      <c r="M2282">
        <v>3</v>
      </c>
      <c r="N2282">
        <v>189.7</v>
      </c>
      <c r="O2282">
        <v>322.26</v>
      </c>
      <c r="P2282">
        <v>0</v>
      </c>
      <c r="Q2282">
        <v>0</v>
      </c>
      <c r="S2282">
        <v>29</v>
      </c>
      <c r="T2282">
        <v>1</v>
      </c>
      <c r="U2282">
        <v>1</v>
      </c>
      <c r="V2282">
        <v>322.26</v>
      </c>
      <c r="W2282">
        <v>13130002280</v>
      </c>
    </row>
    <row r="2283" spans="1:23" x14ac:dyDescent="0.2">
      <c r="A2283" s="1">
        <v>44794</v>
      </c>
      <c r="B2283" s="2">
        <v>0.3518634259259259</v>
      </c>
      <c r="C2283">
        <v>3281</v>
      </c>
      <c r="D2283">
        <v>13002561</v>
      </c>
      <c r="E2283">
        <v>13</v>
      </c>
      <c r="F2283">
        <v>22589</v>
      </c>
      <c r="G2283" t="s">
        <v>23</v>
      </c>
      <c r="H2283">
        <v>15</v>
      </c>
      <c r="I2283">
        <v>25990</v>
      </c>
      <c r="J2283" t="s">
        <v>117</v>
      </c>
      <c r="K2283" t="s">
        <v>45</v>
      </c>
      <c r="L2283" t="s">
        <v>39</v>
      </c>
      <c r="M2283">
        <v>2</v>
      </c>
      <c r="N2283">
        <v>473.13</v>
      </c>
      <c r="O2283">
        <v>706.01</v>
      </c>
      <c r="P2283">
        <v>35.299999999999997</v>
      </c>
      <c r="Q2283">
        <v>35.299999999999997</v>
      </c>
      <c r="R2283" t="s">
        <v>30</v>
      </c>
      <c r="S2283">
        <v>29</v>
      </c>
      <c r="T2283">
        <v>1</v>
      </c>
      <c r="U2283">
        <v>1</v>
      </c>
      <c r="V2283">
        <v>670.71</v>
      </c>
      <c r="W2283">
        <v>13130002281</v>
      </c>
    </row>
    <row r="2284" spans="1:23" x14ac:dyDescent="0.2">
      <c r="A2284" s="1">
        <v>44776</v>
      </c>
      <c r="B2284" s="2">
        <v>0.88704861111111111</v>
      </c>
      <c r="C2284">
        <v>3282</v>
      </c>
      <c r="D2284">
        <v>13002561</v>
      </c>
      <c r="E2284">
        <v>13</v>
      </c>
      <c r="F2284">
        <v>22589</v>
      </c>
      <c r="G2284" t="s">
        <v>23</v>
      </c>
      <c r="H2284">
        <v>18</v>
      </c>
      <c r="I2284">
        <v>95905</v>
      </c>
      <c r="J2284" t="s">
        <v>117</v>
      </c>
      <c r="K2284" t="s">
        <v>60</v>
      </c>
      <c r="L2284" t="s">
        <v>29</v>
      </c>
      <c r="M2284">
        <v>2</v>
      </c>
      <c r="N2284">
        <v>468.29</v>
      </c>
      <c r="O2284">
        <v>616.46</v>
      </c>
      <c r="P2284">
        <v>61.65</v>
      </c>
      <c r="Q2284">
        <v>61.65</v>
      </c>
      <c r="R2284" t="s">
        <v>30</v>
      </c>
      <c r="S2284">
        <v>29</v>
      </c>
      <c r="T2284">
        <v>1</v>
      </c>
      <c r="U2284">
        <v>2</v>
      </c>
      <c r="V2284">
        <v>554.80999999999995</v>
      </c>
      <c r="W2284">
        <v>13130002282</v>
      </c>
    </row>
    <row r="2285" spans="1:23" x14ac:dyDescent="0.2">
      <c r="A2285" s="1">
        <v>44776</v>
      </c>
      <c r="B2285" s="2">
        <v>0.80125000000000002</v>
      </c>
      <c r="C2285">
        <v>3283</v>
      </c>
      <c r="D2285">
        <v>13002561</v>
      </c>
      <c r="E2285">
        <v>13</v>
      </c>
      <c r="F2285">
        <v>22589</v>
      </c>
      <c r="G2285" t="s">
        <v>23</v>
      </c>
      <c r="H2285">
        <v>15</v>
      </c>
      <c r="I2285">
        <v>70068</v>
      </c>
      <c r="J2285" t="s">
        <v>80</v>
      </c>
      <c r="K2285" t="s">
        <v>44</v>
      </c>
      <c r="L2285" t="s">
        <v>26</v>
      </c>
      <c r="M2285">
        <v>2</v>
      </c>
      <c r="N2285">
        <v>64.83</v>
      </c>
      <c r="O2285">
        <v>106.96</v>
      </c>
      <c r="P2285">
        <v>5.35</v>
      </c>
      <c r="Q2285">
        <v>5.35</v>
      </c>
      <c r="R2285" t="s">
        <v>30</v>
      </c>
      <c r="S2285">
        <v>29</v>
      </c>
      <c r="T2285">
        <v>1</v>
      </c>
      <c r="U2285">
        <v>6</v>
      </c>
      <c r="V2285">
        <v>101.61</v>
      </c>
      <c r="W2285">
        <v>13130002283</v>
      </c>
    </row>
    <row r="2286" spans="1:23" x14ac:dyDescent="0.2">
      <c r="A2286" s="1">
        <v>44775</v>
      </c>
      <c r="B2286" s="2">
        <v>0.69693287037037033</v>
      </c>
      <c r="C2286">
        <v>3284</v>
      </c>
      <c r="D2286">
        <v>13002561</v>
      </c>
      <c r="E2286">
        <v>13</v>
      </c>
      <c r="F2286">
        <v>22589</v>
      </c>
      <c r="G2286" t="s">
        <v>23</v>
      </c>
      <c r="H2286">
        <v>15</v>
      </c>
      <c r="I2286">
        <v>35429</v>
      </c>
      <c r="J2286" t="s">
        <v>123</v>
      </c>
      <c r="K2286" t="s">
        <v>38</v>
      </c>
      <c r="L2286" t="s">
        <v>34</v>
      </c>
      <c r="M2286">
        <v>1</v>
      </c>
      <c r="N2286">
        <v>430.71</v>
      </c>
      <c r="O2286">
        <v>662.03</v>
      </c>
      <c r="P2286">
        <v>0</v>
      </c>
      <c r="Q2286">
        <v>0</v>
      </c>
      <c r="S2286">
        <v>29</v>
      </c>
      <c r="T2286">
        <v>1</v>
      </c>
      <c r="U2286">
        <v>4</v>
      </c>
      <c r="V2286">
        <v>662.03</v>
      </c>
      <c r="W2286">
        <v>13130002284</v>
      </c>
    </row>
    <row r="2287" spans="1:23" x14ac:dyDescent="0.2">
      <c r="A2287" s="1">
        <v>44791</v>
      </c>
      <c r="B2287" s="2">
        <v>0.44792824074074072</v>
      </c>
      <c r="C2287">
        <v>3285</v>
      </c>
      <c r="D2287">
        <v>13002561</v>
      </c>
      <c r="E2287">
        <v>13</v>
      </c>
      <c r="F2287">
        <v>22589</v>
      </c>
      <c r="G2287" t="s">
        <v>23</v>
      </c>
      <c r="H2287">
        <v>18</v>
      </c>
      <c r="I2287">
        <v>35341</v>
      </c>
      <c r="J2287" t="s">
        <v>104</v>
      </c>
      <c r="K2287" t="s">
        <v>44</v>
      </c>
      <c r="L2287" t="s">
        <v>51</v>
      </c>
      <c r="M2287">
        <v>1</v>
      </c>
      <c r="N2287">
        <v>102.59</v>
      </c>
      <c r="O2287">
        <v>145.71</v>
      </c>
      <c r="P2287">
        <v>0</v>
      </c>
      <c r="Q2287">
        <v>0</v>
      </c>
      <c r="S2287">
        <v>29</v>
      </c>
      <c r="T2287">
        <v>1</v>
      </c>
      <c r="U2287">
        <v>2</v>
      </c>
      <c r="V2287">
        <v>145.71</v>
      </c>
      <c r="W2287">
        <v>13130002285</v>
      </c>
    </row>
    <row r="2288" spans="1:23" x14ac:dyDescent="0.2">
      <c r="A2288" s="1">
        <v>44790</v>
      </c>
      <c r="B2288" s="2">
        <v>0.59114583333333337</v>
      </c>
      <c r="C2288">
        <v>3286</v>
      </c>
      <c r="D2288">
        <v>13002561</v>
      </c>
      <c r="E2288">
        <v>13</v>
      </c>
      <c r="F2288">
        <v>22589</v>
      </c>
      <c r="G2288" t="s">
        <v>23</v>
      </c>
      <c r="H2288">
        <v>15</v>
      </c>
      <c r="I2288">
        <v>98636</v>
      </c>
      <c r="J2288" t="s">
        <v>76</v>
      </c>
      <c r="K2288" t="s">
        <v>45</v>
      </c>
      <c r="L2288" t="s">
        <v>29</v>
      </c>
      <c r="M2288">
        <v>2</v>
      </c>
      <c r="N2288">
        <v>171.08</v>
      </c>
      <c r="O2288">
        <v>246.59</v>
      </c>
      <c r="P2288">
        <v>12.33</v>
      </c>
      <c r="Q2288">
        <v>12.33</v>
      </c>
      <c r="R2288" t="s">
        <v>30</v>
      </c>
      <c r="S2288">
        <v>29</v>
      </c>
      <c r="T2288">
        <v>1</v>
      </c>
      <c r="U2288">
        <v>5</v>
      </c>
      <c r="V2288">
        <v>234.26</v>
      </c>
      <c r="W2288">
        <v>13130002286</v>
      </c>
    </row>
    <row r="2289" spans="1:23" x14ac:dyDescent="0.2">
      <c r="A2289" s="1">
        <v>44801</v>
      </c>
      <c r="B2289" s="2">
        <v>0.87216435185185182</v>
      </c>
      <c r="C2289">
        <v>3287</v>
      </c>
      <c r="D2289">
        <v>13002561</v>
      </c>
      <c r="E2289">
        <v>13</v>
      </c>
      <c r="F2289">
        <v>22589</v>
      </c>
      <c r="G2289" t="s">
        <v>23</v>
      </c>
      <c r="H2289">
        <v>18</v>
      </c>
      <c r="I2289">
        <v>60951</v>
      </c>
      <c r="J2289" t="s">
        <v>98</v>
      </c>
      <c r="K2289" t="s">
        <v>28</v>
      </c>
      <c r="L2289" t="s">
        <v>47</v>
      </c>
      <c r="M2289">
        <v>2</v>
      </c>
      <c r="N2289">
        <v>355.18</v>
      </c>
      <c r="O2289">
        <v>455.76</v>
      </c>
      <c r="P2289">
        <v>22.79</v>
      </c>
      <c r="Q2289">
        <v>22.79</v>
      </c>
      <c r="R2289" t="s">
        <v>30</v>
      </c>
      <c r="S2289">
        <v>29</v>
      </c>
      <c r="T2289">
        <v>1</v>
      </c>
      <c r="U2289">
        <v>1</v>
      </c>
      <c r="V2289">
        <v>432.97</v>
      </c>
      <c r="W2289">
        <v>13130002287</v>
      </c>
    </row>
    <row r="2290" spans="1:23" x14ac:dyDescent="0.2">
      <c r="A2290" s="1">
        <v>44785</v>
      </c>
      <c r="B2290" s="2">
        <v>0.33559027777777778</v>
      </c>
      <c r="C2290">
        <v>3288</v>
      </c>
      <c r="D2290">
        <v>13002561</v>
      </c>
      <c r="E2290">
        <v>13</v>
      </c>
      <c r="F2290">
        <v>22589</v>
      </c>
      <c r="G2290" t="s">
        <v>23</v>
      </c>
      <c r="H2290">
        <v>18</v>
      </c>
      <c r="I2290">
        <v>46295</v>
      </c>
      <c r="J2290" t="s">
        <v>82</v>
      </c>
      <c r="K2290" t="s">
        <v>25</v>
      </c>
      <c r="L2290" t="s">
        <v>34</v>
      </c>
      <c r="M2290">
        <v>2</v>
      </c>
      <c r="N2290">
        <v>576.80999999999995</v>
      </c>
      <c r="O2290">
        <v>794.69</v>
      </c>
      <c r="P2290">
        <v>39.729999999999997</v>
      </c>
      <c r="Q2290">
        <v>39.729999999999997</v>
      </c>
      <c r="R2290" t="s">
        <v>30</v>
      </c>
      <c r="S2290">
        <v>29</v>
      </c>
      <c r="T2290">
        <v>1</v>
      </c>
      <c r="U2290">
        <v>3</v>
      </c>
      <c r="V2290">
        <v>754.96</v>
      </c>
      <c r="W2290">
        <v>13130002288</v>
      </c>
    </row>
    <row r="2291" spans="1:23" x14ac:dyDescent="0.2">
      <c r="A2291" s="1">
        <v>44802</v>
      </c>
      <c r="B2291" s="2">
        <v>0.42247685185185191</v>
      </c>
      <c r="C2291">
        <v>3289</v>
      </c>
      <c r="D2291">
        <v>13002561</v>
      </c>
      <c r="E2291">
        <v>13</v>
      </c>
      <c r="F2291">
        <v>22589</v>
      </c>
      <c r="G2291" t="s">
        <v>23</v>
      </c>
      <c r="H2291">
        <v>15</v>
      </c>
      <c r="I2291">
        <v>21398</v>
      </c>
      <c r="J2291" t="s">
        <v>79</v>
      </c>
      <c r="K2291" t="s">
        <v>28</v>
      </c>
      <c r="L2291" t="s">
        <v>32</v>
      </c>
      <c r="M2291">
        <v>2</v>
      </c>
      <c r="N2291">
        <v>153.27000000000001</v>
      </c>
      <c r="O2291">
        <v>223.39</v>
      </c>
      <c r="P2291">
        <v>0</v>
      </c>
      <c r="Q2291">
        <v>0</v>
      </c>
      <c r="S2291">
        <v>29</v>
      </c>
      <c r="T2291">
        <v>1</v>
      </c>
      <c r="U2291">
        <v>3</v>
      </c>
      <c r="V2291">
        <v>223.39</v>
      </c>
      <c r="W2291">
        <v>13130002289</v>
      </c>
    </row>
    <row r="2292" spans="1:23" x14ac:dyDescent="0.2">
      <c r="A2292" s="1">
        <v>44777</v>
      </c>
      <c r="B2292" s="2">
        <v>0.94461805555555556</v>
      </c>
      <c r="C2292">
        <v>3290</v>
      </c>
      <c r="D2292">
        <v>13002561</v>
      </c>
      <c r="E2292">
        <v>13</v>
      </c>
      <c r="F2292">
        <v>22589</v>
      </c>
      <c r="G2292" t="s">
        <v>23</v>
      </c>
      <c r="H2292">
        <v>18</v>
      </c>
      <c r="I2292">
        <v>24499</v>
      </c>
      <c r="J2292" t="s">
        <v>112</v>
      </c>
      <c r="K2292" t="s">
        <v>25</v>
      </c>
      <c r="L2292" t="s">
        <v>51</v>
      </c>
      <c r="M2292">
        <v>3</v>
      </c>
      <c r="N2292">
        <v>341.55</v>
      </c>
      <c r="O2292">
        <v>577.79</v>
      </c>
      <c r="P2292">
        <v>28.89</v>
      </c>
      <c r="Q2292">
        <v>28.89</v>
      </c>
      <c r="R2292" t="s">
        <v>30</v>
      </c>
      <c r="S2292">
        <v>29</v>
      </c>
      <c r="T2292">
        <v>1</v>
      </c>
      <c r="U2292">
        <v>4</v>
      </c>
      <c r="V2292">
        <v>548.9</v>
      </c>
      <c r="W2292">
        <v>13130002290</v>
      </c>
    </row>
    <row r="2293" spans="1:23" x14ac:dyDescent="0.2">
      <c r="A2293" s="1">
        <v>44794</v>
      </c>
      <c r="B2293" s="2">
        <v>0.42347222222222219</v>
      </c>
      <c r="C2293">
        <v>3291</v>
      </c>
      <c r="D2293">
        <v>13002561</v>
      </c>
      <c r="E2293">
        <v>13</v>
      </c>
      <c r="F2293">
        <v>22589</v>
      </c>
      <c r="G2293" t="s">
        <v>23</v>
      </c>
      <c r="H2293">
        <v>15</v>
      </c>
      <c r="I2293">
        <v>42142</v>
      </c>
      <c r="J2293" t="s">
        <v>107</v>
      </c>
      <c r="K2293" t="s">
        <v>45</v>
      </c>
      <c r="L2293" t="s">
        <v>34</v>
      </c>
      <c r="M2293">
        <v>1</v>
      </c>
      <c r="N2293">
        <v>272.12</v>
      </c>
      <c r="O2293">
        <v>380.5</v>
      </c>
      <c r="P2293">
        <v>19.03</v>
      </c>
      <c r="Q2293">
        <v>19.03</v>
      </c>
      <c r="R2293" t="s">
        <v>30</v>
      </c>
      <c r="S2293">
        <v>29</v>
      </c>
      <c r="T2293">
        <v>1</v>
      </c>
      <c r="U2293">
        <v>5</v>
      </c>
      <c r="V2293">
        <v>361.47</v>
      </c>
      <c r="W2293">
        <v>13130002291</v>
      </c>
    </row>
    <row r="2294" spans="1:23" x14ac:dyDescent="0.2">
      <c r="A2294" s="1">
        <v>44788</v>
      </c>
      <c r="B2294" s="2">
        <v>0.46357638888888891</v>
      </c>
      <c r="C2294">
        <v>3292</v>
      </c>
      <c r="D2294">
        <v>13002561</v>
      </c>
      <c r="E2294">
        <v>13</v>
      </c>
      <c r="F2294">
        <v>22589</v>
      </c>
      <c r="G2294" t="s">
        <v>23</v>
      </c>
      <c r="H2294">
        <v>15</v>
      </c>
      <c r="I2294">
        <v>63128</v>
      </c>
      <c r="J2294" t="s">
        <v>119</v>
      </c>
      <c r="K2294" t="s">
        <v>25</v>
      </c>
      <c r="L2294" t="s">
        <v>32</v>
      </c>
      <c r="M2294">
        <v>2</v>
      </c>
      <c r="N2294">
        <v>492.56</v>
      </c>
      <c r="O2294">
        <v>734.63</v>
      </c>
      <c r="P2294">
        <v>36.729999999999997</v>
      </c>
      <c r="Q2294">
        <v>36.729999999999997</v>
      </c>
      <c r="R2294" t="s">
        <v>30</v>
      </c>
      <c r="S2294">
        <v>29</v>
      </c>
      <c r="T2294">
        <v>1</v>
      </c>
      <c r="U2294">
        <v>4</v>
      </c>
      <c r="V2294">
        <v>697.9</v>
      </c>
      <c r="W2294">
        <v>13130002292</v>
      </c>
    </row>
    <row r="2295" spans="1:23" x14ac:dyDescent="0.2">
      <c r="A2295" s="1">
        <v>44782</v>
      </c>
      <c r="B2295" s="2">
        <v>0.84461805555555558</v>
      </c>
      <c r="C2295">
        <v>3293</v>
      </c>
      <c r="D2295">
        <v>13002561</v>
      </c>
      <c r="E2295">
        <v>13</v>
      </c>
      <c r="F2295">
        <v>22589</v>
      </c>
      <c r="G2295" t="s">
        <v>23</v>
      </c>
      <c r="H2295">
        <v>18</v>
      </c>
      <c r="I2295">
        <v>93594</v>
      </c>
      <c r="J2295" t="s">
        <v>128</v>
      </c>
      <c r="K2295" t="s">
        <v>25</v>
      </c>
      <c r="L2295" t="s">
        <v>47</v>
      </c>
      <c r="M2295">
        <v>3</v>
      </c>
      <c r="N2295">
        <v>227.31</v>
      </c>
      <c r="O2295">
        <v>349.11</v>
      </c>
      <c r="P2295">
        <v>0</v>
      </c>
      <c r="Q2295">
        <v>0</v>
      </c>
      <c r="S2295">
        <v>29</v>
      </c>
      <c r="T2295">
        <v>1</v>
      </c>
      <c r="U2295">
        <v>3</v>
      </c>
      <c r="V2295">
        <v>349.11</v>
      </c>
      <c r="W2295">
        <v>13130002293</v>
      </c>
    </row>
    <row r="2296" spans="1:23" x14ac:dyDescent="0.2">
      <c r="A2296" s="1">
        <v>44788</v>
      </c>
      <c r="B2296" s="2">
        <v>0.7356018518518519</v>
      </c>
      <c r="C2296">
        <v>3294</v>
      </c>
      <c r="D2296">
        <v>13002561</v>
      </c>
      <c r="E2296">
        <v>13</v>
      </c>
      <c r="F2296">
        <v>22589</v>
      </c>
      <c r="G2296" t="s">
        <v>23</v>
      </c>
      <c r="H2296">
        <v>18</v>
      </c>
      <c r="I2296">
        <v>44615</v>
      </c>
      <c r="J2296" t="s">
        <v>128</v>
      </c>
      <c r="K2296" t="s">
        <v>38</v>
      </c>
      <c r="L2296" t="s">
        <v>32</v>
      </c>
      <c r="M2296">
        <v>3</v>
      </c>
      <c r="N2296">
        <v>184.77</v>
      </c>
      <c r="O2296">
        <v>254.33</v>
      </c>
      <c r="P2296">
        <v>0</v>
      </c>
      <c r="Q2296">
        <v>0</v>
      </c>
      <c r="S2296">
        <v>29</v>
      </c>
      <c r="T2296">
        <v>1</v>
      </c>
      <c r="U2296">
        <v>6</v>
      </c>
      <c r="V2296">
        <v>254.33</v>
      </c>
      <c r="W2296">
        <v>13130002294</v>
      </c>
    </row>
    <row r="2297" spans="1:23" x14ac:dyDescent="0.2">
      <c r="A2297" s="1">
        <v>44781</v>
      </c>
      <c r="B2297" s="2">
        <v>0.697662037037037</v>
      </c>
      <c r="C2297">
        <v>3295</v>
      </c>
      <c r="D2297">
        <v>13002561</v>
      </c>
      <c r="E2297">
        <v>13</v>
      </c>
      <c r="F2297">
        <v>22589</v>
      </c>
      <c r="G2297" t="s">
        <v>23</v>
      </c>
      <c r="H2297">
        <v>15</v>
      </c>
      <c r="I2297">
        <v>82519</v>
      </c>
      <c r="J2297" t="s">
        <v>120</v>
      </c>
      <c r="K2297" t="s">
        <v>44</v>
      </c>
      <c r="L2297" t="s">
        <v>51</v>
      </c>
      <c r="M2297">
        <v>2</v>
      </c>
      <c r="N2297">
        <v>221.71</v>
      </c>
      <c r="O2297">
        <v>372.91</v>
      </c>
      <c r="P2297">
        <v>37.29</v>
      </c>
      <c r="Q2297">
        <v>37.29</v>
      </c>
      <c r="R2297" t="s">
        <v>30</v>
      </c>
      <c r="S2297">
        <v>29</v>
      </c>
      <c r="T2297">
        <v>1</v>
      </c>
      <c r="U2297">
        <v>2</v>
      </c>
      <c r="V2297">
        <v>335.62</v>
      </c>
      <c r="W2297">
        <v>13130002295</v>
      </c>
    </row>
    <row r="2298" spans="1:23" x14ac:dyDescent="0.2">
      <c r="A2298" s="1">
        <v>44790</v>
      </c>
      <c r="B2298" s="2">
        <v>0.41799768518518521</v>
      </c>
      <c r="C2298">
        <v>3296</v>
      </c>
      <c r="D2298">
        <v>13002561</v>
      </c>
      <c r="E2298">
        <v>13</v>
      </c>
      <c r="F2298">
        <v>22589</v>
      </c>
      <c r="G2298" t="s">
        <v>23</v>
      </c>
      <c r="H2298">
        <v>18</v>
      </c>
      <c r="I2298">
        <v>19372</v>
      </c>
      <c r="J2298" t="s">
        <v>64</v>
      </c>
      <c r="K2298" t="s">
        <v>38</v>
      </c>
      <c r="L2298" t="s">
        <v>32</v>
      </c>
      <c r="M2298">
        <v>2</v>
      </c>
      <c r="N2298">
        <v>35.47</v>
      </c>
      <c r="O2298">
        <v>54.47</v>
      </c>
      <c r="P2298">
        <v>0</v>
      </c>
      <c r="Q2298">
        <v>0</v>
      </c>
      <c r="S2298">
        <v>29</v>
      </c>
      <c r="T2298">
        <v>1</v>
      </c>
      <c r="U2298">
        <v>5</v>
      </c>
      <c r="V2298">
        <v>54.47</v>
      </c>
      <c r="W2298">
        <v>13130002296</v>
      </c>
    </row>
    <row r="2299" spans="1:23" x14ac:dyDescent="0.2">
      <c r="A2299" s="1">
        <v>44781</v>
      </c>
      <c r="B2299" s="2">
        <v>0.90812499999999996</v>
      </c>
      <c r="C2299">
        <v>3297</v>
      </c>
      <c r="D2299">
        <v>13002561</v>
      </c>
      <c r="E2299">
        <v>13</v>
      </c>
      <c r="F2299">
        <v>22589</v>
      </c>
      <c r="G2299" t="s">
        <v>23</v>
      </c>
      <c r="H2299">
        <v>15</v>
      </c>
      <c r="I2299">
        <v>93651</v>
      </c>
      <c r="J2299" t="s">
        <v>108</v>
      </c>
      <c r="K2299" t="s">
        <v>25</v>
      </c>
      <c r="L2299" t="s">
        <v>29</v>
      </c>
      <c r="M2299">
        <v>3</v>
      </c>
      <c r="N2299">
        <v>227.07</v>
      </c>
      <c r="O2299">
        <v>347.47</v>
      </c>
      <c r="P2299">
        <v>0</v>
      </c>
      <c r="Q2299">
        <v>0</v>
      </c>
      <c r="S2299">
        <v>29</v>
      </c>
      <c r="T2299">
        <v>1</v>
      </c>
      <c r="U2299">
        <v>3</v>
      </c>
      <c r="V2299">
        <v>347.47</v>
      </c>
      <c r="W2299">
        <v>13130002297</v>
      </c>
    </row>
    <row r="2300" spans="1:23" x14ac:dyDescent="0.2">
      <c r="A2300" s="1">
        <v>44794</v>
      </c>
      <c r="B2300" s="2">
        <v>0.66357638888888892</v>
      </c>
      <c r="C2300">
        <v>3298</v>
      </c>
      <c r="D2300">
        <v>13002561</v>
      </c>
      <c r="E2300">
        <v>13</v>
      </c>
      <c r="F2300">
        <v>22589</v>
      </c>
      <c r="G2300" t="s">
        <v>23</v>
      </c>
      <c r="H2300">
        <v>15</v>
      </c>
      <c r="I2300">
        <v>76209</v>
      </c>
      <c r="J2300" t="s">
        <v>124</v>
      </c>
      <c r="K2300" t="s">
        <v>25</v>
      </c>
      <c r="L2300" t="s">
        <v>47</v>
      </c>
      <c r="M2300">
        <v>2</v>
      </c>
      <c r="N2300">
        <v>585.84</v>
      </c>
      <c r="O2300">
        <v>809.89</v>
      </c>
      <c r="P2300">
        <v>40.49</v>
      </c>
      <c r="Q2300">
        <v>40.49</v>
      </c>
      <c r="R2300" t="s">
        <v>30</v>
      </c>
      <c r="S2300">
        <v>29</v>
      </c>
      <c r="T2300">
        <v>1</v>
      </c>
      <c r="U2300">
        <v>3</v>
      </c>
      <c r="V2300">
        <v>769.4</v>
      </c>
      <c r="W2300">
        <v>13130002298</v>
      </c>
    </row>
    <row r="2301" spans="1:23" x14ac:dyDescent="0.2">
      <c r="A2301" s="1">
        <v>44789</v>
      </c>
      <c r="B2301" s="2">
        <v>0.73355324074074069</v>
      </c>
      <c r="C2301">
        <v>3299</v>
      </c>
      <c r="D2301">
        <v>13002561</v>
      </c>
      <c r="E2301">
        <v>13</v>
      </c>
      <c r="F2301">
        <v>22589</v>
      </c>
      <c r="G2301" t="s">
        <v>23</v>
      </c>
      <c r="H2301">
        <v>18</v>
      </c>
      <c r="I2301">
        <v>58389</v>
      </c>
      <c r="J2301" t="s">
        <v>83</v>
      </c>
      <c r="K2301" t="s">
        <v>60</v>
      </c>
      <c r="L2301" t="s">
        <v>26</v>
      </c>
      <c r="M2301">
        <v>1</v>
      </c>
      <c r="N2301">
        <v>172.35</v>
      </c>
      <c r="O2301">
        <v>289.77</v>
      </c>
      <c r="P2301">
        <v>14.49</v>
      </c>
      <c r="Q2301">
        <v>14.49</v>
      </c>
      <c r="R2301" t="s">
        <v>30</v>
      </c>
      <c r="S2301">
        <v>29</v>
      </c>
      <c r="T2301">
        <v>1</v>
      </c>
      <c r="U2301">
        <v>1</v>
      </c>
      <c r="V2301">
        <v>275.27999999999997</v>
      </c>
      <c r="W2301">
        <v>13130002299</v>
      </c>
    </row>
    <row r="2302" spans="1:23" x14ac:dyDescent="0.2">
      <c r="A2302" s="1">
        <v>44789</v>
      </c>
      <c r="B2302" s="2">
        <v>0.8822106481481482</v>
      </c>
      <c r="C2302">
        <v>3300</v>
      </c>
      <c r="D2302">
        <v>13002561</v>
      </c>
      <c r="E2302">
        <v>13</v>
      </c>
      <c r="F2302">
        <v>22589</v>
      </c>
      <c r="G2302" t="s">
        <v>23</v>
      </c>
      <c r="H2302">
        <v>15</v>
      </c>
      <c r="I2302">
        <v>50697</v>
      </c>
      <c r="J2302" t="s">
        <v>31</v>
      </c>
      <c r="K2302" t="s">
        <v>45</v>
      </c>
      <c r="L2302" t="s">
        <v>39</v>
      </c>
      <c r="M2302">
        <v>2</v>
      </c>
      <c r="N2302">
        <v>391.32</v>
      </c>
      <c r="O2302">
        <v>561.01</v>
      </c>
      <c r="P2302">
        <v>28.05</v>
      </c>
      <c r="Q2302">
        <v>28.05</v>
      </c>
      <c r="R2302" t="s">
        <v>30</v>
      </c>
      <c r="S2302">
        <v>29</v>
      </c>
      <c r="T2302">
        <v>1</v>
      </c>
      <c r="U2302">
        <v>5</v>
      </c>
      <c r="V2302">
        <v>532.96</v>
      </c>
      <c r="W2302">
        <v>13130002300</v>
      </c>
    </row>
    <row r="2303" spans="1:23" x14ac:dyDescent="0.2">
      <c r="A2303" s="1">
        <v>44799</v>
      </c>
      <c r="B2303" s="2">
        <v>0.56362268518518521</v>
      </c>
      <c r="C2303">
        <v>3301</v>
      </c>
      <c r="D2303">
        <v>13002561</v>
      </c>
      <c r="E2303">
        <v>13</v>
      </c>
      <c r="F2303">
        <v>22589</v>
      </c>
      <c r="G2303" t="s">
        <v>23</v>
      </c>
      <c r="H2303">
        <v>15</v>
      </c>
      <c r="I2303">
        <v>55834</v>
      </c>
      <c r="J2303" t="s">
        <v>127</v>
      </c>
      <c r="K2303" t="s">
        <v>44</v>
      </c>
      <c r="L2303" t="s">
        <v>26</v>
      </c>
      <c r="M2303">
        <v>2</v>
      </c>
      <c r="N2303">
        <v>487.16</v>
      </c>
      <c r="O2303">
        <v>781.26</v>
      </c>
      <c r="P2303">
        <v>39.06</v>
      </c>
      <c r="Q2303">
        <v>39.06</v>
      </c>
      <c r="R2303" t="s">
        <v>30</v>
      </c>
      <c r="S2303">
        <v>29</v>
      </c>
      <c r="T2303">
        <v>1</v>
      </c>
      <c r="U2303">
        <v>4</v>
      </c>
      <c r="V2303">
        <v>742.2</v>
      </c>
      <c r="W2303">
        <v>13130002301</v>
      </c>
    </row>
    <row r="2304" spans="1:23" x14ac:dyDescent="0.2">
      <c r="A2304" s="1">
        <v>44775</v>
      </c>
      <c r="B2304" s="2">
        <v>0.63438657407407406</v>
      </c>
      <c r="C2304">
        <v>3302</v>
      </c>
      <c r="D2304">
        <v>13002561</v>
      </c>
      <c r="E2304">
        <v>13</v>
      </c>
      <c r="F2304">
        <v>22589</v>
      </c>
      <c r="G2304" t="s">
        <v>23</v>
      </c>
      <c r="H2304">
        <v>18</v>
      </c>
      <c r="I2304">
        <v>45081</v>
      </c>
      <c r="J2304" t="s">
        <v>52</v>
      </c>
      <c r="K2304" t="s">
        <v>45</v>
      </c>
      <c r="L2304" t="s">
        <v>51</v>
      </c>
      <c r="M2304">
        <v>1</v>
      </c>
      <c r="N2304">
        <v>574.07000000000005</v>
      </c>
      <c r="O2304">
        <v>958.61</v>
      </c>
      <c r="P2304">
        <v>95.86</v>
      </c>
      <c r="Q2304">
        <v>95.86</v>
      </c>
      <c r="R2304" t="s">
        <v>30</v>
      </c>
      <c r="S2304">
        <v>29</v>
      </c>
      <c r="T2304">
        <v>1</v>
      </c>
      <c r="U2304">
        <v>3</v>
      </c>
      <c r="V2304">
        <v>862.75</v>
      </c>
      <c r="W2304">
        <v>13130002302</v>
      </c>
    </row>
    <row r="2305" spans="1:23" x14ac:dyDescent="0.2">
      <c r="A2305" s="1">
        <v>44795</v>
      </c>
      <c r="B2305" s="2">
        <v>0.77609953703703705</v>
      </c>
      <c r="C2305">
        <v>3303</v>
      </c>
      <c r="D2305">
        <v>13002561</v>
      </c>
      <c r="E2305">
        <v>13</v>
      </c>
      <c r="F2305">
        <v>22589</v>
      </c>
      <c r="G2305" t="s">
        <v>23</v>
      </c>
      <c r="H2305">
        <v>15</v>
      </c>
      <c r="I2305">
        <v>75911</v>
      </c>
      <c r="J2305" t="s">
        <v>83</v>
      </c>
      <c r="K2305" t="s">
        <v>28</v>
      </c>
      <c r="L2305" t="s">
        <v>51</v>
      </c>
      <c r="M2305">
        <v>3</v>
      </c>
      <c r="N2305">
        <v>296.77999999999997</v>
      </c>
      <c r="O2305">
        <v>465.41</v>
      </c>
      <c r="P2305">
        <v>46.54</v>
      </c>
      <c r="Q2305">
        <v>46.54</v>
      </c>
      <c r="R2305" t="s">
        <v>30</v>
      </c>
      <c r="S2305">
        <v>29</v>
      </c>
      <c r="T2305">
        <v>1</v>
      </c>
      <c r="U2305">
        <v>1</v>
      </c>
      <c r="V2305">
        <v>418.87</v>
      </c>
      <c r="W2305">
        <v>13130002303</v>
      </c>
    </row>
    <row r="2306" spans="1:23" x14ac:dyDescent="0.2">
      <c r="A2306" s="1">
        <v>44792</v>
      </c>
      <c r="B2306" s="2">
        <v>0.39377314814814812</v>
      </c>
      <c r="C2306">
        <v>3304</v>
      </c>
      <c r="D2306">
        <v>13002561</v>
      </c>
      <c r="E2306">
        <v>13</v>
      </c>
      <c r="F2306">
        <v>22589</v>
      </c>
      <c r="G2306" t="s">
        <v>23</v>
      </c>
      <c r="H2306">
        <v>15</v>
      </c>
      <c r="I2306">
        <v>27493</v>
      </c>
      <c r="J2306" t="s">
        <v>119</v>
      </c>
      <c r="K2306" t="s">
        <v>45</v>
      </c>
      <c r="L2306" t="s">
        <v>36</v>
      </c>
      <c r="M2306">
        <v>2</v>
      </c>
      <c r="N2306">
        <v>173.96</v>
      </c>
      <c r="O2306">
        <v>287</v>
      </c>
      <c r="P2306">
        <v>28.7</v>
      </c>
      <c r="Q2306">
        <v>28.7</v>
      </c>
      <c r="R2306" t="s">
        <v>30</v>
      </c>
      <c r="S2306">
        <v>29</v>
      </c>
      <c r="T2306">
        <v>1</v>
      </c>
      <c r="U2306">
        <v>4</v>
      </c>
      <c r="V2306">
        <v>258.3</v>
      </c>
      <c r="W2306">
        <v>13130002304</v>
      </c>
    </row>
    <row r="2307" spans="1:23" x14ac:dyDescent="0.2">
      <c r="A2307" s="1">
        <v>44774</v>
      </c>
      <c r="B2307" s="2">
        <v>0.9238425925925926</v>
      </c>
      <c r="C2307">
        <v>3305</v>
      </c>
      <c r="D2307">
        <v>13002561</v>
      </c>
      <c r="E2307">
        <v>13</v>
      </c>
      <c r="F2307">
        <v>22589</v>
      </c>
      <c r="G2307" t="s">
        <v>23</v>
      </c>
      <c r="H2307">
        <v>18</v>
      </c>
      <c r="I2307">
        <v>74742</v>
      </c>
      <c r="J2307" t="s">
        <v>64</v>
      </c>
      <c r="K2307" t="s">
        <v>60</v>
      </c>
      <c r="L2307" t="s">
        <v>51</v>
      </c>
      <c r="M2307">
        <v>3</v>
      </c>
      <c r="N2307">
        <v>157.34</v>
      </c>
      <c r="O2307">
        <v>219.64</v>
      </c>
      <c r="P2307">
        <v>10.98</v>
      </c>
      <c r="Q2307">
        <v>10.98</v>
      </c>
      <c r="R2307" t="s">
        <v>30</v>
      </c>
      <c r="S2307">
        <v>29</v>
      </c>
      <c r="T2307">
        <v>1</v>
      </c>
      <c r="U2307">
        <v>1</v>
      </c>
      <c r="V2307">
        <v>208.66</v>
      </c>
      <c r="W2307">
        <v>13130002305</v>
      </c>
    </row>
    <row r="2308" spans="1:23" x14ac:dyDescent="0.2">
      <c r="A2308" s="1">
        <v>44776</v>
      </c>
      <c r="B2308" s="2">
        <v>0.46954861111111112</v>
      </c>
      <c r="C2308">
        <v>3306</v>
      </c>
      <c r="D2308">
        <v>13002561</v>
      </c>
      <c r="E2308">
        <v>13</v>
      </c>
      <c r="F2308">
        <v>22589</v>
      </c>
      <c r="G2308" t="s">
        <v>23</v>
      </c>
      <c r="H2308">
        <v>15</v>
      </c>
      <c r="I2308">
        <v>60452</v>
      </c>
      <c r="J2308" t="s">
        <v>117</v>
      </c>
      <c r="K2308" t="s">
        <v>60</v>
      </c>
      <c r="L2308" t="s">
        <v>47</v>
      </c>
      <c r="M2308">
        <v>3</v>
      </c>
      <c r="N2308">
        <v>465.58</v>
      </c>
      <c r="O2308">
        <v>612.01</v>
      </c>
      <c r="P2308">
        <v>61.2</v>
      </c>
      <c r="Q2308">
        <v>61.2</v>
      </c>
      <c r="R2308" t="s">
        <v>30</v>
      </c>
      <c r="S2308">
        <v>29</v>
      </c>
      <c r="T2308">
        <v>1</v>
      </c>
      <c r="U2308">
        <v>6</v>
      </c>
      <c r="V2308">
        <v>550.80999999999995</v>
      </c>
      <c r="W2308">
        <v>13130002306</v>
      </c>
    </row>
    <row r="2309" spans="1:23" x14ac:dyDescent="0.2">
      <c r="A2309" s="1">
        <v>44787</v>
      </c>
      <c r="B2309" s="2">
        <v>0.92612268518518515</v>
      </c>
      <c r="C2309">
        <v>3307</v>
      </c>
      <c r="D2309">
        <v>13002561</v>
      </c>
      <c r="E2309">
        <v>13</v>
      </c>
      <c r="F2309">
        <v>22589</v>
      </c>
      <c r="G2309" t="s">
        <v>23</v>
      </c>
      <c r="H2309">
        <v>15</v>
      </c>
      <c r="I2309">
        <v>61333</v>
      </c>
      <c r="J2309" t="s">
        <v>90</v>
      </c>
      <c r="K2309" t="s">
        <v>44</v>
      </c>
      <c r="L2309" t="s">
        <v>26</v>
      </c>
      <c r="M2309">
        <v>1</v>
      </c>
      <c r="N2309">
        <v>395.25</v>
      </c>
      <c r="O2309">
        <v>501.19</v>
      </c>
      <c r="P2309">
        <v>0</v>
      </c>
      <c r="Q2309">
        <v>0</v>
      </c>
      <c r="S2309">
        <v>29</v>
      </c>
      <c r="T2309">
        <v>1</v>
      </c>
      <c r="U2309">
        <v>5</v>
      </c>
      <c r="V2309">
        <v>501.19</v>
      </c>
      <c r="W2309">
        <v>13130002307</v>
      </c>
    </row>
    <row r="2310" spans="1:23" x14ac:dyDescent="0.2">
      <c r="A2310" s="1">
        <v>44790</v>
      </c>
      <c r="B2310" s="2">
        <v>0.67811342592592594</v>
      </c>
      <c r="C2310">
        <v>3308</v>
      </c>
      <c r="D2310">
        <v>13002561</v>
      </c>
      <c r="E2310">
        <v>13</v>
      </c>
      <c r="F2310">
        <v>22589</v>
      </c>
      <c r="G2310" t="s">
        <v>23</v>
      </c>
      <c r="H2310">
        <v>15</v>
      </c>
      <c r="I2310">
        <v>66120</v>
      </c>
      <c r="J2310" t="s">
        <v>33</v>
      </c>
      <c r="K2310" t="s">
        <v>60</v>
      </c>
      <c r="L2310" t="s">
        <v>32</v>
      </c>
      <c r="M2310">
        <v>2</v>
      </c>
      <c r="N2310">
        <v>234.26</v>
      </c>
      <c r="O2310">
        <v>367.67</v>
      </c>
      <c r="P2310">
        <v>36.770000000000003</v>
      </c>
      <c r="Q2310">
        <v>36.770000000000003</v>
      </c>
      <c r="R2310" t="s">
        <v>30</v>
      </c>
      <c r="S2310">
        <v>29</v>
      </c>
      <c r="T2310">
        <v>1</v>
      </c>
      <c r="U2310">
        <v>4</v>
      </c>
      <c r="V2310">
        <v>330.9</v>
      </c>
      <c r="W2310">
        <v>13130002308</v>
      </c>
    </row>
    <row r="2311" spans="1:23" x14ac:dyDescent="0.2">
      <c r="A2311" s="1">
        <v>44786</v>
      </c>
      <c r="B2311" s="2">
        <v>0.3500462962962963</v>
      </c>
      <c r="C2311">
        <v>3309</v>
      </c>
      <c r="D2311">
        <v>13002561</v>
      </c>
      <c r="E2311">
        <v>13</v>
      </c>
      <c r="F2311">
        <v>22589</v>
      </c>
      <c r="G2311" t="s">
        <v>23</v>
      </c>
      <c r="H2311">
        <v>18</v>
      </c>
      <c r="I2311">
        <v>53825</v>
      </c>
      <c r="J2311" t="s">
        <v>92</v>
      </c>
      <c r="K2311" t="s">
        <v>25</v>
      </c>
      <c r="L2311" t="s">
        <v>51</v>
      </c>
      <c r="M2311">
        <v>2</v>
      </c>
      <c r="N2311">
        <v>236.12</v>
      </c>
      <c r="O2311">
        <v>379.17</v>
      </c>
      <c r="P2311">
        <v>0</v>
      </c>
      <c r="Q2311">
        <v>0</v>
      </c>
      <c r="S2311">
        <v>29</v>
      </c>
      <c r="T2311">
        <v>1</v>
      </c>
      <c r="U2311">
        <v>3</v>
      </c>
      <c r="V2311">
        <v>379.17</v>
      </c>
      <c r="W2311">
        <v>13130002309</v>
      </c>
    </row>
    <row r="2312" spans="1:23" x14ac:dyDescent="0.2">
      <c r="A2312" s="1">
        <v>44794</v>
      </c>
      <c r="B2312" s="2">
        <v>0.80015046296296299</v>
      </c>
      <c r="C2312">
        <v>3310</v>
      </c>
      <c r="D2312">
        <v>13002561</v>
      </c>
      <c r="E2312">
        <v>13</v>
      </c>
      <c r="F2312">
        <v>22589</v>
      </c>
      <c r="G2312" t="s">
        <v>23</v>
      </c>
      <c r="H2312">
        <v>18</v>
      </c>
      <c r="I2312">
        <v>88973</v>
      </c>
      <c r="J2312" t="s">
        <v>31</v>
      </c>
      <c r="K2312" t="s">
        <v>25</v>
      </c>
      <c r="L2312" t="s">
        <v>47</v>
      </c>
      <c r="M2312">
        <v>3</v>
      </c>
      <c r="N2312">
        <v>143.56</v>
      </c>
      <c r="O2312">
        <v>227.7</v>
      </c>
      <c r="P2312">
        <v>22.77</v>
      </c>
      <c r="Q2312">
        <v>22.77</v>
      </c>
      <c r="R2312" t="s">
        <v>30</v>
      </c>
      <c r="S2312">
        <v>29</v>
      </c>
      <c r="T2312">
        <v>1</v>
      </c>
      <c r="U2312">
        <v>2</v>
      </c>
      <c r="V2312">
        <v>204.93</v>
      </c>
      <c r="W2312">
        <v>13130002310</v>
      </c>
    </row>
    <row r="2313" spans="1:23" x14ac:dyDescent="0.2">
      <c r="A2313" s="1">
        <v>44784</v>
      </c>
      <c r="B2313" s="2">
        <v>0.5465740740740741</v>
      </c>
      <c r="C2313">
        <v>3311</v>
      </c>
      <c r="D2313">
        <v>13002561</v>
      </c>
      <c r="E2313">
        <v>13</v>
      </c>
      <c r="F2313">
        <v>22589</v>
      </c>
      <c r="G2313" t="s">
        <v>23</v>
      </c>
      <c r="H2313">
        <v>18</v>
      </c>
      <c r="I2313">
        <v>39905</v>
      </c>
      <c r="J2313" t="s">
        <v>33</v>
      </c>
      <c r="K2313" t="s">
        <v>60</v>
      </c>
      <c r="L2313" t="s">
        <v>34</v>
      </c>
      <c r="M2313">
        <v>2</v>
      </c>
      <c r="N2313">
        <v>229.26</v>
      </c>
      <c r="O2313">
        <v>378.4</v>
      </c>
      <c r="P2313">
        <v>0</v>
      </c>
      <c r="Q2313">
        <v>0</v>
      </c>
      <c r="S2313">
        <v>29</v>
      </c>
      <c r="T2313">
        <v>1</v>
      </c>
      <c r="U2313">
        <v>3</v>
      </c>
      <c r="V2313">
        <v>378.4</v>
      </c>
      <c r="W2313">
        <v>13130002311</v>
      </c>
    </row>
    <row r="2314" spans="1:23" x14ac:dyDescent="0.2">
      <c r="A2314" s="1">
        <v>44780</v>
      </c>
      <c r="B2314" s="2">
        <v>0.76322916666666663</v>
      </c>
      <c r="C2314">
        <v>3312</v>
      </c>
      <c r="D2314">
        <v>13002561</v>
      </c>
      <c r="E2314">
        <v>13</v>
      </c>
      <c r="F2314">
        <v>22589</v>
      </c>
      <c r="G2314" t="s">
        <v>23</v>
      </c>
      <c r="H2314">
        <v>15</v>
      </c>
      <c r="I2314">
        <v>65285</v>
      </c>
      <c r="J2314" t="s">
        <v>97</v>
      </c>
      <c r="K2314" t="s">
        <v>60</v>
      </c>
      <c r="L2314" t="s">
        <v>29</v>
      </c>
      <c r="M2314">
        <v>3</v>
      </c>
      <c r="N2314">
        <v>176.92</v>
      </c>
      <c r="O2314">
        <v>238.95</v>
      </c>
      <c r="P2314">
        <v>23.89</v>
      </c>
      <c r="Q2314">
        <v>23.89</v>
      </c>
      <c r="R2314" t="s">
        <v>30</v>
      </c>
      <c r="S2314">
        <v>29</v>
      </c>
      <c r="T2314">
        <v>1</v>
      </c>
      <c r="U2314">
        <v>2</v>
      </c>
      <c r="V2314">
        <v>215.06</v>
      </c>
      <c r="W2314">
        <v>13130002312</v>
      </c>
    </row>
    <row r="2315" spans="1:23" x14ac:dyDescent="0.2">
      <c r="A2315" s="1">
        <v>44802</v>
      </c>
      <c r="B2315" s="2">
        <v>0.62837962962962968</v>
      </c>
      <c r="C2315">
        <v>3313</v>
      </c>
      <c r="D2315">
        <v>13002561</v>
      </c>
      <c r="E2315">
        <v>13</v>
      </c>
      <c r="F2315">
        <v>22589</v>
      </c>
      <c r="G2315" t="s">
        <v>23</v>
      </c>
      <c r="H2315">
        <v>15</v>
      </c>
      <c r="I2315">
        <v>35863</v>
      </c>
      <c r="J2315" t="s">
        <v>94</v>
      </c>
      <c r="K2315" t="s">
        <v>60</v>
      </c>
      <c r="L2315" t="s">
        <v>29</v>
      </c>
      <c r="M2315">
        <v>3</v>
      </c>
      <c r="N2315">
        <v>111.28</v>
      </c>
      <c r="O2315">
        <v>148.19</v>
      </c>
      <c r="P2315">
        <v>7.41</v>
      </c>
      <c r="Q2315">
        <v>7.41</v>
      </c>
      <c r="R2315" t="s">
        <v>30</v>
      </c>
      <c r="S2315">
        <v>29</v>
      </c>
      <c r="T2315">
        <v>1</v>
      </c>
      <c r="U2315">
        <v>4</v>
      </c>
      <c r="V2315">
        <v>140.78</v>
      </c>
      <c r="W2315">
        <v>13130002313</v>
      </c>
    </row>
    <row r="2316" spans="1:23" x14ac:dyDescent="0.2">
      <c r="A2316" s="1">
        <v>44793</v>
      </c>
      <c r="B2316" s="2">
        <v>0.76892361111111107</v>
      </c>
      <c r="C2316">
        <v>3314</v>
      </c>
      <c r="D2316">
        <v>13002561</v>
      </c>
      <c r="E2316">
        <v>13</v>
      </c>
      <c r="F2316">
        <v>22589</v>
      </c>
      <c r="G2316" t="s">
        <v>23</v>
      </c>
      <c r="H2316">
        <v>15</v>
      </c>
      <c r="I2316">
        <v>48752</v>
      </c>
      <c r="J2316" t="s">
        <v>123</v>
      </c>
      <c r="K2316" t="s">
        <v>25</v>
      </c>
      <c r="L2316" t="s">
        <v>32</v>
      </c>
      <c r="M2316">
        <v>3</v>
      </c>
      <c r="N2316">
        <v>561.63</v>
      </c>
      <c r="O2316">
        <v>895.77</v>
      </c>
      <c r="P2316">
        <v>89.58</v>
      </c>
      <c r="Q2316">
        <v>89.58</v>
      </c>
      <c r="R2316" t="s">
        <v>30</v>
      </c>
      <c r="S2316">
        <v>29</v>
      </c>
      <c r="T2316">
        <v>1</v>
      </c>
      <c r="U2316">
        <v>2</v>
      </c>
      <c r="V2316">
        <v>806.19</v>
      </c>
      <c r="W2316">
        <v>13130002314</v>
      </c>
    </row>
    <row r="2317" spans="1:23" x14ac:dyDescent="0.2">
      <c r="A2317" s="1">
        <v>44776</v>
      </c>
      <c r="B2317" s="2">
        <v>0.93329861111111112</v>
      </c>
      <c r="C2317">
        <v>3315</v>
      </c>
      <c r="D2317">
        <v>13002561</v>
      </c>
      <c r="E2317">
        <v>13</v>
      </c>
      <c r="F2317">
        <v>22589</v>
      </c>
      <c r="G2317" t="s">
        <v>23</v>
      </c>
      <c r="H2317">
        <v>18</v>
      </c>
      <c r="I2317">
        <v>41602</v>
      </c>
      <c r="J2317" t="s">
        <v>114</v>
      </c>
      <c r="K2317" t="s">
        <v>28</v>
      </c>
      <c r="L2317" t="s">
        <v>32</v>
      </c>
      <c r="M2317">
        <v>2</v>
      </c>
      <c r="N2317">
        <v>181.93</v>
      </c>
      <c r="O2317">
        <v>228.12</v>
      </c>
      <c r="P2317">
        <v>0</v>
      </c>
      <c r="Q2317">
        <v>0</v>
      </c>
      <c r="S2317">
        <v>29</v>
      </c>
      <c r="T2317">
        <v>1</v>
      </c>
      <c r="U2317">
        <v>5</v>
      </c>
      <c r="V2317">
        <v>228.12</v>
      </c>
      <c r="W2317">
        <v>13130002315</v>
      </c>
    </row>
    <row r="2318" spans="1:23" x14ac:dyDescent="0.2">
      <c r="A2318" s="1">
        <v>44776</v>
      </c>
      <c r="B2318" s="2">
        <v>0.41673611111111108</v>
      </c>
      <c r="C2318">
        <v>3316</v>
      </c>
      <c r="D2318">
        <v>13002561</v>
      </c>
      <c r="E2318">
        <v>13</v>
      </c>
      <c r="F2318">
        <v>22589</v>
      </c>
      <c r="G2318" t="s">
        <v>23</v>
      </c>
      <c r="H2318">
        <v>18</v>
      </c>
      <c r="I2318">
        <v>30199</v>
      </c>
      <c r="J2318" t="s">
        <v>67</v>
      </c>
      <c r="K2318" t="s">
        <v>25</v>
      </c>
      <c r="L2318" t="s">
        <v>36</v>
      </c>
      <c r="M2318">
        <v>3</v>
      </c>
      <c r="N2318">
        <v>420.19</v>
      </c>
      <c r="O2318">
        <v>613.79999999999995</v>
      </c>
      <c r="P2318">
        <v>0</v>
      </c>
      <c r="Q2318">
        <v>0</v>
      </c>
      <c r="S2318">
        <v>29</v>
      </c>
      <c r="T2318">
        <v>1</v>
      </c>
      <c r="U2318">
        <v>4</v>
      </c>
      <c r="V2318">
        <v>613.79999999999995</v>
      </c>
      <c r="W2318">
        <v>13130002316</v>
      </c>
    </row>
    <row r="2319" spans="1:23" x14ac:dyDescent="0.2">
      <c r="A2319" s="1">
        <v>44787</v>
      </c>
      <c r="B2319" s="2">
        <v>0.82517361111111109</v>
      </c>
      <c r="C2319">
        <v>3317</v>
      </c>
      <c r="D2319">
        <v>13002561</v>
      </c>
      <c r="E2319">
        <v>13</v>
      </c>
      <c r="F2319">
        <v>22589</v>
      </c>
      <c r="G2319" t="s">
        <v>23</v>
      </c>
      <c r="H2319">
        <v>15</v>
      </c>
      <c r="I2319">
        <v>18895</v>
      </c>
      <c r="J2319" t="s">
        <v>68</v>
      </c>
      <c r="K2319" t="s">
        <v>38</v>
      </c>
      <c r="L2319" t="s">
        <v>47</v>
      </c>
      <c r="M2319">
        <v>1</v>
      </c>
      <c r="N2319">
        <v>274.26</v>
      </c>
      <c r="O2319">
        <v>379.82</v>
      </c>
      <c r="P2319">
        <v>18.989999999999998</v>
      </c>
      <c r="Q2319">
        <v>18.989999999999998</v>
      </c>
      <c r="R2319" t="s">
        <v>30</v>
      </c>
      <c r="S2319">
        <v>29</v>
      </c>
      <c r="T2319">
        <v>1</v>
      </c>
      <c r="U2319">
        <v>4</v>
      </c>
      <c r="V2319">
        <v>360.83</v>
      </c>
      <c r="W2319">
        <v>13130002317</v>
      </c>
    </row>
    <row r="2320" spans="1:23" x14ac:dyDescent="0.2">
      <c r="A2320" s="1">
        <v>44802</v>
      </c>
      <c r="B2320" s="2">
        <v>0.41195601851851849</v>
      </c>
      <c r="C2320">
        <v>3318</v>
      </c>
      <c r="D2320">
        <v>13002561</v>
      </c>
      <c r="E2320">
        <v>13</v>
      </c>
      <c r="F2320">
        <v>22589</v>
      </c>
      <c r="G2320" t="s">
        <v>23</v>
      </c>
      <c r="H2320">
        <v>18</v>
      </c>
      <c r="I2320">
        <v>91567</v>
      </c>
      <c r="J2320" t="s">
        <v>88</v>
      </c>
      <c r="K2320" t="s">
        <v>28</v>
      </c>
      <c r="L2320" t="s">
        <v>29</v>
      </c>
      <c r="M2320">
        <v>3</v>
      </c>
      <c r="N2320">
        <v>217.41</v>
      </c>
      <c r="O2320">
        <v>272.83</v>
      </c>
      <c r="P2320">
        <v>13.64</v>
      </c>
      <c r="Q2320">
        <v>13.64</v>
      </c>
      <c r="R2320" t="s">
        <v>30</v>
      </c>
      <c r="S2320">
        <v>29</v>
      </c>
      <c r="T2320">
        <v>1</v>
      </c>
      <c r="U2320">
        <v>5</v>
      </c>
      <c r="V2320">
        <v>259.19</v>
      </c>
      <c r="W2320">
        <v>13130002318</v>
      </c>
    </row>
    <row r="2321" spans="1:23" x14ac:dyDescent="0.2">
      <c r="A2321" s="1">
        <v>44796</v>
      </c>
      <c r="B2321" s="2">
        <v>0.64017361111111115</v>
      </c>
      <c r="C2321">
        <v>3319</v>
      </c>
      <c r="D2321">
        <v>13002561</v>
      </c>
      <c r="E2321">
        <v>13</v>
      </c>
      <c r="F2321">
        <v>22589</v>
      </c>
      <c r="G2321" t="s">
        <v>23</v>
      </c>
      <c r="H2321">
        <v>15</v>
      </c>
      <c r="I2321">
        <v>62601</v>
      </c>
      <c r="J2321" t="s">
        <v>105</v>
      </c>
      <c r="K2321" t="s">
        <v>28</v>
      </c>
      <c r="L2321" t="s">
        <v>29</v>
      </c>
      <c r="M2321">
        <v>1</v>
      </c>
      <c r="N2321">
        <v>119.63</v>
      </c>
      <c r="O2321">
        <v>167.98</v>
      </c>
      <c r="P2321">
        <v>16.8</v>
      </c>
      <c r="Q2321">
        <v>16.8</v>
      </c>
      <c r="R2321" t="s">
        <v>30</v>
      </c>
      <c r="S2321">
        <v>29</v>
      </c>
      <c r="T2321">
        <v>1</v>
      </c>
      <c r="U2321">
        <v>6</v>
      </c>
      <c r="V2321">
        <v>151.18</v>
      </c>
      <c r="W2321">
        <v>13130002319</v>
      </c>
    </row>
    <row r="2322" spans="1:23" x14ac:dyDescent="0.2">
      <c r="A2322" s="1">
        <v>44789</v>
      </c>
      <c r="B2322" s="2">
        <v>0.56192129629629628</v>
      </c>
      <c r="C2322">
        <v>3320</v>
      </c>
      <c r="D2322">
        <v>13002561</v>
      </c>
      <c r="E2322">
        <v>13</v>
      </c>
      <c r="F2322">
        <v>22589</v>
      </c>
      <c r="G2322" t="s">
        <v>23</v>
      </c>
      <c r="H2322">
        <v>15</v>
      </c>
      <c r="I2322">
        <v>15619</v>
      </c>
      <c r="J2322" t="s">
        <v>43</v>
      </c>
      <c r="K2322" t="s">
        <v>28</v>
      </c>
      <c r="L2322" t="s">
        <v>39</v>
      </c>
      <c r="M2322">
        <v>2</v>
      </c>
      <c r="N2322">
        <v>180.71</v>
      </c>
      <c r="O2322">
        <v>239.93</v>
      </c>
      <c r="P2322">
        <v>0</v>
      </c>
      <c r="Q2322">
        <v>0</v>
      </c>
      <c r="S2322">
        <v>29</v>
      </c>
      <c r="T2322">
        <v>1</v>
      </c>
      <c r="U2322">
        <v>5</v>
      </c>
      <c r="V2322">
        <v>239.93</v>
      </c>
      <c r="W2322">
        <v>13130002320</v>
      </c>
    </row>
    <row r="2323" spans="1:23" x14ac:dyDescent="0.2">
      <c r="A2323" s="1">
        <v>44774</v>
      </c>
      <c r="B2323" s="2">
        <v>0.84232638888888889</v>
      </c>
      <c r="C2323">
        <v>3321</v>
      </c>
      <c r="D2323">
        <v>13002561</v>
      </c>
      <c r="E2323">
        <v>13</v>
      </c>
      <c r="F2323">
        <v>22589</v>
      </c>
      <c r="G2323" t="s">
        <v>23</v>
      </c>
      <c r="H2323">
        <v>18</v>
      </c>
      <c r="I2323">
        <v>66319</v>
      </c>
      <c r="J2323" t="s">
        <v>41</v>
      </c>
      <c r="K2323" t="s">
        <v>28</v>
      </c>
      <c r="L2323" t="s">
        <v>34</v>
      </c>
      <c r="M2323">
        <v>3</v>
      </c>
      <c r="N2323">
        <v>291.58999999999997</v>
      </c>
      <c r="O2323">
        <v>462.61</v>
      </c>
      <c r="P2323">
        <v>23.13</v>
      </c>
      <c r="Q2323">
        <v>23.13</v>
      </c>
      <c r="R2323" t="s">
        <v>30</v>
      </c>
      <c r="S2323">
        <v>29</v>
      </c>
      <c r="T2323">
        <v>1</v>
      </c>
      <c r="U2323">
        <v>5</v>
      </c>
      <c r="V2323">
        <v>439.48</v>
      </c>
      <c r="W2323">
        <v>13130002321</v>
      </c>
    </row>
    <row r="2324" spans="1:23" x14ac:dyDescent="0.2">
      <c r="A2324" s="1">
        <v>44778</v>
      </c>
      <c r="B2324" s="2">
        <v>0.91872685185185188</v>
      </c>
      <c r="C2324">
        <v>3322</v>
      </c>
      <c r="D2324">
        <v>13002561</v>
      </c>
      <c r="E2324">
        <v>13</v>
      </c>
      <c r="F2324">
        <v>22589</v>
      </c>
      <c r="G2324" t="s">
        <v>23</v>
      </c>
      <c r="H2324">
        <v>15</v>
      </c>
      <c r="I2324">
        <v>52056</v>
      </c>
      <c r="J2324" t="s">
        <v>121</v>
      </c>
      <c r="K2324" t="s">
        <v>45</v>
      </c>
      <c r="L2324" t="s">
        <v>29</v>
      </c>
      <c r="M2324">
        <v>1</v>
      </c>
      <c r="N2324">
        <v>54.14</v>
      </c>
      <c r="O2324">
        <v>91.25</v>
      </c>
      <c r="P2324">
        <v>4.5599999999999996</v>
      </c>
      <c r="Q2324">
        <v>4.5599999999999996</v>
      </c>
      <c r="R2324" t="s">
        <v>30</v>
      </c>
      <c r="S2324">
        <v>29</v>
      </c>
      <c r="T2324">
        <v>1</v>
      </c>
      <c r="U2324">
        <v>3</v>
      </c>
      <c r="V2324">
        <v>86.69</v>
      </c>
      <c r="W2324">
        <v>13130002322</v>
      </c>
    </row>
    <row r="2325" spans="1:23" x14ac:dyDescent="0.2">
      <c r="A2325" s="1">
        <v>44788</v>
      </c>
      <c r="B2325" s="2">
        <v>0.65734953703703702</v>
      </c>
      <c r="C2325">
        <v>3323</v>
      </c>
      <c r="D2325">
        <v>13002561</v>
      </c>
      <c r="E2325">
        <v>13</v>
      </c>
      <c r="F2325">
        <v>22589</v>
      </c>
      <c r="G2325" t="s">
        <v>23</v>
      </c>
      <c r="H2325">
        <v>18</v>
      </c>
      <c r="I2325">
        <v>22099</v>
      </c>
      <c r="J2325" t="s">
        <v>124</v>
      </c>
      <c r="K2325" t="s">
        <v>44</v>
      </c>
      <c r="L2325" t="s">
        <v>26</v>
      </c>
      <c r="M2325">
        <v>1</v>
      </c>
      <c r="N2325">
        <v>511.02</v>
      </c>
      <c r="O2325">
        <v>703.43</v>
      </c>
      <c r="P2325">
        <v>35.17</v>
      </c>
      <c r="Q2325">
        <v>35.17</v>
      </c>
      <c r="R2325" t="s">
        <v>30</v>
      </c>
      <c r="S2325">
        <v>29</v>
      </c>
      <c r="T2325">
        <v>1</v>
      </c>
      <c r="U2325">
        <v>6</v>
      </c>
      <c r="V2325">
        <v>668.26</v>
      </c>
      <c r="W2325">
        <v>13130002323</v>
      </c>
    </row>
    <row r="2326" spans="1:23" x14ac:dyDescent="0.2">
      <c r="A2326" s="1">
        <v>44803</v>
      </c>
      <c r="B2326" s="2">
        <v>0.50249999999999995</v>
      </c>
      <c r="C2326">
        <v>3324</v>
      </c>
      <c r="D2326">
        <v>13002561</v>
      </c>
      <c r="E2326">
        <v>13</v>
      </c>
      <c r="F2326">
        <v>22589</v>
      </c>
      <c r="G2326" t="s">
        <v>23</v>
      </c>
      <c r="H2326">
        <v>18</v>
      </c>
      <c r="I2326">
        <v>38503</v>
      </c>
      <c r="J2326" t="s">
        <v>27</v>
      </c>
      <c r="K2326" t="s">
        <v>28</v>
      </c>
      <c r="L2326" t="s">
        <v>47</v>
      </c>
      <c r="M2326">
        <v>3</v>
      </c>
      <c r="N2326">
        <v>550.26</v>
      </c>
      <c r="O2326">
        <v>899.95</v>
      </c>
      <c r="P2326">
        <v>0</v>
      </c>
      <c r="Q2326">
        <v>0</v>
      </c>
      <c r="S2326">
        <v>29</v>
      </c>
      <c r="T2326">
        <v>1</v>
      </c>
      <c r="U2326">
        <v>3</v>
      </c>
      <c r="V2326">
        <v>899.95</v>
      </c>
      <c r="W2326">
        <v>13130002324</v>
      </c>
    </row>
    <row r="2327" spans="1:23" x14ac:dyDescent="0.2">
      <c r="A2327" s="1">
        <v>44780</v>
      </c>
      <c r="B2327" s="2">
        <v>0.82451388888888888</v>
      </c>
      <c r="C2327">
        <v>3325</v>
      </c>
      <c r="D2327">
        <v>13002561</v>
      </c>
      <c r="E2327">
        <v>13</v>
      </c>
      <c r="F2327">
        <v>22589</v>
      </c>
      <c r="G2327" t="s">
        <v>23</v>
      </c>
      <c r="H2327">
        <v>15</v>
      </c>
      <c r="I2327">
        <v>86933</v>
      </c>
      <c r="J2327" t="s">
        <v>67</v>
      </c>
      <c r="K2327" t="s">
        <v>45</v>
      </c>
      <c r="L2327" t="s">
        <v>47</v>
      </c>
      <c r="M2327">
        <v>3</v>
      </c>
      <c r="N2327">
        <v>354.41</v>
      </c>
      <c r="O2327">
        <v>546.71</v>
      </c>
      <c r="P2327">
        <v>27.34</v>
      </c>
      <c r="Q2327">
        <v>27.34</v>
      </c>
      <c r="R2327" t="s">
        <v>30</v>
      </c>
      <c r="S2327">
        <v>29</v>
      </c>
      <c r="T2327">
        <v>1</v>
      </c>
      <c r="U2327">
        <v>5</v>
      </c>
      <c r="V2327">
        <v>519.37</v>
      </c>
      <c r="W2327">
        <v>13130002325</v>
      </c>
    </row>
    <row r="2328" spans="1:23" x14ac:dyDescent="0.2">
      <c r="A2328" s="1">
        <v>44804</v>
      </c>
      <c r="B2328" s="2">
        <v>0.79409722222222223</v>
      </c>
      <c r="C2328">
        <v>3326</v>
      </c>
      <c r="D2328">
        <v>13002561</v>
      </c>
      <c r="E2328">
        <v>13</v>
      </c>
      <c r="F2328">
        <v>22589</v>
      </c>
      <c r="G2328" t="s">
        <v>23</v>
      </c>
      <c r="H2328">
        <v>18</v>
      </c>
      <c r="I2328">
        <v>87628</v>
      </c>
      <c r="J2328" t="s">
        <v>97</v>
      </c>
      <c r="K2328" t="s">
        <v>25</v>
      </c>
      <c r="L2328" t="s">
        <v>51</v>
      </c>
      <c r="M2328">
        <v>1</v>
      </c>
      <c r="N2328">
        <v>522.59</v>
      </c>
      <c r="O2328">
        <v>749.14</v>
      </c>
      <c r="P2328">
        <v>0</v>
      </c>
      <c r="Q2328">
        <v>0</v>
      </c>
      <c r="S2328">
        <v>29</v>
      </c>
      <c r="T2328">
        <v>1</v>
      </c>
      <c r="U2328">
        <v>3</v>
      </c>
      <c r="V2328">
        <v>749.14</v>
      </c>
      <c r="W2328">
        <v>13130002326</v>
      </c>
    </row>
    <row r="2329" spans="1:23" x14ac:dyDescent="0.2">
      <c r="A2329" s="1">
        <v>44777</v>
      </c>
      <c r="B2329" s="2">
        <v>0.76219907407407406</v>
      </c>
      <c r="C2329">
        <v>3327</v>
      </c>
      <c r="D2329">
        <v>13002561</v>
      </c>
      <c r="E2329">
        <v>13</v>
      </c>
      <c r="F2329">
        <v>22589</v>
      </c>
      <c r="G2329" t="s">
        <v>23</v>
      </c>
      <c r="H2329">
        <v>15</v>
      </c>
      <c r="I2329">
        <v>88046</v>
      </c>
      <c r="J2329" t="s">
        <v>98</v>
      </c>
      <c r="K2329" t="s">
        <v>44</v>
      </c>
      <c r="L2329" t="s">
        <v>51</v>
      </c>
      <c r="M2329">
        <v>2</v>
      </c>
      <c r="N2329">
        <v>305.7</v>
      </c>
      <c r="O2329">
        <v>457.89</v>
      </c>
      <c r="P2329">
        <v>45.79</v>
      </c>
      <c r="Q2329">
        <v>45.79</v>
      </c>
      <c r="R2329" t="s">
        <v>30</v>
      </c>
      <c r="S2329">
        <v>29</v>
      </c>
      <c r="T2329">
        <v>1</v>
      </c>
      <c r="U2329">
        <v>1</v>
      </c>
      <c r="V2329">
        <v>412.1</v>
      </c>
      <c r="W2329">
        <v>13130002327</v>
      </c>
    </row>
    <row r="2330" spans="1:23" x14ac:dyDescent="0.2">
      <c r="A2330" s="1">
        <v>44789</v>
      </c>
      <c r="B2330" s="2">
        <v>0.85408564814814814</v>
      </c>
      <c r="C2330">
        <v>3328</v>
      </c>
      <c r="D2330">
        <v>13002561</v>
      </c>
      <c r="E2330">
        <v>13</v>
      </c>
      <c r="F2330">
        <v>22589</v>
      </c>
      <c r="G2330" t="s">
        <v>23</v>
      </c>
      <c r="H2330">
        <v>15</v>
      </c>
      <c r="I2330">
        <v>18311</v>
      </c>
      <c r="J2330" t="s">
        <v>95</v>
      </c>
      <c r="K2330" t="s">
        <v>45</v>
      </c>
      <c r="L2330" t="s">
        <v>36</v>
      </c>
      <c r="M2330">
        <v>3</v>
      </c>
      <c r="N2330">
        <v>241.89</v>
      </c>
      <c r="O2330">
        <v>352.22</v>
      </c>
      <c r="P2330">
        <v>0</v>
      </c>
      <c r="Q2330">
        <v>0</v>
      </c>
      <c r="S2330">
        <v>29</v>
      </c>
      <c r="T2330">
        <v>1</v>
      </c>
      <c r="U2330">
        <v>4</v>
      </c>
      <c r="V2330">
        <v>352.22</v>
      </c>
      <c r="W2330">
        <v>13130002328</v>
      </c>
    </row>
    <row r="2331" spans="1:23" x14ac:dyDescent="0.2">
      <c r="A2331" s="1">
        <v>44794</v>
      </c>
      <c r="B2331" s="2">
        <v>0.72914351851851855</v>
      </c>
      <c r="C2331">
        <v>3329</v>
      </c>
      <c r="D2331">
        <v>13002561</v>
      </c>
      <c r="E2331">
        <v>13</v>
      </c>
      <c r="F2331">
        <v>22589</v>
      </c>
      <c r="G2331" t="s">
        <v>23</v>
      </c>
      <c r="H2331">
        <v>15</v>
      </c>
      <c r="I2331">
        <v>84817</v>
      </c>
      <c r="J2331" t="s">
        <v>115</v>
      </c>
      <c r="K2331" t="s">
        <v>44</v>
      </c>
      <c r="L2331" t="s">
        <v>47</v>
      </c>
      <c r="M2331">
        <v>1</v>
      </c>
      <c r="N2331">
        <v>124.22</v>
      </c>
      <c r="O2331">
        <v>195.44</v>
      </c>
      <c r="P2331">
        <v>9.77</v>
      </c>
      <c r="Q2331">
        <v>9.77</v>
      </c>
      <c r="R2331" t="s">
        <v>30</v>
      </c>
      <c r="S2331">
        <v>29</v>
      </c>
      <c r="T2331">
        <v>1</v>
      </c>
      <c r="U2331">
        <v>2</v>
      </c>
      <c r="V2331">
        <v>185.67</v>
      </c>
      <c r="W2331">
        <v>13130002329</v>
      </c>
    </row>
    <row r="2332" spans="1:23" x14ac:dyDescent="0.2">
      <c r="A2332" s="1">
        <v>44795</v>
      </c>
      <c r="B2332" s="2">
        <v>0.7701041666666667</v>
      </c>
      <c r="C2332">
        <v>3330</v>
      </c>
      <c r="D2332">
        <v>13002561</v>
      </c>
      <c r="E2332">
        <v>13</v>
      </c>
      <c r="F2332">
        <v>22589</v>
      </c>
      <c r="G2332" t="s">
        <v>23</v>
      </c>
      <c r="H2332">
        <v>18</v>
      </c>
      <c r="I2332">
        <v>85409</v>
      </c>
      <c r="J2332" t="s">
        <v>68</v>
      </c>
      <c r="K2332" t="s">
        <v>38</v>
      </c>
      <c r="L2332" t="s">
        <v>47</v>
      </c>
      <c r="M2332">
        <v>3</v>
      </c>
      <c r="N2332">
        <v>542.92999999999995</v>
      </c>
      <c r="O2332">
        <v>868.63</v>
      </c>
      <c r="P2332">
        <v>43.43</v>
      </c>
      <c r="Q2332">
        <v>43.43</v>
      </c>
      <c r="R2332" t="s">
        <v>30</v>
      </c>
      <c r="S2332">
        <v>29</v>
      </c>
      <c r="T2332">
        <v>1</v>
      </c>
      <c r="U2332">
        <v>3</v>
      </c>
      <c r="V2332">
        <v>825.2</v>
      </c>
      <c r="W2332">
        <v>13130002330</v>
      </c>
    </row>
    <row r="2333" spans="1:23" x14ac:dyDescent="0.2">
      <c r="A2333" s="1">
        <v>44776</v>
      </c>
      <c r="B2333" s="2">
        <v>0.61131944444444442</v>
      </c>
      <c r="C2333">
        <v>3331</v>
      </c>
      <c r="D2333">
        <v>13002561</v>
      </c>
      <c r="E2333">
        <v>13</v>
      </c>
      <c r="F2333">
        <v>22589</v>
      </c>
      <c r="G2333" t="s">
        <v>23</v>
      </c>
      <c r="H2333">
        <v>15</v>
      </c>
      <c r="I2333">
        <v>73563</v>
      </c>
      <c r="J2333" t="s">
        <v>124</v>
      </c>
      <c r="K2333" t="s">
        <v>38</v>
      </c>
      <c r="L2333" t="s">
        <v>39</v>
      </c>
      <c r="M2333">
        <v>3</v>
      </c>
      <c r="N2333">
        <v>512.36</v>
      </c>
      <c r="O2333">
        <v>703.88</v>
      </c>
      <c r="P2333">
        <v>70.39</v>
      </c>
      <c r="Q2333">
        <v>70.39</v>
      </c>
      <c r="R2333" t="s">
        <v>30</v>
      </c>
      <c r="S2333">
        <v>29</v>
      </c>
      <c r="T2333">
        <v>1</v>
      </c>
      <c r="U2333">
        <v>2</v>
      </c>
      <c r="V2333">
        <v>633.49</v>
      </c>
      <c r="W2333">
        <v>13130002331</v>
      </c>
    </row>
    <row r="2334" spans="1:23" x14ac:dyDescent="0.2">
      <c r="A2334" s="1">
        <v>44792</v>
      </c>
      <c r="B2334" s="2">
        <v>0.88799768518518518</v>
      </c>
      <c r="C2334">
        <v>3332</v>
      </c>
      <c r="D2334">
        <v>13002561</v>
      </c>
      <c r="E2334">
        <v>13</v>
      </c>
      <c r="F2334">
        <v>22589</v>
      </c>
      <c r="G2334" t="s">
        <v>23</v>
      </c>
      <c r="H2334">
        <v>15</v>
      </c>
      <c r="I2334">
        <v>16116</v>
      </c>
      <c r="J2334" t="s">
        <v>84</v>
      </c>
      <c r="K2334" t="s">
        <v>25</v>
      </c>
      <c r="L2334" t="s">
        <v>36</v>
      </c>
      <c r="M2334">
        <v>3</v>
      </c>
      <c r="N2334">
        <v>148.34</v>
      </c>
      <c r="O2334">
        <v>194.16</v>
      </c>
      <c r="P2334">
        <v>19.420000000000002</v>
      </c>
      <c r="Q2334">
        <v>19.420000000000002</v>
      </c>
      <c r="R2334" t="s">
        <v>30</v>
      </c>
      <c r="S2334">
        <v>29</v>
      </c>
      <c r="T2334">
        <v>1</v>
      </c>
      <c r="U2334">
        <v>4</v>
      </c>
      <c r="V2334">
        <v>174.74</v>
      </c>
      <c r="W2334">
        <v>13130002332</v>
      </c>
    </row>
    <row r="2335" spans="1:23" x14ac:dyDescent="0.2">
      <c r="A2335" s="1">
        <v>44802</v>
      </c>
      <c r="B2335" s="2">
        <v>0.56567129629629631</v>
      </c>
      <c r="C2335">
        <v>3333</v>
      </c>
      <c r="D2335">
        <v>13002561</v>
      </c>
      <c r="E2335">
        <v>13</v>
      </c>
      <c r="F2335">
        <v>22589</v>
      </c>
      <c r="G2335" t="s">
        <v>23</v>
      </c>
      <c r="H2335">
        <v>18</v>
      </c>
      <c r="I2335">
        <v>76519</v>
      </c>
      <c r="J2335" t="s">
        <v>77</v>
      </c>
      <c r="K2335" t="s">
        <v>28</v>
      </c>
      <c r="L2335" t="s">
        <v>36</v>
      </c>
      <c r="M2335">
        <v>3</v>
      </c>
      <c r="N2335">
        <v>419.72</v>
      </c>
      <c r="O2335">
        <v>682.58</v>
      </c>
      <c r="P2335">
        <v>68.260000000000005</v>
      </c>
      <c r="Q2335">
        <v>68.260000000000005</v>
      </c>
      <c r="R2335" t="s">
        <v>30</v>
      </c>
      <c r="S2335">
        <v>29</v>
      </c>
      <c r="T2335">
        <v>1</v>
      </c>
      <c r="U2335">
        <v>3</v>
      </c>
      <c r="V2335">
        <v>614.32000000000005</v>
      </c>
      <c r="W2335">
        <v>13130002333</v>
      </c>
    </row>
    <row r="2336" spans="1:23" x14ac:dyDescent="0.2">
      <c r="A2336" s="1">
        <v>44793</v>
      </c>
      <c r="B2336" s="2">
        <v>0.5612152777777778</v>
      </c>
      <c r="C2336">
        <v>3334</v>
      </c>
      <c r="D2336">
        <v>13002561</v>
      </c>
      <c r="E2336">
        <v>13</v>
      </c>
      <c r="F2336">
        <v>22589</v>
      </c>
      <c r="G2336" t="s">
        <v>23</v>
      </c>
      <c r="H2336">
        <v>15</v>
      </c>
      <c r="I2336">
        <v>37570</v>
      </c>
      <c r="J2336" t="s">
        <v>119</v>
      </c>
      <c r="K2336" t="s">
        <v>38</v>
      </c>
      <c r="L2336" t="s">
        <v>47</v>
      </c>
      <c r="M2336">
        <v>2</v>
      </c>
      <c r="N2336">
        <v>308.06</v>
      </c>
      <c r="O2336">
        <v>464.36</v>
      </c>
      <c r="P2336">
        <v>0</v>
      </c>
      <c r="Q2336">
        <v>0</v>
      </c>
      <c r="S2336">
        <v>29</v>
      </c>
      <c r="T2336">
        <v>1</v>
      </c>
      <c r="U2336">
        <v>5</v>
      </c>
      <c r="V2336">
        <v>464.36</v>
      </c>
      <c r="W2336">
        <v>13130002334</v>
      </c>
    </row>
    <row r="2337" spans="1:23" x14ac:dyDescent="0.2">
      <c r="A2337" s="1">
        <v>44776</v>
      </c>
      <c r="B2337" s="2">
        <v>0.50562499999999999</v>
      </c>
      <c r="C2337">
        <v>3335</v>
      </c>
      <c r="D2337">
        <v>13002561</v>
      </c>
      <c r="E2337">
        <v>13</v>
      </c>
      <c r="F2337">
        <v>22589</v>
      </c>
      <c r="G2337" t="s">
        <v>23</v>
      </c>
      <c r="H2337">
        <v>18</v>
      </c>
      <c r="I2337">
        <v>51187</v>
      </c>
      <c r="J2337" t="s">
        <v>66</v>
      </c>
      <c r="K2337" t="s">
        <v>45</v>
      </c>
      <c r="L2337" t="s">
        <v>29</v>
      </c>
      <c r="M2337">
        <v>3</v>
      </c>
      <c r="N2337">
        <v>336.52</v>
      </c>
      <c r="O2337">
        <v>532.37</v>
      </c>
      <c r="P2337">
        <v>53.24</v>
      </c>
      <c r="Q2337">
        <v>53.24</v>
      </c>
      <c r="R2337" t="s">
        <v>30</v>
      </c>
      <c r="S2337">
        <v>29</v>
      </c>
      <c r="T2337">
        <v>1</v>
      </c>
      <c r="U2337">
        <v>4</v>
      </c>
      <c r="V2337">
        <v>479.13</v>
      </c>
      <c r="W2337">
        <v>13130002335</v>
      </c>
    </row>
    <row r="2338" spans="1:23" x14ac:dyDescent="0.2">
      <c r="A2338" s="1">
        <v>44777</v>
      </c>
      <c r="B2338" s="2">
        <v>0.85640046296296302</v>
      </c>
      <c r="C2338">
        <v>3336</v>
      </c>
      <c r="D2338">
        <v>13002561</v>
      </c>
      <c r="E2338">
        <v>13</v>
      </c>
      <c r="F2338">
        <v>22589</v>
      </c>
      <c r="G2338" t="s">
        <v>23</v>
      </c>
      <c r="H2338">
        <v>15</v>
      </c>
      <c r="I2338">
        <v>28711</v>
      </c>
      <c r="J2338" t="s">
        <v>115</v>
      </c>
      <c r="K2338" t="s">
        <v>25</v>
      </c>
      <c r="L2338" t="s">
        <v>51</v>
      </c>
      <c r="M2338">
        <v>2</v>
      </c>
      <c r="N2338">
        <v>124.77</v>
      </c>
      <c r="O2338">
        <v>211.9</v>
      </c>
      <c r="P2338">
        <v>0</v>
      </c>
      <c r="Q2338">
        <v>0</v>
      </c>
      <c r="S2338">
        <v>29</v>
      </c>
      <c r="T2338">
        <v>1</v>
      </c>
      <c r="U2338">
        <v>2</v>
      </c>
      <c r="V2338">
        <v>211.9</v>
      </c>
      <c r="W2338">
        <v>13130002336</v>
      </c>
    </row>
    <row r="2339" spans="1:23" x14ac:dyDescent="0.2">
      <c r="A2339" s="1">
        <v>44797</v>
      </c>
      <c r="B2339" s="2">
        <v>0.58869212962962958</v>
      </c>
      <c r="C2339">
        <v>3337</v>
      </c>
      <c r="D2339">
        <v>13002561</v>
      </c>
      <c r="E2339">
        <v>13</v>
      </c>
      <c r="F2339">
        <v>22589</v>
      </c>
      <c r="G2339" t="s">
        <v>23</v>
      </c>
      <c r="H2339">
        <v>15</v>
      </c>
      <c r="I2339">
        <v>39080</v>
      </c>
      <c r="J2339" t="s">
        <v>98</v>
      </c>
      <c r="K2339" t="s">
        <v>45</v>
      </c>
      <c r="L2339" t="s">
        <v>29</v>
      </c>
      <c r="M2339">
        <v>2</v>
      </c>
      <c r="N2339">
        <v>459.92</v>
      </c>
      <c r="O2339">
        <v>622.66</v>
      </c>
      <c r="P2339">
        <v>31.13</v>
      </c>
      <c r="Q2339">
        <v>31.13</v>
      </c>
      <c r="R2339" t="s">
        <v>30</v>
      </c>
      <c r="S2339">
        <v>29</v>
      </c>
      <c r="T2339">
        <v>1</v>
      </c>
      <c r="U2339">
        <v>6</v>
      </c>
      <c r="V2339">
        <v>591.53</v>
      </c>
      <c r="W2339">
        <v>13130002337</v>
      </c>
    </row>
    <row r="2340" spans="1:23" x14ac:dyDescent="0.2">
      <c r="A2340" s="1">
        <v>44795</v>
      </c>
      <c r="B2340" s="2">
        <v>0.9357523148148148</v>
      </c>
      <c r="C2340">
        <v>3338</v>
      </c>
      <c r="D2340">
        <v>13002561</v>
      </c>
      <c r="E2340">
        <v>13</v>
      </c>
      <c r="F2340">
        <v>22589</v>
      </c>
      <c r="G2340" t="s">
        <v>23</v>
      </c>
      <c r="H2340">
        <v>15</v>
      </c>
      <c r="I2340">
        <v>57027</v>
      </c>
      <c r="J2340" t="s">
        <v>27</v>
      </c>
      <c r="K2340" t="s">
        <v>60</v>
      </c>
      <c r="L2340" t="s">
        <v>32</v>
      </c>
      <c r="M2340">
        <v>2</v>
      </c>
      <c r="N2340">
        <v>426.64</v>
      </c>
      <c r="O2340">
        <v>546.47</v>
      </c>
      <c r="P2340">
        <v>54.65</v>
      </c>
      <c r="Q2340">
        <v>54.65</v>
      </c>
      <c r="R2340" t="s">
        <v>30</v>
      </c>
      <c r="S2340">
        <v>29</v>
      </c>
      <c r="T2340">
        <v>1</v>
      </c>
      <c r="U2340">
        <v>5</v>
      </c>
      <c r="V2340">
        <v>491.82</v>
      </c>
      <c r="W2340">
        <v>13130002338</v>
      </c>
    </row>
    <row r="2341" spans="1:23" x14ac:dyDescent="0.2">
      <c r="A2341" s="1">
        <v>44783</v>
      </c>
      <c r="B2341" s="2">
        <v>0.66766203703703708</v>
      </c>
      <c r="C2341">
        <v>3339</v>
      </c>
      <c r="D2341">
        <v>13002561</v>
      </c>
      <c r="E2341">
        <v>13</v>
      </c>
      <c r="F2341">
        <v>22589</v>
      </c>
      <c r="G2341" t="s">
        <v>23</v>
      </c>
      <c r="H2341">
        <v>15</v>
      </c>
      <c r="I2341">
        <v>65701</v>
      </c>
      <c r="J2341" t="s">
        <v>105</v>
      </c>
      <c r="K2341" t="s">
        <v>28</v>
      </c>
      <c r="L2341" t="s">
        <v>36</v>
      </c>
      <c r="M2341">
        <v>3</v>
      </c>
      <c r="N2341">
        <v>273.42</v>
      </c>
      <c r="O2341">
        <v>460.3</v>
      </c>
      <c r="P2341">
        <v>23.02</v>
      </c>
      <c r="Q2341">
        <v>23.02</v>
      </c>
      <c r="R2341" t="s">
        <v>30</v>
      </c>
      <c r="S2341">
        <v>29</v>
      </c>
      <c r="T2341">
        <v>1</v>
      </c>
      <c r="U2341">
        <v>1</v>
      </c>
      <c r="V2341">
        <v>437.28</v>
      </c>
      <c r="W2341">
        <v>13130002339</v>
      </c>
    </row>
    <row r="2342" spans="1:23" x14ac:dyDescent="0.2">
      <c r="A2342" s="1">
        <v>44802</v>
      </c>
      <c r="B2342" s="2">
        <v>0.94374999999999998</v>
      </c>
      <c r="C2342">
        <v>3340</v>
      </c>
      <c r="D2342">
        <v>13002561</v>
      </c>
      <c r="E2342">
        <v>13</v>
      </c>
      <c r="F2342">
        <v>22589</v>
      </c>
      <c r="G2342" t="s">
        <v>23</v>
      </c>
      <c r="H2342">
        <v>18</v>
      </c>
      <c r="I2342">
        <v>74380</v>
      </c>
      <c r="J2342" t="s">
        <v>65</v>
      </c>
      <c r="K2342" t="s">
        <v>25</v>
      </c>
      <c r="L2342" t="s">
        <v>36</v>
      </c>
      <c r="M2342">
        <v>2</v>
      </c>
      <c r="N2342">
        <v>58.06</v>
      </c>
      <c r="O2342">
        <v>78.48</v>
      </c>
      <c r="P2342">
        <v>0</v>
      </c>
      <c r="Q2342">
        <v>0</v>
      </c>
      <c r="S2342">
        <v>29</v>
      </c>
      <c r="T2342">
        <v>1</v>
      </c>
      <c r="U2342">
        <v>3</v>
      </c>
      <c r="V2342">
        <v>78.48</v>
      </c>
      <c r="W2342">
        <v>13130002340</v>
      </c>
    </row>
    <row r="2343" spans="1:23" x14ac:dyDescent="0.2">
      <c r="A2343" s="1">
        <v>44777</v>
      </c>
      <c r="B2343" s="2">
        <v>0.81351851851851853</v>
      </c>
      <c r="C2343">
        <v>3341</v>
      </c>
      <c r="D2343">
        <v>13002561</v>
      </c>
      <c r="E2343">
        <v>13</v>
      </c>
      <c r="F2343">
        <v>22589</v>
      </c>
      <c r="G2343" t="s">
        <v>23</v>
      </c>
      <c r="H2343">
        <v>15</v>
      </c>
      <c r="I2343">
        <v>22516</v>
      </c>
      <c r="J2343" t="s">
        <v>46</v>
      </c>
      <c r="K2343" t="s">
        <v>44</v>
      </c>
      <c r="L2343" t="s">
        <v>34</v>
      </c>
      <c r="M2343">
        <v>2</v>
      </c>
      <c r="N2343">
        <v>239.19</v>
      </c>
      <c r="O2343">
        <v>401.61</v>
      </c>
      <c r="P2343">
        <v>20.079999999999998</v>
      </c>
      <c r="Q2343">
        <v>20.079999999999998</v>
      </c>
      <c r="R2343" t="s">
        <v>30</v>
      </c>
      <c r="S2343">
        <v>29</v>
      </c>
      <c r="T2343">
        <v>1</v>
      </c>
      <c r="U2343">
        <v>2</v>
      </c>
      <c r="V2343">
        <v>381.53</v>
      </c>
      <c r="W2343">
        <v>13130002341</v>
      </c>
    </row>
    <row r="2344" spans="1:23" x14ac:dyDescent="0.2">
      <c r="A2344" s="1">
        <v>44785</v>
      </c>
      <c r="B2344" s="2">
        <v>0.75699074074074069</v>
      </c>
      <c r="C2344">
        <v>3342</v>
      </c>
      <c r="D2344">
        <v>13002561</v>
      </c>
      <c r="E2344">
        <v>13</v>
      </c>
      <c r="F2344">
        <v>22589</v>
      </c>
      <c r="G2344" t="s">
        <v>23</v>
      </c>
      <c r="H2344">
        <v>18</v>
      </c>
      <c r="I2344">
        <v>58641</v>
      </c>
      <c r="J2344" t="s">
        <v>79</v>
      </c>
      <c r="K2344" t="s">
        <v>44</v>
      </c>
      <c r="L2344" t="s">
        <v>36</v>
      </c>
      <c r="M2344">
        <v>3</v>
      </c>
      <c r="N2344">
        <v>554.67999999999995</v>
      </c>
      <c r="O2344">
        <v>778.47</v>
      </c>
      <c r="P2344">
        <v>77.849999999999994</v>
      </c>
      <c r="Q2344">
        <v>77.849999999999994</v>
      </c>
      <c r="R2344" t="s">
        <v>30</v>
      </c>
      <c r="S2344">
        <v>29</v>
      </c>
      <c r="T2344">
        <v>1</v>
      </c>
      <c r="U2344">
        <v>2</v>
      </c>
      <c r="V2344">
        <v>700.62</v>
      </c>
      <c r="W2344">
        <v>13130002342</v>
      </c>
    </row>
    <row r="2345" spans="1:23" x14ac:dyDescent="0.2">
      <c r="A2345" s="1">
        <v>44782</v>
      </c>
      <c r="B2345" s="2">
        <v>0.3512615740740741</v>
      </c>
      <c r="C2345">
        <v>3343</v>
      </c>
      <c r="D2345">
        <v>13002561</v>
      </c>
      <c r="E2345">
        <v>13</v>
      </c>
      <c r="F2345">
        <v>22589</v>
      </c>
      <c r="G2345" t="s">
        <v>23</v>
      </c>
      <c r="H2345">
        <v>18</v>
      </c>
      <c r="I2345">
        <v>91562</v>
      </c>
      <c r="J2345" t="s">
        <v>55</v>
      </c>
      <c r="K2345" t="s">
        <v>28</v>
      </c>
      <c r="L2345" t="s">
        <v>39</v>
      </c>
      <c r="M2345">
        <v>2</v>
      </c>
      <c r="N2345">
        <v>477.22</v>
      </c>
      <c r="O2345">
        <v>626.30999999999995</v>
      </c>
      <c r="P2345">
        <v>62.63</v>
      </c>
      <c r="Q2345">
        <v>62.63</v>
      </c>
      <c r="R2345" t="s">
        <v>30</v>
      </c>
      <c r="S2345">
        <v>29</v>
      </c>
      <c r="T2345">
        <v>1</v>
      </c>
      <c r="U2345">
        <v>3</v>
      </c>
      <c r="V2345">
        <v>563.67999999999995</v>
      </c>
      <c r="W2345">
        <v>13130002343</v>
      </c>
    </row>
    <row r="2346" spans="1:23" x14ac:dyDescent="0.2">
      <c r="A2346" s="1">
        <v>44790</v>
      </c>
      <c r="B2346" s="2">
        <v>0.85175925925925922</v>
      </c>
      <c r="C2346">
        <v>3344</v>
      </c>
      <c r="D2346">
        <v>13002561</v>
      </c>
      <c r="E2346">
        <v>13</v>
      </c>
      <c r="F2346">
        <v>22589</v>
      </c>
      <c r="G2346" t="s">
        <v>23</v>
      </c>
      <c r="H2346">
        <v>15</v>
      </c>
      <c r="I2346">
        <v>34057</v>
      </c>
      <c r="J2346" t="s">
        <v>94</v>
      </c>
      <c r="K2346" t="s">
        <v>25</v>
      </c>
      <c r="L2346" t="s">
        <v>34</v>
      </c>
      <c r="M2346">
        <v>3</v>
      </c>
      <c r="N2346">
        <v>560.33000000000004</v>
      </c>
      <c r="O2346">
        <v>701.17</v>
      </c>
      <c r="P2346">
        <v>0</v>
      </c>
      <c r="Q2346">
        <v>0</v>
      </c>
      <c r="S2346">
        <v>29</v>
      </c>
      <c r="T2346">
        <v>1</v>
      </c>
      <c r="U2346">
        <v>4</v>
      </c>
      <c r="V2346">
        <v>701.17</v>
      </c>
      <c r="W2346">
        <v>13130002344</v>
      </c>
    </row>
    <row r="2347" spans="1:23" x14ac:dyDescent="0.2">
      <c r="A2347" s="1">
        <v>44801</v>
      </c>
      <c r="B2347" s="2">
        <v>0.43322916666666672</v>
      </c>
      <c r="C2347">
        <v>3345</v>
      </c>
      <c r="D2347">
        <v>13002561</v>
      </c>
      <c r="E2347">
        <v>13</v>
      </c>
      <c r="F2347">
        <v>22589</v>
      </c>
      <c r="G2347" t="s">
        <v>23</v>
      </c>
      <c r="H2347">
        <v>18</v>
      </c>
      <c r="I2347">
        <v>73415</v>
      </c>
      <c r="J2347" t="s">
        <v>94</v>
      </c>
      <c r="K2347" t="s">
        <v>60</v>
      </c>
      <c r="L2347" t="s">
        <v>34</v>
      </c>
      <c r="M2347">
        <v>3</v>
      </c>
      <c r="N2347">
        <v>29.11</v>
      </c>
      <c r="O2347">
        <v>38.24</v>
      </c>
      <c r="P2347">
        <v>1.91</v>
      </c>
      <c r="Q2347">
        <v>1.91</v>
      </c>
      <c r="R2347" t="s">
        <v>30</v>
      </c>
      <c r="S2347">
        <v>29</v>
      </c>
      <c r="T2347">
        <v>1</v>
      </c>
      <c r="U2347">
        <v>6</v>
      </c>
      <c r="V2347">
        <v>36.33</v>
      </c>
      <c r="W2347">
        <v>13130002345</v>
      </c>
    </row>
    <row r="2348" spans="1:23" x14ac:dyDescent="0.2">
      <c r="A2348" s="1">
        <v>44787</v>
      </c>
      <c r="B2348" s="2">
        <v>0.59567129629629634</v>
      </c>
      <c r="C2348">
        <v>3346</v>
      </c>
      <c r="D2348">
        <v>13002561</v>
      </c>
      <c r="E2348">
        <v>13</v>
      </c>
      <c r="F2348">
        <v>22589</v>
      </c>
      <c r="G2348" t="s">
        <v>23</v>
      </c>
      <c r="H2348">
        <v>18</v>
      </c>
      <c r="I2348">
        <v>29544</v>
      </c>
      <c r="J2348" t="s">
        <v>82</v>
      </c>
      <c r="K2348" t="s">
        <v>44</v>
      </c>
      <c r="L2348" t="s">
        <v>51</v>
      </c>
      <c r="M2348">
        <v>1</v>
      </c>
      <c r="N2348">
        <v>217.75</v>
      </c>
      <c r="O2348">
        <v>354.46</v>
      </c>
      <c r="P2348">
        <v>35.450000000000003</v>
      </c>
      <c r="Q2348">
        <v>35.450000000000003</v>
      </c>
      <c r="R2348" t="s">
        <v>30</v>
      </c>
      <c r="S2348">
        <v>29</v>
      </c>
      <c r="T2348">
        <v>1</v>
      </c>
      <c r="U2348">
        <v>2</v>
      </c>
      <c r="V2348">
        <v>319.01</v>
      </c>
      <c r="W2348">
        <v>13130002346</v>
      </c>
    </row>
    <row r="2349" spans="1:23" x14ac:dyDescent="0.2">
      <c r="A2349" s="1">
        <v>44788</v>
      </c>
      <c r="B2349" s="2">
        <v>0.48194444444444451</v>
      </c>
      <c r="C2349">
        <v>3347</v>
      </c>
      <c r="D2349">
        <v>13002561</v>
      </c>
      <c r="E2349">
        <v>13</v>
      </c>
      <c r="F2349">
        <v>22589</v>
      </c>
      <c r="G2349" t="s">
        <v>23</v>
      </c>
      <c r="H2349">
        <v>18</v>
      </c>
      <c r="I2349">
        <v>63282</v>
      </c>
      <c r="J2349" t="s">
        <v>126</v>
      </c>
      <c r="K2349" t="s">
        <v>38</v>
      </c>
      <c r="L2349" t="s">
        <v>51</v>
      </c>
      <c r="M2349">
        <v>3</v>
      </c>
      <c r="N2349">
        <v>360.4</v>
      </c>
      <c r="O2349">
        <v>573.09</v>
      </c>
      <c r="P2349">
        <v>0</v>
      </c>
      <c r="Q2349">
        <v>0</v>
      </c>
      <c r="S2349">
        <v>29</v>
      </c>
      <c r="T2349">
        <v>1</v>
      </c>
      <c r="U2349">
        <v>6</v>
      </c>
      <c r="V2349">
        <v>573.09</v>
      </c>
      <c r="W2349">
        <v>13130002347</v>
      </c>
    </row>
    <row r="2350" spans="1:23" x14ac:dyDescent="0.2">
      <c r="A2350" s="1">
        <v>44779</v>
      </c>
      <c r="B2350" s="2">
        <v>0.38771990740740742</v>
      </c>
      <c r="C2350">
        <v>3348</v>
      </c>
      <c r="D2350">
        <v>13002561</v>
      </c>
      <c r="E2350">
        <v>13</v>
      </c>
      <c r="F2350">
        <v>22589</v>
      </c>
      <c r="G2350" t="s">
        <v>23</v>
      </c>
      <c r="H2350">
        <v>15</v>
      </c>
      <c r="I2350">
        <v>13318</v>
      </c>
      <c r="J2350" t="s">
        <v>49</v>
      </c>
      <c r="K2350" t="s">
        <v>25</v>
      </c>
      <c r="L2350" t="s">
        <v>32</v>
      </c>
      <c r="M2350">
        <v>2</v>
      </c>
      <c r="N2350">
        <v>167.08</v>
      </c>
      <c r="O2350">
        <v>216.72</v>
      </c>
      <c r="P2350">
        <v>0</v>
      </c>
      <c r="Q2350">
        <v>0</v>
      </c>
      <c r="S2350">
        <v>29</v>
      </c>
      <c r="T2350">
        <v>1</v>
      </c>
      <c r="U2350">
        <v>4</v>
      </c>
      <c r="V2350">
        <v>216.72</v>
      </c>
      <c r="W2350">
        <v>13130002348</v>
      </c>
    </row>
    <row r="2351" spans="1:23" x14ac:dyDescent="0.2">
      <c r="A2351" s="1">
        <v>44775</v>
      </c>
      <c r="B2351" s="2">
        <v>0.76827546296296301</v>
      </c>
      <c r="C2351">
        <v>3349</v>
      </c>
      <c r="D2351">
        <v>13002561</v>
      </c>
      <c r="E2351">
        <v>13</v>
      </c>
      <c r="F2351">
        <v>22589</v>
      </c>
      <c r="G2351" t="s">
        <v>23</v>
      </c>
      <c r="H2351">
        <v>15</v>
      </c>
      <c r="I2351">
        <v>91444</v>
      </c>
      <c r="J2351" t="s">
        <v>55</v>
      </c>
      <c r="K2351" t="s">
        <v>25</v>
      </c>
      <c r="L2351" t="s">
        <v>26</v>
      </c>
      <c r="M2351">
        <v>1</v>
      </c>
      <c r="N2351">
        <v>264.86</v>
      </c>
      <c r="O2351">
        <v>401.35</v>
      </c>
      <c r="P2351">
        <v>40.14</v>
      </c>
      <c r="Q2351">
        <v>40.14</v>
      </c>
      <c r="R2351" t="s">
        <v>30</v>
      </c>
      <c r="S2351">
        <v>29</v>
      </c>
      <c r="T2351">
        <v>1</v>
      </c>
      <c r="U2351">
        <v>4</v>
      </c>
      <c r="V2351">
        <v>361.21</v>
      </c>
      <c r="W2351">
        <v>13130002349</v>
      </c>
    </row>
    <row r="2352" spans="1:23" x14ac:dyDescent="0.2">
      <c r="A2352" s="1">
        <v>44791</v>
      </c>
      <c r="B2352" s="2">
        <v>0.58821759259259254</v>
      </c>
      <c r="C2352">
        <v>3350</v>
      </c>
      <c r="D2352">
        <v>13002561</v>
      </c>
      <c r="E2352">
        <v>13</v>
      </c>
      <c r="F2352">
        <v>22589</v>
      </c>
      <c r="G2352" t="s">
        <v>23</v>
      </c>
      <c r="H2352">
        <v>15</v>
      </c>
      <c r="I2352">
        <v>78383</v>
      </c>
      <c r="J2352" t="s">
        <v>75</v>
      </c>
      <c r="K2352" t="s">
        <v>38</v>
      </c>
      <c r="L2352" t="s">
        <v>39</v>
      </c>
      <c r="M2352">
        <v>3</v>
      </c>
      <c r="N2352">
        <v>573.20000000000005</v>
      </c>
      <c r="O2352">
        <v>849.59</v>
      </c>
      <c r="P2352">
        <v>0</v>
      </c>
      <c r="Q2352">
        <v>0</v>
      </c>
      <c r="S2352">
        <v>29</v>
      </c>
      <c r="T2352">
        <v>1</v>
      </c>
      <c r="U2352">
        <v>3</v>
      </c>
      <c r="V2352">
        <v>849.59</v>
      </c>
      <c r="W2352">
        <v>13130002350</v>
      </c>
    </row>
    <row r="2353" spans="1:23" x14ac:dyDescent="0.2">
      <c r="A2353" s="1">
        <v>44791</v>
      </c>
      <c r="B2353" s="2">
        <v>0.44233796296296302</v>
      </c>
      <c r="C2353">
        <v>3351</v>
      </c>
      <c r="D2353">
        <v>13002561</v>
      </c>
      <c r="E2353">
        <v>13</v>
      </c>
      <c r="F2353">
        <v>22589</v>
      </c>
      <c r="G2353" t="s">
        <v>23</v>
      </c>
      <c r="H2353">
        <v>15</v>
      </c>
      <c r="I2353">
        <v>51969</v>
      </c>
      <c r="J2353" t="s">
        <v>101</v>
      </c>
      <c r="K2353" t="s">
        <v>45</v>
      </c>
      <c r="L2353" t="s">
        <v>39</v>
      </c>
      <c r="M2353">
        <v>3</v>
      </c>
      <c r="N2353">
        <v>137.66999999999999</v>
      </c>
      <c r="O2353">
        <v>216.08</v>
      </c>
      <c r="P2353">
        <v>0</v>
      </c>
      <c r="Q2353">
        <v>0</v>
      </c>
      <c r="S2353">
        <v>29</v>
      </c>
      <c r="T2353">
        <v>1</v>
      </c>
      <c r="U2353">
        <v>3</v>
      </c>
      <c r="V2353">
        <v>216.08</v>
      </c>
      <c r="W2353">
        <v>13130002351</v>
      </c>
    </row>
    <row r="2354" spans="1:23" x14ac:dyDescent="0.2">
      <c r="A2354" s="1">
        <v>44778</v>
      </c>
      <c r="B2354" s="2">
        <v>0.76163194444444449</v>
      </c>
      <c r="C2354">
        <v>3352</v>
      </c>
      <c r="D2354">
        <v>13002561</v>
      </c>
      <c r="E2354">
        <v>13</v>
      </c>
      <c r="F2354">
        <v>22589</v>
      </c>
      <c r="G2354" t="s">
        <v>23</v>
      </c>
      <c r="H2354">
        <v>18</v>
      </c>
      <c r="I2354">
        <v>77565</v>
      </c>
      <c r="J2354" t="s">
        <v>56</v>
      </c>
      <c r="K2354" t="s">
        <v>45</v>
      </c>
      <c r="L2354" t="s">
        <v>51</v>
      </c>
      <c r="M2354">
        <v>1</v>
      </c>
      <c r="N2354">
        <v>172.01</v>
      </c>
      <c r="O2354">
        <v>219.31</v>
      </c>
      <c r="P2354">
        <v>21.93</v>
      </c>
      <c r="Q2354">
        <v>21.93</v>
      </c>
      <c r="R2354" t="s">
        <v>30</v>
      </c>
      <c r="S2354">
        <v>29</v>
      </c>
      <c r="T2354">
        <v>1</v>
      </c>
      <c r="U2354">
        <v>6</v>
      </c>
      <c r="V2354">
        <v>197.38</v>
      </c>
      <c r="W2354">
        <v>13130002352</v>
      </c>
    </row>
    <row r="2355" spans="1:23" x14ac:dyDescent="0.2">
      <c r="A2355" s="1">
        <v>44775</v>
      </c>
      <c r="B2355" s="2">
        <v>0.41309027777777779</v>
      </c>
      <c r="C2355">
        <v>3353</v>
      </c>
      <c r="D2355">
        <v>13002561</v>
      </c>
      <c r="E2355">
        <v>13</v>
      </c>
      <c r="F2355">
        <v>22589</v>
      </c>
      <c r="G2355" t="s">
        <v>23</v>
      </c>
      <c r="H2355">
        <v>15</v>
      </c>
      <c r="I2355">
        <v>49780</v>
      </c>
      <c r="J2355" t="s">
        <v>90</v>
      </c>
      <c r="K2355" t="s">
        <v>38</v>
      </c>
      <c r="L2355" t="s">
        <v>39</v>
      </c>
      <c r="M2355">
        <v>1</v>
      </c>
      <c r="N2355">
        <v>345.92</v>
      </c>
      <c r="O2355">
        <v>570.1</v>
      </c>
      <c r="P2355">
        <v>28.51</v>
      </c>
      <c r="Q2355">
        <v>28.51</v>
      </c>
      <c r="R2355" t="s">
        <v>30</v>
      </c>
      <c r="S2355">
        <v>29</v>
      </c>
      <c r="T2355">
        <v>1</v>
      </c>
      <c r="U2355">
        <v>4</v>
      </c>
      <c r="V2355">
        <v>541.59</v>
      </c>
      <c r="W2355">
        <v>13130002353</v>
      </c>
    </row>
    <row r="2356" spans="1:23" x14ac:dyDescent="0.2">
      <c r="A2356" s="1">
        <v>44794</v>
      </c>
      <c r="B2356" s="2">
        <v>0.6871990740740741</v>
      </c>
      <c r="C2356">
        <v>3354</v>
      </c>
      <c r="D2356">
        <v>13002561</v>
      </c>
      <c r="E2356">
        <v>13</v>
      </c>
      <c r="F2356">
        <v>22589</v>
      </c>
      <c r="G2356" t="s">
        <v>23</v>
      </c>
      <c r="H2356">
        <v>15</v>
      </c>
      <c r="I2356">
        <v>26065</v>
      </c>
      <c r="J2356" t="s">
        <v>85</v>
      </c>
      <c r="K2356" t="s">
        <v>44</v>
      </c>
      <c r="L2356" t="s">
        <v>32</v>
      </c>
      <c r="M2356">
        <v>3</v>
      </c>
      <c r="N2356">
        <v>298.89</v>
      </c>
      <c r="O2356">
        <v>438.7</v>
      </c>
      <c r="P2356">
        <v>21.94</v>
      </c>
      <c r="Q2356">
        <v>21.94</v>
      </c>
      <c r="R2356" t="s">
        <v>30</v>
      </c>
      <c r="S2356">
        <v>29</v>
      </c>
      <c r="T2356">
        <v>1</v>
      </c>
      <c r="U2356">
        <v>4</v>
      </c>
      <c r="V2356">
        <v>416.76</v>
      </c>
      <c r="W2356">
        <v>13130002354</v>
      </c>
    </row>
    <row r="2357" spans="1:23" x14ac:dyDescent="0.2">
      <c r="A2357" s="1">
        <v>44780</v>
      </c>
      <c r="B2357" s="2">
        <v>0.86094907407407406</v>
      </c>
      <c r="C2357">
        <v>3355</v>
      </c>
      <c r="D2357">
        <v>13002561</v>
      </c>
      <c r="E2357">
        <v>13</v>
      </c>
      <c r="F2357">
        <v>22589</v>
      </c>
      <c r="G2357" t="s">
        <v>23</v>
      </c>
      <c r="H2357">
        <v>15</v>
      </c>
      <c r="I2357">
        <v>33158</v>
      </c>
      <c r="J2357" t="s">
        <v>48</v>
      </c>
      <c r="K2357" t="s">
        <v>44</v>
      </c>
      <c r="L2357" t="s">
        <v>26</v>
      </c>
      <c r="M2357">
        <v>2</v>
      </c>
      <c r="N2357">
        <v>173.42</v>
      </c>
      <c r="O2357">
        <v>252.22</v>
      </c>
      <c r="P2357">
        <v>25.22</v>
      </c>
      <c r="Q2357">
        <v>25.22</v>
      </c>
      <c r="R2357" t="s">
        <v>30</v>
      </c>
      <c r="S2357">
        <v>29</v>
      </c>
      <c r="T2357">
        <v>1</v>
      </c>
      <c r="U2357">
        <v>3</v>
      </c>
      <c r="V2357">
        <v>227</v>
      </c>
      <c r="W2357">
        <v>13130002355</v>
      </c>
    </row>
    <row r="2358" spans="1:23" x14ac:dyDescent="0.2">
      <c r="A2358" s="1">
        <v>44787</v>
      </c>
      <c r="B2358" s="2">
        <v>0.65324074074074079</v>
      </c>
      <c r="C2358">
        <v>3356</v>
      </c>
      <c r="D2358">
        <v>13002561</v>
      </c>
      <c r="E2358">
        <v>13</v>
      </c>
      <c r="F2358">
        <v>22589</v>
      </c>
      <c r="G2358" t="s">
        <v>23</v>
      </c>
      <c r="H2358">
        <v>18</v>
      </c>
      <c r="I2358">
        <v>43730</v>
      </c>
      <c r="J2358" t="s">
        <v>107</v>
      </c>
      <c r="K2358" t="s">
        <v>25</v>
      </c>
      <c r="L2358" t="s">
        <v>51</v>
      </c>
      <c r="M2358">
        <v>1</v>
      </c>
      <c r="N2358">
        <v>350.36</v>
      </c>
      <c r="O2358">
        <v>461.42</v>
      </c>
      <c r="P2358">
        <v>0</v>
      </c>
      <c r="Q2358">
        <v>0</v>
      </c>
      <c r="S2358">
        <v>29</v>
      </c>
      <c r="T2358">
        <v>1</v>
      </c>
      <c r="U2358">
        <v>6</v>
      </c>
      <c r="V2358">
        <v>461.42</v>
      </c>
      <c r="W2358">
        <v>13130002356</v>
      </c>
    </row>
    <row r="2359" spans="1:23" x14ac:dyDescent="0.2">
      <c r="A2359" s="1">
        <v>44797</v>
      </c>
      <c r="B2359" s="2">
        <v>0.77225694444444448</v>
      </c>
      <c r="C2359">
        <v>3357</v>
      </c>
      <c r="D2359">
        <v>13002561</v>
      </c>
      <c r="E2359">
        <v>13</v>
      </c>
      <c r="F2359">
        <v>22589</v>
      </c>
      <c r="G2359" t="s">
        <v>23</v>
      </c>
      <c r="H2359">
        <v>18</v>
      </c>
      <c r="I2359">
        <v>65313</v>
      </c>
      <c r="J2359" t="s">
        <v>125</v>
      </c>
      <c r="K2359" t="s">
        <v>38</v>
      </c>
      <c r="L2359" t="s">
        <v>47</v>
      </c>
      <c r="M2359">
        <v>3</v>
      </c>
      <c r="N2359">
        <v>180.52</v>
      </c>
      <c r="O2359">
        <v>244.62</v>
      </c>
      <c r="P2359">
        <v>12.23</v>
      </c>
      <c r="Q2359">
        <v>12.23</v>
      </c>
      <c r="R2359" t="s">
        <v>30</v>
      </c>
      <c r="S2359">
        <v>29</v>
      </c>
      <c r="T2359">
        <v>1</v>
      </c>
      <c r="U2359">
        <v>5</v>
      </c>
      <c r="V2359">
        <v>232.39</v>
      </c>
      <c r="W2359">
        <v>13130002357</v>
      </c>
    </row>
    <row r="2360" spans="1:23" x14ac:dyDescent="0.2">
      <c r="A2360" s="1">
        <v>44800</v>
      </c>
      <c r="B2360" s="2">
        <v>0.62111111111111106</v>
      </c>
      <c r="C2360">
        <v>3358</v>
      </c>
      <c r="D2360">
        <v>13002561</v>
      </c>
      <c r="E2360">
        <v>13</v>
      </c>
      <c r="F2360">
        <v>22589</v>
      </c>
      <c r="G2360" t="s">
        <v>23</v>
      </c>
      <c r="H2360">
        <v>15</v>
      </c>
      <c r="I2360">
        <v>13603</v>
      </c>
      <c r="J2360" t="s">
        <v>46</v>
      </c>
      <c r="K2360" t="s">
        <v>45</v>
      </c>
      <c r="L2360" t="s">
        <v>32</v>
      </c>
      <c r="M2360">
        <v>2</v>
      </c>
      <c r="N2360">
        <v>414.03</v>
      </c>
      <c r="O2360">
        <v>556.33000000000004</v>
      </c>
      <c r="P2360">
        <v>55.63</v>
      </c>
      <c r="Q2360">
        <v>55.63</v>
      </c>
      <c r="R2360" t="s">
        <v>30</v>
      </c>
      <c r="S2360">
        <v>29</v>
      </c>
      <c r="T2360">
        <v>1</v>
      </c>
      <c r="U2360">
        <v>5</v>
      </c>
      <c r="V2360">
        <v>500.7</v>
      </c>
      <c r="W2360">
        <v>13130002358</v>
      </c>
    </row>
    <row r="2361" spans="1:23" x14ac:dyDescent="0.2">
      <c r="A2361" s="1">
        <v>44788</v>
      </c>
      <c r="B2361" s="2">
        <v>0.44894675925925931</v>
      </c>
      <c r="C2361">
        <v>3359</v>
      </c>
      <c r="D2361">
        <v>13002561</v>
      </c>
      <c r="E2361">
        <v>13</v>
      </c>
      <c r="F2361">
        <v>22589</v>
      </c>
      <c r="G2361" t="s">
        <v>23</v>
      </c>
      <c r="H2361">
        <v>15</v>
      </c>
      <c r="I2361">
        <v>21307</v>
      </c>
      <c r="J2361" t="s">
        <v>103</v>
      </c>
      <c r="K2361" t="s">
        <v>45</v>
      </c>
      <c r="L2361" t="s">
        <v>47</v>
      </c>
      <c r="M2361">
        <v>3</v>
      </c>
      <c r="N2361">
        <v>75.98</v>
      </c>
      <c r="O2361">
        <v>106.91</v>
      </c>
      <c r="P2361">
        <v>5.35</v>
      </c>
      <c r="Q2361">
        <v>5.35</v>
      </c>
      <c r="R2361" t="s">
        <v>30</v>
      </c>
      <c r="S2361">
        <v>29</v>
      </c>
      <c r="T2361">
        <v>1</v>
      </c>
      <c r="U2361">
        <v>4</v>
      </c>
      <c r="V2361">
        <v>101.56</v>
      </c>
      <c r="W2361">
        <v>13130002359</v>
      </c>
    </row>
    <row r="2362" spans="1:23" x14ac:dyDescent="0.2">
      <c r="A2362" s="1">
        <v>44778</v>
      </c>
      <c r="B2362" s="2">
        <v>0.63914351851851847</v>
      </c>
      <c r="C2362">
        <v>3360</v>
      </c>
      <c r="D2362">
        <v>13002561</v>
      </c>
      <c r="E2362">
        <v>13</v>
      </c>
      <c r="F2362">
        <v>22589</v>
      </c>
      <c r="G2362" t="s">
        <v>23</v>
      </c>
      <c r="H2362">
        <v>15</v>
      </c>
      <c r="I2362">
        <v>97860</v>
      </c>
      <c r="J2362" t="s">
        <v>86</v>
      </c>
      <c r="K2362" t="s">
        <v>38</v>
      </c>
      <c r="L2362" t="s">
        <v>36</v>
      </c>
      <c r="M2362">
        <v>1</v>
      </c>
      <c r="N2362">
        <v>319.27</v>
      </c>
      <c r="O2362">
        <v>492.2</v>
      </c>
      <c r="P2362">
        <v>24.61</v>
      </c>
      <c r="Q2362">
        <v>24.61</v>
      </c>
      <c r="R2362" t="s">
        <v>30</v>
      </c>
      <c r="S2362">
        <v>29</v>
      </c>
      <c r="T2362">
        <v>1</v>
      </c>
      <c r="U2362">
        <v>5</v>
      </c>
      <c r="V2362">
        <v>467.59</v>
      </c>
      <c r="W2362">
        <v>13130002360</v>
      </c>
    </row>
    <row r="2363" spans="1:23" x14ac:dyDescent="0.2">
      <c r="A2363" s="1">
        <v>44801</v>
      </c>
      <c r="B2363" s="2">
        <v>0.83377314814814818</v>
      </c>
      <c r="C2363">
        <v>3361</v>
      </c>
      <c r="D2363">
        <v>13002561</v>
      </c>
      <c r="E2363">
        <v>13</v>
      </c>
      <c r="F2363">
        <v>22589</v>
      </c>
      <c r="G2363" t="s">
        <v>23</v>
      </c>
      <c r="H2363">
        <v>15</v>
      </c>
      <c r="I2363">
        <v>90079</v>
      </c>
      <c r="J2363" t="s">
        <v>75</v>
      </c>
      <c r="K2363" t="s">
        <v>60</v>
      </c>
      <c r="L2363" t="s">
        <v>29</v>
      </c>
      <c r="M2363">
        <v>2</v>
      </c>
      <c r="N2363">
        <v>22.63</v>
      </c>
      <c r="O2363">
        <v>31.7</v>
      </c>
      <c r="P2363">
        <v>3.17</v>
      </c>
      <c r="Q2363">
        <v>3.17</v>
      </c>
      <c r="R2363" t="s">
        <v>30</v>
      </c>
      <c r="S2363">
        <v>29</v>
      </c>
      <c r="T2363">
        <v>1</v>
      </c>
      <c r="U2363">
        <v>4</v>
      </c>
      <c r="V2363">
        <v>28.53</v>
      </c>
      <c r="W2363">
        <v>13130002361</v>
      </c>
    </row>
    <row r="2364" spans="1:23" x14ac:dyDescent="0.2">
      <c r="A2364" s="1">
        <v>44777</v>
      </c>
      <c r="B2364" s="2">
        <v>0.53120370370370373</v>
      </c>
      <c r="C2364">
        <v>3362</v>
      </c>
      <c r="D2364">
        <v>13002561</v>
      </c>
      <c r="E2364">
        <v>13</v>
      </c>
      <c r="F2364">
        <v>22589</v>
      </c>
      <c r="G2364" t="s">
        <v>23</v>
      </c>
      <c r="H2364">
        <v>18</v>
      </c>
      <c r="I2364">
        <v>28939</v>
      </c>
      <c r="J2364" t="s">
        <v>75</v>
      </c>
      <c r="K2364" t="s">
        <v>38</v>
      </c>
      <c r="L2364" t="s">
        <v>36</v>
      </c>
      <c r="M2364">
        <v>1</v>
      </c>
      <c r="N2364">
        <v>554</v>
      </c>
      <c r="O2364">
        <v>725.63</v>
      </c>
      <c r="P2364">
        <v>72.56</v>
      </c>
      <c r="Q2364">
        <v>72.56</v>
      </c>
      <c r="R2364" t="s">
        <v>30</v>
      </c>
      <c r="S2364">
        <v>29</v>
      </c>
      <c r="T2364">
        <v>1</v>
      </c>
      <c r="U2364">
        <v>3</v>
      </c>
      <c r="V2364">
        <v>653.07000000000005</v>
      </c>
      <c r="W2364">
        <v>13130002362</v>
      </c>
    </row>
    <row r="2365" spans="1:23" x14ac:dyDescent="0.2">
      <c r="A2365" s="1">
        <v>44787</v>
      </c>
      <c r="B2365" s="2">
        <v>0.91533564814814816</v>
      </c>
      <c r="C2365">
        <v>3363</v>
      </c>
      <c r="D2365">
        <v>13002561</v>
      </c>
      <c r="E2365">
        <v>13</v>
      </c>
      <c r="F2365">
        <v>22589</v>
      </c>
      <c r="G2365" t="s">
        <v>23</v>
      </c>
      <c r="H2365">
        <v>18</v>
      </c>
      <c r="I2365">
        <v>60696</v>
      </c>
      <c r="J2365" t="s">
        <v>49</v>
      </c>
      <c r="K2365" t="s">
        <v>28</v>
      </c>
      <c r="L2365" t="s">
        <v>51</v>
      </c>
      <c r="M2365">
        <v>2</v>
      </c>
      <c r="N2365">
        <v>422.91</v>
      </c>
      <c r="O2365">
        <v>608.26</v>
      </c>
      <c r="P2365">
        <v>30.41</v>
      </c>
      <c r="Q2365">
        <v>30.41</v>
      </c>
      <c r="R2365" t="s">
        <v>30</v>
      </c>
      <c r="S2365">
        <v>29</v>
      </c>
      <c r="T2365">
        <v>1</v>
      </c>
      <c r="U2365">
        <v>4</v>
      </c>
      <c r="V2365">
        <v>577.85</v>
      </c>
      <c r="W2365">
        <v>13130002363</v>
      </c>
    </row>
    <row r="2366" spans="1:23" x14ac:dyDescent="0.2">
      <c r="A2366" s="1">
        <v>44793</v>
      </c>
      <c r="B2366" s="2">
        <v>0.71175925925925931</v>
      </c>
      <c r="C2366">
        <v>3364</v>
      </c>
      <c r="D2366">
        <v>13002561</v>
      </c>
      <c r="E2366">
        <v>13</v>
      </c>
      <c r="F2366">
        <v>22589</v>
      </c>
      <c r="G2366" t="s">
        <v>23</v>
      </c>
      <c r="H2366">
        <v>18</v>
      </c>
      <c r="I2366">
        <v>69037</v>
      </c>
      <c r="J2366" t="s">
        <v>110</v>
      </c>
      <c r="K2366" t="s">
        <v>45</v>
      </c>
      <c r="L2366" t="s">
        <v>36</v>
      </c>
      <c r="M2366">
        <v>1</v>
      </c>
      <c r="N2366">
        <v>251.88</v>
      </c>
      <c r="O2366">
        <v>339.26</v>
      </c>
      <c r="P2366">
        <v>16.96</v>
      </c>
      <c r="Q2366">
        <v>16.96</v>
      </c>
      <c r="R2366" t="s">
        <v>30</v>
      </c>
      <c r="S2366">
        <v>29</v>
      </c>
      <c r="T2366">
        <v>1</v>
      </c>
      <c r="U2366">
        <v>6</v>
      </c>
      <c r="V2366">
        <v>322.3</v>
      </c>
      <c r="W2366">
        <v>13130002364</v>
      </c>
    </row>
    <row r="2367" spans="1:23" x14ac:dyDescent="0.2">
      <c r="A2367" s="1">
        <v>44785</v>
      </c>
      <c r="B2367" s="2">
        <v>0.88459490740740743</v>
      </c>
      <c r="C2367">
        <v>3365</v>
      </c>
      <c r="D2367">
        <v>13002561</v>
      </c>
      <c r="E2367">
        <v>13</v>
      </c>
      <c r="F2367">
        <v>22589</v>
      </c>
      <c r="G2367" t="s">
        <v>23</v>
      </c>
      <c r="H2367">
        <v>18</v>
      </c>
      <c r="I2367">
        <v>30216</v>
      </c>
      <c r="J2367" t="s">
        <v>68</v>
      </c>
      <c r="K2367" t="s">
        <v>28</v>
      </c>
      <c r="L2367" t="s">
        <v>47</v>
      </c>
      <c r="M2367">
        <v>1</v>
      </c>
      <c r="N2367">
        <v>152.59</v>
      </c>
      <c r="O2367">
        <v>202.58</v>
      </c>
      <c r="P2367">
        <v>0</v>
      </c>
      <c r="Q2367">
        <v>0</v>
      </c>
      <c r="S2367">
        <v>29</v>
      </c>
      <c r="T2367">
        <v>1</v>
      </c>
      <c r="U2367">
        <v>6</v>
      </c>
      <c r="V2367">
        <v>202.58</v>
      </c>
      <c r="W2367">
        <v>13130002365</v>
      </c>
    </row>
    <row r="2368" spans="1:23" x14ac:dyDescent="0.2">
      <c r="A2368" s="1">
        <v>44780</v>
      </c>
      <c r="B2368" s="2">
        <v>0.88171296296296298</v>
      </c>
      <c r="C2368">
        <v>3366</v>
      </c>
      <c r="D2368">
        <v>13002561</v>
      </c>
      <c r="E2368">
        <v>13</v>
      </c>
      <c r="F2368">
        <v>22589</v>
      </c>
      <c r="G2368" t="s">
        <v>23</v>
      </c>
      <c r="H2368">
        <v>15</v>
      </c>
      <c r="I2368">
        <v>54110</v>
      </c>
      <c r="J2368" t="s">
        <v>65</v>
      </c>
      <c r="K2368" t="s">
        <v>25</v>
      </c>
      <c r="L2368" t="s">
        <v>26</v>
      </c>
      <c r="M2368">
        <v>2</v>
      </c>
      <c r="N2368">
        <v>501.3</v>
      </c>
      <c r="O2368">
        <v>689.71</v>
      </c>
      <c r="P2368">
        <v>68.97</v>
      </c>
      <c r="Q2368">
        <v>68.97</v>
      </c>
      <c r="R2368" t="s">
        <v>30</v>
      </c>
      <c r="S2368">
        <v>29</v>
      </c>
      <c r="T2368">
        <v>1</v>
      </c>
      <c r="U2368">
        <v>2</v>
      </c>
      <c r="V2368">
        <v>620.74</v>
      </c>
      <c r="W2368">
        <v>13130002366</v>
      </c>
    </row>
    <row r="2369" spans="1:23" x14ac:dyDescent="0.2">
      <c r="A2369" s="1">
        <v>44793</v>
      </c>
      <c r="B2369" s="2">
        <v>0.80563657407407407</v>
      </c>
      <c r="C2369">
        <v>3367</v>
      </c>
      <c r="D2369">
        <v>13002561</v>
      </c>
      <c r="E2369">
        <v>13</v>
      </c>
      <c r="F2369">
        <v>22589</v>
      </c>
      <c r="G2369" t="s">
        <v>23</v>
      </c>
      <c r="H2369">
        <v>18</v>
      </c>
      <c r="I2369">
        <v>38350</v>
      </c>
      <c r="J2369" t="s">
        <v>116</v>
      </c>
      <c r="K2369" t="s">
        <v>45</v>
      </c>
      <c r="L2369" t="s">
        <v>36</v>
      </c>
      <c r="M2369">
        <v>1</v>
      </c>
      <c r="N2369">
        <v>465.71</v>
      </c>
      <c r="O2369">
        <v>644.4</v>
      </c>
      <c r="P2369">
        <v>32.22</v>
      </c>
      <c r="Q2369">
        <v>32.22</v>
      </c>
      <c r="R2369" t="s">
        <v>30</v>
      </c>
      <c r="S2369">
        <v>29</v>
      </c>
      <c r="T2369">
        <v>1</v>
      </c>
      <c r="U2369">
        <v>1</v>
      </c>
      <c r="V2369">
        <v>612.17999999999995</v>
      </c>
      <c r="W2369">
        <v>13130002367</v>
      </c>
    </row>
    <row r="2370" spans="1:23" x14ac:dyDescent="0.2">
      <c r="A2370" s="1">
        <v>44784</v>
      </c>
      <c r="B2370" s="2">
        <v>0.77251157407407411</v>
      </c>
      <c r="C2370">
        <v>3368</v>
      </c>
      <c r="D2370">
        <v>13002561</v>
      </c>
      <c r="E2370">
        <v>13</v>
      </c>
      <c r="F2370">
        <v>22589</v>
      </c>
      <c r="G2370" t="s">
        <v>23</v>
      </c>
      <c r="H2370">
        <v>18</v>
      </c>
      <c r="I2370">
        <v>90477</v>
      </c>
      <c r="J2370" t="s">
        <v>40</v>
      </c>
      <c r="K2370" t="s">
        <v>44</v>
      </c>
      <c r="L2370" t="s">
        <v>26</v>
      </c>
      <c r="M2370">
        <v>3</v>
      </c>
      <c r="N2370">
        <v>590.41999999999996</v>
      </c>
      <c r="O2370">
        <v>822.18</v>
      </c>
      <c r="P2370">
        <v>0</v>
      </c>
      <c r="Q2370">
        <v>0</v>
      </c>
      <c r="S2370">
        <v>29</v>
      </c>
      <c r="T2370">
        <v>1</v>
      </c>
      <c r="U2370">
        <v>1</v>
      </c>
      <c r="V2370">
        <v>822.18</v>
      </c>
      <c r="W2370">
        <v>13130002368</v>
      </c>
    </row>
    <row r="2371" spans="1:23" x14ac:dyDescent="0.2">
      <c r="A2371" s="1">
        <v>44794</v>
      </c>
      <c r="B2371" s="2">
        <v>0.87285879629629626</v>
      </c>
      <c r="C2371">
        <v>3369</v>
      </c>
      <c r="D2371">
        <v>13002561</v>
      </c>
      <c r="E2371">
        <v>13</v>
      </c>
      <c r="F2371">
        <v>22589</v>
      </c>
      <c r="G2371" t="s">
        <v>23</v>
      </c>
      <c r="H2371">
        <v>15</v>
      </c>
      <c r="I2371">
        <v>17419</v>
      </c>
      <c r="J2371" t="s">
        <v>58</v>
      </c>
      <c r="K2371" t="s">
        <v>38</v>
      </c>
      <c r="L2371" t="s">
        <v>39</v>
      </c>
      <c r="M2371">
        <v>1</v>
      </c>
      <c r="N2371">
        <v>185.2</v>
      </c>
      <c r="O2371">
        <v>263.44</v>
      </c>
      <c r="P2371">
        <v>13.17</v>
      </c>
      <c r="Q2371">
        <v>13.17</v>
      </c>
      <c r="R2371" t="s">
        <v>30</v>
      </c>
      <c r="S2371">
        <v>29</v>
      </c>
      <c r="T2371">
        <v>1</v>
      </c>
      <c r="U2371">
        <v>5</v>
      </c>
      <c r="V2371">
        <v>250.27</v>
      </c>
      <c r="W2371">
        <v>13130002369</v>
      </c>
    </row>
    <row r="2372" spans="1:23" x14ac:dyDescent="0.2">
      <c r="A2372" s="1">
        <v>44783</v>
      </c>
      <c r="B2372" s="2">
        <v>0.6811342592592593</v>
      </c>
      <c r="C2372">
        <v>3370</v>
      </c>
      <c r="D2372">
        <v>13002561</v>
      </c>
      <c r="E2372">
        <v>13</v>
      </c>
      <c r="F2372">
        <v>22589</v>
      </c>
      <c r="G2372" t="s">
        <v>23</v>
      </c>
      <c r="H2372">
        <v>18</v>
      </c>
      <c r="I2372">
        <v>46238</v>
      </c>
      <c r="J2372" t="s">
        <v>31</v>
      </c>
      <c r="K2372" t="s">
        <v>38</v>
      </c>
      <c r="L2372" t="s">
        <v>29</v>
      </c>
      <c r="M2372">
        <v>1</v>
      </c>
      <c r="N2372">
        <v>217.65</v>
      </c>
      <c r="O2372">
        <v>272.97000000000003</v>
      </c>
      <c r="P2372">
        <v>0</v>
      </c>
      <c r="Q2372">
        <v>0</v>
      </c>
      <c r="S2372">
        <v>29</v>
      </c>
      <c r="T2372">
        <v>1</v>
      </c>
      <c r="U2372">
        <v>6</v>
      </c>
      <c r="V2372">
        <v>272.97000000000003</v>
      </c>
      <c r="W2372">
        <v>13130002370</v>
      </c>
    </row>
    <row r="2373" spans="1:23" x14ac:dyDescent="0.2">
      <c r="A2373" s="1">
        <v>44786</v>
      </c>
      <c r="B2373" s="2">
        <v>0.70523148148148151</v>
      </c>
      <c r="C2373">
        <v>3371</v>
      </c>
      <c r="D2373">
        <v>13002561</v>
      </c>
      <c r="E2373">
        <v>13</v>
      </c>
      <c r="F2373">
        <v>22589</v>
      </c>
      <c r="G2373" t="s">
        <v>23</v>
      </c>
      <c r="H2373">
        <v>18</v>
      </c>
      <c r="I2373">
        <v>72855</v>
      </c>
      <c r="J2373" t="s">
        <v>40</v>
      </c>
      <c r="K2373" t="s">
        <v>44</v>
      </c>
      <c r="L2373" t="s">
        <v>47</v>
      </c>
      <c r="M2373">
        <v>3</v>
      </c>
      <c r="N2373">
        <v>195.86</v>
      </c>
      <c r="O2373">
        <v>316.70999999999998</v>
      </c>
      <c r="P2373">
        <v>31.67</v>
      </c>
      <c r="Q2373">
        <v>31.67</v>
      </c>
      <c r="R2373" t="s">
        <v>30</v>
      </c>
      <c r="S2373">
        <v>29</v>
      </c>
      <c r="T2373">
        <v>1</v>
      </c>
      <c r="U2373">
        <v>2</v>
      </c>
      <c r="V2373">
        <v>285.04000000000002</v>
      </c>
      <c r="W2373">
        <v>13130002371</v>
      </c>
    </row>
    <row r="2374" spans="1:23" x14ac:dyDescent="0.2">
      <c r="A2374" s="1">
        <v>44788</v>
      </c>
      <c r="B2374" s="2">
        <v>0.55692129629629628</v>
      </c>
      <c r="C2374">
        <v>3372</v>
      </c>
      <c r="D2374">
        <v>13002561</v>
      </c>
      <c r="E2374">
        <v>13</v>
      </c>
      <c r="F2374">
        <v>22589</v>
      </c>
      <c r="G2374" t="s">
        <v>23</v>
      </c>
      <c r="H2374">
        <v>15</v>
      </c>
      <c r="I2374">
        <v>81153</v>
      </c>
      <c r="J2374" t="s">
        <v>33</v>
      </c>
      <c r="K2374" t="s">
        <v>44</v>
      </c>
      <c r="L2374" t="s">
        <v>51</v>
      </c>
      <c r="M2374">
        <v>3</v>
      </c>
      <c r="N2374">
        <v>149</v>
      </c>
      <c r="O2374">
        <v>190.92</v>
      </c>
      <c r="P2374">
        <v>19.09</v>
      </c>
      <c r="Q2374">
        <v>19.09</v>
      </c>
      <c r="R2374" t="s">
        <v>30</v>
      </c>
      <c r="S2374">
        <v>29</v>
      </c>
      <c r="T2374">
        <v>1</v>
      </c>
      <c r="U2374">
        <v>6</v>
      </c>
      <c r="V2374">
        <v>171.83</v>
      </c>
      <c r="W2374">
        <v>13130002372</v>
      </c>
    </row>
    <row r="2375" spans="1:23" x14ac:dyDescent="0.2">
      <c r="A2375" s="1">
        <v>44799</v>
      </c>
      <c r="B2375" s="2">
        <v>0.44412037037037039</v>
      </c>
      <c r="C2375">
        <v>3373</v>
      </c>
      <c r="D2375">
        <v>13002561</v>
      </c>
      <c r="E2375">
        <v>13</v>
      </c>
      <c r="F2375">
        <v>22589</v>
      </c>
      <c r="G2375" t="s">
        <v>23</v>
      </c>
      <c r="H2375">
        <v>15</v>
      </c>
      <c r="I2375">
        <v>22544</v>
      </c>
      <c r="J2375" t="s">
        <v>69</v>
      </c>
      <c r="K2375" t="s">
        <v>45</v>
      </c>
      <c r="L2375" t="s">
        <v>29</v>
      </c>
      <c r="M2375">
        <v>1</v>
      </c>
      <c r="N2375">
        <v>508.2</v>
      </c>
      <c r="O2375">
        <v>845.59</v>
      </c>
      <c r="P2375">
        <v>84.56</v>
      </c>
      <c r="Q2375">
        <v>84.56</v>
      </c>
      <c r="R2375" t="s">
        <v>30</v>
      </c>
      <c r="S2375">
        <v>29</v>
      </c>
      <c r="T2375">
        <v>1</v>
      </c>
      <c r="U2375">
        <v>2</v>
      </c>
      <c r="V2375">
        <v>761.03</v>
      </c>
      <c r="W2375">
        <v>13130002373</v>
      </c>
    </row>
    <row r="2376" spans="1:23" x14ac:dyDescent="0.2">
      <c r="A2376" s="1">
        <v>44804</v>
      </c>
      <c r="B2376" s="2">
        <v>0.52451388888888884</v>
      </c>
      <c r="C2376">
        <v>3374</v>
      </c>
      <c r="D2376">
        <v>13002561</v>
      </c>
      <c r="E2376">
        <v>13</v>
      </c>
      <c r="F2376">
        <v>22589</v>
      </c>
      <c r="G2376" t="s">
        <v>23</v>
      </c>
      <c r="H2376">
        <v>15</v>
      </c>
      <c r="I2376">
        <v>37806</v>
      </c>
      <c r="J2376" t="s">
        <v>95</v>
      </c>
      <c r="K2376" t="s">
        <v>38</v>
      </c>
      <c r="L2376" t="s">
        <v>47</v>
      </c>
      <c r="M2376">
        <v>3</v>
      </c>
      <c r="N2376">
        <v>95.66</v>
      </c>
      <c r="O2376">
        <v>158.87</v>
      </c>
      <c r="P2376">
        <v>0</v>
      </c>
      <c r="Q2376">
        <v>0</v>
      </c>
      <c r="S2376">
        <v>29</v>
      </c>
      <c r="T2376">
        <v>1</v>
      </c>
      <c r="U2376">
        <v>1</v>
      </c>
      <c r="V2376">
        <v>158.87</v>
      </c>
      <c r="W2376">
        <v>13130002374</v>
      </c>
    </row>
    <row r="2377" spans="1:23" x14ac:dyDescent="0.2">
      <c r="A2377" s="1">
        <v>44803</v>
      </c>
      <c r="B2377" s="2">
        <v>0.90165509259259258</v>
      </c>
      <c r="C2377">
        <v>3375</v>
      </c>
      <c r="D2377">
        <v>13002561</v>
      </c>
      <c r="E2377">
        <v>13</v>
      </c>
      <c r="F2377">
        <v>22589</v>
      </c>
      <c r="G2377" t="s">
        <v>23</v>
      </c>
      <c r="H2377">
        <v>18</v>
      </c>
      <c r="I2377">
        <v>77918</v>
      </c>
      <c r="J2377" t="s">
        <v>82</v>
      </c>
      <c r="K2377" t="s">
        <v>60</v>
      </c>
      <c r="L2377" t="s">
        <v>47</v>
      </c>
      <c r="M2377">
        <v>2</v>
      </c>
      <c r="N2377">
        <v>289.02999999999997</v>
      </c>
      <c r="O2377">
        <v>473.27</v>
      </c>
      <c r="P2377">
        <v>47.33</v>
      </c>
      <c r="Q2377">
        <v>47.33</v>
      </c>
      <c r="R2377" t="s">
        <v>30</v>
      </c>
      <c r="S2377">
        <v>29</v>
      </c>
      <c r="T2377">
        <v>1</v>
      </c>
      <c r="U2377">
        <v>1</v>
      </c>
      <c r="V2377">
        <v>425.94</v>
      </c>
      <c r="W2377">
        <v>13130002375</v>
      </c>
    </row>
    <row r="2378" spans="1:23" x14ac:dyDescent="0.2">
      <c r="A2378" s="1">
        <v>44783</v>
      </c>
      <c r="B2378" s="2">
        <v>0.54116898148148151</v>
      </c>
      <c r="C2378">
        <v>3376</v>
      </c>
      <c r="D2378">
        <v>13002561</v>
      </c>
      <c r="E2378">
        <v>13</v>
      </c>
      <c r="F2378">
        <v>22589</v>
      </c>
      <c r="G2378" t="s">
        <v>23</v>
      </c>
      <c r="H2378">
        <v>18</v>
      </c>
      <c r="I2378">
        <v>60683</v>
      </c>
      <c r="J2378" t="s">
        <v>27</v>
      </c>
      <c r="K2378" t="s">
        <v>25</v>
      </c>
      <c r="L2378" t="s">
        <v>29</v>
      </c>
      <c r="M2378">
        <v>1</v>
      </c>
      <c r="N2378">
        <v>285.89</v>
      </c>
      <c r="O2378">
        <v>387.16</v>
      </c>
      <c r="P2378">
        <v>38.72</v>
      </c>
      <c r="Q2378">
        <v>38.72</v>
      </c>
      <c r="R2378" t="s">
        <v>30</v>
      </c>
      <c r="S2378">
        <v>29</v>
      </c>
      <c r="T2378">
        <v>1</v>
      </c>
      <c r="U2378">
        <v>5</v>
      </c>
      <c r="V2378">
        <v>348.44</v>
      </c>
      <c r="W2378">
        <v>13130002376</v>
      </c>
    </row>
    <row r="2379" spans="1:23" x14ac:dyDescent="0.2">
      <c r="A2379" s="1">
        <v>44792</v>
      </c>
      <c r="B2379" s="2">
        <v>0.53370370370370368</v>
      </c>
      <c r="C2379">
        <v>3377</v>
      </c>
      <c r="D2379">
        <v>13002561</v>
      </c>
      <c r="E2379">
        <v>13</v>
      </c>
      <c r="F2379">
        <v>22589</v>
      </c>
      <c r="G2379" t="s">
        <v>23</v>
      </c>
      <c r="H2379">
        <v>15</v>
      </c>
      <c r="I2379">
        <v>23240</v>
      </c>
      <c r="J2379" t="s">
        <v>55</v>
      </c>
      <c r="K2379" t="s">
        <v>28</v>
      </c>
      <c r="L2379" t="s">
        <v>39</v>
      </c>
      <c r="M2379">
        <v>2</v>
      </c>
      <c r="N2379">
        <v>187.84</v>
      </c>
      <c r="O2379">
        <v>257.77</v>
      </c>
      <c r="P2379">
        <v>0</v>
      </c>
      <c r="Q2379">
        <v>0</v>
      </c>
      <c r="S2379">
        <v>29</v>
      </c>
      <c r="T2379">
        <v>1</v>
      </c>
      <c r="U2379">
        <v>6</v>
      </c>
      <c r="V2379">
        <v>257.77</v>
      </c>
      <c r="W2379">
        <v>13130002377</v>
      </c>
    </row>
    <row r="2380" spans="1:23" x14ac:dyDescent="0.2">
      <c r="A2380" s="1">
        <v>44776</v>
      </c>
      <c r="B2380" s="2">
        <v>0.68837962962962962</v>
      </c>
      <c r="C2380">
        <v>3378</v>
      </c>
      <c r="D2380">
        <v>13002561</v>
      </c>
      <c r="E2380">
        <v>13</v>
      </c>
      <c r="F2380">
        <v>22589</v>
      </c>
      <c r="G2380" t="s">
        <v>23</v>
      </c>
      <c r="H2380">
        <v>15</v>
      </c>
      <c r="I2380">
        <v>91037</v>
      </c>
      <c r="J2380" t="s">
        <v>37</v>
      </c>
      <c r="K2380" t="s">
        <v>45</v>
      </c>
      <c r="L2380" t="s">
        <v>51</v>
      </c>
      <c r="M2380">
        <v>2</v>
      </c>
      <c r="N2380">
        <v>411.15</v>
      </c>
      <c r="O2380">
        <v>645.01</v>
      </c>
      <c r="P2380">
        <v>0</v>
      </c>
      <c r="Q2380">
        <v>0</v>
      </c>
      <c r="S2380">
        <v>29</v>
      </c>
      <c r="T2380">
        <v>1</v>
      </c>
      <c r="U2380">
        <v>6</v>
      </c>
      <c r="V2380">
        <v>645.01</v>
      </c>
      <c r="W2380">
        <v>13130002378</v>
      </c>
    </row>
    <row r="2381" spans="1:23" x14ac:dyDescent="0.2">
      <c r="A2381" s="1">
        <v>44775</v>
      </c>
      <c r="B2381" s="2">
        <v>0.83929398148148149</v>
      </c>
      <c r="C2381">
        <v>3379</v>
      </c>
      <c r="D2381">
        <v>13002561</v>
      </c>
      <c r="E2381">
        <v>13</v>
      </c>
      <c r="F2381">
        <v>22589</v>
      </c>
      <c r="G2381" t="s">
        <v>23</v>
      </c>
      <c r="H2381">
        <v>18</v>
      </c>
      <c r="I2381">
        <v>54417</v>
      </c>
      <c r="J2381" t="s">
        <v>123</v>
      </c>
      <c r="K2381" t="s">
        <v>25</v>
      </c>
      <c r="L2381" t="s">
        <v>26</v>
      </c>
      <c r="M2381">
        <v>2</v>
      </c>
      <c r="N2381">
        <v>228.49</v>
      </c>
      <c r="O2381">
        <v>343.87</v>
      </c>
      <c r="P2381">
        <v>0</v>
      </c>
      <c r="Q2381">
        <v>0</v>
      </c>
      <c r="S2381">
        <v>29</v>
      </c>
      <c r="T2381">
        <v>1</v>
      </c>
      <c r="U2381">
        <v>2</v>
      </c>
      <c r="V2381">
        <v>343.87</v>
      </c>
      <c r="W2381">
        <v>13130002379</v>
      </c>
    </row>
    <row r="2382" spans="1:23" x14ac:dyDescent="0.2">
      <c r="A2382" s="1">
        <v>44786</v>
      </c>
      <c r="B2382" s="2">
        <v>0.55685185185185182</v>
      </c>
      <c r="C2382">
        <v>3380</v>
      </c>
      <c r="D2382">
        <v>13002561</v>
      </c>
      <c r="E2382">
        <v>13</v>
      </c>
      <c r="F2382">
        <v>22589</v>
      </c>
      <c r="G2382" t="s">
        <v>23</v>
      </c>
      <c r="H2382">
        <v>18</v>
      </c>
      <c r="I2382">
        <v>80056</v>
      </c>
      <c r="J2382" t="s">
        <v>105</v>
      </c>
      <c r="K2382" t="s">
        <v>28</v>
      </c>
      <c r="L2382" t="s">
        <v>26</v>
      </c>
      <c r="M2382">
        <v>1</v>
      </c>
      <c r="N2382">
        <v>343.9</v>
      </c>
      <c r="O2382">
        <v>566.04</v>
      </c>
      <c r="P2382">
        <v>56.6</v>
      </c>
      <c r="Q2382">
        <v>56.6</v>
      </c>
      <c r="R2382" t="s">
        <v>30</v>
      </c>
      <c r="S2382">
        <v>29</v>
      </c>
      <c r="T2382">
        <v>1</v>
      </c>
      <c r="U2382">
        <v>1</v>
      </c>
      <c r="V2382">
        <v>509.44</v>
      </c>
      <c r="W2382">
        <v>13130002380</v>
      </c>
    </row>
    <row r="2383" spans="1:23" x14ac:dyDescent="0.2">
      <c r="A2383" s="1">
        <v>44803</v>
      </c>
      <c r="B2383" s="2">
        <v>0.42034722222222221</v>
      </c>
      <c r="C2383">
        <v>3381</v>
      </c>
      <c r="D2383">
        <v>13002561</v>
      </c>
      <c r="E2383">
        <v>13</v>
      </c>
      <c r="F2383">
        <v>22589</v>
      </c>
      <c r="G2383" t="s">
        <v>23</v>
      </c>
      <c r="H2383">
        <v>18</v>
      </c>
      <c r="I2383">
        <v>67440</v>
      </c>
      <c r="J2383" t="s">
        <v>59</v>
      </c>
      <c r="K2383" t="s">
        <v>28</v>
      </c>
      <c r="L2383" t="s">
        <v>39</v>
      </c>
      <c r="M2383">
        <v>1</v>
      </c>
      <c r="N2383">
        <v>226.37</v>
      </c>
      <c r="O2383">
        <v>377.74</v>
      </c>
      <c r="P2383">
        <v>18.89</v>
      </c>
      <c r="Q2383">
        <v>18.89</v>
      </c>
      <c r="R2383" t="s">
        <v>30</v>
      </c>
      <c r="S2383">
        <v>29</v>
      </c>
      <c r="T2383">
        <v>1</v>
      </c>
      <c r="U2383">
        <v>4</v>
      </c>
      <c r="V2383">
        <v>358.85</v>
      </c>
      <c r="W2383">
        <v>13130002381</v>
      </c>
    </row>
    <row r="2384" spans="1:23" x14ac:dyDescent="0.2">
      <c r="A2384" s="1">
        <v>44802</v>
      </c>
      <c r="B2384" s="2">
        <v>0.52604166666666663</v>
      </c>
      <c r="C2384">
        <v>3382</v>
      </c>
      <c r="D2384">
        <v>13002561</v>
      </c>
      <c r="E2384">
        <v>13</v>
      </c>
      <c r="F2384">
        <v>22589</v>
      </c>
      <c r="G2384" t="s">
        <v>23</v>
      </c>
      <c r="H2384">
        <v>15</v>
      </c>
      <c r="I2384">
        <v>84210</v>
      </c>
      <c r="J2384" t="s">
        <v>101</v>
      </c>
      <c r="K2384" t="s">
        <v>44</v>
      </c>
      <c r="L2384" t="s">
        <v>47</v>
      </c>
      <c r="M2384">
        <v>2</v>
      </c>
      <c r="N2384">
        <v>495.43</v>
      </c>
      <c r="O2384">
        <v>712.58</v>
      </c>
      <c r="P2384">
        <v>71.260000000000005</v>
      </c>
      <c r="Q2384">
        <v>71.260000000000005</v>
      </c>
      <c r="R2384" t="s">
        <v>30</v>
      </c>
      <c r="S2384">
        <v>29</v>
      </c>
      <c r="T2384">
        <v>1</v>
      </c>
      <c r="U2384">
        <v>4</v>
      </c>
      <c r="V2384">
        <v>641.32000000000005</v>
      </c>
      <c r="W2384">
        <v>13130002382</v>
      </c>
    </row>
    <row r="2385" spans="1:23" x14ac:dyDescent="0.2">
      <c r="A2385" s="1">
        <v>44774</v>
      </c>
      <c r="B2385" s="2">
        <v>0.43156250000000002</v>
      </c>
      <c r="C2385">
        <v>3383</v>
      </c>
      <c r="D2385">
        <v>13002561</v>
      </c>
      <c r="E2385">
        <v>13</v>
      </c>
      <c r="F2385">
        <v>22589</v>
      </c>
      <c r="G2385" t="s">
        <v>23</v>
      </c>
      <c r="H2385">
        <v>15</v>
      </c>
      <c r="I2385">
        <v>12846</v>
      </c>
      <c r="J2385" t="s">
        <v>119</v>
      </c>
      <c r="K2385" t="s">
        <v>38</v>
      </c>
      <c r="L2385" t="s">
        <v>36</v>
      </c>
      <c r="M2385">
        <v>1</v>
      </c>
      <c r="N2385">
        <v>277.02</v>
      </c>
      <c r="O2385">
        <v>458.42</v>
      </c>
      <c r="P2385">
        <v>0</v>
      </c>
      <c r="Q2385">
        <v>0</v>
      </c>
      <c r="S2385">
        <v>29</v>
      </c>
      <c r="T2385">
        <v>1</v>
      </c>
      <c r="U2385">
        <v>1</v>
      </c>
      <c r="V2385">
        <v>458.42</v>
      </c>
      <c r="W2385">
        <v>13130002383</v>
      </c>
    </row>
    <row r="2386" spans="1:23" x14ac:dyDescent="0.2">
      <c r="A2386" s="1">
        <v>44783</v>
      </c>
      <c r="B2386" s="2">
        <v>0.60965277777777782</v>
      </c>
      <c r="C2386">
        <v>3384</v>
      </c>
      <c r="D2386">
        <v>13002561</v>
      </c>
      <c r="E2386">
        <v>13</v>
      </c>
      <c r="F2386">
        <v>22589</v>
      </c>
      <c r="G2386" t="s">
        <v>23</v>
      </c>
      <c r="H2386">
        <v>18</v>
      </c>
      <c r="I2386">
        <v>90496</v>
      </c>
      <c r="J2386" t="s">
        <v>112</v>
      </c>
      <c r="K2386" t="s">
        <v>38</v>
      </c>
      <c r="L2386" t="s">
        <v>51</v>
      </c>
      <c r="M2386">
        <v>1</v>
      </c>
      <c r="N2386">
        <v>576.34</v>
      </c>
      <c r="O2386">
        <v>776.7</v>
      </c>
      <c r="P2386">
        <v>38.840000000000003</v>
      </c>
      <c r="Q2386">
        <v>38.840000000000003</v>
      </c>
      <c r="R2386" t="s">
        <v>30</v>
      </c>
      <c r="S2386">
        <v>29</v>
      </c>
      <c r="T2386">
        <v>1</v>
      </c>
      <c r="U2386">
        <v>4</v>
      </c>
      <c r="V2386">
        <v>737.86</v>
      </c>
      <c r="W2386">
        <v>13130002384</v>
      </c>
    </row>
    <row r="2387" spans="1:23" x14ac:dyDescent="0.2">
      <c r="A2387" s="1">
        <v>44774</v>
      </c>
      <c r="B2387" s="2">
        <v>0.50467592592592592</v>
      </c>
      <c r="C2387">
        <v>3385</v>
      </c>
      <c r="D2387">
        <v>13002561</v>
      </c>
      <c r="E2387">
        <v>13</v>
      </c>
      <c r="F2387">
        <v>22589</v>
      </c>
      <c r="G2387" t="s">
        <v>23</v>
      </c>
      <c r="H2387">
        <v>18</v>
      </c>
      <c r="I2387">
        <v>22780</v>
      </c>
      <c r="J2387" t="s">
        <v>50</v>
      </c>
      <c r="K2387" t="s">
        <v>38</v>
      </c>
      <c r="L2387" t="s">
        <v>47</v>
      </c>
      <c r="M2387">
        <v>1</v>
      </c>
      <c r="N2387">
        <v>124.03</v>
      </c>
      <c r="O2387">
        <v>203.93</v>
      </c>
      <c r="P2387">
        <v>0</v>
      </c>
      <c r="Q2387">
        <v>0</v>
      </c>
      <c r="S2387">
        <v>29</v>
      </c>
      <c r="T2387">
        <v>1</v>
      </c>
      <c r="U2387">
        <v>4</v>
      </c>
      <c r="V2387">
        <v>203.93</v>
      </c>
      <c r="W2387">
        <v>13130002385</v>
      </c>
    </row>
    <row r="2388" spans="1:23" x14ac:dyDescent="0.2">
      <c r="A2388" s="1">
        <v>44788</v>
      </c>
      <c r="B2388" s="2">
        <v>0.7583333333333333</v>
      </c>
      <c r="C2388">
        <v>3386</v>
      </c>
      <c r="D2388">
        <v>13002561</v>
      </c>
      <c r="E2388">
        <v>13</v>
      </c>
      <c r="F2388">
        <v>22589</v>
      </c>
      <c r="G2388" t="s">
        <v>23</v>
      </c>
      <c r="H2388">
        <v>15</v>
      </c>
      <c r="I2388">
        <v>25737</v>
      </c>
      <c r="J2388" t="s">
        <v>54</v>
      </c>
      <c r="K2388" t="s">
        <v>60</v>
      </c>
      <c r="L2388" t="s">
        <v>34</v>
      </c>
      <c r="M2388">
        <v>1</v>
      </c>
      <c r="N2388">
        <v>469.61</v>
      </c>
      <c r="O2388">
        <v>783.47</v>
      </c>
      <c r="P2388">
        <v>78.349999999999994</v>
      </c>
      <c r="Q2388">
        <v>78.349999999999994</v>
      </c>
      <c r="R2388" t="s">
        <v>30</v>
      </c>
      <c r="S2388">
        <v>29</v>
      </c>
      <c r="T2388">
        <v>1</v>
      </c>
      <c r="U2388">
        <v>5</v>
      </c>
      <c r="V2388">
        <v>705.12</v>
      </c>
      <c r="W2388">
        <v>13130002386</v>
      </c>
    </row>
    <row r="2389" spans="1:23" x14ac:dyDescent="0.2">
      <c r="A2389" s="1">
        <v>44793</v>
      </c>
      <c r="B2389" s="2">
        <v>0.35039351851851852</v>
      </c>
      <c r="C2389">
        <v>3387</v>
      </c>
      <c r="D2389">
        <v>13002561</v>
      </c>
      <c r="E2389">
        <v>13</v>
      </c>
      <c r="F2389">
        <v>22589</v>
      </c>
      <c r="G2389" t="s">
        <v>23</v>
      </c>
      <c r="H2389">
        <v>18</v>
      </c>
      <c r="I2389">
        <v>91176</v>
      </c>
      <c r="J2389" t="s">
        <v>40</v>
      </c>
      <c r="K2389" t="s">
        <v>60</v>
      </c>
      <c r="L2389" t="s">
        <v>39</v>
      </c>
      <c r="M2389">
        <v>3</v>
      </c>
      <c r="N2389">
        <v>322.62</v>
      </c>
      <c r="O2389">
        <v>530.47</v>
      </c>
      <c r="P2389">
        <v>26.52</v>
      </c>
      <c r="Q2389">
        <v>26.52</v>
      </c>
      <c r="R2389" t="s">
        <v>30</v>
      </c>
      <c r="S2389">
        <v>29</v>
      </c>
      <c r="T2389">
        <v>1</v>
      </c>
      <c r="U2389">
        <v>4</v>
      </c>
      <c r="V2389">
        <v>503.95</v>
      </c>
      <c r="W2389">
        <v>13130002387</v>
      </c>
    </row>
    <row r="2390" spans="1:23" x14ac:dyDescent="0.2">
      <c r="A2390" s="1">
        <v>44798</v>
      </c>
      <c r="B2390" s="2">
        <v>0.71530092592592598</v>
      </c>
      <c r="C2390">
        <v>3388</v>
      </c>
      <c r="D2390">
        <v>13002561</v>
      </c>
      <c r="E2390">
        <v>13</v>
      </c>
      <c r="F2390">
        <v>22589</v>
      </c>
      <c r="G2390" t="s">
        <v>23</v>
      </c>
      <c r="H2390">
        <v>18</v>
      </c>
      <c r="I2390">
        <v>11255</v>
      </c>
      <c r="J2390" t="s">
        <v>56</v>
      </c>
      <c r="K2390" t="s">
        <v>45</v>
      </c>
      <c r="L2390" t="s">
        <v>36</v>
      </c>
      <c r="M2390">
        <v>3</v>
      </c>
      <c r="N2390">
        <v>5.77</v>
      </c>
      <c r="O2390">
        <v>7.89</v>
      </c>
      <c r="P2390">
        <v>0</v>
      </c>
      <c r="Q2390">
        <v>0</v>
      </c>
      <c r="S2390">
        <v>29</v>
      </c>
      <c r="T2390">
        <v>1</v>
      </c>
      <c r="U2390">
        <v>3</v>
      </c>
      <c r="V2390">
        <v>7.89</v>
      </c>
      <c r="W2390">
        <v>13130002388</v>
      </c>
    </row>
    <row r="2391" spans="1:23" x14ac:dyDescent="0.2">
      <c r="A2391" s="1">
        <v>44776</v>
      </c>
      <c r="B2391" s="2">
        <v>0.89256944444444442</v>
      </c>
      <c r="C2391">
        <v>3389</v>
      </c>
      <c r="D2391">
        <v>13002561</v>
      </c>
      <c r="E2391">
        <v>13</v>
      </c>
      <c r="F2391">
        <v>22589</v>
      </c>
      <c r="G2391" t="s">
        <v>23</v>
      </c>
      <c r="H2391">
        <v>15</v>
      </c>
      <c r="I2391">
        <v>50228</v>
      </c>
      <c r="J2391" t="s">
        <v>52</v>
      </c>
      <c r="K2391" t="s">
        <v>28</v>
      </c>
      <c r="L2391" t="s">
        <v>32</v>
      </c>
      <c r="M2391">
        <v>3</v>
      </c>
      <c r="N2391">
        <v>53.39</v>
      </c>
      <c r="O2391">
        <v>72.489999999999995</v>
      </c>
      <c r="P2391">
        <v>0</v>
      </c>
      <c r="Q2391">
        <v>0</v>
      </c>
      <c r="S2391">
        <v>29</v>
      </c>
      <c r="T2391">
        <v>1</v>
      </c>
      <c r="U2391">
        <v>4</v>
      </c>
      <c r="V2391">
        <v>72.489999999999995</v>
      </c>
      <c r="W2391">
        <v>13130002389</v>
      </c>
    </row>
    <row r="2392" spans="1:23" x14ac:dyDescent="0.2">
      <c r="A2392" s="1">
        <v>44776</v>
      </c>
      <c r="B2392" s="2">
        <v>0.93950231481481483</v>
      </c>
      <c r="C2392">
        <v>3390</v>
      </c>
      <c r="D2392">
        <v>13002561</v>
      </c>
      <c r="E2392">
        <v>13</v>
      </c>
      <c r="F2392">
        <v>22589</v>
      </c>
      <c r="G2392" t="s">
        <v>23</v>
      </c>
      <c r="H2392">
        <v>15</v>
      </c>
      <c r="I2392">
        <v>56670</v>
      </c>
      <c r="J2392" t="s">
        <v>108</v>
      </c>
      <c r="K2392" t="s">
        <v>28</v>
      </c>
      <c r="L2392" t="s">
        <v>29</v>
      </c>
      <c r="M2392">
        <v>2</v>
      </c>
      <c r="N2392">
        <v>346</v>
      </c>
      <c r="O2392">
        <v>452.73</v>
      </c>
      <c r="P2392">
        <v>22.64</v>
      </c>
      <c r="Q2392">
        <v>22.64</v>
      </c>
      <c r="R2392" t="s">
        <v>30</v>
      </c>
      <c r="S2392">
        <v>29</v>
      </c>
      <c r="T2392">
        <v>1</v>
      </c>
      <c r="U2392">
        <v>5</v>
      </c>
      <c r="V2392">
        <v>430.09</v>
      </c>
      <c r="W2392">
        <v>13130002390</v>
      </c>
    </row>
    <row r="2393" spans="1:23" x14ac:dyDescent="0.2">
      <c r="A2393" s="1">
        <v>44796</v>
      </c>
      <c r="B2393" s="2">
        <v>0.52741898148148147</v>
      </c>
      <c r="C2393">
        <v>3391</v>
      </c>
      <c r="D2393">
        <v>13002561</v>
      </c>
      <c r="E2393">
        <v>13</v>
      </c>
      <c r="F2393">
        <v>22589</v>
      </c>
      <c r="G2393" t="s">
        <v>23</v>
      </c>
      <c r="H2393">
        <v>18</v>
      </c>
      <c r="I2393">
        <v>97618</v>
      </c>
      <c r="J2393" t="s">
        <v>43</v>
      </c>
      <c r="K2393" t="s">
        <v>44</v>
      </c>
      <c r="L2393" t="s">
        <v>32</v>
      </c>
      <c r="M2393">
        <v>2</v>
      </c>
      <c r="N2393">
        <v>193.1</v>
      </c>
      <c r="O2393">
        <v>255.85</v>
      </c>
      <c r="P2393">
        <v>25.59</v>
      </c>
      <c r="Q2393">
        <v>25.59</v>
      </c>
      <c r="R2393" t="s">
        <v>30</v>
      </c>
      <c r="S2393">
        <v>29</v>
      </c>
      <c r="T2393">
        <v>1</v>
      </c>
      <c r="U2393">
        <v>4</v>
      </c>
      <c r="V2393">
        <v>230.26</v>
      </c>
      <c r="W2393">
        <v>13130002391</v>
      </c>
    </row>
    <row r="2394" spans="1:23" x14ac:dyDescent="0.2">
      <c r="A2394" s="1">
        <v>44797</v>
      </c>
      <c r="B2394" s="2">
        <v>0.87513888888888891</v>
      </c>
      <c r="C2394">
        <v>3392</v>
      </c>
      <c r="D2394">
        <v>13002561</v>
      </c>
      <c r="E2394">
        <v>13</v>
      </c>
      <c r="F2394">
        <v>22589</v>
      </c>
      <c r="G2394" t="s">
        <v>23</v>
      </c>
      <c r="H2394">
        <v>15</v>
      </c>
      <c r="I2394">
        <v>79788</v>
      </c>
      <c r="J2394" t="s">
        <v>119</v>
      </c>
      <c r="K2394" t="s">
        <v>60</v>
      </c>
      <c r="L2394" t="s">
        <v>26</v>
      </c>
      <c r="M2394">
        <v>1</v>
      </c>
      <c r="N2394">
        <v>75.7</v>
      </c>
      <c r="O2394">
        <v>116.34</v>
      </c>
      <c r="P2394">
        <v>0</v>
      </c>
      <c r="Q2394">
        <v>0</v>
      </c>
      <c r="S2394">
        <v>29</v>
      </c>
      <c r="T2394">
        <v>1</v>
      </c>
      <c r="U2394">
        <v>4</v>
      </c>
      <c r="V2394">
        <v>116.34</v>
      </c>
      <c r="W2394">
        <v>13130002392</v>
      </c>
    </row>
    <row r="2395" spans="1:23" x14ac:dyDescent="0.2">
      <c r="A2395" s="1">
        <v>44779</v>
      </c>
      <c r="B2395" s="2">
        <v>0.57171296296296292</v>
      </c>
      <c r="C2395">
        <v>3393</v>
      </c>
      <c r="D2395">
        <v>13002561</v>
      </c>
      <c r="E2395">
        <v>13</v>
      </c>
      <c r="F2395">
        <v>22589</v>
      </c>
      <c r="G2395" t="s">
        <v>23</v>
      </c>
      <c r="H2395">
        <v>18</v>
      </c>
      <c r="I2395">
        <v>28511</v>
      </c>
      <c r="J2395" t="s">
        <v>108</v>
      </c>
      <c r="K2395" t="s">
        <v>44</v>
      </c>
      <c r="L2395" t="s">
        <v>34</v>
      </c>
      <c r="M2395">
        <v>2</v>
      </c>
      <c r="N2395">
        <v>36.049999999999997</v>
      </c>
      <c r="O2395">
        <v>54.38</v>
      </c>
      <c r="P2395">
        <v>5.44</v>
      </c>
      <c r="Q2395">
        <v>5.44</v>
      </c>
      <c r="R2395" t="s">
        <v>30</v>
      </c>
      <c r="S2395">
        <v>29</v>
      </c>
      <c r="T2395">
        <v>1</v>
      </c>
      <c r="U2395">
        <v>3</v>
      </c>
      <c r="V2395">
        <v>48.94</v>
      </c>
      <c r="W2395">
        <v>13130002393</v>
      </c>
    </row>
    <row r="2396" spans="1:23" x14ac:dyDescent="0.2">
      <c r="A2396" s="1">
        <v>44783</v>
      </c>
      <c r="B2396" s="2">
        <v>0.59922453703703704</v>
      </c>
      <c r="C2396">
        <v>3394</v>
      </c>
      <c r="D2396">
        <v>13002561</v>
      </c>
      <c r="E2396">
        <v>13</v>
      </c>
      <c r="F2396">
        <v>22589</v>
      </c>
      <c r="G2396" t="s">
        <v>23</v>
      </c>
      <c r="H2396">
        <v>15</v>
      </c>
      <c r="I2396">
        <v>90868</v>
      </c>
      <c r="J2396" t="s">
        <v>117</v>
      </c>
      <c r="K2396" t="s">
        <v>28</v>
      </c>
      <c r="L2396" t="s">
        <v>29</v>
      </c>
      <c r="M2396">
        <v>1</v>
      </c>
      <c r="N2396">
        <v>244.78</v>
      </c>
      <c r="O2396">
        <v>316.58999999999997</v>
      </c>
      <c r="P2396">
        <v>31.66</v>
      </c>
      <c r="Q2396">
        <v>31.66</v>
      </c>
      <c r="R2396" t="s">
        <v>30</v>
      </c>
      <c r="S2396">
        <v>29</v>
      </c>
      <c r="T2396">
        <v>1</v>
      </c>
      <c r="U2396">
        <v>5</v>
      </c>
      <c r="V2396">
        <v>284.93</v>
      </c>
      <c r="W2396">
        <v>13130002394</v>
      </c>
    </row>
    <row r="2397" spans="1:23" x14ac:dyDescent="0.2">
      <c r="A2397" s="1">
        <v>44799</v>
      </c>
      <c r="B2397" s="2">
        <v>0.61752314814814813</v>
      </c>
      <c r="C2397">
        <v>3395</v>
      </c>
      <c r="D2397">
        <v>13002561</v>
      </c>
      <c r="E2397">
        <v>13</v>
      </c>
      <c r="F2397">
        <v>22589</v>
      </c>
      <c r="G2397" t="s">
        <v>23</v>
      </c>
      <c r="H2397">
        <v>18</v>
      </c>
      <c r="I2397">
        <v>34505</v>
      </c>
      <c r="J2397" t="s">
        <v>120</v>
      </c>
      <c r="K2397" t="s">
        <v>38</v>
      </c>
      <c r="L2397" t="s">
        <v>32</v>
      </c>
      <c r="M2397">
        <v>3</v>
      </c>
      <c r="N2397">
        <v>358.61</v>
      </c>
      <c r="O2397">
        <v>549.77</v>
      </c>
      <c r="P2397">
        <v>54.98</v>
      </c>
      <c r="Q2397">
        <v>54.98</v>
      </c>
      <c r="R2397" t="s">
        <v>30</v>
      </c>
      <c r="S2397">
        <v>29</v>
      </c>
      <c r="T2397">
        <v>1</v>
      </c>
      <c r="U2397">
        <v>3</v>
      </c>
      <c r="V2397">
        <v>494.79</v>
      </c>
      <c r="W2397">
        <v>13130002395</v>
      </c>
    </row>
    <row r="2398" spans="1:23" x14ac:dyDescent="0.2">
      <c r="A2398" s="1">
        <v>44803</v>
      </c>
      <c r="B2398" s="2">
        <v>0.67452546296296301</v>
      </c>
      <c r="C2398">
        <v>3396</v>
      </c>
      <c r="D2398">
        <v>13002561</v>
      </c>
      <c r="E2398">
        <v>13</v>
      </c>
      <c r="F2398">
        <v>22589</v>
      </c>
      <c r="G2398" t="s">
        <v>23</v>
      </c>
      <c r="H2398">
        <v>18</v>
      </c>
      <c r="I2398">
        <v>22858</v>
      </c>
      <c r="J2398" t="s">
        <v>80</v>
      </c>
      <c r="K2398" t="s">
        <v>28</v>
      </c>
      <c r="L2398" t="s">
        <v>39</v>
      </c>
      <c r="M2398">
        <v>2</v>
      </c>
      <c r="N2398">
        <v>550.16</v>
      </c>
      <c r="O2398">
        <v>735.58</v>
      </c>
      <c r="P2398">
        <v>73.56</v>
      </c>
      <c r="Q2398">
        <v>73.56</v>
      </c>
      <c r="R2398" t="s">
        <v>30</v>
      </c>
      <c r="S2398">
        <v>29</v>
      </c>
      <c r="T2398">
        <v>1</v>
      </c>
      <c r="U2398">
        <v>4</v>
      </c>
      <c r="V2398">
        <v>662.02</v>
      </c>
      <c r="W2398">
        <v>13130002396</v>
      </c>
    </row>
    <row r="2399" spans="1:23" x14ac:dyDescent="0.2">
      <c r="A2399" s="1">
        <v>44778</v>
      </c>
      <c r="B2399" s="2">
        <v>0.71108796296296295</v>
      </c>
      <c r="C2399">
        <v>3397</v>
      </c>
      <c r="D2399">
        <v>13002561</v>
      </c>
      <c r="E2399">
        <v>13</v>
      </c>
      <c r="F2399">
        <v>22589</v>
      </c>
      <c r="G2399" t="s">
        <v>23</v>
      </c>
      <c r="H2399">
        <v>15</v>
      </c>
      <c r="I2399">
        <v>16591</v>
      </c>
      <c r="J2399" t="s">
        <v>120</v>
      </c>
      <c r="K2399" t="s">
        <v>60</v>
      </c>
      <c r="L2399" t="s">
        <v>36</v>
      </c>
      <c r="M2399">
        <v>3</v>
      </c>
      <c r="N2399">
        <v>291.75</v>
      </c>
      <c r="O2399">
        <v>394.76</v>
      </c>
      <c r="P2399">
        <v>19.739999999999998</v>
      </c>
      <c r="Q2399">
        <v>19.739999999999998</v>
      </c>
      <c r="R2399" t="s">
        <v>30</v>
      </c>
      <c r="S2399">
        <v>29</v>
      </c>
      <c r="T2399">
        <v>1</v>
      </c>
      <c r="U2399">
        <v>3</v>
      </c>
      <c r="V2399">
        <v>375.02</v>
      </c>
      <c r="W2399">
        <v>13130002397</v>
      </c>
    </row>
    <row r="2400" spans="1:23" x14ac:dyDescent="0.2">
      <c r="A2400" s="1">
        <v>44780</v>
      </c>
      <c r="B2400" s="2">
        <v>0.49792824074074082</v>
      </c>
      <c r="C2400">
        <v>3398</v>
      </c>
      <c r="D2400">
        <v>13002561</v>
      </c>
      <c r="E2400">
        <v>13</v>
      </c>
      <c r="F2400">
        <v>22589</v>
      </c>
      <c r="G2400" t="s">
        <v>23</v>
      </c>
      <c r="H2400">
        <v>18</v>
      </c>
      <c r="I2400">
        <v>81093</v>
      </c>
      <c r="J2400" t="s">
        <v>63</v>
      </c>
      <c r="K2400" t="s">
        <v>45</v>
      </c>
      <c r="L2400" t="s">
        <v>47</v>
      </c>
      <c r="M2400">
        <v>2</v>
      </c>
      <c r="N2400">
        <v>464.91</v>
      </c>
      <c r="O2400">
        <v>642.95000000000005</v>
      </c>
      <c r="P2400">
        <v>64.3</v>
      </c>
      <c r="Q2400">
        <v>64.3</v>
      </c>
      <c r="R2400" t="s">
        <v>30</v>
      </c>
      <c r="S2400">
        <v>29</v>
      </c>
      <c r="T2400">
        <v>1</v>
      </c>
      <c r="U2400">
        <v>1</v>
      </c>
      <c r="V2400">
        <v>578.65</v>
      </c>
      <c r="W2400">
        <v>13130002398</v>
      </c>
    </row>
    <row r="2401" spans="1:23" x14ac:dyDescent="0.2">
      <c r="A2401" s="1">
        <v>44780</v>
      </c>
      <c r="B2401" s="2">
        <v>0.67365740740740743</v>
      </c>
      <c r="C2401">
        <v>3399</v>
      </c>
      <c r="D2401">
        <v>13002561</v>
      </c>
      <c r="E2401">
        <v>13</v>
      </c>
      <c r="F2401">
        <v>22589</v>
      </c>
      <c r="G2401" t="s">
        <v>23</v>
      </c>
      <c r="H2401">
        <v>15</v>
      </c>
      <c r="I2401">
        <v>70878</v>
      </c>
      <c r="J2401" t="s">
        <v>105</v>
      </c>
      <c r="K2401" t="s">
        <v>60</v>
      </c>
      <c r="L2401" t="s">
        <v>32</v>
      </c>
      <c r="M2401">
        <v>3</v>
      </c>
      <c r="N2401">
        <v>279.45</v>
      </c>
      <c r="O2401">
        <v>399.12</v>
      </c>
      <c r="P2401">
        <v>0</v>
      </c>
      <c r="Q2401">
        <v>0</v>
      </c>
      <c r="S2401">
        <v>29</v>
      </c>
      <c r="T2401">
        <v>1</v>
      </c>
      <c r="U2401">
        <v>2</v>
      </c>
      <c r="V2401">
        <v>399.12</v>
      </c>
      <c r="W2401">
        <v>13130002399</v>
      </c>
    </row>
    <row r="2402" spans="1:23" x14ac:dyDescent="0.2">
      <c r="A2402" s="1">
        <v>44787</v>
      </c>
      <c r="B2402" s="2">
        <v>0.36875000000000002</v>
      </c>
      <c r="C2402">
        <v>3400</v>
      </c>
      <c r="D2402">
        <v>13002561</v>
      </c>
      <c r="E2402">
        <v>13</v>
      </c>
      <c r="F2402">
        <v>22589</v>
      </c>
      <c r="G2402" t="s">
        <v>23</v>
      </c>
      <c r="H2402">
        <v>15</v>
      </c>
      <c r="I2402">
        <v>66363</v>
      </c>
      <c r="J2402" t="s">
        <v>75</v>
      </c>
      <c r="K2402" t="s">
        <v>25</v>
      </c>
      <c r="L2402" t="s">
        <v>39</v>
      </c>
      <c r="M2402">
        <v>3</v>
      </c>
      <c r="N2402">
        <v>421.61</v>
      </c>
      <c r="O2402">
        <v>659.22</v>
      </c>
      <c r="P2402">
        <v>0</v>
      </c>
      <c r="Q2402">
        <v>0</v>
      </c>
      <c r="S2402">
        <v>29</v>
      </c>
      <c r="T2402">
        <v>1</v>
      </c>
      <c r="U2402">
        <v>2</v>
      </c>
      <c r="V2402">
        <v>659.22</v>
      </c>
      <c r="W2402">
        <v>13130002400</v>
      </c>
    </row>
    <row r="2403" spans="1:23" x14ac:dyDescent="0.2">
      <c r="A2403" s="1">
        <v>44777</v>
      </c>
      <c r="B2403" s="2">
        <v>0.7872569444444445</v>
      </c>
      <c r="C2403">
        <v>3401</v>
      </c>
      <c r="D2403">
        <v>13002561</v>
      </c>
      <c r="E2403">
        <v>13</v>
      </c>
      <c r="F2403">
        <v>22589</v>
      </c>
      <c r="G2403" t="s">
        <v>23</v>
      </c>
      <c r="H2403">
        <v>18</v>
      </c>
      <c r="I2403">
        <v>32794</v>
      </c>
      <c r="J2403" t="s">
        <v>126</v>
      </c>
      <c r="K2403" t="s">
        <v>28</v>
      </c>
      <c r="L2403" t="s">
        <v>51</v>
      </c>
      <c r="M2403">
        <v>3</v>
      </c>
      <c r="N2403">
        <v>388.09</v>
      </c>
      <c r="O2403">
        <v>555.16999999999996</v>
      </c>
      <c r="P2403">
        <v>55.52</v>
      </c>
      <c r="Q2403">
        <v>55.52</v>
      </c>
      <c r="R2403" t="s">
        <v>30</v>
      </c>
      <c r="S2403">
        <v>29</v>
      </c>
      <c r="T2403">
        <v>1</v>
      </c>
      <c r="U2403">
        <v>2</v>
      </c>
      <c r="V2403">
        <v>499.65</v>
      </c>
      <c r="W2403">
        <v>13130002401</v>
      </c>
    </row>
    <row r="2404" spans="1:23" x14ac:dyDescent="0.2">
      <c r="A2404" s="1">
        <v>44776</v>
      </c>
      <c r="B2404" s="2">
        <v>0.92421296296296296</v>
      </c>
      <c r="C2404">
        <v>3402</v>
      </c>
      <c r="D2404">
        <v>13002561</v>
      </c>
      <c r="E2404">
        <v>13</v>
      </c>
      <c r="F2404">
        <v>22589</v>
      </c>
      <c r="G2404" t="s">
        <v>23</v>
      </c>
      <c r="H2404">
        <v>15</v>
      </c>
      <c r="I2404">
        <v>16749</v>
      </c>
      <c r="J2404" t="s">
        <v>125</v>
      </c>
      <c r="K2404" t="s">
        <v>28</v>
      </c>
      <c r="L2404" t="s">
        <v>36</v>
      </c>
      <c r="M2404">
        <v>2</v>
      </c>
      <c r="N2404">
        <v>24.46</v>
      </c>
      <c r="O2404">
        <v>32.119999999999997</v>
      </c>
      <c r="P2404">
        <v>0</v>
      </c>
      <c r="Q2404">
        <v>0</v>
      </c>
      <c r="S2404">
        <v>29</v>
      </c>
      <c r="T2404">
        <v>1</v>
      </c>
      <c r="U2404">
        <v>5</v>
      </c>
      <c r="V2404">
        <v>32.119999999999997</v>
      </c>
      <c r="W2404">
        <v>13130002402</v>
      </c>
    </row>
    <row r="2405" spans="1:23" x14ac:dyDescent="0.2">
      <c r="A2405" s="1">
        <v>44801</v>
      </c>
      <c r="B2405" s="2">
        <v>0.74057870370370371</v>
      </c>
      <c r="C2405">
        <v>3403</v>
      </c>
      <c r="D2405">
        <v>13002561</v>
      </c>
      <c r="E2405">
        <v>13</v>
      </c>
      <c r="F2405">
        <v>22589</v>
      </c>
      <c r="G2405" t="s">
        <v>23</v>
      </c>
      <c r="H2405">
        <v>18</v>
      </c>
      <c r="I2405">
        <v>92916</v>
      </c>
      <c r="J2405" t="s">
        <v>99</v>
      </c>
      <c r="K2405" t="s">
        <v>44</v>
      </c>
      <c r="L2405" t="s">
        <v>29</v>
      </c>
      <c r="M2405">
        <v>1</v>
      </c>
      <c r="N2405">
        <v>435.55</v>
      </c>
      <c r="O2405">
        <v>671.59</v>
      </c>
      <c r="P2405">
        <v>0</v>
      </c>
      <c r="Q2405">
        <v>0</v>
      </c>
      <c r="S2405">
        <v>29</v>
      </c>
      <c r="T2405">
        <v>1</v>
      </c>
      <c r="U2405">
        <v>5</v>
      </c>
      <c r="V2405">
        <v>671.59</v>
      </c>
      <c r="W2405">
        <v>13130002403</v>
      </c>
    </row>
    <row r="2406" spans="1:23" x14ac:dyDescent="0.2">
      <c r="A2406" s="1">
        <v>44779</v>
      </c>
      <c r="B2406" s="2">
        <v>0.64997685185185183</v>
      </c>
      <c r="C2406">
        <v>3404</v>
      </c>
      <c r="D2406">
        <v>13002561</v>
      </c>
      <c r="E2406">
        <v>13</v>
      </c>
      <c r="F2406">
        <v>22589</v>
      </c>
      <c r="G2406" t="s">
        <v>23</v>
      </c>
      <c r="H2406">
        <v>15</v>
      </c>
      <c r="I2406">
        <v>73733</v>
      </c>
      <c r="J2406" t="s">
        <v>31</v>
      </c>
      <c r="K2406" t="s">
        <v>60</v>
      </c>
      <c r="L2406" t="s">
        <v>26</v>
      </c>
      <c r="M2406">
        <v>2</v>
      </c>
      <c r="N2406">
        <v>356.75</v>
      </c>
      <c r="O2406">
        <v>606.41999999999996</v>
      </c>
      <c r="P2406">
        <v>0</v>
      </c>
      <c r="Q2406">
        <v>0</v>
      </c>
      <c r="S2406">
        <v>29</v>
      </c>
      <c r="T2406">
        <v>1</v>
      </c>
      <c r="U2406">
        <v>3</v>
      </c>
      <c r="V2406">
        <v>606.41999999999996</v>
      </c>
      <c r="W2406">
        <v>13130002404</v>
      </c>
    </row>
    <row r="2407" spans="1:23" x14ac:dyDescent="0.2">
      <c r="A2407" s="1">
        <v>44790</v>
      </c>
      <c r="B2407" s="2">
        <v>0.92530092592592594</v>
      </c>
      <c r="C2407">
        <v>3405</v>
      </c>
      <c r="D2407">
        <v>13002561</v>
      </c>
      <c r="E2407">
        <v>13</v>
      </c>
      <c r="F2407">
        <v>22589</v>
      </c>
      <c r="G2407" t="s">
        <v>23</v>
      </c>
      <c r="H2407">
        <v>18</v>
      </c>
      <c r="I2407">
        <v>74408</v>
      </c>
      <c r="J2407" t="s">
        <v>75</v>
      </c>
      <c r="K2407" t="s">
        <v>60</v>
      </c>
      <c r="L2407" t="s">
        <v>29</v>
      </c>
      <c r="M2407">
        <v>3</v>
      </c>
      <c r="N2407">
        <v>322.07</v>
      </c>
      <c r="O2407">
        <v>410.16</v>
      </c>
      <c r="P2407">
        <v>41.02</v>
      </c>
      <c r="Q2407">
        <v>41.02</v>
      </c>
      <c r="R2407" t="s">
        <v>30</v>
      </c>
      <c r="S2407">
        <v>29</v>
      </c>
      <c r="T2407">
        <v>1</v>
      </c>
      <c r="U2407">
        <v>3</v>
      </c>
      <c r="V2407">
        <v>369.14</v>
      </c>
      <c r="W2407">
        <v>13130002405</v>
      </c>
    </row>
    <row r="2408" spans="1:23" x14ac:dyDescent="0.2">
      <c r="A2408" s="1">
        <v>44783</v>
      </c>
      <c r="B2408" s="2">
        <v>0.90969907407407402</v>
      </c>
      <c r="C2408">
        <v>3406</v>
      </c>
      <c r="D2408">
        <v>13002561</v>
      </c>
      <c r="E2408">
        <v>13</v>
      </c>
      <c r="F2408">
        <v>22589</v>
      </c>
      <c r="G2408" t="s">
        <v>23</v>
      </c>
      <c r="H2408">
        <v>15</v>
      </c>
      <c r="I2408">
        <v>10832</v>
      </c>
      <c r="J2408" t="s">
        <v>89</v>
      </c>
      <c r="K2408" t="s">
        <v>45</v>
      </c>
      <c r="L2408" t="s">
        <v>29</v>
      </c>
      <c r="M2408">
        <v>3</v>
      </c>
      <c r="N2408">
        <v>155.77000000000001</v>
      </c>
      <c r="O2408">
        <v>205.19</v>
      </c>
      <c r="P2408">
        <v>10.26</v>
      </c>
      <c r="Q2408">
        <v>10.26</v>
      </c>
      <c r="R2408" t="s">
        <v>30</v>
      </c>
      <c r="S2408">
        <v>29</v>
      </c>
      <c r="T2408">
        <v>1</v>
      </c>
      <c r="U2408">
        <v>4</v>
      </c>
      <c r="V2408">
        <v>194.93</v>
      </c>
      <c r="W2408">
        <v>13130002406</v>
      </c>
    </row>
    <row r="2409" spans="1:23" x14ac:dyDescent="0.2">
      <c r="A2409" s="1">
        <v>44799</v>
      </c>
      <c r="B2409" s="2">
        <v>0.61084490740740738</v>
      </c>
      <c r="C2409">
        <v>3407</v>
      </c>
      <c r="D2409">
        <v>13002561</v>
      </c>
      <c r="E2409">
        <v>13</v>
      </c>
      <c r="F2409">
        <v>22589</v>
      </c>
      <c r="G2409" t="s">
        <v>23</v>
      </c>
      <c r="H2409">
        <v>15</v>
      </c>
      <c r="I2409">
        <v>98973</v>
      </c>
      <c r="J2409" t="s">
        <v>62</v>
      </c>
      <c r="K2409" t="s">
        <v>44</v>
      </c>
      <c r="L2409" t="s">
        <v>39</v>
      </c>
      <c r="M2409">
        <v>3</v>
      </c>
      <c r="N2409">
        <v>9.5299999999999994</v>
      </c>
      <c r="O2409">
        <v>12.08</v>
      </c>
      <c r="P2409">
        <v>1.21</v>
      </c>
      <c r="Q2409">
        <v>1.21</v>
      </c>
      <c r="R2409" t="s">
        <v>30</v>
      </c>
      <c r="S2409">
        <v>29</v>
      </c>
      <c r="T2409">
        <v>1</v>
      </c>
      <c r="U2409">
        <v>1</v>
      </c>
      <c r="V2409">
        <v>10.87</v>
      </c>
      <c r="W2409">
        <v>13130002407</v>
      </c>
    </row>
    <row r="2410" spans="1:23" x14ac:dyDescent="0.2">
      <c r="A2410" s="1">
        <v>44786</v>
      </c>
      <c r="B2410" s="2">
        <v>0.67583333333333329</v>
      </c>
      <c r="C2410">
        <v>3408</v>
      </c>
      <c r="D2410">
        <v>13002561</v>
      </c>
      <c r="E2410">
        <v>13</v>
      </c>
      <c r="F2410">
        <v>22589</v>
      </c>
      <c r="G2410" t="s">
        <v>23</v>
      </c>
      <c r="H2410">
        <v>15</v>
      </c>
      <c r="I2410">
        <v>29942</v>
      </c>
      <c r="J2410" t="s">
        <v>119</v>
      </c>
      <c r="K2410" t="s">
        <v>38</v>
      </c>
      <c r="L2410" t="s">
        <v>29</v>
      </c>
      <c r="M2410">
        <v>1</v>
      </c>
      <c r="N2410">
        <v>261.08999999999997</v>
      </c>
      <c r="O2410">
        <v>404.59</v>
      </c>
      <c r="P2410">
        <v>20.23</v>
      </c>
      <c r="Q2410">
        <v>20.23</v>
      </c>
      <c r="R2410" t="s">
        <v>30</v>
      </c>
      <c r="S2410">
        <v>29</v>
      </c>
      <c r="T2410">
        <v>1</v>
      </c>
      <c r="U2410">
        <v>2</v>
      </c>
      <c r="V2410">
        <v>384.36</v>
      </c>
      <c r="W2410">
        <v>13130002408</v>
      </c>
    </row>
    <row r="2411" spans="1:23" x14ac:dyDescent="0.2">
      <c r="A2411" s="1">
        <v>44794</v>
      </c>
      <c r="B2411" s="2">
        <v>0.65986111111111112</v>
      </c>
      <c r="C2411">
        <v>3409</v>
      </c>
      <c r="D2411">
        <v>13002561</v>
      </c>
      <c r="E2411">
        <v>13</v>
      </c>
      <c r="F2411">
        <v>22589</v>
      </c>
      <c r="G2411" t="s">
        <v>23</v>
      </c>
      <c r="H2411">
        <v>18</v>
      </c>
      <c r="I2411">
        <v>88420</v>
      </c>
      <c r="J2411" t="s">
        <v>107</v>
      </c>
      <c r="K2411" t="s">
        <v>44</v>
      </c>
      <c r="L2411" t="s">
        <v>32</v>
      </c>
      <c r="M2411">
        <v>1</v>
      </c>
      <c r="N2411">
        <v>21.11</v>
      </c>
      <c r="O2411">
        <v>31.96</v>
      </c>
      <c r="P2411">
        <v>3.2</v>
      </c>
      <c r="Q2411">
        <v>3.2</v>
      </c>
      <c r="R2411" t="s">
        <v>30</v>
      </c>
      <c r="S2411">
        <v>29</v>
      </c>
      <c r="T2411">
        <v>1</v>
      </c>
      <c r="U2411">
        <v>2</v>
      </c>
      <c r="V2411">
        <v>28.76</v>
      </c>
      <c r="W2411">
        <v>13130002409</v>
      </c>
    </row>
    <row r="2412" spans="1:23" x14ac:dyDescent="0.2">
      <c r="A2412" s="1">
        <v>44790</v>
      </c>
      <c r="B2412" s="2">
        <v>0.87516203703703699</v>
      </c>
      <c r="C2412">
        <v>3410</v>
      </c>
      <c r="D2412">
        <v>13002561</v>
      </c>
      <c r="E2412">
        <v>13</v>
      </c>
      <c r="F2412">
        <v>22589</v>
      </c>
      <c r="G2412" t="s">
        <v>23</v>
      </c>
      <c r="H2412">
        <v>15</v>
      </c>
      <c r="I2412">
        <v>34811</v>
      </c>
      <c r="J2412" t="s">
        <v>77</v>
      </c>
      <c r="K2412" t="s">
        <v>38</v>
      </c>
      <c r="L2412" t="s">
        <v>51</v>
      </c>
      <c r="M2412">
        <v>1</v>
      </c>
      <c r="N2412">
        <v>470.56</v>
      </c>
      <c r="O2412">
        <v>748.6</v>
      </c>
      <c r="P2412">
        <v>37.43</v>
      </c>
      <c r="Q2412">
        <v>37.43</v>
      </c>
      <c r="R2412" t="s">
        <v>30</v>
      </c>
      <c r="S2412">
        <v>29</v>
      </c>
      <c r="T2412">
        <v>1</v>
      </c>
      <c r="U2412">
        <v>1</v>
      </c>
      <c r="V2412">
        <v>711.17</v>
      </c>
      <c r="W2412">
        <v>13130002410</v>
      </c>
    </row>
    <row r="2413" spans="1:23" x14ac:dyDescent="0.2">
      <c r="A2413" s="1">
        <v>44799</v>
      </c>
      <c r="B2413" s="2">
        <v>0.44912037037037039</v>
      </c>
      <c r="C2413">
        <v>3411</v>
      </c>
      <c r="D2413">
        <v>13002561</v>
      </c>
      <c r="E2413">
        <v>13</v>
      </c>
      <c r="F2413">
        <v>22589</v>
      </c>
      <c r="G2413" t="s">
        <v>23</v>
      </c>
      <c r="H2413">
        <v>18</v>
      </c>
      <c r="I2413">
        <v>27221</v>
      </c>
      <c r="J2413" t="s">
        <v>79</v>
      </c>
      <c r="K2413" t="s">
        <v>60</v>
      </c>
      <c r="L2413" t="s">
        <v>47</v>
      </c>
      <c r="M2413">
        <v>3</v>
      </c>
      <c r="N2413">
        <v>498.73</v>
      </c>
      <c r="O2413">
        <v>797.97</v>
      </c>
      <c r="P2413">
        <v>79.8</v>
      </c>
      <c r="Q2413">
        <v>79.8</v>
      </c>
      <c r="R2413" t="s">
        <v>30</v>
      </c>
      <c r="S2413">
        <v>29</v>
      </c>
      <c r="T2413">
        <v>1</v>
      </c>
      <c r="U2413">
        <v>1</v>
      </c>
      <c r="V2413">
        <v>718.17</v>
      </c>
      <c r="W2413">
        <v>13130002411</v>
      </c>
    </row>
    <row r="2414" spans="1:23" x14ac:dyDescent="0.2">
      <c r="A2414" s="1">
        <v>44774</v>
      </c>
      <c r="B2414" s="2">
        <v>0.52545138888888887</v>
      </c>
      <c r="C2414">
        <v>3412</v>
      </c>
      <c r="D2414">
        <v>13002561</v>
      </c>
      <c r="E2414">
        <v>13</v>
      </c>
      <c r="F2414">
        <v>22589</v>
      </c>
      <c r="G2414" t="s">
        <v>23</v>
      </c>
      <c r="H2414">
        <v>18</v>
      </c>
      <c r="I2414">
        <v>77360</v>
      </c>
      <c r="J2414" t="s">
        <v>24</v>
      </c>
      <c r="K2414" t="s">
        <v>60</v>
      </c>
      <c r="L2414" t="s">
        <v>47</v>
      </c>
      <c r="M2414">
        <v>2</v>
      </c>
      <c r="N2414">
        <v>491.35</v>
      </c>
      <c r="O2414">
        <v>757.9</v>
      </c>
      <c r="P2414">
        <v>37.9</v>
      </c>
      <c r="Q2414">
        <v>37.9</v>
      </c>
      <c r="R2414" t="s">
        <v>30</v>
      </c>
      <c r="S2414">
        <v>29</v>
      </c>
      <c r="T2414">
        <v>1</v>
      </c>
      <c r="U2414">
        <v>2</v>
      </c>
      <c r="V2414">
        <v>720</v>
      </c>
      <c r="W2414">
        <v>13130002412</v>
      </c>
    </row>
    <row r="2415" spans="1:23" x14ac:dyDescent="0.2">
      <c r="A2415" s="1">
        <v>44787</v>
      </c>
      <c r="B2415" s="2">
        <v>0.48929398148148151</v>
      </c>
      <c r="C2415">
        <v>3413</v>
      </c>
      <c r="D2415">
        <v>13002561</v>
      </c>
      <c r="E2415">
        <v>13</v>
      </c>
      <c r="F2415">
        <v>22589</v>
      </c>
      <c r="G2415" t="s">
        <v>23</v>
      </c>
      <c r="H2415">
        <v>15</v>
      </c>
      <c r="I2415">
        <v>19642</v>
      </c>
      <c r="J2415" t="s">
        <v>56</v>
      </c>
      <c r="K2415" t="s">
        <v>38</v>
      </c>
      <c r="L2415" t="s">
        <v>34</v>
      </c>
      <c r="M2415">
        <v>3</v>
      </c>
      <c r="N2415">
        <v>497.85</v>
      </c>
      <c r="O2415">
        <v>720.85</v>
      </c>
      <c r="P2415">
        <v>72.09</v>
      </c>
      <c r="Q2415">
        <v>72.09</v>
      </c>
      <c r="R2415" t="s">
        <v>30</v>
      </c>
      <c r="S2415">
        <v>29</v>
      </c>
      <c r="T2415">
        <v>1</v>
      </c>
      <c r="U2415">
        <v>5</v>
      </c>
      <c r="V2415">
        <v>648.76</v>
      </c>
      <c r="W2415">
        <v>13130002413</v>
      </c>
    </row>
    <row r="2416" spans="1:23" x14ac:dyDescent="0.2">
      <c r="A2416" s="1">
        <v>44777</v>
      </c>
      <c r="B2416" s="2">
        <v>0.81380787037037039</v>
      </c>
      <c r="C2416">
        <v>3414</v>
      </c>
      <c r="D2416">
        <v>13002561</v>
      </c>
      <c r="E2416">
        <v>13</v>
      </c>
      <c r="F2416">
        <v>22589</v>
      </c>
      <c r="G2416" t="s">
        <v>23</v>
      </c>
      <c r="H2416">
        <v>15</v>
      </c>
      <c r="I2416">
        <v>31656</v>
      </c>
      <c r="J2416" t="s">
        <v>40</v>
      </c>
      <c r="K2416" t="s">
        <v>25</v>
      </c>
      <c r="L2416" t="s">
        <v>32</v>
      </c>
      <c r="M2416">
        <v>2</v>
      </c>
      <c r="N2416">
        <v>488.11</v>
      </c>
      <c r="O2416">
        <v>722.44</v>
      </c>
      <c r="P2416">
        <v>0</v>
      </c>
      <c r="Q2416">
        <v>0</v>
      </c>
      <c r="S2416">
        <v>29</v>
      </c>
      <c r="T2416">
        <v>1</v>
      </c>
      <c r="U2416">
        <v>2</v>
      </c>
      <c r="V2416">
        <v>722.44</v>
      </c>
      <c r="W2416">
        <v>13130002414</v>
      </c>
    </row>
    <row r="2417" spans="1:23" x14ac:dyDescent="0.2">
      <c r="A2417" s="1">
        <v>44800</v>
      </c>
      <c r="B2417" s="2">
        <v>0.56001157407407409</v>
      </c>
      <c r="C2417">
        <v>3415</v>
      </c>
      <c r="D2417">
        <v>13002561</v>
      </c>
      <c r="E2417">
        <v>13</v>
      </c>
      <c r="F2417">
        <v>22589</v>
      </c>
      <c r="G2417" t="s">
        <v>23</v>
      </c>
      <c r="H2417">
        <v>15</v>
      </c>
      <c r="I2417">
        <v>49953</v>
      </c>
      <c r="J2417" t="s">
        <v>41</v>
      </c>
      <c r="K2417" t="s">
        <v>25</v>
      </c>
      <c r="L2417" t="s">
        <v>32</v>
      </c>
      <c r="M2417">
        <v>1</v>
      </c>
      <c r="N2417">
        <v>125.18</v>
      </c>
      <c r="O2417">
        <v>195.58</v>
      </c>
      <c r="P2417">
        <v>0</v>
      </c>
      <c r="Q2417">
        <v>0</v>
      </c>
      <c r="S2417">
        <v>29</v>
      </c>
      <c r="T2417">
        <v>1</v>
      </c>
      <c r="U2417">
        <v>3</v>
      </c>
      <c r="V2417">
        <v>195.58</v>
      </c>
      <c r="W2417">
        <v>13130002415</v>
      </c>
    </row>
    <row r="2418" spans="1:23" x14ac:dyDescent="0.2">
      <c r="A2418" s="1">
        <v>44779</v>
      </c>
      <c r="B2418" s="2">
        <v>0.39521990740740742</v>
      </c>
      <c r="C2418">
        <v>3416</v>
      </c>
      <c r="D2418">
        <v>13002561</v>
      </c>
      <c r="E2418">
        <v>13</v>
      </c>
      <c r="F2418">
        <v>22589</v>
      </c>
      <c r="G2418" t="s">
        <v>23</v>
      </c>
      <c r="H2418">
        <v>15</v>
      </c>
      <c r="I2418">
        <v>75402</v>
      </c>
      <c r="J2418" t="s">
        <v>48</v>
      </c>
      <c r="K2418" t="s">
        <v>44</v>
      </c>
      <c r="L2418" t="s">
        <v>36</v>
      </c>
      <c r="M2418">
        <v>1</v>
      </c>
      <c r="N2418">
        <v>42.23</v>
      </c>
      <c r="O2418">
        <v>65.58</v>
      </c>
      <c r="P2418">
        <v>6.56</v>
      </c>
      <c r="Q2418">
        <v>6.56</v>
      </c>
      <c r="R2418" t="s">
        <v>30</v>
      </c>
      <c r="S2418">
        <v>29</v>
      </c>
      <c r="T2418">
        <v>1</v>
      </c>
      <c r="U2418">
        <v>1</v>
      </c>
      <c r="V2418">
        <v>59.02</v>
      </c>
      <c r="W2418">
        <v>13130002416</v>
      </c>
    </row>
    <row r="2419" spans="1:23" x14ac:dyDescent="0.2">
      <c r="A2419" s="1">
        <v>44802</v>
      </c>
      <c r="B2419" s="2">
        <v>0.51537037037037037</v>
      </c>
      <c r="C2419">
        <v>3417</v>
      </c>
      <c r="D2419">
        <v>13002561</v>
      </c>
      <c r="E2419">
        <v>13</v>
      </c>
      <c r="F2419">
        <v>22589</v>
      </c>
      <c r="G2419" t="s">
        <v>23</v>
      </c>
      <c r="H2419">
        <v>15</v>
      </c>
      <c r="I2419">
        <v>43792</v>
      </c>
      <c r="J2419" t="s">
        <v>93</v>
      </c>
      <c r="K2419" t="s">
        <v>25</v>
      </c>
      <c r="L2419" t="s">
        <v>34</v>
      </c>
      <c r="M2419">
        <v>1</v>
      </c>
      <c r="N2419">
        <v>317.82</v>
      </c>
      <c r="O2419">
        <v>474.8</v>
      </c>
      <c r="P2419">
        <v>0</v>
      </c>
      <c r="Q2419">
        <v>0</v>
      </c>
      <c r="S2419">
        <v>29</v>
      </c>
      <c r="T2419">
        <v>1</v>
      </c>
      <c r="U2419">
        <v>2</v>
      </c>
      <c r="V2419">
        <v>474.8</v>
      </c>
      <c r="W2419">
        <v>13130002417</v>
      </c>
    </row>
    <row r="2420" spans="1:23" x14ac:dyDescent="0.2">
      <c r="A2420" s="1">
        <v>44797</v>
      </c>
      <c r="B2420" s="2">
        <v>0.50248842592592591</v>
      </c>
      <c r="C2420">
        <v>3418</v>
      </c>
      <c r="D2420">
        <v>13002561</v>
      </c>
      <c r="E2420">
        <v>13</v>
      </c>
      <c r="F2420">
        <v>22589</v>
      </c>
      <c r="G2420" t="s">
        <v>23</v>
      </c>
      <c r="H2420">
        <v>15</v>
      </c>
      <c r="I2420">
        <v>91725</v>
      </c>
      <c r="J2420" t="s">
        <v>89</v>
      </c>
      <c r="K2420" t="s">
        <v>60</v>
      </c>
      <c r="L2420" t="s">
        <v>32</v>
      </c>
      <c r="M2420">
        <v>3</v>
      </c>
      <c r="N2420">
        <v>288.54000000000002</v>
      </c>
      <c r="O2420">
        <v>362.63</v>
      </c>
      <c r="P2420">
        <v>36.26</v>
      </c>
      <c r="Q2420">
        <v>36.26</v>
      </c>
      <c r="R2420" t="s">
        <v>30</v>
      </c>
      <c r="S2420">
        <v>29</v>
      </c>
      <c r="T2420">
        <v>1</v>
      </c>
      <c r="U2420">
        <v>4</v>
      </c>
      <c r="V2420">
        <v>326.37</v>
      </c>
      <c r="W2420">
        <v>13130002418</v>
      </c>
    </row>
    <row r="2421" spans="1:23" x14ac:dyDescent="0.2">
      <c r="A2421" s="1">
        <v>44781</v>
      </c>
      <c r="B2421" s="2">
        <v>0.88351851851851848</v>
      </c>
      <c r="C2421">
        <v>3419</v>
      </c>
      <c r="D2421">
        <v>13002561</v>
      </c>
      <c r="E2421">
        <v>13</v>
      </c>
      <c r="F2421">
        <v>22589</v>
      </c>
      <c r="G2421" t="s">
        <v>23</v>
      </c>
      <c r="H2421">
        <v>15</v>
      </c>
      <c r="I2421">
        <v>78776</v>
      </c>
      <c r="J2421" t="s">
        <v>123</v>
      </c>
      <c r="K2421" t="s">
        <v>25</v>
      </c>
      <c r="L2421" t="s">
        <v>51</v>
      </c>
      <c r="M2421">
        <v>3</v>
      </c>
      <c r="N2421">
        <v>328.44</v>
      </c>
      <c r="O2421">
        <v>551.73</v>
      </c>
      <c r="P2421">
        <v>55.17</v>
      </c>
      <c r="Q2421">
        <v>55.17</v>
      </c>
      <c r="R2421" t="s">
        <v>30</v>
      </c>
      <c r="S2421">
        <v>29</v>
      </c>
      <c r="T2421">
        <v>1</v>
      </c>
      <c r="U2421">
        <v>3</v>
      </c>
      <c r="V2421">
        <v>496.56</v>
      </c>
      <c r="W2421">
        <v>13130002419</v>
      </c>
    </row>
    <row r="2422" spans="1:23" x14ac:dyDescent="0.2">
      <c r="A2422" s="1">
        <v>44778</v>
      </c>
      <c r="B2422" s="2">
        <v>0.7180671296296296</v>
      </c>
      <c r="C2422">
        <v>3420</v>
      </c>
      <c r="D2422">
        <v>13002561</v>
      </c>
      <c r="E2422">
        <v>13</v>
      </c>
      <c r="F2422">
        <v>22589</v>
      </c>
      <c r="G2422" t="s">
        <v>23</v>
      </c>
      <c r="H2422">
        <v>15</v>
      </c>
      <c r="I2422">
        <v>80567</v>
      </c>
      <c r="J2422" t="s">
        <v>94</v>
      </c>
      <c r="K2422" t="s">
        <v>60</v>
      </c>
      <c r="L2422" t="s">
        <v>36</v>
      </c>
      <c r="M2422">
        <v>2</v>
      </c>
      <c r="N2422">
        <v>133.86000000000001</v>
      </c>
      <c r="O2422">
        <v>220.05</v>
      </c>
      <c r="P2422">
        <v>22.01</v>
      </c>
      <c r="Q2422">
        <v>22.01</v>
      </c>
      <c r="R2422" t="s">
        <v>30</v>
      </c>
      <c r="S2422">
        <v>29</v>
      </c>
      <c r="T2422">
        <v>1</v>
      </c>
      <c r="U2422">
        <v>4</v>
      </c>
      <c r="V2422">
        <v>198.04</v>
      </c>
      <c r="W2422">
        <v>13130002420</v>
      </c>
    </row>
    <row r="2423" spans="1:23" x14ac:dyDescent="0.2">
      <c r="A2423" s="1">
        <v>44781</v>
      </c>
      <c r="B2423" s="2">
        <v>0.62430555555555556</v>
      </c>
      <c r="C2423">
        <v>3421</v>
      </c>
      <c r="D2423">
        <v>13002561</v>
      </c>
      <c r="E2423">
        <v>13</v>
      </c>
      <c r="F2423">
        <v>22589</v>
      </c>
      <c r="G2423" t="s">
        <v>23</v>
      </c>
      <c r="H2423">
        <v>15</v>
      </c>
      <c r="I2423">
        <v>75831</v>
      </c>
      <c r="J2423" t="s">
        <v>124</v>
      </c>
      <c r="K2423" t="s">
        <v>28</v>
      </c>
      <c r="L2423" t="s">
        <v>51</v>
      </c>
      <c r="M2423">
        <v>1</v>
      </c>
      <c r="N2423">
        <v>173.54</v>
      </c>
      <c r="O2423">
        <v>281.19</v>
      </c>
      <c r="P2423">
        <v>0</v>
      </c>
      <c r="Q2423">
        <v>0</v>
      </c>
      <c r="S2423">
        <v>29</v>
      </c>
      <c r="T2423">
        <v>1</v>
      </c>
      <c r="U2423">
        <v>4</v>
      </c>
      <c r="V2423">
        <v>281.19</v>
      </c>
      <c r="W2423">
        <v>13130002421</v>
      </c>
    </row>
    <row r="2424" spans="1:23" x14ac:dyDescent="0.2">
      <c r="A2424" s="1">
        <v>44799</v>
      </c>
      <c r="B2424" s="2">
        <v>0.42850694444444443</v>
      </c>
      <c r="C2424">
        <v>3422</v>
      </c>
      <c r="D2424">
        <v>13002561</v>
      </c>
      <c r="E2424">
        <v>13</v>
      </c>
      <c r="F2424">
        <v>22589</v>
      </c>
      <c r="G2424" t="s">
        <v>23</v>
      </c>
      <c r="H2424">
        <v>15</v>
      </c>
      <c r="I2424">
        <v>11115</v>
      </c>
      <c r="J2424" t="s">
        <v>109</v>
      </c>
      <c r="K2424" t="s">
        <v>25</v>
      </c>
      <c r="L2424" t="s">
        <v>47</v>
      </c>
      <c r="M2424">
        <v>3</v>
      </c>
      <c r="N2424">
        <v>314.66000000000003</v>
      </c>
      <c r="O2424">
        <v>493.48</v>
      </c>
      <c r="P2424">
        <v>24.67</v>
      </c>
      <c r="Q2424">
        <v>24.67</v>
      </c>
      <c r="R2424" t="s">
        <v>30</v>
      </c>
      <c r="S2424">
        <v>29</v>
      </c>
      <c r="T2424">
        <v>1</v>
      </c>
      <c r="U2424">
        <v>3</v>
      </c>
      <c r="V2424">
        <v>468.81</v>
      </c>
      <c r="W2424">
        <v>13130002422</v>
      </c>
    </row>
    <row r="2425" spans="1:23" x14ac:dyDescent="0.2">
      <c r="A2425" s="1">
        <v>44779</v>
      </c>
      <c r="B2425" s="2">
        <v>0.70368055555555553</v>
      </c>
      <c r="C2425">
        <v>3423</v>
      </c>
      <c r="D2425">
        <v>13002561</v>
      </c>
      <c r="E2425">
        <v>13</v>
      </c>
      <c r="F2425">
        <v>22589</v>
      </c>
      <c r="G2425" t="s">
        <v>23</v>
      </c>
      <c r="H2425">
        <v>18</v>
      </c>
      <c r="I2425">
        <v>99527</v>
      </c>
      <c r="J2425" t="s">
        <v>65</v>
      </c>
      <c r="K2425" t="s">
        <v>38</v>
      </c>
      <c r="L2425" t="s">
        <v>51</v>
      </c>
      <c r="M2425">
        <v>1</v>
      </c>
      <c r="N2425">
        <v>582.85</v>
      </c>
      <c r="O2425">
        <v>957.08</v>
      </c>
      <c r="P2425">
        <v>95.71</v>
      </c>
      <c r="Q2425">
        <v>95.71</v>
      </c>
      <c r="R2425" t="s">
        <v>30</v>
      </c>
      <c r="S2425">
        <v>29</v>
      </c>
      <c r="T2425">
        <v>1</v>
      </c>
      <c r="U2425">
        <v>5</v>
      </c>
      <c r="V2425">
        <v>861.37</v>
      </c>
      <c r="W2425">
        <v>13130002423</v>
      </c>
    </row>
    <row r="2426" spans="1:23" x14ac:dyDescent="0.2">
      <c r="A2426" s="1">
        <v>44778</v>
      </c>
      <c r="B2426" s="2">
        <v>0.50087962962962962</v>
      </c>
      <c r="C2426">
        <v>3424</v>
      </c>
      <c r="D2426">
        <v>13002561</v>
      </c>
      <c r="E2426">
        <v>13</v>
      </c>
      <c r="F2426">
        <v>22589</v>
      </c>
      <c r="G2426" t="s">
        <v>23</v>
      </c>
      <c r="H2426">
        <v>18</v>
      </c>
      <c r="I2426">
        <v>29784</v>
      </c>
      <c r="J2426" t="s">
        <v>121</v>
      </c>
      <c r="K2426" t="s">
        <v>28</v>
      </c>
      <c r="L2426" t="s">
        <v>39</v>
      </c>
      <c r="M2426">
        <v>2</v>
      </c>
      <c r="N2426">
        <v>64.989999999999995</v>
      </c>
      <c r="O2426">
        <v>105.6</v>
      </c>
      <c r="P2426">
        <v>0</v>
      </c>
      <c r="Q2426">
        <v>0</v>
      </c>
      <c r="S2426">
        <v>29</v>
      </c>
      <c r="T2426">
        <v>1</v>
      </c>
      <c r="U2426">
        <v>1</v>
      </c>
      <c r="V2426">
        <v>105.6</v>
      </c>
      <c r="W2426">
        <v>13130002424</v>
      </c>
    </row>
    <row r="2427" spans="1:23" x14ac:dyDescent="0.2">
      <c r="A2427" s="1">
        <v>44795</v>
      </c>
      <c r="B2427" s="2">
        <v>0.81277777777777782</v>
      </c>
      <c r="C2427">
        <v>3425</v>
      </c>
      <c r="D2427">
        <v>13002561</v>
      </c>
      <c r="E2427">
        <v>13</v>
      </c>
      <c r="F2427">
        <v>22589</v>
      </c>
      <c r="G2427" t="s">
        <v>23</v>
      </c>
      <c r="H2427">
        <v>18</v>
      </c>
      <c r="I2427">
        <v>58049</v>
      </c>
      <c r="J2427" t="s">
        <v>89</v>
      </c>
      <c r="K2427" t="s">
        <v>25</v>
      </c>
      <c r="L2427" t="s">
        <v>36</v>
      </c>
      <c r="M2427">
        <v>1</v>
      </c>
      <c r="N2427">
        <v>252.39</v>
      </c>
      <c r="O2427">
        <v>335.84</v>
      </c>
      <c r="P2427">
        <v>16.79</v>
      </c>
      <c r="Q2427">
        <v>16.79</v>
      </c>
      <c r="R2427" t="s">
        <v>30</v>
      </c>
      <c r="S2427">
        <v>29</v>
      </c>
      <c r="T2427">
        <v>1</v>
      </c>
      <c r="U2427">
        <v>6</v>
      </c>
      <c r="V2427">
        <v>319.05</v>
      </c>
      <c r="W2427">
        <v>13130002425</v>
      </c>
    </row>
    <row r="2428" spans="1:23" x14ac:dyDescent="0.2">
      <c r="A2428" s="1">
        <v>44800</v>
      </c>
      <c r="B2428" s="2">
        <v>0.68381944444444442</v>
      </c>
      <c r="C2428">
        <v>3426</v>
      </c>
      <c r="D2428">
        <v>13002561</v>
      </c>
      <c r="E2428">
        <v>13</v>
      </c>
      <c r="F2428">
        <v>22589</v>
      </c>
      <c r="G2428" t="s">
        <v>23</v>
      </c>
      <c r="H2428">
        <v>18</v>
      </c>
      <c r="I2428">
        <v>81237</v>
      </c>
      <c r="J2428" t="s">
        <v>93</v>
      </c>
      <c r="K2428" t="s">
        <v>25</v>
      </c>
      <c r="L2428" t="s">
        <v>36</v>
      </c>
      <c r="M2428">
        <v>2</v>
      </c>
      <c r="N2428">
        <v>391.8</v>
      </c>
      <c r="O2428">
        <v>589.64</v>
      </c>
      <c r="P2428">
        <v>29.48</v>
      </c>
      <c r="Q2428">
        <v>29.48</v>
      </c>
      <c r="R2428" t="s">
        <v>30</v>
      </c>
      <c r="S2428">
        <v>29</v>
      </c>
      <c r="T2428">
        <v>1</v>
      </c>
      <c r="U2428">
        <v>5</v>
      </c>
      <c r="V2428">
        <v>560.16</v>
      </c>
      <c r="W2428">
        <v>13130002426</v>
      </c>
    </row>
    <row r="2429" spans="1:23" x14ac:dyDescent="0.2">
      <c r="A2429" s="1">
        <v>44803</v>
      </c>
      <c r="B2429" s="2">
        <v>0.77680555555555553</v>
      </c>
      <c r="C2429">
        <v>3427</v>
      </c>
      <c r="D2429">
        <v>13002561</v>
      </c>
      <c r="E2429">
        <v>13</v>
      </c>
      <c r="F2429">
        <v>22589</v>
      </c>
      <c r="G2429" t="s">
        <v>23</v>
      </c>
      <c r="H2429">
        <v>15</v>
      </c>
      <c r="I2429">
        <v>23602</v>
      </c>
      <c r="J2429" t="s">
        <v>77</v>
      </c>
      <c r="K2429" t="s">
        <v>44</v>
      </c>
      <c r="L2429" t="s">
        <v>32</v>
      </c>
      <c r="M2429">
        <v>3</v>
      </c>
      <c r="N2429">
        <v>13.29</v>
      </c>
      <c r="O2429">
        <v>17.89</v>
      </c>
      <c r="P2429">
        <v>1.79</v>
      </c>
      <c r="Q2429">
        <v>1.79</v>
      </c>
      <c r="R2429" t="s">
        <v>30</v>
      </c>
      <c r="S2429">
        <v>29</v>
      </c>
      <c r="T2429">
        <v>1</v>
      </c>
      <c r="U2429">
        <v>1</v>
      </c>
      <c r="V2429">
        <v>16.100000000000001</v>
      </c>
      <c r="W2429">
        <v>13130002427</v>
      </c>
    </row>
    <row r="2430" spans="1:23" x14ac:dyDescent="0.2">
      <c r="A2430" s="1">
        <v>44792</v>
      </c>
      <c r="B2430" s="2">
        <v>0.67784722222222227</v>
      </c>
      <c r="C2430">
        <v>3428</v>
      </c>
      <c r="D2430">
        <v>13002561</v>
      </c>
      <c r="E2430">
        <v>13</v>
      </c>
      <c r="F2430">
        <v>22589</v>
      </c>
      <c r="G2430" t="s">
        <v>23</v>
      </c>
      <c r="H2430">
        <v>18</v>
      </c>
      <c r="I2430">
        <v>14722</v>
      </c>
      <c r="J2430" t="s">
        <v>84</v>
      </c>
      <c r="K2430" t="s">
        <v>45</v>
      </c>
      <c r="L2430" t="s">
        <v>47</v>
      </c>
      <c r="M2430">
        <v>2</v>
      </c>
      <c r="N2430">
        <v>583.35</v>
      </c>
      <c r="O2430">
        <v>963.29</v>
      </c>
      <c r="P2430">
        <v>96.33</v>
      </c>
      <c r="Q2430">
        <v>96.33</v>
      </c>
      <c r="R2430" t="s">
        <v>30</v>
      </c>
      <c r="S2430">
        <v>29</v>
      </c>
      <c r="T2430">
        <v>1</v>
      </c>
      <c r="U2430">
        <v>1</v>
      </c>
      <c r="V2430">
        <v>866.96</v>
      </c>
      <c r="W2430">
        <v>13130002428</v>
      </c>
    </row>
    <row r="2431" spans="1:23" x14ac:dyDescent="0.2">
      <c r="A2431" s="1">
        <v>44796</v>
      </c>
      <c r="B2431" s="2">
        <v>0.39222222222222219</v>
      </c>
      <c r="C2431">
        <v>3429</v>
      </c>
      <c r="D2431">
        <v>13002561</v>
      </c>
      <c r="E2431">
        <v>13</v>
      </c>
      <c r="F2431">
        <v>22589</v>
      </c>
      <c r="G2431" t="s">
        <v>23</v>
      </c>
      <c r="H2431">
        <v>15</v>
      </c>
      <c r="I2431">
        <v>31309</v>
      </c>
      <c r="J2431" t="s">
        <v>74</v>
      </c>
      <c r="K2431" t="s">
        <v>28</v>
      </c>
      <c r="L2431" t="s">
        <v>29</v>
      </c>
      <c r="M2431">
        <v>3</v>
      </c>
      <c r="N2431">
        <v>141.47</v>
      </c>
      <c r="O2431">
        <v>180.91</v>
      </c>
      <c r="P2431">
        <v>18.09</v>
      </c>
      <c r="Q2431">
        <v>18.09</v>
      </c>
      <c r="R2431" t="s">
        <v>30</v>
      </c>
      <c r="S2431">
        <v>29</v>
      </c>
      <c r="T2431">
        <v>1</v>
      </c>
      <c r="U2431">
        <v>5</v>
      </c>
      <c r="V2431">
        <v>162.82</v>
      </c>
      <c r="W2431">
        <v>13130002429</v>
      </c>
    </row>
    <row r="2432" spans="1:23" x14ac:dyDescent="0.2">
      <c r="A2432" s="1">
        <v>44791</v>
      </c>
      <c r="B2432" s="2">
        <v>0.38401620370370371</v>
      </c>
      <c r="C2432">
        <v>3430</v>
      </c>
      <c r="D2432">
        <v>13002561</v>
      </c>
      <c r="E2432">
        <v>13</v>
      </c>
      <c r="F2432">
        <v>22589</v>
      </c>
      <c r="G2432" t="s">
        <v>23</v>
      </c>
      <c r="H2432">
        <v>18</v>
      </c>
      <c r="I2432">
        <v>38766</v>
      </c>
      <c r="J2432" t="s">
        <v>52</v>
      </c>
      <c r="K2432" t="s">
        <v>38</v>
      </c>
      <c r="L2432" t="s">
        <v>51</v>
      </c>
      <c r="M2432">
        <v>3</v>
      </c>
      <c r="N2432">
        <v>328.29</v>
      </c>
      <c r="O2432">
        <v>446.04</v>
      </c>
      <c r="P2432">
        <v>0</v>
      </c>
      <c r="Q2432">
        <v>0</v>
      </c>
      <c r="S2432">
        <v>29</v>
      </c>
      <c r="T2432">
        <v>1</v>
      </c>
      <c r="U2432">
        <v>1</v>
      </c>
      <c r="V2432">
        <v>446.04</v>
      </c>
      <c r="W2432">
        <v>13130002430</v>
      </c>
    </row>
    <row r="2433" spans="1:23" x14ac:dyDescent="0.2">
      <c r="A2433" s="1">
        <v>44802</v>
      </c>
      <c r="B2433" s="2">
        <v>0.93281250000000004</v>
      </c>
      <c r="C2433">
        <v>3431</v>
      </c>
      <c r="D2433">
        <v>13002561</v>
      </c>
      <c r="E2433">
        <v>13</v>
      </c>
      <c r="F2433">
        <v>22589</v>
      </c>
      <c r="G2433" t="s">
        <v>23</v>
      </c>
      <c r="H2433">
        <v>15</v>
      </c>
      <c r="I2433">
        <v>35444</v>
      </c>
      <c r="J2433" t="s">
        <v>50</v>
      </c>
      <c r="K2433" t="s">
        <v>28</v>
      </c>
      <c r="L2433" t="s">
        <v>34</v>
      </c>
      <c r="M2433">
        <v>3</v>
      </c>
      <c r="N2433">
        <v>212.51</v>
      </c>
      <c r="O2433">
        <v>314.69</v>
      </c>
      <c r="P2433">
        <v>0</v>
      </c>
      <c r="Q2433">
        <v>0</v>
      </c>
      <c r="S2433">
        <v>29</v>
      </c>
      <c r="T2433">
        <v>1</v>
      </c>
      <c r="U2433">
        <v>2</v>
      </c>
      <c r="V2433">
        <v>314.69</v>
      </c>
      <c r="W2433">
        <v>13130002431</v>
      </c>
    </row>
    <row r="2434" spans="1:23" x14ac:dyDescent="0.2">
      <c r="A2434" s="1">
        <v>44792</v>
      </c>
      <c r="B2434" s="2">
        <v>0.4841550925925926</v>
      </c>
      <c r="C2434">
        <v>3432</v>
      </c>
      <c r="D2434">
        <v>13002561</v>
      </c>
      <c r="E2434">
        <v>13</v>
      </c>
      <c r="F2434">
        <v>22589</v>
      </c>
      <c r="G2434" t="s">
        <v>23</v>
      </c>
      <c r="H2434">
        <v>18</v>
      </c>
      <c r="I2434">
        <v>36092</v>
      </c>
      <c r="J2434" t="s">
        <v>86</v>
      </c>
      <c r="K2434" t="s">
        <v>38</v>
      </c>
      <c r="L2434" t="s">
        <v>36</v>
      </c>
      <c r="M2434">
        <v>1</v>
      </c>
      <c r="N2434">
        <v>135.27000000000001</v>
      </c>
      <c r="O2434">
        <v>226.77</v>
      </c>
      <c r="P2434">
        <v>0</v>
      </c>
      <c r="Q2434">
        <v>0</v>
      </c>
      <c r="S2434">
        <v>29</v>
      </c>
      <c r="T2434">
        <v>1</v>
      </c>
      <c r="U2434">
        <v>3</v>
      </c>
      <c r="V2434">
        <v>226.77</v>
      </c>
      <c r="W2434">
        <v>13130002432</v>
      </c>
    </row>
    <row r="2435" spans="1:23" x14ac:dyDescent="0.2">
      <c r="A2435" s="1">
        <v>44783</v>
      </c>
      <c r="B2435" s="2">
        <v>0.72452546296296294</v>
      </c>
      <c r="C2435">
        <v>3433</v>
      </c>
      <c r="D2435">
        <v>13002561</v>
      </c>
      <c r="E2435">
        <v>13</v>
      </c>
      <c r="F2435">
        <v>22589</v>
      </c>
      <c r="G2435" t="s">
        <v>23</v>
      </c>
      <c r="H2435">
        <v>18</v>
      </c>
      <c r="I2435">
        <v>44668</v>
      </c>
      <c r="J2435" t="s">
        <v>43</v>
      </c>
      <c r="K2435" t="s">
        <v>45</v>
      </c>
      <c r="L2435" t="s">
        <v>51</v>
      </c>
      <c r="M2435">
        <v>2</v>
      </c>
      <c r="N2435">
        <v>206.92</v>
      </c>
      <c r="O2435">
        <v>264.23</v>
      </c>
      <c r="P2435">
        <v>13.21</v>
      </c>
      <c r="Q2435">
        <v>13.21</v>
      </c>
      <c r="R2435" t="s">
        <v>30</v>
      </c>
      <c r="S2435">
        <v>29</v>
      </c>
      <c r="T2435">
        <v>1</v>
      </c>
      <c r="U2435">
        <v>5</v>
      </c>
      <c r="V2435">
        <v>251.02</v>
      </c>
      <c r="W2435">
        <v>13130002433</v>
      </c>
    </row>
    <row r="2436" spans="1:23" x14ac:dyDescent="0.2">
      <c r="A2436" s="1">
        <v>44793</v>
      </c>
      <c r="B2436" s="2">
        <v>0.88232638888888892</v>
      </c>
      <c r="C2436">
        <v>3434</v>
      </c>
      <c r="D2436">
        <v>13002561</v>
      </c>
      <c r="E2436">
        <v>13</v>
      </c>
      <c r="F2436">
        <v>22589</v>
      </c>
      <c r="G2436" t="s">
        <v>23</v>
      </c>
      <c r="H2436">
        <v>18</v>
      </c>
      <c r="I2436">
        <v>80856</v>
      </c>
      <c r="J2436" t="s">
        <v>96</v>
      </c>
      <c r="K2436" t="s">
        <v>44</v>
      </c>
      <c r="L2436" t="s">
        <v>36</v>
      </c>
      <c r="M2436">
        <v>2</v>
      </c>
      <c r="N2436">
        <v>285.25</v>
      </c>
      <c r="O2436">
        <v>483.54</v>
      </c>
      <c r="P2436">
        <v>48.35</v>
      </c>
      <c r="Q2436">
        <v>48.35</v>
      </c>
      <c r="R2436" t="s">
        <v>30</v>
      </c>
      <c r="S2436">
        <v>29</v>
      </c>
      <c r="T2436">
        <v>1</v>
      </c>
      <c r="U2436">
        <v>6</v>
      </c>
      <c r="V2436">
        <v>435.19</v>
      </c>
      <c r="W2436">
        <v>13130002434</v>
      </c>
    </row>
    <row r="2437" spans="1:23" x14ac:dyDescent="0.2">
      <c r="A2437" s="1">
        <v>44778</v>
      </c>
      <c r="B2437" s="2">
        <v>0.67641203703703701</v>
      </c>
      <c r="C2437">
        <v>3435</v>
      </c>
      <c r="D2437">
        <v>13002561</v>
      </c>
      <c r="E2437">
        <v>13</v>
      </c>
      <c r="F2437">
        <v>22589</v>
      </c>
      <c r="G2437" t="s">
        <v>23</v>
      </c>
      <c r="H2437">
        <v>15</v>
      </c>
      <c r="I2437">
        <v>70173</v>
      </c>
      <c r="J2437" t="s">
        <v>59</v>
      </c>
      <c r="K2437" t="s">
        <v>28</v>
      </c>
      <c r="L2437" t="s">
        <v>29</v>
      </c>
      <c r="M2437">
        <v>2</v>
      </c>
      <c r="N2437">
        <v>249.81</v>
      </c>
      <c r="O2437">
        <v>413.41</v>
      </c>
      <c r="P2437">
        <v>20.67</v>
      </c>
      <c r="Q2437">
        <v>20.67</v>
      </c>
      <c r="R2437" t="s">
        <v>30</v>
      </c>
      <c r="S2437">
        <v>29</v>
      </c>
      <c r="T2437">
        <v>1</v>
      </c>
      <c r="U2437">
        <v>5</v>
      </c>
      <c r="V2437">
        <v>392.74</v>
      </c>
      <c r="W2437">
        <v>13130002435</v>
      </c>
    </row>
    <row r="2438" spans="1:23" x14ac:dyDescent="0.2">
      <c r="A2438" s="1">
        <v>44800</v>
      </c>
      <c r="B2438" s="2">
        <v>0.38122685185185179</v>
      </c>
      <c r="C2438">
        <v>3436</v>
      </c>
      <c r="D2438">
        <v>13002561</v>
      </c>
      <c r="E2438">
        <v>13</v>
      </c>
      <c r="F2438">
        <v>22589</v>
      </c>
      <c r="G2438" t="s">
        <v>23</v>
      </c>
      <c r="H2438">
        <v>18</v>
      </c>
      <c r="I2438">
        <v>26323</v>
      </c>
      <c r="J2438" t="s">
        <v>67</v>
      </c>
      <c r="K2438" t="s">
        <v>28</v>
      </c>
      <c r="L2438" t="s">
        <v>32</v>
      </c>
      <c r="M2438">
        <v>1</v>
      </c>
      <c r="N2438">
        <v>121.41</v>
      </c>
      <c r="O2438">
        <v>172.67</v>
      </c>
      <c r="P2438">
        <v>8.6300000000000008</v>
      </c>
      <c r="Q2438">
        <v>8.6300000000000008</v>
      </c>
      <c r="R2438" t="s">
        <v>30</v>
      </c>
      <c r="S2438">
        <v>29</v>
      </c>
      <c r="T2438">
        <v>1</v>
      </c>
      <c r="U2438">
        <v>5</v>
      </c>
      <c r="V2438">
        <v>164.04</v>
      </c>
      <c r="W2438">
        <v>13130002436</v>
      </c>
    </row>
    <row r="2439" spans="1:23" x14ac:dyDescent="0.2">
      <c r="A2439" s="1">
        <v>44798</v>
      </c>
      <c r="B2439" s="2">
        <v>0.79843750000000002</v>
      </c>
      <c r="C2439">
        <v>3437</v>
      </c>
      <c r="D2439">
        <v>13002561</v>
      </c>
      <c r="E2439">
        <v>13</v>
      </c>
      <c r="F2439">
        <v>22589</v>
      </c>
      <c r="G2439" t="s">
        <v>23</v>
      </c>
      <c r="H2439">
        <v>15</v>
      </c>
      <c r="I2439">
        <v>80128</v>
      </c>
      <c r="J2439" t="s">
        <v>50</v>
      </c>
      <c r="K2439" t="s">
        <v>60</v>
      </c>
      <c r="L2439" t="s">
        <v>36</v>
      </c>
      <c r="M2439">
        <v>2</v>
      </c>
      <c r="N2439">
        <v>11.78</v>
      </c>
      <c r="O2439">
        <v>15.34</v>
      </c>
      <c r="P2439">
        <v>0</v>
      </c>
      <c r="Q2439">
        <v>0</v>
      </c>
      <c r="S2439">
        <v>29</v>
      </c>
      <c r="T2439">
        <v>1</v>
      </c>
      <c r="U2439">
        <v>2</v>
      </c>
      <c r="V2439">
        <v>15.34</v>
      </c>
      <c r="W2439">
        <v>13130002437</v>
      </c>
    </row>
    <row r="2440" spans="1:23" x14ac:dyDescent="0.2">
      <c r="A2440" s="1">
        <v>44788</v>
      </c>
      <c r="B2440" s="2">
        <v>0.40418981481481481</v>
      </c>
      <c r="C2440">
        <v>3438</v>
      </c>
      <c r="D2440">
        <v>13002561</v>
      </c>
      <c r="E2440">
        <v>13</v>
      </c>
      <c r="F2440">
        <v>22589</v>
      </c>
      <c r="G2440" t="s">
        <v>23</v>
      </c>
      <c r="H2440">
        <v>18</v>
      </c>
      <c r="I2440">
        <v>56922</v>
      </c>
      <c r="J2440" t="s">
        <v>116</v>
      </c>
      <c r="K2440" t="s">
        <v>28</v>
      </c>
      <c r="L2440" t="s">
        <v>26</v>
      </c>
      <c r="M2440">
        <v>3</v>
      </c>
      <c r="N2440">
        <v>240.59</v>
      </c>
      <c r="O2440">
        <v>347.7</v>
      </c>
      <c r="P2440">
        <v>0</v>
      </c>
      <c r="Q2440">
        <v>0</v>
      </c>
      <c r="S2440">
        <v>29</v>
      </c>
      <c r="T2440">
        <v>1</v>
      </c>
      <c r="U2440">
        <v>2</v>
      </c>
      <c r="V2440">
        <v>347.7</v>
      </c>
      <c r="W2440">
        <v>13130002438</v>
      </c>
    </row>
    <row r="2441" spans="1:23" x14ac:dyDescent="0.2">
      <c r="A2441" s="1">
        <v>44797</v>
      </c>
      <c r="B2441" s="2">
        <v>0.54770833333333335</v>
      </c>
      <c r="C2441">
        <v>3439</v>
      </c>
      <c r="D2441">
        <v>13002561</v>
      </c>
      <c r="E2441">
        <v>13</v>
      </c>
      <c r="F2441">
        <v>22589</v>
      </c>
      <c r="G2441" t="s">
        <v>23</v>
      </c>
      <c r="H2441">
        <v>18</v>
      </c>
      <c r="I2441">
        <v>94222</v>
      </c>
      <c r="J2441" t="s">
        <v>94</v>
      </c>
      <c r="K2441" t="s">
        <v>44</v>
      </c>
      <c r="L2441" t="s">
        <v>47</v>
      </c>
      <c r="M2441">
        <v>2</v>
      </c>
      <c r="N2441">
        <v>488.01</v>
      </c>
      <c r="O2441">
        <v>637.15</v>
      </c>
      <c r="P2441">
        <v>0</v>
      </c>
      <c r="Q2441">
        <v>0</v>
      </c>
      <c r="S2441">
        <v>29</v>
      </c>
      <c r="T2441">
        <v>1</v>
      </c>
      <c r="U2441">
        <v>2</v>
      </c>
      <c r="V2441">
        <v>637.15</v>
      </c>
      <c r="W2441">
        <v>13130002439</v>
      </c>
    </row>
    <row r="2442" spans="1:23" x14ac:dyDescent="0.2">
      <c r="A2442" s="1">
        <v>44804</v>
      </c>
      <c r="B2442" s="2">
        <v>0.4201273148148148</v>
      </c>
      <c r="C2442">
        <v>3440</v>
      </c>
      <c r="D2442">
        <v>13002561</v>
      </c>
      <c r="E2442">
        <v>13</v>
      </c>
      <c r="F2442">
        <v>22589</v>
      </c>
      <c r="G2442" t="s">
        <v>23</v>
      </c>
      <c r="H2442">
        <v>15</v>
      </c>
      <c r="I2442">
        <v>64547</v>
      </c>
      <c r="J2442" t="s">
        <v>93</v>
      </c>
      <c r="K2442" t="s">
        <v>28</v>
      </c>
      <c r="L2442" t="s">
        <v>47</v>
      </c>
      <c r="M2442">
        <v>3</v>
      </c>
      <c r="N2442">
        <v>316.24</v>
      </c>
      <c r="O2442">
        <v>455.17</v>
      </c>
      <c r="P2442">
        <v>0</v>
      </c>
      <c r="Q2442">
        <v>0</v>
      </c>
      <c r="S2442">
        <v>29</v>
      </c>
      <c r="T2442">
        <v>1</v>
      </c>
      <c r="U2442">
        <v>1</v>
      </c>
      <c r="V2442">
        <v>455.17</v>
      </c>
      <c r="W2442">
        <v>13130002440</v>
      </c>
    </row>
    <row r="2443" spans="1:23" x14ac:dyDescent="0.2">
      <c r="A2443" s="1">
        <v>44801</v>
      </c>
      <c r="B2443" s="2">
        <v>0.38809027777777783</v>
      </c>
      <c r="C2443">
        <v>3441</v>
      </c>
      <c r="D2443">
        <v>13002561</v>
      </c>
      <c r="E2443">
        <v>13</v>
      </c>
      <c r="F2443">
        <v>22589</v>
      </c>
      <c r="G2443" t="s">
        <v>23</v>
      </c>
      <c r="H2443">
        <v>18</v>
      </c>
      <c r="I2443">
        <v>43734</v>
      </c>
      <c r="J2443" t="s">
        <v>42</v>
      </c>
      <c r="K2443" t="s">
        <v>25</v>
      </c>
      <c r="L2443" t="s">
        <v>36</v>
      </c>
      <c r="M2443">
        <v>2</v>
      </c>
      <c r="N2443">
        <v>547.41999999999996</v>
      </c>
      <c r="O2443">
        <v>717.73</v>
      </c>
      <c r="P2443">
        <v>0</v>
      </c>
      <c r="Q2443">
        <v>0</v>
      </c>
      <c r="S2443">
        <v>29</v>
      </c>
      <c r="T2443">
        <v>1</v>
      </c>
      <c r="U2443">
        <v>4</v>
      </c>
      <c r="V2443">
        <v>717.73</v>
      </c>
      <c r="W2443">
        <v>13130002441</v>
      </c>
    </row>
    <row r="2444" spans="1:23" x14ac:dyDescent="0.2">
      <c r="A2444" s="1">
        <v>44799</v>
      </c>
      <c r="B2444" s="2">
        <v>0.49362268518518521</v>
      </c>
      <c r="C2444">
        <v>3442</v>
      </c>
      <c r="D2444">
        <v>13002561</v>
      </c>
      <c r="E2444">
        <v>13</v>
      </c>
      <c r="F2444">
        <v>22589</v>
      </c>
      <c r="G2444" t="s">
        <v>23</v>
      </c>
      <c r="H2444">
        <v>18</v>
      </c>
      <c r="I2444">
        <v>23001</v>
      </c>
      <c r="J2444" t="s">
        <v>76</v>
      </c>
      <c r="K2444" t="s">
        <v>38</v>
      </c>
      <c r="L2444" t="s">
        <v>51</v>
      </c>
      <c r="M2444">
        <v>1</v>
      </c>
      <c r="N2444">
        <v>190.72</v>
      </c>
      <c r="O2444">
        <v>280.44</v>
      </c>
      <c r="P2444">
        <v>0</v>
      </c>
      <c r="Q2444">
        <v>0</v>
      </c>
      <c r="S2444">
        <v>29</v>
      </c>
      <c r="T2444">
        <v>1</v>
      </c>
      <c r="U2444">
        <v>1</v>
      </c>
      <c r="V2444">
        <v>280.44</v>
      </c>
      <c r="W2444">
        <v>13130002442</v>
      </c>
    </row>
    <row r="2445" spans="1:23" x14ac:dyDescent="0.2">
      <c r="A2445" s="1">
        <v>44792</v>
      </c>
      <c r="B2445" s="2">
        <v>0.6817361111111111</v>
      </c>
      <c r="C2445">
        <v>3443</v>
      </c>
      <c r="D2445">
        <v>13002561</v>
      </c>
      <c r="E2445">
        <v>13</v>
      </c>
      <c r="F2445">
        <v>22589</v>
      </c>
      <c r="G2445" t="s">
        <v>23</v>
      </c>
      <c r="H2445">
        <v>15</v>
      </c>
      <c r="I2445">
        <v>17153</v>
      </c>
      <c r="J2445" t="s">
        <v>68</v>
      </c>
      <c r="K2445" t="s">
        <v>25</v>
      </c>
      <c r="L2445" t="s">
        <v>34</v>
      </c>
      <c r="M2445">
        <v>2</v>
      </c>
      <c r="N2445">
        <v>388.95</v>
      </c>
      <c r="O2445">
        <v>565.79999999999995</v>
      </c>
      <c r="P2445">
        <v>28.29</v>
      </c>
      <c r="Q2445">
        <v>28.29</v>
      </c>
      <c r="R2445" t="s">
        <v>30</v>
      </c>
      <c r="S2445">
        <v>29</v>
      </c>
      <c r="T2445">
        <v>1</v>
      </c>
      <c r="U2445">
        <v>1</v>
      </c>
      <c r="V2445">
        <v>537.51</v>
      </c>
      <c r="W2445">
        <v>13130002443</v>
      </c>
    </row>
    <row r="2446" spans="1:23" x14ac:dyDescent="0.2">
      <c r="A2446" s="1">
        <v>44795</v>
      </c>
      <c r="B2446" s="2">
        <v>0.86689814814814814</v>
      </c>
      <c r="C2446">
        <v>3444</v>
      </c>
      <c r="D2446">
        <v>13002561</v>
      </c>
      <c r="E2446">
        <v>13</v>
      </c>
      <c r="F2446">
        <v>22589</v>
      </c>
      <c r="G2446" t="s">
        <v>23</v>
      </c>
      <c r="H2446">
        <v>18</v>
      </c>
      <c r="I2446">
        <v>26892</v>
      </c>
      <c r="J2446" t="s">
        <v>98</v>
      </c>
      <c r="K2446" t="s">
        <v>44</v>
      </c>
      <c r="L2446" t="s">
        <v>34</v>
      </c>
      <c r="M2446">
        <v>1</v>
      </c>
      <c r="N2446">
        <v>22.25</v>
      </c>
      <c r="O2446">
        <v>29.86</v>
      </c>
      <c r="P2446">
        <v>1.49</v>
      </c>
      <c r="Q2446">
        <v>1.49</v>
      </c>
      <c r="R2446" t="s">
        <v>30</v>
      </c>
      <c r="S2446">
        <v>29</v>
      </c>
      <c r="T2446">
        <v>1</v>
      </c>
      <c r="U2446">
        <v>3</v>
      </c>
      <c r="V2446">
        <v>28.37</v>
      </c>
      <c r="W2446">
        <v>13130002444</v>
      </c>
    </row>
    <row r="2447" spans="1:23" x14ac:dyDescent="0.2">
      <c r="A2447" s="1">
        <v>44800</v>
      </c>
      <c r="B2447" s="2">
        <v>0.39357638888888891</v>
      </c>
      <c r="C2447">
        <v>3445</v>
      </c>
      <c r="D2447">
        <v>13002561</v>
      </c>
      <c r="E2447">
        <v>13</v>
      </c>
      <c r="F2447">
        <v>22589</v>
      </c>
      <c r="G2447" t="s">
        <v>23</v>
      </c>
      <c r="H2447">
        <v>18</v>
      </c>
      <c r="I2447">
        <v>35354</v>
      </c>
      <c r="J2447" t="s">
        <v>86</v>
      </c>
      <c r="K2447" t="s">
        <v>38</v>
      </c>
      <c r="L2447" t="s">
        <v>47</v>
      </c>
      <c r="M2447">
        <v>1</v>
      </c>
      <c r="N2447">
        <v>283.14</v>
      </c>
      <c r="O2447">
        <v>479.72</v>
      </c>
      <c r="P2447">
        <v>0</v>
      </c>
      <c r="Q2447">
        <v>0</v>
      </c>
      <c r="S2447">
        <v>29</v>
      </c>
      <c r="T2447">
        <v>1</v>
      </c>
      <c r="U2447">
        <v>6</v>
      </c>
      <c r="V2447">
        <v>479.72</v>
      </c>
      <c r="W2447">
        <v>13130002445</v>
      </c>
    </row>
    <row r="2448" spans="1:23" x14ac:dyDescent="0.2">
      <c r="A2448" s="1">
        <v>44802</v>
      </c>
      <c r="B2448" s="2">
        <v>0.3532986111111111</v>
      </c>
      <c r="C2448">
        <v>3446</v>
      </c>
      <c r="D2448">
        <v>13002561</v>
      </c>
      <c r="E2448">
        <v>13</v>
      </c>
      <c r="F2448">
        <v>22589</v>
      </c>
      <c r="G2448" t="s">
        <v>23</v>
      </c>
      <c r="H2448">
        <v>18</v>
      </c>
      <c r="I2448">
        <v>90625</v>
      </c>
      <c r="J2448" t="s">
        <v>93</v>
      </c>
      <c r="K2448" t="s">
        <v>45</v>
      </c>
      <c r="L2448" t="s">
        <v>51</v>
      </c>
      <c r="M2448">
        <v>2</v>
      </c>
      <c r="N2448">
        <v>303.63</v>
      </c>
      <c r="O2448">
        <v>436.46</v>
      </c>
      <c r="P2448">
        <v>0</v>
      </c>
      <c r="Q2448">
        <v>0</v>
      </c>
      <c r="S2448">
        <v>29</v>
      </c>
      <c r="T2448">
        <v>1</v>
      </c>
      <c r="U2448">
        <v>2</v>
      </c>
      <c r="V2448">
        <v>436.46</v>
      </c>
      <c r="W2448">
        <v>13130002446</v>
      </c>
    </row>
    <row r="2449" spans="1:23" x14ac:dyDescent="0.2">
      <c r="A2449" s="1">
        <v>44782</v>
      </c>
      <c r="B2449" s="2">
        <v>0.86571759259259262</v>
      </c>
      <c r="C2449">
        <v>3447</v>
      </c>
      <c r="D2449">
        <v>13002561</v>
      </c>
      <c r="E2449">
        <v>13</v>
      </c>
      <c r="F2449">
        <v>22589</v>
      </c>
      <c r="G2449" t="s">
        <v>23</v>
      </c>
      <c r="H2449">
        <v>18</v>
      </c>
      <c r="I2449">
        <v>66858</v>
      </c>
      <c r="J2449" t="s">
        <v>120</v>
      </c>
      <c r="K2449" t="s">
        <v>38</v>
      </c>
      <c r="L2449" t="s">
        <v>34</v>
      </c>
      <c r="M2449">
        <v>1</v>
      </c>
      <c r="N2449">
        <v>118.86</v>
      </c>
      <c r="O2449">
        <v>199.36</v>
      </c>
      <c r="P2449">
        <v>9.9700000000000006</v>
      </c>
      <c r="Q2449">
        <v>9.9700000000000006</v>
      </c>
      <c r="R2449" t="s">
        <v>30</v>
      </c>
      <c r="S2449">
        <v>29</v>
      </c>
      <c r="T2449">
        <v>1</v>
      </c>
      <c r="U2449">
        <v>3</v>
      </c>
      <c r="V2449">
        <v>189.39</v>
      </c>
      <c r="W2449">
        <v>13130002447</v>
      </c>
    </row>
    <row r="2450" spans="1:23" x14ac:dyDescent="0.2">
      <c r="A2450" s="1">
        <v>44776</v>
      </c>
      <c r="B2450" s="2">
        <v>0.86598379629629629</v>
      </c>
      <c r="C2450">
        <v>3448</v>
      </c>
      <c r="D2450">
        <v>13002561</v>
      </c>
      <c r="E2450">
        <v>13</v>
      </c>
      <c r="F2450">
        <v>22589</v>
      </c>
      <c r="G2450" t="s">
        <v>23</v>
      </c>
      <c r="H2450">
        <v>18</v>
      </c>
      <c r="I2450">
        <v>95255</v>
      </c>
      <c r="J2450" t="s">
        <v>41</v>
      </c>
      <c r="K2450" t="s">
        <v>44</v>
      </c>
      <c r="L2450" t="s">
        <v>26</v>
      </c>
      <c r="M2450">
        <v>2</v>
      </c>
      <c r="N2450">
        <v>233.66</v>
      </c>
      <c r="O2450">
        <v>356.56</v>
      </c>
      <c r="P2450">
        <v>17.829999999999998</v>
      </c>
      <c r="Q2450">
        <v>17.829999999999998</v>
      </c>
      <c r="R2450" t="s">
        <v>30</v>
      </c>
      <c r="S2450">
        <v>29</v>
      </c>
      <c r="T2450">
        <v>1</v>
      </c>
      <c r="U2450">
        <v>3</v>
      </c>
      <c r="V2450">
        <v>338.73</v>
      </c>
      <c r="W2450">
        <v>13130002448</v>
      </c>
    </row>
    <row r="2451" spans="1:23" x14ac:dyDescent="0.2">
      <c r="A2451" s="1">
        <v>44787</v>
      </c>
      <c r="B2451" s="2">
        <v>0.44835648148148149</v>
      </c>
      <c r="C2451">
        <v>3449</v>
      </c>
      <c r="D2451">
        <v>13002561</v>
      </c>
      <c r="E2451">
        <v>13</v>
      </c>
      <c r="F2451">
        <v>22589</v>
      </c>
      <c r="G2451" t="s">
        <v>23</v>
      </c>
      <c r="H2451">
        <v>18</v>
      </c>
      <c r="I2451">
        <v>35414</v>
      </c>
      <c r="J2451" t="s">
        <v>43</v>
      </c>
      <c r="K2451" t="s">
        <v>44</v>
      </c>
      <c r="L2451" t="s">
        <v>39</v>
      </c>
      <c r="M2451">
        <v>2</v>
      </c>
      <c r="N2451">
        <v>234.97</v>
      </c>
      <c r="O2451">
        <v>376.76</v>
      </c>
      <c r="P2451">
        <v>18.84</v>
      </c>
      <c r="Q2451">
        <v>18.84</v>
      </c>
      <c r="R2451" t="s">
        <v>30</v>
      </c>
      <c r="S2451">
        <v>29</v>
      </c>
      <c r="T2451">
        <v>1</v>
      </c>
      <c r="U2451">
        <v>5</v>
      </c>
      <c r="V2451">
        <v>357.92</v>
      </c>
      <c r="W2451">
        <v>13130002449</v>
      </c>
    </row>
    <row r="2452" spans="1:23" x14ac:dyDescent="0.2">
      <c r="A2452" s="1">
        <v>44775</v>
      </c>
      <c r="B2452" s="2">
        <v>0.38642361111111112</v>
      </c>
      <c r="C2452">
        <v>3450</v>
      </c>
      <c r="D2452">
        <v>13002561</v>
      </c>
      <c r="E2452">
        <v>13</v>
      </c>
      <c r="F2452">
        <v>22589</v>
      </c>
      <c r="G2452" t="s">
        <v>23</v>
      </c>
      <c r="H2452">
        <v>18</v>
      </c>
      <c r="I2452">
        <v>89706</v>
      </c>
      <c r="J2452" t="s">
        <v>104</v>
      </c>
      <c r="K2452" t="s">
        <v>25</v>
      </c>
      <c r="L2452" t="s">
        <v>29</v>
      </c>
      <c r="M2452">
        <v>1</v>
      </c>
      <c r="N2452">
        <v>267.8</v>
      </c>
      <c r="O2452">
        <v>452.82</v>
      </c>
      <c r="P2452">
        <v>45.28</v>
      </c>
      <c r="Q2452">
        <v>45.28</v>
      </c>
      <c r="R2452" t="s">
        <v>30</v>
      </c>
      <c r="S2452">
        <v>29</v>
      </c>
      <c r="T2452">
        <v>1</v>
      </c>
      <c r="U2452">
        <v>1</v>
      </c>
      <c r="V2452">
        <v>407.54</v>
      </c>
      <c r="W2452">
        <v>13130002450</v>
      </c>
    </row>
    <row r="2453" spans="1:23" x14ac:dyDescent="0.2">
      <c r="A2453" s="1">
        <v>44784</v>
      </c>
      <c r="B2453" s="2">
        <v>0.6189351851851852</v>
      </c>
      <c r="C2453">
        <v>3451</v>
      </c>
      <c r="D2453">
        <v>13002561</v>
      </c>
      <c r="E2453">
        <v>13</v>
      </c>
      <c r="F2453">
        <v>22589</v>
      </c>
      <c r="G2453" t="s">
        <v>23</v>
      </c>
      <c r="H2453">
        <v>15</v>
      </c>
      <c r="I2453">
        <v>43859</v>
      </c>
      <c r="J2453" t="s">
        <v>113</v>
      </c>
      <c r="K2453" t="s">
        <v>60</v>
      </c>
      <c r="L2453" t="s">
        <v>39</v>
      </c>
      <c r="M2453">
        <v>2</v>
      </c>
      <c r="N2453">
        <v>562.54999999999995</v>
      </c>
      <c r="O2453">
        <v>836.62</v>
      </c>
      <c r="P2453">
        <v>0</v>
      </c>
      <c r="Q2453">
        <v>0</v>
      </c>
      <c r="S2453">
        <v>29</v>
      </c>
      <c r="T2453">
        <v>1</v>
      </c>
      <c r="U2453">
        <v>4</v>
      </c>
      <c r="V2453">
        <v>836.62</v>
      </c>
      <c r="W2453">
        <v>13130002451</v>
      </c>
    </row>
    <row r="2454" spans="1:23" x14ac:dyDescent="0.2">
      <c r="A2454" s="1">
        <v>44792</v>
      </c>
      <c r="B2454" s="2">
        <v>0.8806018518518518</v>
      </c>
      <c r="C2454">
        <v>3452</v>
      </c>
      <c r="D2454">
        <v>13002561</v>
      </c>
      <c r="E2454">
        <v>13</v>
      </c>
      <c r="F2454">
        <v>22589</v>
      </c>
      <c r="G2454" t="s">
        <v>23</v>
      </c>
      <c r="H2454">
        <v>18</v>
      </c>
      <c r="I2454">
        <v>89017</v>
      </c>
      <c r="J2454" t="s">
        <v>63</v>
      </c>
      <c r="K2454" t="s">
        <v>44</v>
      </c>
      <c r="L2454" t="s">
        <v>36</v>
      </c>
      <c r="M2454">
        <v>3</v>
      </c>
      <c r="N2454">
        <v>39.6</v>
      </c>
      <c r="O2454">
        <v>51.24</v>
      </c>
      <c r="P2454">
        <v>2.56</v>
      </c>
      <c r="Q2454">
        <v>2.56</v>
      </c>
      <c r="R2454" t="s">
        <v>30</v>
      </c>
      <c r="S2454">
        <v>29</v>
      </c>
      <c r="T2454">
        <v>1</v>
      </c>
      <c r="U2454">
        <v>5</v>
      </c>
      <c r="V2454">
        <v>48.68</v>
      </c>
      <c r="W2454">
        <v>13130002452</v>
      </c>
    </row>
    <row r="2455" spans="1:23" x14ac:dyDescent="0.2">
      <c r="A2455" s="1">
        <v>44787</v>
      </c>
      <c r="B2455" s="2">
        <v>0.50188657407407411</v>
      </c>
      <c r="C2455">
        <v>3453</v>
      </c>
      <c r="D2455">
        <v>13002561</v>
      </c>
      <c r="E2455">
        <v>13</v>
      </c>
      <c r="F2455">
        <v>22589</v>
      </c>
      <c r="G2455" t="s">
        <v>23</v>
      </c>
      <c r="H2455">
        <v>15</v>
      </c>
      <c r="I2455">
        <v>33415</v>
      </c>
      <c r="J2455" t="s">
        <v>98</v>
      </c>
      <c r="K2455" t="s">
        <v>60</v>
      </c>
      <c r="L2455" t="s">
        <v>34</v>
      </c>
      <c r="M2455">
        <v>3</v>
      </c>
      <c r="N2455">
        <v>407.25</v>
      </c>
      <c r="O2455">
        <v>676.13</v>
      </c>
      <c r="P2455">
        <v>0</v>
      </c>
      <c r="Q2455">
        <v>0</v>
      </c>
      <c r="S2455">
        <v>29</v>
      </c>
      <c r="T2455">
        <v>1</v>
      </c>
      <c r="U2455">
        <v>3</v>
      </c>
      <c r="V2455">
        <v>676.13</v>
      </c>
      <c r="W2455">
        <v>13130002453</v>
      </c>
    </row>
    <row r="2456" spans="1:23" x14ac:dyDescent="0.2">
      <c r="A2456" s="1">
        <v>44789</v>
      </c>
      <c r="B2456" s="2">
        <v>0.79374999999999996</v>
      </c>
      <c r="C2456">
        <v>3454</v>
      </c>
      <c r="D2456">
        <v>13002561</v>
      </c>
      <c r="E2456">
        <v>13</v>
      </c>
      <c r="F2456">
        <v>22589</v>
      </c>
      <c r="G2456" t="s">
        <v>23</v>
      </c>
      <c r="H2456">
        <v>18</v>
      </c>
      <c r="I2456">
        <v>74624</v>
      </c>
      <c r="J2456" t="s">
        <v>88</v>
      </c>
      <c r="K2456" t="s">
        <v>60</v>
      </c>
      <c r="L2456" t="s">
        <v>32</v>
      </c>
      <c r="M2456">
        <v>1</v>
      </c>
      <c r="N2456">
        <v>386.02</v>
      </c>
      <c r="O2456">
        <v>602.87</v>
      </c>
      <c r="P2456">
        <v>0</v>
      </c>
      <c r="Q2456">
        <v>0</v>
      </c>
      <c r="S2456">
        <v>29</v>
      </c>
      <c r="T2456">
        <v>1</v>
      </c>
      <c r="U2456">
        <v>5</v>
      </c>
      <c r="V2456">
        <v>602.87</v>
      </c>
      <c r="W2456">
        <v>13130002454</v>
      </c>
    </row>
    <row r="2457" spans="1:23" x14ac:dyDescent="0.2">
      <c r="A2457" s="1">
        <v>44790</v>
      </c>
      <c r="B2457" s="2">
        <v>0.39041666666666669</v>
      </c>
      <c r="C2457">
        <v>3455</v>
      </c>
      <c r="D2457">
        <v>13002561</v>
      </c>
      <c r="E2457">
        <v>13</v>
      </c>
      <c r="F2457">
        <v>22589</v>
      </c>
      <c r="G2457" t="s">
        <v>23</v>
      </c>
      <c r="H2457">
        <v>15</v>
      </c>
      <c r="I2457">
        <v>44266</v>
      </c>
      <c r="J2457" t="s">
        <v>80</v>
      </c>
      <c r="K2457" t="s">
        <v>38</v>
      </c>
      <c r="L2457" t="s">
        <v>29</v>
      </c>
      <c r="M2457">
        <v>2</v>
      </c>
      <c r="N2457">
        <v>305.48</v>
      </c>
      <c r="O2457">
        <v>463.7</v>
      </c>
      <c r="P2457">
        <v>0</v>
      </c>
      <c r="Q2457">
        <v>0</v>
      </c>
      <c r="S2457">
        <v>29</v>
      </c>
      <c r="T2457">
        <v>1</v>
      </c>
      <c r="U2457">
        <v>2</v>
      </c>
      <c r="V2457">
        <v>463.7</v>
      </c>
      <c r="W2457">
        <v>13130002455</v>
      </c>
    </row>
    <row r="2458" spans="1:23" x14ac:dyDescent="0.2">
      <c r="A2458" s="1">
        <v>44803</v>
      </c>
      <c r="B2458" s="2">
        <v>0.55494212962962963</v>
      </c>
      <c r="C2458">
        <v>3456</v>
      </c>
      <c r="D2458">
        <v>13002561</v>
      </c>
      <c r="E2458">
        <v>13</v>
      </c>
      <c r="F2458">
        <v>22589</v>
      </c>
      <c r="G2458" t="s">
        <v>23</v>
      </c>
      <c r="H2458">
        <v>15</v>
      </c>
      <c r="I2458">
        <v>62405</v>
      </c>
      <c r="J2458" t="s">
        <v>99</v>
      </c>
      <c r="K2458" t="s">
        <v>45</v>
      </c>
      <c r="L2458" t="s">
        <v>29</v>
      </c>
      <c r="M2458">
        <v>1</v>
      </c>
      <c r="N2458">
        <v>596.76</v>
      </c>
      <c r="O2458">
        <v>913.93</v>
      </c>
      <c r="P2458">
        <v>45.7</v>
      </c>
      <c r="Q2458">
        <v>45.7</v>
      </c>
      <c r="R2458" t="s">
        <v>30</v>
      </c>
      <c r="S2458">
        <v>29</v>
      </c>
      <c r="T2458">
        <v>1</v>
      </c>
      <c r="U2458">
        <v>2</v>
      </c>
      <c r="V2458">
        <v>868.23</v>
      </c>
      <c r="W2458">
        <v>13130002456</v>
      </c>
    </row>
    <row r="2459" spans="1:23" x14ac:dyDescent="0.2">
      <c r="A2459" s="1">
        <v>44793</v>
      </c>
      <c r="B2459" s="2">
        <v>0.77959490740740744</v>
      </c>
      <c r="C2459">
        <v>3457</v>
      </c>
      <c r="D2459">
        <v>13002561</v>
      </c>
      <c r="E2459">
        <v>13</v>
      </c>
      <c r="F2459">
        <v>22589</v>
      </c>
      <c r="G2459" t="s">
        <v>23</v>
      </c>
      <c r="H2459">
        <v>18</v>
      </c>
      <c r="I2459">
        <v>73751</v>
      </c>
      <c r="J2459" t="s">
        <v>115</v>
      </c>
      <c r="K2459" t="s">
        <v>38</v>
      </c>
      <c r="L2459" t="s">
        <v>29</v>
      </c>
      <c r="M2459">
        <v>1</v>
      </c>
      <c r="N2459">
        <v>522.48</v>
      </c>
      <c r="O2459">
        <v>811.74</v>
      </c>
      <c r="P2459">
        <v>81.17</v>
      </c>
      <c r="Q2459">
        <v>81.17</v>
      </c>
      <c r="R2459" t="s">
        <v>30</v>
      </c>
      <c r="S2459">
        <v>29</v>
      </c>
      <c r="T2459">
        <v>1</v>
      </c>
      <c r="U2459">
        <v>6</v>
      </c>
      <c r="V2459">
        <v>730.57</v>
      </c>
      <c r="W2459">
        <v>13130002457</v>
      </c>
    </row>
    <row r="2460" spans="1:23" x14ac:dyDescent="0.2">
      <c r="A2460" s="1">
        <v>44774</v>
      </c>
      <c r="B2460" s="2">
        <v>0.33480324074074069</v>
      </c>
      <c r="C2460">
        <v>3458</v>
      </c>
      <c r="D2460">
        <v>13002561</v>
      </c>
      <c r="E2460">
        <v>13</v>
      </c>
      <c r="F2460">
        <v>22589</v>
      </c>
      <c r="G2460" t="s">
        <v>23</v>
      </c>
      <c r="H2460">
        <v>18</v>
      </c>
      <c r="I2460">
        <v>43711</v>
      </c>
      <c r="J2460" t="s">
        <v>53</v>
      </c>
      <c r="K2460" t="s">
        <v>45</v>
      </c>
      <c r="L2460" t="s">
        <v>32</v>
      </c>
      <c r="M2460">
        <v>3</v>
      </c>
      <c r="N2460">
        <v>241.96</v>
      </c>
      <c r="O2460">
        <v>371</v>
      </c>
      <c r="P2460">
        <v>18.55</v>
      </c>
      <c r="Q2460">
        <v>18.55</v>
      </c>
      <c r="R2460" t="s">
        <v>30</v>
      </c>
      <c r="S2460">
        <v>29</v>
      </c>
      <c r="T2460">
        <v>1</v>
      </c>
      <c r="U2460">
        <v>1</v>
      </c>
      <c r="V2460">
        <v>352.45</v>
      </c>
      <c r="W2460">
        <v>13130002458</v>
      </c>
    </row>
    <row r="2461" spans="1:23" x14ac:dyDescent="0.2">
      <c r="A2461" s="1">
        <v>44781</v>
      </c>
      <c r="B2461" s="2">
        <v>0.50157407407407406</v>
      </c>
      <c r="C2461">
        <v>3459</v>
      </c>
      <c r="D2461">
        <v>13002561</v>
      </c>
      <c r="E2461">
        <v>13</v>
      </c>
      <c r="F2461">
        <v>22589</v>
      </c>
      <c r="G2461" t="s">
        <v>23</v>
      </c>
      <c r="H2461">
        <v>15</v>
      </c>
      <c r="I2461">
        <v>69413</v>
      </c>
      <c r="J2461" t="s">
        <v>126</v>
      </c>
      <c r="K2461" t="s">
        <v>60</v>
      </c>
      <c r="L2461" t="s">
        <v>47</v>
      </c>
      <c r="M2461">
        <v>2</v>
      </c>
      <c r="N2461">
        <v>589.79</v>
      </c>
      <c r="O2461">
        <v>936.55</v>
      </c>
      <c r="P2461">
        <v>46.83</v>
      </c>
      <c r="Q2461">
        <v>46.83</v>
      </c>
      <c r="R2461" t="s">
        <v>30</v>
      </c>
      <c r="S2461">
        <v>29</v>
      </c>
      <c r="T2461">
        <v>1</v>
      </c>
      <c r="U2461">
        <v>5</v>
      </c>
      <c r="V2461">
        <v>889.72</v>
      </c>
      <c r="W2461">
        <v>13130002459</v>
      </c>
    </row>
    <row r="2462" spans="1:23" x14ac:dyDescent="0.2">
      <c r="A2462" s="1">
        <v>44775</v>
      </c>
      <c r="B2462" s="2">
        <v>0.49807870370370372</v>
      </c>
      <c r="C2462">
        <v>3460</v>
      </c>
      <c r="D2462">
        <v>13002561</v>
      </c>
      <c r="E2462">
        <v>13</v>
      </c>
      <c r="F2462">
        <v>22589</v>
      </c>
      <c r="G2462" t="s">
        <v>23</v>
      </c>
      <c r="H2462">
        <v>18</v>
      </c>
      <c r="I2462">
        <v>42693</v>
      </c>
      <c r="J2462" t="s">
        <v>65</v>
      </c>
      <c r="K2462" t="s">
        <v>44</v>
      </c>
      <c r="L2462" t="s">
        <v>29</v>
      </c>
      <c r="M2462">
        <v>2</v>
      </c>
      <c r="N2462">
        <v>379.74</v>
      </c>
      <c r="O2462">
        <v>477.36</v>
      </c>
      <c r="P2462">
        <v>0</v>
      </c>
      <c r="Q2462">
        <v>0</v>
      </c>
      <c r="S2462">
        <v>29</v>
      </c>
      <c r="T2462">
        <v>1</v>
      </c>
      <c r="U2462">
        <v>5</v>
      </c>
      <c r="V2462">
        <v>477.36</v>
      </c>
      <c r="W2462">
        <v>13130002460</v>
      </c>
    </row>
    <row r="2463" spans="1:23" x14ac:dyDescent="0.2">
      <c r="A2463" s="1">
        <v>44776</v>
      </c>
      <c r="B2463" s="2">
        <v>0.82725694444444442</v>
      </c>
      <c r="C2463">
        <v>3461</v>
      </c>
      <c r="D2463">
        <v>13002561</v>
      </c>
      <c r="E2463">
        <v>13</v>
      </c>
      <c r="F2463">
        <v>22589</v>
      </c>
      <c r="G2463" t="s">
        <v>23</v>
      </c>
      <c r="H2463">
        <v>15</v>
      </c>
      <c r="I2463">
        <v>98003</v>
      </c>
      <c r="J2463" t="s">
        <v>122</v>
      </c>
      <c r="K2463" t="s">
        <v>45</v>
      </c>
      <c r="L2463" t="s">
        <v>34</v>
      </c>
      <c r="M2463">
        <v>1</v>
      </c>
      <c r="N2463">
        <v>150.1</v>
      </c>
      <c r="O2463">
        <v>206.96</v>
      </c>
      <c r="P2463">
        <v>0</v>
      </c>
      <c r="Q2463">
        <v>0</v>
      </c>
      <c r="S2463">
        <v>29</v>
      </c>
      <c r="T2463">
        <v>1</v>
      </c>
      <c r="U2463">
        <v>3</v>
      </c>
      <c r="V2463">
        <v>206.96</v>
      </c>
      <c r="W2463">
        <v>13130002461</v>
      </c>
    </row>
    <row r="2464" spans="1:23" x14ac:dyDescent="0.2">
      <c r="A2464" s="1">
        <v>44793</v>
      </c>
      <c r="B2464" s="2">
        <v>0.7908680555555555</v>
      </c>
      <c r="C2464">
        <v>3462</v>
      </c>
      <c r="D2464">
        <v>13002561</v>
      </c>
      <c r="E2464">
        <v>13</v>
      </c>
      <c r="F2464">
        <v>22589</v>
      </c>
      <c r="G2464" t="s">
        <v>23</v>
      </c>
      <c r="H2464">
        <v>15</v>
      </c>
      <c r="I2464">
        <v>75763</v>
      </c>
      <c r="J2464" t="s">
        <v>73</v>
      </c>
      <c r="K2464" t="s">
        <v>25</v>
      </c>
      <c r="L2464" t="s">
        <v>26</v>
      </c>
      <c r="M2464">
        <v>1</v>
      </c>
      <c r="N2464">
        <v>80.91</v>
      </c>
      <c r="O2464">
        <v>105.15</v>
      </c>
      <c r="P2464">
        <v>5.26</v>
      </c>
      <c r="Q2464">
        <v>5.26</v>
      </c>
      <c r="R2464" t="s">
        <v>30</v>
      </c>
      <c r="S2464">
        <v>29</v>
      </c>
      <c r="T2464">
        <v>1</v>
      </c>
      <c r="U2464">
        <v>3</v>
      </c>
      <c r="V2464">
        <v>99.89</v>
      </c>
      <c r="W2464">
        <v>13130002462</v>
      </c>
    </row>
    <row r="2465" spans="1:23" x14ac:dyDescent="0.2">
      <c r="A2465" s="1">
        <v>44797</v>
      </c>
      <c r="B2465" s="2">
        <v>0.79829861111111111</v>
      </c>
      <c r="C2465">
        <v>3463</v>
      </c>
      <c r="D2465">
        <v>13002561</v>
      </c>
      <c r="E2465">
        <v>13</v>
      </c>
      <c r="F2465">
        <v>22589</v>
      </c>
      <c r="G2465" t="s">
        <v>23</v>
      </c>
      <c r="H2465">
        <v>15</v>
      </c>
      <c r="I2465">
        <v>61761</v>
      </c>
      <c r="J2465" t="s">
        <v>35</v>
      </c>
      <c r="K2465" t="s">
        <v>28</v>
      </c>
      <c r="L2465" t="s">
        <v>39</v>
      </c>
      <c r="M2465">
        <v>1</v>
      </c>
      <c r="N2465">
        <v>486.63</v>
      </c>
      <c r="O2465">
        <v>723.68</v>
      </c>
      <c r="P2465">
        <v>36.18</v>
      </c>
      <c r="Q2465">
        <v>36.18</v>
      </c>
      <c r="R2465" t="s">
        <v>30</v>
      </c>
      <c r="S2465">
        <v>29</v>
      </c>
      <c r="T2465">
        <v>1</v>
      </c>
      <c r="U2465">
        <v>2</v>
      </c>
      <c r="V2465">
        <v>687.5</v>
      </c>
      <c r="W2465">
        <v>13130002463</v>
      </c>
    </row>
    <row r="2466" spans="1:23" x14ac:dyDescent="0.2">
      <c r="A2466" s="1">
        <v>44775</v>
      </c>
      <c r="B2466" s="2">
        <v>0.57130787037037034</v>
      </c>
      <c r="C2466">
        <v>3464</v>
      </c>
      <c r="D2466">
        <v>13002561</v>
      </c>
      <c r="E2466">
        <v>13</v>
      </c>
      <c r="F2466">
        <v>22589</v>
      </c>
      <c r="G2466" t="s">
        <v>23</v>
      </c>
      <c r="H2466">
        <v>15</v>
      </c>
      <c r="I2466">
        <v>14314</v>
      </c>
      <c r="J2466" t="s">
        <v>59</v>
      </c>
      <c r="K2466" t="s">
        <v>28</v>
      </c>
      <c r="L2466" t="s">
        <v>39</v>
      </c>
      <c r="M2466">
        <v>3</v>
      </c>
      <c r="N2466">
        <v>549.70000000000005</v>
      </c>
      <c r="O2466">
        <v>881.79</v>
      </c>
      <c r="P2466">
        <v>44.09</v>
      </c>
      <c r="Q2466">
        <v>44.09</v>
      </c>
      <c r="R2466" t="s">
        <v>30</v>
      </c>
      <c r="S2466">
        <v>29</v>
      </c>
      <c r="T2466">
        <v>1</v>
      </c>
      <c r="U2466">
        <v>4</v>
      </c>
      <c r="V2466">
        <v>837.7</v>
      </c>
      <c r="W2466">
        <v>13130002464</v>
      </c>
    </row>
    <row r="2467" spans="1:23" x14ac:dyDescent="0.2">
      <c r="A2467" s="1">
        <v>44803</v>
      </c>
      <c r="B2467" s="2">
        <v>0.4211111111111111</v>
      </c>
      <c r="C2467">
        <v>3465</v>
      </c>
      <c r="D2467">
        <v>13002561</v>
      </c>
      <c r="E2467">
        <v>13</v>
      </c>
      <c r="F2467">
        <v>22589</v>
      </c>
      <c r="G2467" t="s">
        <v>23</v>
      </c>
      <c r="H2467">
        <v>15</v>
      </c>
      <c r="I2467">
        <v>77315</v>
      </c>
      <c r="J2467" t="s">
        <v>54</v>
      </c>
      <c r="K2467" t="s">
        <v>38</v>
      </c>
      <c r="L2467" t="s">
        <v>32</v>
      </c>
      <c r="M2467">
        <v>1</v>
      </c>
      <c r="N2467">
        <v>515.97</v>
      </c>
      <c r="O2467">
        <v>748.49</v>
      </c>
      <c r="P2467">
        <v>37.42</v>
      </c>
      <c r="Q2467">
        <v>37.42</v>
      </c>
      <c r="R2467" t="s">
        <v>30</v>
      </c>
      <c r="S2467">
        <v>29</v>
      </c>
      <c r="T2467">
        <v>1</v>
      </c>
      <c r="U2467">
        <v>5</v>
      </c>
      <c r="V2467">
        <v>711.07</v>
      </c>
      <c r="W2467">
        <v>13130002465</v>
      </c>
    </row>
    <row r="2468" spans="1:23" x14ac:dyDescent="0.2">
      <c r="A2468" s="1">
        <v>44782</v>
      </c>
      <c r="B2468" s="2">
        <v>0.61653935185185182</v>
      </c>
      <c r="C2468">
        <v>3466</v>
      </c>
      <c r="D2468">
        <v>13002561</v>
      </c>
      <c r="E2468">
        <v>13</v>
      </c>
      <c r="F2468">
        <v>22589</v>
      </c>
      <c r="G2468" t="s">
        <v>23</v>
      </c>
      <c r="H2468">
        <v>18</v>
      </c>
      <c r="I2468">
        <v>91872</v>
      </c>
      <c r="J2468" t="s">
        <v>78</v>
      </c>
      <c r="K2468" t="s">
        <v>44</v>
      </c>
      <c r="L2468" t="s">
        <v>29</v>
      </c>
      <c r="M2468">
        <v>1</v>
      </c>
      <c r="N2468">
        <v>594.44000000000005</v>
      </c>
      <c r="O2468">
        <v>796.58</v>
      </c>
      <c r="P2468">
        <v>0</v>
      </c>
      <c r="Q2468">
        <v>0</v>
      </c>
      <c r="S2468">
        <v>29</v>
      </c>
      <c r="T2468">
        <v>1</v>
      </c>
      <c r="U2468">
        <v>1</v>
      </c>
      <c r="V2468">
        <v>796.58</v>
      </c>
      <c r="W2468">
        <v>13130002466</v>
      </c>
    </row>
    <row r="2469" spans="1:23" x14ac:dyDescent="0.2">
      <c r="A2469" s="1">
        <v>44794</v>
      </c>
      <c r="B2469" s="2">
        <v>0.50118055555555552</v>
      </c>
      <c r="C2469">
        <v>3467</v>
      </c>
      <c r="D2469">
        <v>13002561</v>
      </c>
      <c r="E2469">
        <v>13</v>
      </c>
      <c r="F2469">
        <v>22589</v>
      </c>
      <c r="G2469" t="s">
        <v>23</v>
      </c>
      <c r="H2469">
        <v>15</v>
      </c>
      <c r="I2469">
        <v>51927</v>
      </c>
      <c r="J2469" t="s">
        <v>79</v>
      </c>
      <c r="K2469" t="s">
        <v>38</v>
      </c>
      <c r="L2469" t="s">
        <v>34</v>
      </c>
      <c r="M2469">
        <v>3</v>
      </c>
      <c r="N2469">
        <v>305.58</v>
      </c>
      <c r="O2469">
        <v>510.95</v>
      </c>
      <c r="P2469">
        <v>0</v>
      </c>
      <c r="Q2469">
        <v>0</v>
      </c>
      <c r="S2469">
        <v>29</v>
      </c>
      <c r="T2469">
        <v>1</v>
      </c>
      <c r="U2469">
        <v>4</v>
      </c>
      <c r="V2469">
        <v>510.95</v>
      </c>
      <c r="W2469">
        <v>13130002467</v>
      </c>
    </row>
    <row r="2470" spans="1:23" x14ac:dyDescent="0.2">
      <c r="A2470" s="1">
        <v>44789</v>
      </c>
      <c r="B2470" s="2">
        <v>0.83440972222222221</v>
      </c>
      <c r="C2470">
        <v>3468</v>
      </c>
      <c r="D2470">
        <v>13002561</v>
      </c>
      <c r="E2470">
        <v>13</v>
      </c>
      <c r="F2470">
        <v>22589</v>
      </c>
      <c r="G2470" t="s">
        <v>23</v>
      </c>
      <c r="H2470">
        <v>15</v>
      </c>
      <c r="I2470">
        <v>21018</v>
      </c>
      <c r="J2470" t="s">
        <v>83</v>
      </c>
      <c r="K2470" t="s">
        <v>38</v>
      </c>
      <c r="L2470" t="s">
        <v>39</v>
      </c>
      <c r="M2470">
        <v>1</v>
      </c>
      <c r="N2470">
        <v>262.3</v>
      </c>
      <c r="O2470">
        <v>411.22</v>
      </c>
      <c r="P2470">
        <v>20.56</v>
      </c>
      <c r="Q2470">
        <v>20.56</v>
      </c>
      <c r="R2470" t="s">
        <v>30</v>
      </c>
      <c r="S2470">
        <v>29</v>
      </c>
      <c r="T2470">
        <v>1</v>
      </c>
      <c r="U2470">
        <v>2</v>
      </c>
      <c r="V2470">
        <v>390.66</v>
      </c>
      <c r="W2470">
        <v>13130002468</v>
      </c>
    </row>
    <row r="2471" spans="1:23" x14ac:dyDescent="0.2">
      <c r="A2471" s="1">
        <v>44793</v>
      </c>
      <c r="B2471" s="2">
        <v>0.49607638888888889</v>
      </c>
      <c r="C2471">
        <v>3469</v>
      </c>
      <c r="D2471">
        <v>13002561</v>
      </c>
      <c r="E2471">
        <v>13</v>
      </c>
      <c r="F2471">
        <v>22589</v>
      </c>
      <c r="G2471" t="s">
        <v>23</v>
      </c>
      <c r="H2471">
        <v>18</v>
      </c>
      <c r="I2471">
        <v>16718</v>
      </c>
      <c r="J2471" t="s">
        <v>56</v>
      </c>
      <c r="K2471" t="s">
        <v>38</v>
      </c>
      <c r="L2471" t="s">
        <v>32</v>
      </c>
      <c r="M2471">
        <v>3</v>
      </c>
      <c r="N2471">
        <v>560.09</v>
      </c>
      <c r="O2471">
        <v>714.16</v>
      </c>
      <c r="P2471">
        <v>35.71</v>
      </c>
      <c r="Q2471">
        <v>35.71</v>
      </c>
      <c r="R2471" t="s">
        <v>30</v>
      </c>
      <c r="S2471">
        <v>29</v>
      </c>
      <c r="T2471">
        <v>1</v>
      </c>
      <c r="U2471">
        <v>2</v>
      </c>
      <c r="V2471">
        <v>678.45</v>
      </c>
      <c r="W2471">
        <v>13130002469</v>
      </c>
    </row>
    <row r="2472" spans="1:23" x14ac:dyDescent="0.2">
      <c r="A2472" s="1">
        <v>44797</v>
      </c>
      <c r="B2472" s="2">
        <v>0.45956018518518521</v>
      </c>
      <c r="C2472">
        <v>3470</v>
      </c>
      <c r="D2472">
        <v>13002561</v>
      </c>
      <c r="E2472">
        <v>13</v>
      </c>
      <c r="F2472">
        <v>22589</v>
      </c>
      <c r="G2472" t="s">
        <v>23</v>
      </c>
      <c r="H2472">
        <v>18</v>
      </c>
      <c r="I2472">
        <v>51353</v>
      </c>
      <c r="J2472" t="s">
        <v>41</v>
      </c>
      <c r="K2472" t="s">
        <v>28</v>
      </c>
      <c r="L2472" t="s">
        <v>26</v>
      </c>
      <c r="M2472">
        <v>2</v>
      </c>
      <c r="N2472">
        <v>494.75</v>
      </c>
      <c r="O2472">
        <v>797.77</v>
      </c>
      <c r="P2472">
        <v>79.78</v>
      </c>
      <c r="Q2472">
        <v>79.78</v>
      </c>
      <c r="R2472" t="s">
        <v>30</v>
      </c>
      <c r="S2472">
        <v>29</v>
      </c>
      <c r="T2472">
        <v>1</v>
      </c>
      <c r="U2472">
        <v>1</v>
      </c>
      <c r="V2472">
        <v>717.99</v>
      </c>
      <c r="W2472">
        <v>13130002470</v>
      </c>
    </row>
    <row r="2473" spans="1:23" x14ac:dyDescent="0.2">
      <c r="A2473" s="1">
        <v>44796</v>
      </c>
      <c r="B2473" s="2">
        <v>0.33932870370370372</v>
      </c>
      <c r="C2473">
        <v>3471</v>
      </c>
      <c r="D2473">
        <v>13002561</v>
      </c>
      <c r="E2473">
        <v>13</v>
      </c>
      <c r="F2473">
        <v>22589</v>
      </c>
      <c r="G2473" t="s">
        <v>23</v>
      </c>
      <c r="H2473">
        <v>15</v>
      </c>
      <c r="I2473">
        <v>29392</v>
      </c>
      <c r="J2473" t="s">
        <v>88</v>
      </c>
      <c r="K2473" t="s">
        <v>44</v>
      </c>
      <c r="L2473" t="s">
        <v>36</v>
      </c>
      <c r="M2473">
        <v>3</v>
      </c>
      <c r="N2473">
        <v>129.09</v>
      </c>
      <c r="O2473">
        <v>182.45</v>
      </c>
      <c r="P2473">
        <v>0</v>
      </c>
      <c r="Q2473">
        <v>0</v>
      </c>
      <c r="S2473">
        <v>29</v>
      </c>
      <c r="T2473">
        <v>1</v>
      </c>
      <c r="U2473">
        <v>3</v>
      </c>
      <c r="V2473">
        <v>182.45</v>
      </c>
      <c r="W2473">
        <v>13130002471</v>
      </c>
    </row>
    <row r="2474" spans="1:23" x14ac:dyDescent="0.2">
      <c r="A2474" s="1">
        <v>44790</v>
      </c>
      <c r="B2474" s="2">
        <v>0.57012731481481482</v>
      </c>
      <c r="C2474">
        <v>3472</v>
      </c>
      <c r="D2474">
        <v>13002561</v>
      </c>
      <c r="E2474">
        <v>13</v>
      </c>
      <c r="F2474">
        <v>22589</v>
      </c>
      <c r="G2474" t="s">
        <v>23</v>
      </c>
      <c r="H2474">
        <v>15</v>
      </c>
      <c r="I2474">
        <v>10250</v>
      </c>
      <c r="J2474" t="s">
        <v>35</v>
      </c>
      <c r="K2474" t="s">
        <v>45</v>
      </c>
      <c r="L2474" t="s">
        <v>36</v>
      </c>
      <c r="M2474">
        <v>2</v>
      </c>
      <c r="N2474">
        <v>395.98</v>
      </c>
      <c r="O2474">
        <v>600.63</v>
      </c>
      <c r="P2474">
        <v>60.06</v>
      </c>
      <c r="Q2474">
        <v>60.06</v>
      </c>
      <c r="R2474" t="s">
        <v>30</v>
      </c>
      <c r="S2474">
        <v>29</v>
      </c>
      <c r="T2474">
        <v>1</v>
      </c>
      <c r="U2474">
        <v>3</v>
      </c>
      <c r="V2474">
        <v>540.57000000000005</v>
      </c>
      <c r="W2474">
        <v>13130002472</v>
      </c>
    </row>
    <row r="2475" spans="1:23" x14ac:dyDescent="0.2">
      <c r="A2475" s="1">
        <v>44779</v>
      </c>
      <c r="B2475" s="2">
        <v>0.84616898148148145</v>
      </c>
      <c r="C2475">
        <v>3473</v>
      </c>
      <c r="D2475">
        <v>13002561</v>
      </c>
      <c r="E2475">
        <v>13</v>
      </c>
      <c r="F2475">
        <v>22589</v>
      </c>
      <c r="G2475" t="s">
        <v>23</v>
      </c>
      <c r="H2475">
        <v>18</v>
      </c>
      <c r="I2475">
        <v>77582</v>
      </c>
      <c r="J2475" t="s">
        <v>76</v>
      </c>
      <c r="K2475" t="s">
        <v>25</v>
      </c>
      <c r="L2475" t="s">
        <v>47</v>
      </c>
      <c r="M2475">
        <v>2</v>
      </c>
      <c r="N2475">
        <v>171.42</v>
      </c>
      <c r="O2475">
        <v>246.54</v>
      </c>
      <c r="P2475">
        <v>12.33</v>
      </c>
      <c r="Q2475">
        <v>12.33</v>
      </c>
      <c r="R2475" t="s">
        <v>30</v>
      </c>
      <c r="S2475">
        <v>29</v>
      </c>
      <c r="T2475">
        <v>1</v>
      </c>
      <c r="U2475">
        <v>2</v>
      </c>
      <c r="V2475">
        <v>234.21</v>
      </c>
      <c r="W2475">
        <v>13130002473</v>
      </c>
    </row>
    <row r="2476" spans="1:23" x14ac:dyDescent="0.2">
      <c r="A2476" s="1">
        <v>44774</v>
      </c>
      <c r="B2476" s="2">
        <v>0.55412037037037032</v>
      </c>
      <c r="C2476">
        <v>3474</v>
      </c>
      <c r="D2476">
        <v>13002561</v>
      </c>
      <c r="E2476">
        <v>13</v>
      </c>
      <c r="F2476">
        <v>22589</v>
      </c>
      <c r="G2476" t="s">
        <v>23</v>
      </c>
      <c r="H2476">
        <v>18</v>
      </c>
      <c r="I2476">
        <v>77173</v>
      </c>
      <c r="J2476" t="s">
        <v>80</v>
      </c>
      <c r="K2476" t="s">
        <v>44</v>
      </c>
      <c r="L2476" t="s">
        <v>51</v>
      </c>
      <c r="M2476">
        <v>1</v>
      </c>
      <c r="N2476">
        <v>590.80999999999995</v>
      </c>
      <c r="O2476">
        <v>1001.41</v>
      </c>
      <c r="P2476">
        <v>100.14</v>
      </c>
      <c r="Q2476">
        <v>100.14</v>
      </c>
      <c r="R2476" t="s">
        <v>30</v>
      </c>
      <c r="S2476">
        <v>29</v>
      </c>
      <c r="T2476">
        <v>1</v>
      </c>
      <c r="U2476">
        <v>5</v>
      </c>
      <c r="V2476">
        <v>901.27</v>
      </c>
      <c r="W2476">
        <v>13130002474</v>
      </c>
    </row>
    <row r="2477" spans="1:23" x14ac:dyDescent="0.2">
      <c r="A2477" s="1">
        <v>44777</v>
      </c>
      <c r="B2477" s="2">
        <v>0.86896990740740743</v>
      </c>
      <c r="C2477">
        <v>3475</v>
      </c>
      <c r="D2477">
        <v>13002561</v>
      </c>
      <c r="E2477">
        <v>13</v>
      </c>
      <c r="F2477">
        <v>22589</v>
      </c>
      <c r="G2477" t="s">
        <v>23</v>
      </c>
      <c r="H2477">
        <v>18</v>
      </c>
      <c r="I2477">
        <v>54068</v>
      </c>
      <c r="J2477" t="s">
        <v>80</v>
      </c>
      <c r="K2477" t="s">
        <v>25</v>
      </c>
      <c r="L2477" t="s">
        <v>36</v>
      </c>
      <c r="M2477">
        <v>3</v>
      </c>
      <c r="N2477">
        <v>470.34</v>
      </c>
      <c r="O2477">
        <v>755.43</v>
      </c>
      <c r="P2477">
        <v>75.540000000000006</v>
      </c>
      <c r="Q2477">
        <v>75.540000000000006</v>
      </c>
      <c r="R2477" t="s">
        <v>30</v>
      </c>
      <c r="S2477">
        <v>29</v>
      </c>
      <c r="T2477">
        <v>1</v>
      </c>
      <c r="U2477">
        <v>2</v>
      </c>
      <c r="V2477">
        <v>679.89</v>
      </c>
      <c r="W2477">
        <v>13130002475</v>
      </c>
    </row>
    <row r="2478" spans="1:23" x14ac:dyDescent="0.2">
      <c r="A2478" s="1">
        <v>44776</v>
      </c>
      <c r="B2478" s="2">
        <v>0.82065972222222228</v>
      </c>
      <c r="C2478">
        <v>3476</v>
      </c>
      <c r="D2478">
        <v>13002561</v>
      </c>
      <c r="E2478">
        <v>13</v>
      </c>
      <c r="F2478">
        <v>22589</v>
      </c>
      <c r="G2478" t="s">
        <v>23</v>
      </c>
      <c r="H2478">
        <v>18</v>
      </c>
      <c r="I2478">
        <v>64885</v>
      </c>
      <c r="J2478" t="s">
        <v>91</v>
      </c>
      <c r="K2478" t="s">
        <v>60</v>
      </c>
      <c r="L2478" t="s">
        <v>26</v>
      </c>
      <c r="M2478">
        <v>3</v>
      </c>
      <c r="N2478">
        <v>211.46</v>
      </c>
      <c r="O2478">
        <v>295.27999999999997</v>
      </c>
      <c r="P2478">
        <v>0</v>
      </c>
      <c r="Q2478">
        <v>0</v>
      </c>
      <c r="S2478">
        <v>29</v>
      </c>
      <c r="T2478">
        <v>1</v>
      </c>
      <c r="U2478">
        <v>6</v>
      </c>
      <c r="V2478">
        <v>295.27999999999997</v>
      </c>
      <c r="W2478">
        <v>13130002476</v>
      </c>
    </row>
    <row r="2479" spans="1:23" x14ac:dyDescent="0.2">
      <c r="A2479" s="1">
        <v>44780</v>
      </c>
      <c r="B2479" s="2">
        <v>0.62498842592592596</v>
      </c>
      <c r="C2479">
        <v>3477</v>
      </c>
      <c r="D2479">
        <v>13002561</v>
      </c>
      <c r="E2479">
        <v>13</v>
      </c>
      <c r="F2479">
        <v>22589</v>
      </c>
      <c r="G2479" t="s">
        <v>23</v>
      </c>
      <c r="H2479">
        <v>18</v>
      </c>
      <c r="I2479">
        <v>15336</v>
      </c>
      <c r="J2479" t="s">
        <v>106</v>
      </c>
      <c r="K2479" t="s">
        <v>38</v>
      </c>
      <c r="L2479" t="s">
        <v>34</v>
      </c>
      <c r="M2479">
        <v>2</v>
      </c>
      <c r="N2479">
        <v>188.8</v>
      </c>
      <c r="O2479">
        <v>308.47000000000003</v>
      </c>
      <c r="P2479">
        <v>15.42</v>
      </c>
      <c r="Q2479">
        <v>15.42</v>
      </c>
      <c r="R2479" t="s">
        <v>30</v>
      </c>
      <c r="S2479">
        <v>29</v>
      </c>
      <c r="T2479">
        <v>1</v>
      </c>
      <c r="U2479">
        <v>2</v>
      </c>
      <c r="V2479">
        <v>293.05</v>
      </c>
      <c r="W2479">
        <v>13130002477</v>
      </c>
    </row>
    <row r="2480" spans="1:23" x14ac:dyDescent="0.2">
      <c r="A2480" s="1">
        <v>44780</v>
      </c>
      <c r="B2480" s="2">
        <v>0.62354166666666666</v>
      </c>
      <c r="C2480">
        <v>3478</v>
      </c>
      <c r="D2480">
        <v>13002561</v>
      </c>
      <c r="E2480">
        <v>13</v>
      </c>
      <c r="F2480">
        <v>22589</v>
      </c>
      <c r="G2480" t="s">
        <v>23</v>
      </c>
      <c r="H2480">
        <v>18</v>
      </c>
      <c r="I2480">
        <v>88994</v>
      </c>
      <c r="J2480" t="s">
        <v>69</v>
      </c>
      <c r="K2480" t="s">
        <v>25</v>
      </c>
      <c r="L2480" t="s">
        <v>39</v>
      </c>
      <c r="M2480">
        <v>3</v>
      </c>
      <c r="N2480">
        <v>134</v>
      </c>
      <c r="O2480">
        <v>177.12</v>
      </c>
      <c r="P2480">
        <v>8.86</v>
      </c>
      <c r="Q2480">
        <v>8.86</v>
      </c>
      <c r="R2480" t="s">
        <v>30</v>
      </c>
      <c r="S2480">
        <v>29</v>
      </c>
      <c r="T2480">
        <v>1</v>
      </c>
      <c r="U2480">
        <v>5</v>
      </c>
      <c r="V2480">
        <v>168.26</v>
      </c>
      <c r="W2480">
        <v>13130002478</v>
      </c>
    </row>
    <row r="2481" spans="1:23" x14ac:dyDescent="0.2">
      <c r="A2481" s="1">
        <v>44784</v>
      </c>
      <c r="B2481" s="2">
        <v>0.84729166666666667</v>
      </c>
      <c r="C2481">
        <v>3479</v>
      </c>
      <c r="D2481">
        <v>13002561</v>
      </c>
      <c r="E2481">
        <v>13</v>
      </c>
      <c r="F2481">
        <v>22589</v>
      </c>
      <c r="G2481" t="s">
        <v>23</v>
      </c>
      <c r="H2481">
        <v>15</v>
      </c>
      <c r="I2481">
        <v>84687</v>
      </c>
      <c r="J2481" t="s">
        <v>79</v>
      </c>
      <c r="K2481" t="s">
        <v>44</v>
      </c>
      <c r="L2481" t="s">
        <v>29</v>
      </c>
      <c r="M2481">
        <v>1</v>
      </c>
      <c r="N2481">
        <v>335.65</v>
      </c>
      <c r="O2481">
        <v>559.76</v>
      </c>
      <c r="P2481">
        <v>55.98</v>
      </c>
      <c r="Q2481">
        <v>55.98</v>
      </c>
      <c r="R2481" t="s">
        <v>30</v>
      </c>
      <c r="S2481">
        <v>29</v>
      </c>
      <c r="T2481">
        <v>1</v>
      </c>
      <c r="U2481">
        <v>6</v>
      </c>
      <c r="V2481">
        <v>503.78</v>
      </c>
      <c r="W2481">
        <v>13130002479</v>
      </c>
    </row>
    <row r="2482" spans="1:23" x14ac:dyDescent="0.2">
      <c r="A2482" s="1">
        <v>44786</v>
      </c>
      <c r="B2482" s="2">
        <v>0.40335648148148151</v>
      </c>
      <c r="C2482">
        <v>3480</v>
      </c>
      <c r="D2482">
        <v>13002561</v>
      </c>
      <c r="E2482">
        <v>13</v>
      </c>
      <c r="F2482">
        <v>22589</v>
      </c>
      <c r="G2482" t="s">
        <v>23</v>
      </c>
      <c r="H2482">
        <v>15</v>
      </c>
      <c r="I2482">
        <v>18810</v>
      </c>
      <c r="J2482" t="s">
        <v>58</v>
      </c>
      <c r="K2482" t="s">
        <v>45</v>
      </c>
      <c r="L2482" t="s">
        <v>39</v>
      </c>
      <c r="M2482">
        <v>2</v>
      </c>
      <c r="N2482">
        <v>369.92</v>
      </c>
      <c r="O2482">
        <v>520.51</v>
      </c>
      <c r="P2482">
        <v>0</v>
      </c>
      <c r="Q2482">
        <v>0</v>
      </c>
      <c r="S2482">
        <v>29</v>
      </c>
      <c r="T2482">
        <v>1</v>
      </c>
      <c r="U2482">
        <v>5</v>
      </c>
      <c r="V2482">
        <v>520.51</v>
      </c>
      <c r="W2482">
        <v>13130002480</v>
      </c>
    </row>
    <row r="2483" spans="1:23" x14ac:dyDescent="0.2">
      <c r="A2483" s="1">
        <v>44796</v>
      </c>
      <c r="B2483" s="2">
        <v>0.67449074074074078</v>
      </c>
      <c r="C2483">
        <v>3481</v>
      </c>
      <c r="D2483">
        <v>13002561</v>
      </c>
      <c r="E2483">
        <v>13</v>
      </c>
      <c r="F2483">
        <v>22589</v>
      </c>
      <c r="G2483" t="s">
        <v>23</v>
      </c>
      <c r="H2483">
        <v>15</v>
      </c>
      <c r="I2483">
        <v>52035</v>
      </c>
      <c r="J2483" t="s">
        <v>42</v>
      </c>
      <c r="K2483" t="s">
        <v>45</v>
      </c>
      <c r="L2483" t="s">
        <v>39</v>
      </c>
      <c r="M2483">
        <v>3</v>
      </c>
      <c r="N2483">
        <v>22.99</v>
      </c>
      <c r="O2483">
        <v>36.74</v>
      </c>
      <c r="P2483">
        <v>1.84</v>
      </c>
      <c r="Q2483">
        <v>1.84</v>
      </c>
      <c r="R2483" t="s">
        <v>30</v>
      </c>
      <c r="S2483">
        <v>29</v>
      </c>
      <c r="T2483">
        <v>1</v>
      </c>
      <c r="U2483">
        <v>6</v>
      </c>
      <c r="V2483">
        <v>34.9</v>
      </c>
      <c r="W2483">
        <v>13130002481</v>
      </c>
    </row>
    <row r="2484" spans="1:23" x14ac:dyDescent="0.2">
      <c r="A2484" s="1">
        <v>44784</v>
      </c>
      <c r="B2484" s="2">
        <v>0.54974537037037041</v>
      </c>
      <c r="C2484">
        <v>3482</v>
      </c>
      <c r="D2484">
        <v>13002561</v>
      </c>
      <c r="E2484">
        <v>13</v>
      </c>
      <c r="F2484">
        <v>22589</v>
      </c>
      <c r="G2484" t="s">
        <v>23</v>
      </c>
      <c r="H2484">
        <v>15</v>
      </c>
      <c r="I2484">
        <v>96782</v>
      </c>
      <c r="J2484" t="s">
        <v>68</v>
      </c>
      <c r="K2484" t="s">
        <v>44</v>
      </c>
      <c r="L2484" t="s">
        <v>29</v>
      </c>
      <c r="M2484">
        <v>3</v>
      </c>
      <c r="N2484">
        <v>248.63</v>
      </c>
      <c r="O2484">
        <v>406.41</v>
      </c>
      <c r="P2484">
        <v>40.64</v>
      </c>
      <c r="Q2484">
        <v>40.64</v>
      </c>
      <c r="R2484" t="s">
        <v>30</v>
      </c>
      <c r="S2484">
        <v>29</v>
      </c>
      <c r="T2484">
        <v>1</v>
      </c>
      <c r="U2484">
        <v>2</v>
      </c>
      <c r="V2484">
        <v>365.77</v>
      </c>
      <c r="W2484">
        <v>13130002482</v>
      </c>
    </row>
    <row r="2485" spans="1:23" x14ac:dyDescent="0.2">
      <c r="A2485" s="1">
        <v>44802</v>
      </c>
      <c r="B2485" s="2">
        <v>0.8725694444444444</v>
      </c>
      <c r="C2485">
        <v>3483</v>
      </c>
      <c r="D2485">
        <v>13002561</v>
      </c>
      <c r="E2485">
        <v>13</v>
      </c>
      <c r="F2485">
        <v>22589</v>
      </c>
      <c r="G2485" t="s">
        <v>23</v>
      </c>
      <c r="H2485">
        <v>15</v>
      </c>
      <c r="I2485">
        <v>94976</v>
      </c>
      <c r="J2485" t="s">
        <v>98</v>
      </c>
      <c r="K2485" t="s">
        <v>60</v>
      </c>
      <c r="L2485" t="s">
        <v>26</v>
      </c>
      <c r="M2485">
        <v>1</v>
      </c>
      <c r="N2485">
        <v>531.59</v>
      </c>
      <c r="O2485">
        <v>670.17</v>
      </c>
      <c r="P2485">
        <v>33.51</v>
      </c>
      <c r="Q2485">
        <v>33.51</v>
      </c>
      <c r="R2485" t="s">
        <v>30</v>
      </c>
      <c r="S2485">
        <v>29</v>
      </c>
      <c r="T2485">
        <v>1</v>
      </c>
      <c r="U2485">
        <v>1</v>
      </c>
      <c r="V2485">
        <v>636.66</v>
      </c>
      <c r="W2485">
        <v>13130002483</v>
      </c>
    </row>
    <row r="2486" spans="1:23" x14ac:dyDescent="0.2">
      <c r="A2486" s="1">
        <v>44784</v>
      </c>
      <c r="B2486" s="2">
        <v>0.5837268518518518</v>
      </c>
      <c r="C2486">
        <v>3484</v>
      </c>
      <c r="D2486">
        <v>13002561</v>
      </c>
      <c r="E2486">
        <v>13</v>
      </c>
      <c r="F2486">
        <v>22589</v>
      </c>
      <c r="G2486" t="s">
        <v>23</v>
      </c>
      <c r="H2486">
        <v>15</v>
      </c>
      <c r="I2486">
        <v>99012</v>
      </c>
      <c r="J2486" t="s">
        <v>82</v>
      </c>
      <c r="K2486" t="s">
        <v>38</v>
      </c>
      <c r="L2486" t="s">
        <v>51</v>
      </c>
      <c r="M2486">
        <v>3</v>
      </c>
      <c r="N2486">
        <v>260.14999999999998</v>
      </c>
      <c r="O2486">
        <v>362.22</v>
      </c>
      <c r="P2486">
        <v>18.11</v>
      </c>
      <c r="Q2486">
        <v>18.11</v>
      </c>
      <c r="R2486" t="s">
        <v>30</v>
      </c>
      <c r="S2486">
        <v>29</v>
      </c>
      <c r="T2486">
        <v>1</v>
      </c>
      <c r="U2486">
        <v>4</v>
      </c>
      <c r="V2486">
        <v>344.11</v>
      </c>
      <c r="W2486">
        <v>13130002484</v>
      </c>
    </row>
    <row r="2487" spans="1:23" x14ac:dyDescent="0.2">
      <c r="A2487" s="1">
        <v>44797</v>
      </c>
      <c r="B2487" s="2">
        <v>0.34689814814814812</v>
      </c>
      <c r="C2487">
        <v>3485</v>
      </c>
      <c r="D2487">
        <v>13002561</v>
      </c>
      <c r="E2487">
        <v>13</v>
      </c>
      <c r="F2487">
        <v>22589</v>
      </c>
      <c r="G2487" t="s">
        <v>23</v>
      </c>
      <c r="H2487">
        <v>18</v>
      </c>
      <c r="I2487">
        <v>81804</v>
      </c>
      <c r="J2487" t="s">
        <v>125</v>
      </c>
      <c r="K2487" t="s">
        <v>28</v>
      </c>
      <c r="L2487" t="s">
        <v>47</v>
      </c>
      <c r="M2487">
        <v>3</v>
      </c>
      <c r="N2487">
        <v>197.93</v>
      </c>
      <c r="O2487">
        <v>287.32</v>
      </c>
      <c r="P2487">
        <v>14.37</v>
      </c>
      <c r="Q2487">
        <v>14.37</v>
      </c>
      <c r="R2487" t="s">
        <v>30</v>
      </c>
      <c r="S2487">
        <v>29</v>
      </c>
      <c r="T2487">
        <v>1</v>
      </c>
      <c r="U2487">
        <v>5</v>
      </c>
      <c r="V2487">
        <v>272.95</v>
      </c>
      <c r="W2487">
        <v>13130002485</v>
      </c>
    </row>
    <row r="2488" spans="1:23" x14ac:dyDescent="0.2">
      <c r="A2488" s="1">
        <v>44774</v>
      </c>
      <c r="B2488" s="2">
        <v>0.4100462962962963</v>
      </c>
      <c r="C2488">
        <v>3486</v>
      </c>
      <c r="D2488">
        <v>13002561</v>
      </c>
      <c r="E2488">
        <v>13</v>
      </c>
      <c r="F2488">
        <v>22589</v>
      </c>
      <c r="G2488" t="s">
        <v>23</v>
      </c>
      <c r="H2488">
        <v>18</v>
      </c>
      <c r="I2488">
        <v>88098</v>
      </c>
      <c r="J2488" t="s">
        <v>54</v>
      </c>
      <c r="K2488" t="s">
        <v>44</v>
      </c>
      <c r="L2488" t="s">
        <v>51</v>
      </c>
      <c r="M2488">
        <v>3</v>
      </c>
      <c r="N2488">
        <v>45.19</v>
      </c>
      <c r="O2488">
        <v>66.12</v>
      </c>
      <c r="P2488">
        <v>0</v>
      </c>
      <c r="Q2488">
        <v>0</v>
      </c>
      <c r="S2488">
        <v>29</v>
      </c>
      <c r="T2488">
        <v>1</v>
      </c>
      <c r="U2488">
        <v>1</v>
      </c>
      <c r="V2488">
        <v>66.12</v>
      </c>
      <c r="W2488">
        <v>13130002486</v>
      </c>
    </row>
    <row r="2489" spans="1:23" x14ac:dyDescent="0.2">
      <c r="A2489" s="1">
        <v>44796</v>
      </c>
      <c r="B2489" s="2">
        <v>0.3921412037037037</v>
      </c>
      <c r="C2489">
        <v>3487</v>
      </c>
      <c r="D2489">
        <v>13002561</v>
      </c>
      <c r="E2489">
        <v>13</v>
      </c>
      <c r="F2489">
        <v>22589</v>
      </c>
      <c r="G2489" t="s">
        <v>23</v>
      </c>
      <c r="H2489">
        <v>18</v>
      </c>
      <c r="I2489">
        <v>71973</v>
      </c>
      <c r="J2489" t="s">
        <v>94</v>
      </c>
      <c r="K2489" t="s">
        <v>45</v>
      </c>
      <c r="L2489" t="s">
        <v>47</v>
      </c>
      <c r="M2489">
        <v>3</v>
      </c>
      <c r="N2489">
        <v>427.8</v>
      </c>
      <c r="O2489">
        <v>638.54999999999995</v>
      </c>
      <c r="P2489">
        <v>31.93</v>
      </c>
      <c r="Q2489">
        <v>31.93</v>
      </c>
      <c r="R2489" t="s">
        <v>30</v>
      </c>
      <c r="S2489">
        <v>29</v>
      </c>
      <c r="T2489">
        <v>1</v>
      </c>
      <c r="U2489">
        <v>6</v>
      </c>
      <c r="V2489">
        <v>606.62</v>
      </c>
      <c r="W2489">
        <v>13130002487</v>
      </c>
    </row>
    <row r="2490" spans="1:23" x14ac:dyDescent="0.2">
      <c r="A2490" s="1">
        <v>44778</v>
      </c>
      <c r="B2490" s="2">
        <v>0.67988425925925922</v>
      </c>
      <c r="C2490">
        <v>3488</v>
      </c>
      <c r="D2490">
        <v>13002561</v>
      </c>
      <c r="E2490">
        <v>13</v>
      </c>
      <c r="F2490">
        <v>22589</v>
      </c>
      <c r="G2490" t="s">
        <v>23</v>
      </c>
      <c r="H2490">
        <v>15</v>
      </c>
      <c r="I2490">
        <v>45362</v>
      </c>
      <c r="J2490" t="s">
        <v>124</v>
      </c>
      <c r="K2490" t="s">
        <v>25</v>
      </c>
      <c r="L2490" t="s">
        <v>51</v>
      </c>
      <c r="M2490">
        <v>1</v>
      </c>
      <c r="N2490">
        <v>21.12</v>
      </c>
      <c r="O2490">
        <v>35.39</v>
      </c>
      <c r="P2490">
        <v>0</v>
      </c>
      <c r="Q2490">
        <v>0</v>
      </c>
      <c r="S2490">
        <v>29</v>
      </c>
      <c r="T2490">
        <v>1</v>
      </c>
      <c r="U2490">
        <v>6</v>
      </c>
      <c r="V2490">
        <v>35.39</v>
      </c>
      <c r="W2490">
        <v>13130002488</v>
      </c>
    </row>
    <row r="2491" spans="1:23" x14ac:dyDescent="0.2">
      <c r="A2491" s="1">
        <v>44793</v>
      </c>
      <c r="B2491" s="2">
        <v>0.40931712962962957</v>
      </c>
      <c r="C2491">
        <v>3489</v>
      </c>
      <c r="D2491">
        <v>13002561</v>
      </c>
      <c r="E2491">
        <v>13</v>
      </c>
      <c r="F2491">
        <v>22589</v>
      </c>
      <c r="G2491" t="s">
        <v>23</v>
      </c>
      <c r="H2491">
        <v>15</v>
      </c>
      <c r="I2491">
        <v>59827</v>
      </c>
      <c r="J2491" t="s">
        <v>107</v>
      </c>
      <c r="K2491" t="s">
        <v>28</v>
      </c>
      <c r="L2491" t="s">
        <v>39</v>
      </c>
      <c r="M2491">
        <v>1</v>
      </c>
      <c r="N2491">
        <v>156.04</v>
      </c>
      <c r="O2491">
        <v>248.9</v>
      </c>
      <c r="P2491">
        <v>12.45</v>
      </c>
      <c r="Q2491">
        <v>12.45</v>
      </c>
      <c r="R2491" t="s">
        <v>30</v>
      </c>
      <c r="S2491">
        <v>29</v>
      </c>
      <c r="T2491">
        <v>1</v>
      </c>
      <c r="U2491">
        <v>5</v>
      </c>
      <c r="V2491">
        <v>236.45</v>
      </c>
      <c r="W2491">
        <v>13130002489</v>
      </c>
    </row>
    <row r="2492" spans="1:23" x14ac:dyDescent="0.2">
      <c r="A2492" s="1">
        <v>44799</v>
      </c>
      <c r="B2492" s="2">
        <v>0.48195601851851849</v>
      </c>
      <c r="C2492">
        <v>3490</v>
      </c>
      <c r="D2492">
        <v>13002561</v>
      </c>
      <c r="E2492">
        <v>13</v>
      </c>
      <c r="F2492">
        <v>22589</v>
      </c>
      <c r="G2492" t="s">
        <v>23</v>
      </c>
      <c r="H2492">
        <v>15</v>
      </c>
      <c r="I2492">
        <v>52079</v>
      </c>
      <c r="J2492" t="s">
        <v>94</v>
      </c>
      <c r="K2492" t="s">
        <v>44</v>
      </c>
      <c r="L2492" t="s">
        <v>29</v>
      </c>
      <c r="M2492">
        <v>2</v>
      </c>
      <c r="N2492">
        <v>488.69</v>
      </c>
      <c r="O2492">
        <v>613.59</v>
      </c>
      <c r="P2492">
        <v>0</v>
      </c>
      <c r="Q2492">
        <v>0</v>
      </c>
      <c r="S2492">
        <v>29</v>
      </c>
      <c r="T2492">
        <v>1</v>
      </c>
      <c r="U2492">
        <v>3</v>
      </c>
      <c r="V2492">
        <v>613.59</v>
      </c>
      <c r="W2492">
        <v>13130002490</v>
      </c>
    </row>
    <row r="2493" spans="1:23" x14ac:dyDescent="0.2">
      <c r="A2493" s="1">
        <v>44787</v>
      </c>
      <c r="B2493" s="2">
        <v>0.73218749999999999</v>
      </c>
      <c r="C2493">
        <v>3491</v>
      </c>
      <c r="D2493">
        <v>13002561</v>
      </c>
      <c r="E2493">
        <v>13</v>
      </c>
      <c r="F2493">
        <v>22589</v>
      </c>
      <c r="G2493" t="s">
        <v>23</v>
      </c>
      <c r="H2493">
        <v>15</v>
      </c>
      <c r="I2493">
        <v>40344</v>
      </c>
      <c r="J2493" t="s">
        <v>56</v>
      </c>
      <c r="K2493" t="s">
        <v>25</v>
      </c>
      <c r="L2493" t="s">
        <v>26</v>
      </c>
      <c r="M2493">
        <v>2</v>
      </c>
      <c r="N2493">
        <v>416.81</v>
      </c>
      <c r="O2493">
        <v>694.29</v>
      </c>
      <c r="P2493">
        <v>0</v>
      </c>
      <c r="Q2493">
        <v>0</v>
      </c>
      <c r="S2493">
        <v>29</v>
      </c>
      <c r="T2493">
        <v>1</v>
      </c>
      <c r="U2493">
        <v>4</v>
      </c>
      <c r="V2493">
        <v>694.29</v>
      </c>
      <c r="W2493">
        <v>13130002491</v>
      </c>
    </row>
    <row r="2494" spans="1:23" x14ac:dyDescent="0.2">
      <c r="A2494" s="1">
        <v>44782</v>
      </c>
      <c r="B2494" s="2">
        <v>0.94125000000000003</v>
      </c>
      <c r="C2494">
        <v>3492</v>
      </c>
      <c r="D2494">
        <v>13002561</v>
      </c>
      <c r="E2494">
        <v>13</v>
      </c>
      <c r="F2494">
        <v>22589</v>
      </c>
      <c r="G2494" t="s">
        <v>23</v>
      </c>
      <c r="H2494">
        <v>18</v>
      </c>
      <c r="I2494">
        <v>73647</v>
      </c>
      <c r="J2494" t="s">
        <v>63</v>
      </c>
      <c r="K2494" t="s">
        <v>38</v>
      </c>
      <c r="L2494" t="s">
        <v>51</v>
      </c>
      <c r="M2494">
        <v>3</v>
      </c>
      <c r="N2494">
        <v>26.68</v>
      </c>
      <c r="O2494">
        <v>34.590000000000003</v>
      </c>
      <c r="P2494">
        <v>1.73</v>
      </c>
      <c r="Q2494">
        <v>1.73</v>
      </c>
      <c r="R2494" t="s">
        <v>30</v>
      </c>
      <c r="S2494">
        <v>29</v>
      </c>
      <c r="T2494">
        <v>1</v>
      </c>
      <c r="U2494">
        <v>2</v>
      </c>
      <c r="V2494">
        <v>32.86</v>
      </c>
      <c r="W2494">
        <v>13130002492</v>
      </c>
    </row>
    <row r="2495" spans="1:23" x14ac:dyDescent="0.2">
      <c r="A2495" s="1">
        <v>44803</v>
      </c>
      <c r="B2495" s="2">
        <v>0.39642361111111107</v>
      </c>
      <c r="C2495">
        <v>3493</v>
      </c>
      <c r="D2495">
        <v>13002561</v>
      </c>
      <c r="E2495">
        <v>13</v>
      </c>
      <c r="F2495">
        <v>22589</v>
      </c>
      <c r="G2495" t="s">
        <v>23</v>
      </c>
      <c r="H2495">
        <v>18</v>
      </c>
      <c r="I2495">
        <v>66140</v>
      </c>
      <c r="J2495" t="s">
        <v>79</v>
      </c>
      <c r="K2495" t="s">
        <v>44</v>
      </c>
      <c r="L2495" t="s">
        <v>39</v>
      </c>
      <c r="M2495">
        <v>1</v>
      </c>
      <c r="N2495">
        <v>401.42</v>
      </c>
      <c r="O2495">
        <v>543.41999999999996</v>
      </c>
      <c r="P2495">
        <v>0</v>
      </c>
      <c r="Q2495">
        <v>0</v>
      </c>
      <c r="S2495">
        <v>29</v>
      </c>
      <c r="T2495">
        <v>1</v>
      </c>
      <c r="U2495">
        <v>1</v>
      </c>
      <c r="V2495">
        <v>543.41999999999996</v>
      </c>
      <c r="W2495">
        <v>13130002493</v>
      </c>
    </row>
    <row r="2496" spans="1:23" x14ac:dyDescent="0.2">
      <c r="A2496" s="1">
        <v>44799</v>
      </c>
      <c r="B2496" s="2">
        <v>0.63504629629629628</v>
      </c>
      <c r="C2496">
        <v>3494</v>
      </c>
      <c r="D2496">
        <v>13002561</v>
      </c>
      <c r="E2496">
        <v>13</v>
      </c>
      <c r="F2496">
        <v>22589</v>
      </c>
      <c r="G2496" t="s">
        <v>23</v>
      </c>
      <c r="H2496">
        <v>15</v>
      </c>
      <c r="I2496">
        <v>63105</v>
      </c>
      <c r="J2496" t="s">
        <v>55</v>
      </c>
      <c r="K2496" t="s">
        <v>44</v>
      </c>
      <c r="L2496" t="s">
        <v>39</v>
      </c>
      <c r="M2496">
        <v>1</v>
      </c>
      <c r="N2496">
        <v>149.41999999999999</v>
      </c>
      <c r="O2496">
        <v>245.07</v>
      </c>
      <c r="P2496">
        <v>12.25</v>
      </c>
      <c r="Q2496">
        <v>12.25</v>
      </c>
      <c r="R2496" t="s">
        <v>30</v>
      </c>
      <c r="S2496">
        <v>29</v>
      </c>
      <c r="T2496">
        <v>1</v>
      </c>
      <c r="U2496">
        <v>2</v>
      </c>
      <c r="V2496">
        <v>232.82</v>
      </c>
      <c r="W2496">
        <v>13130002494</v>
      </c>
    </row>
    <row r="2497" spans="1:23" x14ac:dyDescent="0.2">
      <c r="A2497" s="1">
        <v>44803</v>
      </c>
      <c r="B2497" s="2">
        <v>0.70437499999999997</v>
      </c>
      <c r="C2497">
        <v>3495</v>
      </c>
      <c r="D2497">
        <v>13002561</v>
      </c>
      <c r="E2497">
        <v>13</v>
      </c>
      <c r="F2497">
        <v>22589</v>
      </c>
      <c r="G2497" t="s">
        <v>23</v>
      </c>
      <c r="H2497">
        <v>15</v>
      </c>
      <c r="I2497">
        <v>71166</v>
      </c>
      <c r="J2497" t="s">
        <v>37</v>
      </c>
      <c r="K2497" t="s">
        <v>25</v>
      </c>
      <c r="L2497" t="s">
        <v>36</v>
      </c>
      <c r="M2497">
        <v>3</v>
      </c>
      <c r="N2497">
        <v>135.74</v>
      </c>
      <c r="O2497">
        <v>225.32</v>
      </c>
      <c r="P2497">
        <v>0</v>
      </c>
      <c r="Q2497">
        <v>0</v>
      </c>
      <c r="S2497">
        <v>29</v>
      </c>
      <c r="T2497">
        <v>1</v>
      </c>
      <c r="U2497">
        <v>1</v>
      </c>
      <c r="V2497">
        <v>225.32</v>
      </c>
      <c r="W2497">
        <v>13130002495</v>
      </c>
    </row>
    <row r="2498" spans="1:23" x14ac:dyDescent="0.2">
      <c r="A2498" s="1">
        <v>44777</v>
      </c>
      <c r="B2498" s="2">
        <v>0.39060185185185192</v>
      </c>
      <c r="C2498">
        <v>3496</v>
      </c>
      <c r="D2498">
        <v>13002561</v>
      </c>
      <c r="E2498">
        <v>13</v>
      </c>
      <c r="F2498">
        <v>22589</v>
      </c>
      <c r="G2498" t="s">
        <v>23</v>
      </c>
      <c r="H2498">
        <v>18</v>
      </c>
      <c r="I2498">
        <v>92748</v>
      </c>
      <c r="J2498" t="s">
        <v>42</v>
      </c>
      <c r="K2498" t="s">
        <v>44</v>
      </c>
      <c r="L2498" t="s">
        <v>36</v>
      </c>
      <c r="M2498">
        <v>2</v>
      </c>
      <c r="N2498">
        <v>423.01</v>
      </c>
      <c r="O2498">
        <v>692.27</v>
      </c>
      <c r="P2498">
        <v>0</v>
      </c>
      <c r="Q2498">
        <v>0</v>
      </c>
      <c r="S2498">
        <v>29</v>
      </c>
      <c r="T2498">
        <v>1</v>
      </c>
      <c r="U2498">
        <v>4</v>
      </c>
      <c r="V2498">
        <v>692.27</v>
      </c>
      <c r="W2498">
        <v>13130002496</v>
      </c>
    </row>
    <row r="2499" spans="1:23" x14ac:dyDescent="0.2">
      <c r="A2499" s="1">
        <v>44791</v>
      </c>
      <c r="B2499" s="2">
        <v>0.89025462962962965</v>
      </c>
      <c r="C2499">
        <v>3497</v>
      </c>
      <c r="D2499">
        <v>13002561</v>
      </c>
      <c r="E2499">
        <v>13</v>
      </c>
      <c r="F2499">
        <v>22589</v>
      </c>
      <c r="G2499" t="s">
        <v>23</v>
      </c>
      <c r="H2499">
        <v>18</v>
      </c>
      <c r="I2499">
        <v>86212</v>
      </c>
      <c r="J2499" t="s">
        <v>52</v>
      </c>
      <c r="K2499" t="s">
        <v>44</v>
      </c>
      <c r="L2499" t="s">
        <v>39</v>
      </c>
      <c r="M2499">
        <v>2</v>
      </c>
      <c r="N2499">
        <v>326.79000000000002</v>
      </c>
      <c r="O2499">
        <v>420.4</v>
      </c>
      <c r="P2499">
        <v>0</v>
      </c>
      <c r="Q2499">
        <v>0</v>
      </c>
      <c r="S2499">
        <v>29</v>
      </c>
      <c r="T2499">
        <v>1</v>
      </c>
      <c r="U2499">
        <v>1</v>
      </c>
      <c r="V2499">
        <v>420.4</v>
      </c>
      <c r="W2499">
        <v>13130002497</v>
      </c>
    </row>
    <row r="2500" spans="1:23" x14ac:dyDescent="0.2">
      <c r="A2500" s="1">
        <v>44799</v>
      </c>
      <c r="B2500" s="2">
        <v>0.41694444444444451</v>
      </c>
      <c r="C2500">
        <v>3498</v>
      </c>
      <c r="D2500">
        <v>13002561</v>
      </c>
      <c r="E2500">
        <v>13</v>
      </c>
      <c r="F2500">
        <v>22589</v>
      </c>
      <c r="G2500" t="s">
        <v>23</v>
      </c>
      <c r="H2500">
        <v>15</v>
      </c>
      <c r="I2500">
        <v>55125</v>
      </c>
      <c r="J2500" t="s">
        <v>87</v>
      </c>
      <c r="K2500" t="s">
        <v>60</v>
      </c>
      <c r="L2500" t="s">
        <v>34</v>
      </c>
      <c r="M2500">
        <v>3</v>
      </c>
      <c r="N2500">
        <v>564.21</v>
      </c>
      <c r="O2500">
        <v>881.03</v>
      </c>
      <c r="P2500">
        <v>88.1</v>
      </c>
      <c r="Q2500">
        <v>88.1</v>
      </c>
      <c r="R2500" t="s">
        <v>30</v>
      </c>
      <c r="S2500">
        <v>29</v>
      </c>
      <c r="T2500">
        <v>1</v>
      </c>
      <c r="U2500">
        <v>1</v>
      </c>
      <c r="V2500">
        <v>792.93</v>
      </c>
      <c r="W2500">
        <v>13130002498</v>
      </c>
    </row>
    <row r="2501" spans="1:23" x14ac:dyDescent="0.2">
      <c r="A2501" s="1">
        <v>44776</v>
      </c>
      <c r="B2501" s="2">
        <v>0.71690972222222227</v>
      </c>
      <c r="C2501">
        <v>3499</v>
      </c>
      <c r="D2501">
        <v>13002561</v>
      </c>
      <c r="E2501">
        <v>13</v>
      </c>
      <c r="F2501">
        <v>22589</v>
      </c>
      <c r="G2501" t="s">
        <v>23</v>
      </c>
      <c r="H2501">
        <v>18</v>
      </c>
      <c r="I2501">
        <v>44695</v>
      </c>
      <c r="J2501" t="s">
        <v>67</v>
      </c>
      <c r="K2501" t="s">
        <v>45</v>
      </c>
      <c r="L2501" t="s">
        <v>47</v>
      </c>
      <c r="M2501">
        <v>3</v>
      </c>
      <c r="N2501">
        <v>105.57</v>
      </c>
      <c r="O2501">
        <v>169.32</v>
      </c>
      <c r="P2501">
        <v>0</v>
      </c>
      <c r="Q2501">
        <v>0</v>
      </c>
      <c r="S2501">
        <v>29</v>
      </c>
      <c r="T2501">
        <v>1</v>
      </c>
      <c r="U2501">
        <v>2</v>
      </c>
      <c r="V2501">
        <v>169.32</v>
      </c>
      <c r="W2501">
        <v>13130002499</v>
      </c>
    </row>
    <row r="2502" spans="1:23" x14ac:dyDescent="0.2">
      <c r="A2502" s="1">
        <v>44801</v>
      </c>
      <c r="B2502" s="2">
        <v>0.4346990740740741</v>
      </c>
      <c r="C2502">
        <v>3500</v>
      </c>
      <c r="D2502">
        <v>13002561</v>
      </c>
      <c r="E2502">
        <v>13</v>
      </c>
      <c r="F2502">
        <v>22589</v>
      </c>
      <c r="G2502" t="s">
        <v>23</v>
      </c>
      <c r="H2502">
        <v>18</v>
      </c>
      <c r="I2502">
        <v>96809</v>
      </c>
      <c r="J2502" t="s">
        <v>59</v>
      </c>
      <c r="K2502" t="s">
        <v>44</v>
      </c>
      <c r="L2502" t="s">
        <v>47</v>
      </c>
      <c r="M2502">
        <v>1</v>
      </c>
      <c r="N2502">
        <v>359.58</v>
      </c>
      <c r="O2502">
        <v>595.39</v>
      </c>
      <c r="P2502">
        <v>0</v>
      </c>
      <c r="Q2502">
        <v>0</v>
      </c>
      <c r="S2502">
        <v>29</v>
      </c>
      <c r="T2502">
        <v>1</v>
      </c>
      <c r="U2502">
        <v>5</v>
      </c>
      <c r="V2502">
        <v>595.39</v>
      </c>
      <c r="W2502">
        <v>13130002500</v>
      </c>
    </row>
    <row r="2503" spans="1:23" x14ac:dyDescent="0.2">
      <c r="A2503" s="1">
        <v>44780</v>
      </c>
      <c r="B2503" s="2">
        <v>0.41116898148148151</v>
      </c>
      <c r="C2503">
        <v>3501</v>
      </c>
      <c r="D2503">
        <v>13002561</v>
      </c>
      <c r="E2503">
        <v>13</v>
      </c>
      <c r="F2503">
        <v>22589</v>
      </c>
      <c r="G2503" t="s">
        <v>23</v>
      </c>
      <c r="H2503">
        <v>15</v>
      </c>
      <c r="I2503">
        <v>34350</v>
      </c>
      <c r="J2503" t="s">
        <v>83</v>
      </c>
      <c r="K2503" t="s">
        <v>38</v>
      </c>
      <c r="L2503" t="s">
        <v>39</v>
      </c>
      <c r="M2503">
        <v>1</v>
      </c>
      <c r="N2503">
        <v>531.71</v>
      </c>
      <c r="O2503">
        <v>877.92</v>
      </c>
      <c r="P2503">
        <v>43.9</v>
      </c>
      <c r="Q2503">
        <v>43.9</v>
      </c>
      <c r="R2503" t="s">
        <v>30</v>
      </c>
      <c r="S2503">
        <v>29</v>
      </c>
      <c r="T2503">
        <v>1</v>
      </c>
      <c r="U2503">
        <v>2</v>
      </c>
      <c r="V2503">
        <v>834.02</v>
      </c>
      <c r="W2503">
        <v>13130002501</v>
      </c>
    </row>
    <row r="2504" spans="1:23" x14ac:dyDescent="0.2">
      <c r="A2504" s="1">
        <v>44790</v>
      </c>
      <c r="B2504" s="2">
        <v>0.34296296296296302</v>
      </c>
      <c r="C2504">
        <v>3502</v>
      </c>
      <c r="D2504">
        <v>13002561</v>
      </c>
      <c r="E2504">
        <v>13</v>
      </c>
      <c r="F2504">
        <v>22589</v>
      </c>
      <c r="G2504" t="s">
        <v>23</v>
      </c>
      <c r="H2504">
        <v>15</v>
      </c>
      <c r="I2504">
        <v>39136</v>
      </c>
      <c r="J2504" t="s">
        <v>43</v>
      </c>
      <c r="K2504" t="s">
        <v>45</v>
      </c>
      <c r="L2504" t="s">
        <v>29</v>
      </c>
      <c r="M2504">
        <v>1</v>
      </c>
      <c r="N2504">
        <v>533.1</v>
      </c>
      <c r="O2504">
        <v>789.73</v>
      </c>
      <c r="P2504">
        <v>39.49</v>
      </c>
      <c r="Q2504">
        <v>39.49</v>
      </c>
      <c r="R2504" t="s">
        <v>30</v>
      </c>
      <c r="S2504">
        <v>29</v>
      </c>
      <c r="T2504">
        <v>1</v>
      </c>
      <c r="U2504">
        <v>4</v>
      </c>
      <c r="V2504">
        <v>750.24</v>
      </c>
      <c r="W2504">
        <v>13130002502</v>
      </c>
    </row>
    <row r="2505" spans="1:23" x14ac:dyDescent="0.2">
      <c r="A2505" s="1">
        <v>44778</v>
      </c>
      <c r="B2505" s="2">
        <v>0.74899305555555551</v>
      </c>
      <c r="C2505">
        <v>3503</v>
      </c>
      <c r="D2505">
        <v>13002561</v>
      </c>
      <c r="E2505">
        <v>13</v>
      </c>
      <c r="F2505">
        <v>22589</v>
      </c>
      <c r="G2505" t="s">
        <v>23</v>
      </c>
      <c r="H2505">
        <v>18</v>
      </c>
      <c r="I2505">
        <v>80104</v>
      </c>
      <c r="J2505" t="s">
        <v>54</v>
      </c>
      <c r="K2505" t="s">
        <v>38</v>
      </c>
      <c r="L2505" t="s">
        <v>32</v>
      </c>
      <c r="M2505">
        <v>1</v>
      </c>
      <c r="N2505">
        <v>216.11</v>
      </c>
      <c r="O2505">
        <v>365.15</v>
      </c>
      <c r="P2505">
        <v>18.260000000000002</v>
      </c>
      <c r="Q2505">
        <v>18.260000000000002</v>
      </c>
      <c r="R2505" t="s">
        <v>30</v>
      </c>
      <c r="S2505">
        <v>29</v>
      </c>
      <c r="T2505">
        <v>1</v>
      </c>
      <c r="U2505">
        <v>2</v>
      </c>
      <c r="V2505">
        <v>346.89</v>
      </c>
      <c r="W2505">
        <v>13130002503</v>
      </c>
    </row>
    <row r="2506" spans="1:23" x14ac:dyDescent="0.2">
      <c r="A2506" s="1">
        <v>44782</v>
      </c>
      <c r="B2506" s="2">
        <v>0.40699074074074082</v>
      </c>
      <c r="C2506">
        <v>3504</v>
      </c>
      <c r="D2506">
        <v>13002561</v>
      </c>
      <c r="E2506">
        <v>13</v>
      </c>
      <c r="F2506">
        <v>22589</v>
      </c>
      <c r="G2506" t="s">
        <v>23</v>
      </c>
      <c r="H2506">
        <v>18</v>
      </c>
      <c r="I2506">
        <v>78423</v>
      </c>
      <c r="J2506" t="s">
        <v>24</v>
      </c>
      <c r="K2506" t="s">
        <v>38</v>
      </c>
      <c r="L2506" t="s">
        <v>36</v>
      </c>
      <c r="M2506">
        <v>3</v>
      </c>
      <c r="N2506">
        <v>5.52</v>
      </c>
      <c r="O2506">
        <v>7.97</v>
      </c>
      <c r="P2506">
        <v>0.4</v>
      </c>
      <c r="Q2506">
        <v>0.4</v>
      </c>
      <c r="R2506" t="s">
        <v>30</v>
      </c>
      <c r="S2506">
        <v>29</v>
      </c>
      <c r="T2506">
        <v>1</v>
      </c>
      <c r="U2506">
        <v>1</v>
      </c>
      <c r="V2506">
        <v>7.57</v>
      </c>
      <c r="W2506">
        <v>13130002504</v>
      </c>
    </row>
    <row r="2507" spans="1:23" x14ac:dyDescent="0.2">
      <c r="A2507" s="1">
        <v>44777</v>
      </c>
      <c r="B2507" s="2">
        <v>0.4259722222222222</v>
      </c>
      <c r="C2507">
        <v>3505</v>
      </c>
      <c r="D2507">
        <v>13002561</v>
      </c>
      <c r="E2507">
        <v>13</v>
      </c>
      <c r="F2507">
        <v>22589</v>
      </c>
      <c r="G2507" t="s">
        <v>23</v>
      </c>
      <c r="H2507">
        <v>18</v>
      </c>
      <c r="I2507">
        <v>91115</v>
      </c>
      <c r="J2507" t="s">
        <v>86</v>
      </c>
      <c r="K2507" t="s">
        <v>28</v>
      </c>
      <c r="L2507" t="s">
        <v>51</v>
      </c>
      <c r="M2507">
        <v>2</v>
      </c>
      <c r="N2507">
        <v>264.89</v>
      </c>
      <c r="O2507">
        <v>440.9</v>
      </c>
      <c r="P2507">
        <v>44.09</v>
      </c>
      <c r="Q2507">
        <v>44.09</v>
      </c>
      <c r="R2507" t="s">
        <v>30</v>
      </c>
      <c r="S2507">
        <v>29</v>
      </c>
      <c r="T2507">
        <v>1</v>
      </c>
      <c r="U2507">
        <v>6</v>
      </c>
      <c r="V2507">
        <v>396.81</v>
      </c>
      <c r="W2507">
        <v>13130002505</v>
      </c>
    </row>
    <row r="2508" spans="1:23" x14ac:dyDescent="0.2">
      <c r="A2508" s="1">
        <v>44781</v>
      </c>
      <c r="B2508" s="2">
        <v>0.57021990740740736</v>
      </c>
      <c r="C2508">
        <v>3506</v>
      </c>
      <c r="D2508">
        <v>13002561</v>
      </c>
      <c r="E2508">
        <v>13</v>
      </c>
      <c r="F2508">
        <v>22589</v>
      </c>
      <c r="G2508" t="s">
        <v>23</v>
      </c>
      <c r="H2508">
        <v>18</v>
      </c>
      <c r="I2508">
        <v>81826</v>
      </c>
      <c r="J2508" t="s">
        <v>101</v>
      </c>
      <c r="K2508" t="s">
        <v>60</v>
      </c>
      <c r="L2508" t="s">
        <v>36</v>
      </c>
      <c r="M2508">
        <v>1</v>
      </c>
      <c r="N2508">
        <v>376.53</v>
      </c>
      <c r="O2508">
        <v>623.03</v>
      </c>
      <c r="P2508">
        <v>0</v>
      </c>
      <c r="Q2508">
        <v>0</v>
      </c>
      <c r="S2508">
        <v>29</v>
      </c>
      <c r="T2508">
        <v>1</v>
      </c>
      <c r="U2508">
        <v>5</v>
      </c>
      <c r="V2508">
        <v>623.03</v>
      </c>
      <c r="W2508">
        <v>13130002506</v>
      </c>
    </row>
    <row r="2509" spans="1:23" x14ac:dyDescent="0.2">
      <c r="A2509" s="1">
        <v>44783</v>
      </c>
      <c r="B2509" s="2">
        <v>0.7283680555555555</v>
      </c>
      <c r="C2509">
        <v>3507</v>
      </c>
      <c r="D2509">
        <v>13002561</v>
      </c>
      <c r="E2509">
        <v>13</v>
      </c>
      <c r="F2509">
        <v>22589</v>
      </c>
      <c r="G2509" t="s">
        <v>23</v>
      </c>
      <c r="H2509">
        <v>15</v>
      </c>
      <c r="I2509">
        <v>23980</v>
      </c>
      <c r="J2509" t="s">
        <v>96</v>
      </c>
      <c r="K2509" t="s">
        <v>44</v>
      </c>
      <c r="L2509" t="s">
        <v>47</v>
      </c>
      <c r="M2509">
        <v>2</v>
      </c>
      <c r="N2509">
        <v>486.16</v>
      </c>
      <c r="O2509">
        <v>792.48</v>
      </c>
      <c r="P2509">
        <v>39.619999999999997</v>
      </c>
      <c r="Q2509">
        <v>39.619999999999997</v>
      </c>
      <c r="R2509" t="s">
        <v>30</v>
      </c>
      <c r="S2509">
        <v>29</v>
      </c>
      <c r="T2509">
        <v>1</v>
      </c>
      <c r="U2509">
        <v>2</v>
      </c>
      <c r="V2509">
        <v>752.86</v>
      </c>
      <c r="W2509">
        <v>13130002507</v>
      </c>
    </row>
    <row r="2510" spans="1:23" x14ac:dyDescent="0.2">
      <c r="A2510" s="1">
        <v>44782</v>
      </c>
      <c r="B2510" s="2">
        <v>0.44262731481481482</v>
      </c>
      <c r="C2510">
        <v>3508</v>
      </c>
      <c r="D2510">
        <v>13002561</v>
      </c>
      <c r="E2510">
        <v>13</v>
      </c>
      <c r="F2510">
        <v>22589</v>
      </c>
      <c r="G2510" t="s">
        <v>23</v>
      </c>
      <c r="H2510">
        <v>18</v>
      </c>
      <c r="I2510">
        <v>41405</v>
      </c>
      <c r="J2510" t="s">
        <v>79</v>
      </c>
      <c r="K2510" t="s">
        <v>60</v>
      </c>
      <c r="L2510" t="s">
        <v>29</v>
      </c>
      <c r="M2510">
        <v>2</v>
      </c>
      <c r="N2510">
        <v>517.65</v>
      </c>
      <c r="O2510">
        <v>738.42</v>
      </c>
      <c r="P2510">
        <v>0</v>
      </c>
      <c r="Q2510">
        <v>0</v>
      </c>
      <c r="S2510">
        <v>29</v>
      </c>
      <c r="T2510">
        <v>1</v>
      </c>
      <c r="U2510">
        <v>2</v>
      </c>
      <c r="V2510">
        <v>738.42</v>
      </c>
      <c r="W2510">
        <v>13130002508</v>
      </c>
    </row>
    <row r="2511" spans="1:23" x14ac:dyDescent="0.2">
      <c r="A2511" s="1">
        <v>44794</v>
      </c>
      <c r="B2511" s="2">
        <v>0.74690972222222218</v>
      </c>
      <c r="C2511">
        <v>3509</v>
      </c>
      <c r="D2511">
        <v>13002561</v>
      </c>
      <c r="E2511">
        <v>13</v>
      </c>
      <c r="F2511">
        <v>22589</v>
      </c>
      <c r="G2511" t="s">
        <v>23</v>
      </c>
      <c r="H2511">
        <v>18</v>
      </c>
      <c r="I2511">
        <v>16882</v>
      </c>
      <c r="J2511" t="s">
        <v>100</v>
      </c>
      <c r="K2511" t="s">
        <v>28</v>
      </c>
      <c r="L2511" t="s">
        <v>34</v>
      </c>
      <c r="M2511">
        <v>1</v>
      </c>
      <c r="N2511">
        <v>232.65</v>
      </c>
      <c r="O2511">
        <v>326.7</v>
      </c>
      <c r="P2511">
        <v>32.67</v>
      </c>
      <c r="Q2511">
        <v>32.67</v>
      </c>
      <c r="R2511" t="s">
        <v>30</v>
      </c>
      <c r="S2511">
        <v>29</v>
      </c>
      <c r="T2511">
        <v>1</v>
      </c>
      <c r="U2511">
        <v>6</v>
      </c>
      <c r="V2511">
        <v>294.02999999999997</v>
      </c>
      <c r="W2511">
        <v>13130002509</v>
      </c>
    </row>
    <row r="2512" spans="1:23" x14ac:dyDescent="0.2">
      <c r="A2512" s="1">
        <v>44781</v>
      </c>
      <c r="B2512" s="2">
        <v>0.53284722222222225</v>
      </c>
      <c r="C2512">
        <v>3510</v>
      </c>
      <c r="D2512">
        <v>13002561</v>
      </c>
      <c r="E2512">
        <v>13</v>
      </c>
      <c r="F2512">
        <v>22589</v>
      </c>
      <c r="G2512" t="s">
        <v>23</v>
      </c>
      <c r="H2512">
        <v>18</v>
      </c>
      <c r="I2512">
        <v>89349</v>
      </c>
      <c r="J2512" t="s">
        <v>125</v>
      </c>
      <c r="K2512" t="s">
        <v>44</v>
      </c>
      <c r="L2512" t="s">
        <v>26</v>
      </c>
      <c r="M2512">
        <v>3</v>
      </c>
      <c r="N2512">
        <v>85.4</v>
      </c>
      <c r="O2512">
        <v>120.37</v>
      </c>
      <c r="P2512">
        <v>6.02</v>
      </c>
      <c r="Q2512">
        <v>6.02</v>
      </c>
      <c r="R2512" t="s">
        <v>30</v>
      </c>
      <c r="S2512">
        <v>29</v>
      </c>
      <c r="T2512">
        <v>1</v>
      </c>
      <c r="U2512">
        <v>4</v>
      </c>
      <c r="V2512">
        <v>114.35</v>
      </c>
      <c r="W2512">
        <v>13130002510</v>
      </c>
    </row>
    <row r="2513" spans="1:23" x14ac:dyDescent="0.2">
      <c r="A2513" s="1">
        <v>44797</v>
      </c>
      <c r="B2513" s="2">
        <v>0.68609953703703708</v>
      </c>
      <c r="C2513">
        <v>3511</v>
      </c>
      <c r="D2513">
        <v>13002561</v>
      </c>
      <c r="E2513">
        <v>13</v>
      </c>
      <c r="F2513">
        <v>22589</v>
      </c>
      <c r="G2513" t="s">
        <v>23</v>
      </c>
      <c r="H2513">
        <v>18</v>
      </c>
      <c r="I2513">
        <v>54543</v>
      </c>
      <c r="J2513" t="s">
        <v>103</v>
      </c>
      <c r="K2513" t="s">
        <v>25</v>
      </c>
      <c r="L2513" t="s">
        <v>39</v>
      </c>
      <c r="M2513">
        <v>2</v>
      </c>
      <c r="N2513">
        <v>108.86</v>
      </c>
      <c r="O2513">
        <v>181.87</v>
      </c>
      <c r="P2513">
        <v>18.190000000000001</v>
      </c>
      <c r="Q2513">
        <v>18.190000000000001</v>
      </c>
      <c r="R2513" t="s">
        <v>30</v>
      </c>
      <c r="S2513">
        <v>29</v>
      </c>
      <c r="T2513">
        <v>1</v>
      </c>
      <c r="U2513">
        <v>4</v>
      </c>
      <c r="V2513">
        <v>163.68</v>
      </c>
      <c r="W2513">
        <v>13130002511</v>
      </c>
    </row>
    <row r="2514" spans="1:23" x14ac:dyDescent="0.2">
      <c r="A2514" s="1">
        <v>44776</v>
      </c>
      <c r="B2514" s="2">
        <v>0.57224537037037038</v>
      </c>
      <c r="C2514">
        <v>3512</v>
      </c>
      <c r="D2514">
        <v>13002561</v>
      </c>
      <c r="E2514">
        <v>13</v>
      </c>
      <c r="F2514">
        <v>22589</v>
      </c>
      <c r="G2514" t="s">
        <v>23</v>
      </c>
      <c r="H2514">
        <v>18</v>
      </c>
      <c r="I2514">
        <v>84181</v>
      </c>
      <c r="J2514" t="s">
        <v>122</v>
      </c>
      <c r="K2514" t="s">
        <v>25</v>
      </c>
      <c r="L2514" t="s">
        <v>47</v>
      </c>
      <c r="M2514">
        <v>1</v>
      </c>
      <c r="N2514">
        <v>193.34</v>
      </c>
      <c r="O2514">
        <v>327.52</v>
      </c>
      <c r="P2514">
        <v>32.75</v>
      </c>
      <c r="Q2514">
        <v>32.75</v>
      </c>
      <c r="R2514" t="s">
        <v>30</v>
      </c>
      <c r="S2514">
        <v>29</v>
      </c>
      <c r="T2514">
        <v>1</v>
      </c>
      <c r="U2514">
        <v>4</v>
      </c>
      <c r="V2514">
        <v>294.77</v>
      </c>
      <c r="W2514">
        <v>13130002512</v>
      </c>
    </row>
    <row r="2515" spans="1:23" x14ac:dyDescent="0.2">
      <c r="A2515" s="1">
        <v>44786</v>
      </c>
      <c r="B2515" s="2">
        <v>0.52353009259259264</v>
      </c>
      <c r="C2515">
        <v>3513</v>
      </c>
      <c r="D2515">
        <v>13002561</v>
      </c>
      <c r="E2515">
        <v>13</v>
      </c>
      <c r="F2515">
        <v>22589</v>
      </c>
      <c r="G2515" t="s">
        <v>23</v>
      </c>
      <c r="H2515">
        <v>15</v>
      </c>
      <c r="I2515">
        <v>19143</v>
      </c>
      <c r="J2515" t="s">
        <v>48</v>
      </c>
      <c r="K2515" t="s">
        <v>28</v>
      </c>
      <c r="L2515" t="s">
        <v>51</v>
      </c>
      <c r="M2515">
        <v>2</v>
      </c>
      <c r="N2515">
        <v>559.75</v>
      </c>
      <c r="O2515">
        <v>867.44</v>
      </c>
      <c r="P2515">
        <v>86.74</v>
      </c>
      <c r="Q2515">
        <v>86.74</v>
      </c>
      <c r="R2515" t="s">
        <v>30</v>
      </c>
      <c r="S2515">
        <v>29</v>
      </c>
      <c r="T2515">
        <v>1</v>
      </c>
      <c r="U2515">
        <v>5</v>
      </c>
      <c r="V2515">
        <v>780.7</v>
      </c>
      <c r="W2515">
        <v>13130002513</v>
      </c>
    </row>
    <row r="2516" spans="1:23" x14ac:dyDescent="0.2">
      <c r="A2516" s="1">
        <v>44777</v>
      </c>
      <c r="B2516" s="2">
        <v>0.56381944444444443</v>
      </c>
      <c r="C2516">
        <v>3514</v>
      </c>
      <c r="D2516">
        <v>13002561</v>
      </c>
      <c r="E2516">
        <v>13</v>
      </c>
      <c r="F2516">
        <v>22589</v>
      </c>
      <c r="G2516" t="s">
        <v>23</v>
      </c>
      <c r="H2516">
        <v>15</v>
      </c>
      <c r="I2516">
        <v>82907</v>
      </c>
      <c r="J2516" t="s">
        <v>75</v>
      </c>
      <c r="K2516" t="s">
        <v>44</v>
      </c>
      <c r="L2516" t="s">
        <v>36</v>
      </c>
      <c r="M2516">
        <v>2</v>
      </c>
      <c r="N2516">
        <v>258.17</v>
      </c>
      <c r="O2516">
        <v>387.32</v>
      </c>
      <c r="P2516">
        <v>38.729999999999997</v>
      </c>
      <c r="Q2516">
        <v>38.729999999999997</v>
      </c>
      <c r="R2516" t="s">
        <v>30</v>
      </c>
      <c r="S2516">
        <v>29</v>
      </c>
      <c r="T2516">
        <v>1</v>
      </c>
      <c r="U2516">
        <v>3</v>
      </c>
      <c r="V2516">
        <v>348.59</v>
      </c>
      <c r="W2516">
        <v>13130002514</v>
      </c>
    </row>
    <row r="2517" spans="1:23" x14ac:dyDescent="0.2">
      <c r="A2517" s="1">
        <v>44794</v>
      </c>
      <c r="B2517" s="2">
        <v>0.86589120370370365</v>
      </c>
      <c r="C2517">
        <v>3515</v>
      </c>
      <c r="D2517">
        <v>13002561</v>
      </c>
      <c r="E2517">
        <v>13</v>
      </c>
      <c r="F2517">
        <v>22589</v>
      </c>
      <c r="G2517" t="s">
        <v>23</v>
      </c>
      <c r="H2517">
        <v>15</v>
      </c>
      <c r="I2517">
        <v>90587</v>
      </c>
      <c r="J2517" t="s">
        <v>33</v>
      </c>
      <c r="K2517" t="s">
        <v>25</v>
      </c>
      <c r="L2517" t="s">
        <v>36</v>
      </c>
      <c r="M2517">
        <v>1</v>
      </c>
      <c r="N2517">
        <v>509.51</v>
      </c>
      <c r="O2517">
        <v>736.01</v>
      </c>
      <c r="P2517">
        <v>36.799999999999997</v>
      </c>
      <c r="Q2517">
        <v>36.799999999999997</v>
      </c>
      <c r="R2517" t="s">
        <v>30</v>
      </c>
      <c r="S2517">
        <v>29</v>
      </c>
      <c r="T2517">
        <v>1</v>
      </c>
      <c r="U2517">
        <v>1</v>
      </c>
      <c r="V2517">
        <v>699.21</v>
      </c>
      <c r="W2517">
        <v>13130002515</v>
      </c>
    </row>
    <row r="2518" spans="1:23" x14ac:dyDescent="0.2">
      <c r="A2518" s="1">
        <v>44788</v>
      </c>
      <c r="B2518" s="2">
        <v>0.91983796296296294</v>
      </c>
      <c r="C2518">
        <v>3516</v>
      </c>
      <c r="D2518">
        <v>13002561</v>
      </c>
      <c r="E2518">
        <v>13</v>
      </c>
      <c r="F2518">
        <v>22589</v>
      </c>
      <c r="G2518" t="s">
        <v>23</v>
      </c>
      <c r="H2518">
        <v>18</v>
      </c>
      <c r="I2518">
        <v>82109</v>
      </c>
      <c r="J2518" t="s">
        <v>122</v>
      </c>
      <c r="K2518" t="s">
        <v>38</v>
      </c>
      <c r="L2518" t="s">
        <v>39</v>
      </c>
      <c r="M2518">
        <v>1</v>
      </c>
      <c r="N2518">
        <v>40.1</v>
      </c>
      <c r="O2518">
        <v>58.32</v>
      </c>
      <c r="P2518">
        <v>0</v>
      </c>
      <c r="Q2518">
        <v>0</v>
      </c>
      <c r="S2518">
        <v>29</v>
      </c>
      <c r="T2518">
        <v>1</v>
      </c>
      <c r="U2518">
        <v>5</v>
      </c>
      <c r="V2518">
        <v>58.32</v>
      </c>
      <c r="W2518">
        <v>13130002516</v>
      </c>
    </row>
    <row r="2519" spans="1:23" x14ac:dyDescent="0.2">
      <c r="A2519" s="1">
        <v>44786</v>
      </c>
      <c r="B2519" s="2">
        <v>0.81210648148148146</v>
      </c>
      <c r="C2519">
        <v>3517</v>
      </c>
      <c r="D2519">
        <v>13002561</v>
      </c>
      <c r="E2519">
        <v>13</v>
      </c>
      <c r="F2519">
        <v>22589</v>
      </c>
      <c r="G2519" t="s">
        <v>23</v>
      </c>
      <c r="H2519">
        <v>18</v>
      </c>
      <c r="I2519">
        <v>61136</v>
      </c>
      <c r="J2519" t="s">
        <v>41</v>
      </c>
      <c r="K2519" t="s">
        <v>28</v>
      </c>
      <c r="L2519" t="s">
        <v>29</v>
      </c>
      <c r="M2519">
        <v>3</v>
      </c>
      <c r="N2519">
        <v>522.17999999999995</v>
      </c>
      <c r="O2519">
        <v>816.09</v>
      </c>
      <c r="P2519">
        <v>81.61</v>
      </c>
      <c r="Q2519">
        <v>81.61</v>
      </c>
      <c r="R2519" t="s">
        <v>30</v>
      </c>
      <c r="S2519">
        <v>29</v>
      </c>
      <c r="T2519">
        <v>1</v>
      </c>
      <c r="U2519">
        <v>4</v>
      </c>
      <c r="V2519">
        <v>734.48</v>
      </c>
      <c r="W2519">
        <v>13130002517</v>
      </c>
    </row>
    <row r="2520" spans="1:23" x14ac:dyDescent="0.2">
      <c r="A2520" s="1">
        <v>44785</v>
      </c>
      <c r="B2520" s="2">
        <v>0.74206018518518524</v>
      </c>
      <c r="C2520">
        <v>3518</v>
      </c>
      <c r="D2520">
        <v>13002561</v>
      </c>
      <c r="E2520">
        <v>13</v>
      </c>
      <c r="F2520">
        <v>22589</v>
      </c>
      <c r="G2520" t="s">
        <v>23</v>
      </c>
      <c r="H2520">
        <v>15</v>
      </c>
      <c r="I2520">
        <v>82655</v>
      </c>
      <c r="J2520" t="s">
        <v>104</v>
      </c>
      <c r="K2520" t="s">
        <v>38</v>
      </c>
      <c r="L2520" t="s">
        <v>26</v>
      </c>
      <c r="M2520">
        <v>3</v>
      </c>
      <c r="N2520">
        <v>235.42</v>
      </c>
      <c r="O2520">
        <v>354.66</v>
      </c>
      <c r="P2520">
        <v>35.47</v>
      </c>
      <c r="Q2520">
        <v>35.47</v>
      </c>
      <c r="R2520" t="s">
        <v>30</v>
      </c>
      <c r="S2520">
        <v>29</v>
      </c>
      <c r="T2520">
        <v>1</v>
      </c>
      <c r="U2520">
        <v>3</v>
      </c>
      <c r="V2520">
        <v>319.19</v>
      </c>
      <c r="W2520">
        <v>13130002518</v>
      </c>
    </row>
    <row r="2521" spans="1:23" x14ac:dyDescent="0.2">
      <c r="A2521" s="1">
        <v>44793</v>
      </c>
      <c r="B2521" s="2">
        <v>0.3759837962962963</v>
      </c>
      <c r="C2521">
        <v>3519</v>
      </c>
      <c r="D2521">
        <v>13002561</v>
      </c>
      <c r="E2521">
        <v>13</v>
      </c>
      <c r="F2521">
        <v>22589</v>
      </c>
      <c r="G2521" t="s">
        <v>23</v>
      </c>
      <c r="H2521">
        <v>18</v>
      </c>
      <c r="I2521">
        <v>43309</v>
      </c>
      <c r="J2521" t="s">
        <v>35</v>
      </c>
      <c r="K2521" t="s">
        <v>38</v>
      </c>
      <c r="L2521" t="s">
        <v>36</v>
      </c>
      <c r="M2521">
        <v>3</v>
      </c>
      <c r="N2521">
        <v>96.06</v>
      </c>
      <c r="O2521">
        <v>160.29</v>
      </c>
      <c r="P2521">
        <v>8.01</v>
      </c>
      <c r="Q2521">
        <v>8.01</v>
      </c>
      <c r="R2521" t="s">
        <v>30</v>
      </c>
      <c r="S2521">
        <v>29</v>
      </c>
      <c r="T2521">
        <v>1</v>
      </c>
      <c r="U2521">
        <v>1</v>
      </c>
      <c r="V2521">
        <v>152.28</v>
      </c>
      <c r="W2521">
        <v>13130002519</v>
      </c>
    </row>
    <row r="2522" spans="1:23" x14ac:dyDescent="0.2">
      <c r="A2522" s="1">
        <v>44779</v>
      </c>
      <c r="B2522" s="2">
        <v>0.93315972222222221</v>
      </c>
      <c r="C2522">
        <v>3520</v>
      </c>
      <c r="D2522">
        <v>13002561</v>
      </c>
      <c r="E2522">
        <v>13</v>
      </c>
      <c r="F2522">
        <v>22589</v>
      </c>
      <c r="G2522" t="s">
        <v>23</v>
      </c>
      <c r="H2522">
        <v>15</v>
      </c>
      <c r="I2522">
        <v>86380</v>
      </c>
      <c r="J2522" t="s">
        <v>78</v>
      </c>
      <c r="K2522" t="s">
        <v>38</v>
      </c>
      <c r="L2522" t="s">
        <v>47</v>
      </c>
      <c r="M2522">
        <v>2</v>
      </c>
      <c r="N2522">
        <v>406</v>
      </c>
      <c r="O2522">
        <v>622.02</v>
      </c>
      <c r="P2522">
        <v>62.2</v>
      </c>
      <c r="Q2522">
        <v>62.2</v>
      </c>
      <c r="R2522" t="s">
        <v>30</v>
      </c>
      <c r="S2522">
        <v>29</v>
      </c>
      <c r="T2522">
        <v>1</v>
      </c>
      <c r="U2522">
        <v>1</v>
      </c>
      <c r="V2522">
        <v>559.82000000000005</v>
      </c>
      <c r="W2522">
        <v>13130002520</v>
      </c>
    </row>
    <row r="2523" spans="1:23" x14ac:dyDescent="0.2">
      <c r="A2523" s="1">
        <v>44801</v>
      </c>
      <c r="B2523" s="2">
        <v>0.55957175925925928</v>
      </c>
      <c r="C2523">
        <v>3521</v>
      </c>
      <c r="D2523">
        <v>13002561</v>
      </c>
      <c r="E2523">
        <v>13</v>
      </c>
      <c r="F2523">
        <v>22589</v>
      </c>
      <c r="G2523" t="s">
        <v>23</v>
      </c>
      <c r="H2523">
        <v>18</v>
      </c>
      <c r="I2523">
        <v>49358</v>
      </c>
      <c r="J2523" t="s">
        <v>37</v>
      </c>
      <c r="K2523" t="s">
        <v>60</v>
      </c>
      <c r="L2523" t="s">
        <v>51</v>
      </c>
      <c r="M2523">
        <v>1</v>
      </c>
      <c r="N2523">
        <v>116.27</v>
      </c>
      <c r="O2523">
        <v>162.32</v>
      </c>
      <c r="P2523">
        <v>0</v>
      </c>
      <c r="Q2523">
        <v>0</v>
      </c>
      <c r="S2523">
        <v>29</v>
      </c>
      <c r="T2523">
        <v>1</v>
      </c>
      <c r="U2523">
        <v>6</v>
      </c>
      <c r="V2523">
        <v>162.32</v>
      </c>
      <c r="W2523">
        <v>13130002521</v>
      </c>
    </row>
    <row r="2524" spans="1:23" x14ac:dyDescent="0.2">
      <c r="A2524" s="1">
        <v>44788</v>
      </c>
      <c r="B2524" s="2">
        <v>0.76798611111111115</v>
      </c>
      <c r="C2524">
        <v>3522</v>
      </c>
      <c r="D2524">
        <v>13002561</v>
      </c>
      <c r="E2524">
        <v>13</v>
      </c>
      <c r="F2524">
        <v>22589</v>
      </c>
      <c r="G2524" t="s">
        <v>23</v>
      </c>
      <c r="H2524">
        <v>18</v>
      </c>
      <c r="I2524">
        <v>54141</v>
      </c>
      <c r="J2524" t="s">
        <v>89</v>
      </c>
      <c r="K2524" t="s">
        <v>38</v>
      </c>
      <c r="L2524" t="s">
        <v>51</v>
      </c>
      <c r="M2524">
        <v>1</v>
      </c>
      <c r="N2524">
        <v>62.94</v>
      </c>
      <c r="O2524">
        <v>102.03</v>
      </c>
      <c r="P2524">
        <v>10.199999999999999</v>
      </c>
      <c r="Q2524">
        <v>10.199999999999999</v>
      </c>
      <c r="R2524" t="s">
        <v>30</v>
      </c>
      <c r="S2524">
        <v>29</v>
      </c>
      <c r="T2524">
        <v>1</v>
      </c>
      <c r="U2524">
        <v>3</v>
      </c>
      <c r="V2524">
        <v>91.83</v>
      </c>
      <c r="W2524">
        <v>13130002522</v>
      </c>
    </row>
    <row r="2525" spans="1:23" x14ac:dyDescent="0.2">
      <c r="A2525" s="1">
        <v>44777</v>
      </c>
      <c r="B2525" s="2">
        <v>0.72918981481481482</v>
      </c>
      <c r="C2525">
        <v>3523</v>
      </c>
      <c r="D2525">
        <v>13002561</v>
      </c>
      <c r="E2525">
        <v>13</v>
      </c>
      <c r="F2525">
        <v>22589</v>
      </c>
      <c r="G2525" t="s">
        <v>23</v>
      </c>
      <c r="H2525">
        <v>18</v>
      </c>
      <c r="I2525">
        <v>44057</v>
      </c>
      <c r="J2525" t="s">
        <v>113</v>
      </c>
      <c r="K2525" t="s">
        <v>38</v>
      </c>
      <c r="L2525" t="s">
        <v>34</v>
      </c>
      <c r="M2525">
        <v>1</v>
      </c>
      <c r="N2525">
        <v>492.75</v>
      </c>
      <c r="O2525">
        <v>702.01</v>
      </c>
      <c r="P2525">
        <v>70.2</v>
      </c>
      <c r="Q2525">
        <v>70.2</v>
      </c>
      <c r="R2525" t="s">
        <v>30</v>
      </c>
      <c r="S2525">
        <v>29</v>
      </c>
      <c r="T2525">
        <v>1</v>
      </c>
      <c r="U2525">
        <v>6</v>
      </c>
      <c r="V2525">
        <v>631.80999999999995</v>
      </c>
      <c r="W2525">
        <v>13130002523</v>
      </c>
    </row>
    <row r="2526" spans="1:23" x14ac:dyDescent="0.2">
      <c r="A2526" s="1">
        <v>44792</v>
      </c>
      <c r="B2526" s="2">
        <v>0.93608796296296293</v>
      </c>
      <c r="C2526">
        <v>3524</v>
      </c>
      <c r="D2526">
        <v>13002561</v>
      </c>
      <c r="E2526">
        <v>13</v>
      </c>
      <c r="F2526">
        <v>22589</v>
      </c>
      <c r="G2526" t="s">
        <v>23</v>
      </c>
      <c r="H2526">
        <v>15</v>
      </c>
      <c r="I2526">
        <v>32341</v>
      </c>
      <c r="J2526" t="s">
        <v>77</v>
      </c>
      <c r="K2526" t="s">
        <v>38</v>
      </c>
      <c r="L2526" t="s">
        <v>34</v>
      </c>
      <c r="M2526">
        <v>1</v>
      </c>
      <c r="N2526">
        <v>501.54</v>
      </c>
      <c r="O2526">
        <v>723.46</v>
      </c>
      <c r="P2526">
        <v>0</v>
      </c>
      <c r="Q2526">
        <v>0</v>
      </c>
      <c r="S2526">
        <v>29</v>
      </c>
      <c r="T2526">
        <v>1</v>
      </c>
      <c r="U2526">
        <v>1</v>
      </c>
      <c r="V2526">
        <v>723.46</v>
      </c>
      <c r="W2526">
        <v>13130002524</v>
      </c>
    </row>
    <row r="2527" spans="1:23" x14ac:dyDescent="0.2">
      <c r="A2527" s="1">
        <v>44796</v>
      </c>
      <c r="B2527" s="2">
        <v>0.64133101851851848</v>
      </c>
      <c r="C2527">
        <v>3525</v>
      </c>
      <c r="D2527">
        <v>13002561</v>
      </c>
      <c r="E2527">
        <v>13</v>
      </c>
      <c r="F2527">
        <v>22589</v>
      </c>
      <c r="G2527" t="s">
        <v>23</v>
      </c>
      <c r="H2527">
        <v>15</v>
      </c>
      <c r="I2527">
        <v>64275</v>
      </c>
      <c r="J2527" t="s">
        <v>70</v>
      </c>
      <c r="K2527" t="s">
        <v>44</v>
      </c>
      <c r="L2527" t="s">
        <v>36</v>
      </c>
      <c r="M2527">
        <v>3</v>
      </c>
      <c r="N2527">
        <v>20.05</v>
      </c>
      <c r="O2527">
        <v>26.76</v>
      </c>
      <c r="P2527">
        <v>0</v>
      </c>
      <c r="Q2527">
        <v>0</v>
      </c>
      <c r="S2527">
        <v>29</v>
      </c>
      <c r="T2527">
        <v>1</v>
      </c>
      <c r="U2527">
        <v>1</v>
      </c>
      <c r="V2527">
        <v>26.76</v>
      </c>
      <c r="W2527">
        <v>13130002525</v>
      </c>
    </row>
    <row r="2528" spans="1:23" x14ac:dyDescent="0.2">
      <c r="A2528" s="1">
        <v>44799</v>
      </c>
      <c r="B2528" s="2">
        <v>0.45146990740740739</v>
      </c>
      <c r="C2528">
        <v>3526</v>
      </c>
      <c r="D2528">
        <v>13002561</v>
      </c>
      <c r="E2528">
        <v>13</v>
      </c>
      <c r="F2528">
        <v>22589</v>
      </c>
      <c r="G2528" t="s">
        <v>23</v>
      </c>
      <c r="H2528">
        <v>18</v>
      </c>
      <c r="I2528">
        <v>89753</v>
      </c>
      <c r="J2528" t="s">
        <v>57</v>
      </c>
      <c r="K2528" t="s">
        <v>28</v>
      </c>
      <c r="L2528" t="s">
        <v>36</v>
      </c>
      <c r="M2528">
        <v>2</v>
      </c>
      <c r="N2528">
        <v>269.2</v>
      </c>
      <c r="O2528">
        <v>436.84</v>
      </c>
      <c r="P2528">
        <v>21.84</v>
      </c>
      <c r="Q2528">
        <v>21.84</v>
      </c>
      <c r="R2528" t="s">
        <v>30</v>
      </c>
      <c r="S2528">
        <v>29</v>
      </c>
      <c r="T2528">
        <v>1</v>
      </c>
      <c r="U2528">
        <v>4</v>
      </c>
      <c r="V2528">
        <v>415</v>
      </c>
      <c r="W2528">
        <v>13130002526</v>
      </c>
    </row>
    <row r="2529" spans="1:23" x14ac:dyDescent="0.2">
      <c r="A2529" s="1">
        <v>44779</v>
      </c>
      <c r="B2529" s="2">
        <v>0.58170138888888889</v>
      </c>
      <c r="C2529">
        <v>3527</v>
      </c>
      <c r="D2529">
        <v>13002561</v>
      </c>
      <c r="E2529">
        <v>13</v>
      </c>
      <c r="F2529">
        <v>22589</v>
      </c>
      <c r="G2529" t="s">
        <v>23</v>
      </c>
      <c r="H2529">
        <v>15</v>
      </c>
      <c r="I2529">
        <v>15414</v>
      </c>
      <c r="J2529" t="s">
        <v>115</v>
      </c>
      <c r="K2529" t="s">
        <v>38</v>
      </c>
      <c r="L2529" t="s">
        <v>36</v>
      </c>
      <c r="M2529">
        <v>3</v>
      </c>
      <c r="N2529">
        <v>539.05999999999995</v>
      </c>
      <c r="O2529">
        <v>678.58</v>
      </c>
      <c r="P2529">
        <v>0</v>
      </c>
      <c r="Q2529">
        <v>0</v>
      </c>
      <c r="S2529">
        <v>29</v>
      </c>
      <c r="T2529">
        <v>1</v>
      </c>
      <c r="U2529">
        <v>1</v>
      </c>
      <c r="V2529">
        <v>678.58</v>
      </c>
      <c r="W2529">
        <v>13130002527</v>
      </c>
    </row>
    <row r="2530" spans="1:23" x14ac:dyDescent="0.2">
      <c r="A2530" s="1">
        <v>44802</v>
      </c>
      <c r="B2530" s="2">
        <v>0.54909722222222224</v>
      </c>
      <c r="C2530">
        <v>3528</v>
      </c>
      <c r="D2530">
        <v>13002561</v>
      </c>
      <c r="E2530">
        <v>13</v>
      </c>
      <c r="F2530">
        <v>22589</v>
      </c>
      <c r="G2530" t="s">
        <v>23</v>
      </c>
      <c r="H2530">
        <v>15</v>
      </c>
      <c r="I2530">
        <v>79010</v>
      </c>
      <c r="J2530" t="s">
        <v>118</v>
      </c>
      <c r="K2530" t="s">
        <v>25</v>
      </c>
      <c r="L2530" t="s">
        <v>47</v>
      </c>
      <c r="M2530">
        <v>1</v>
      </c>
      <c r="N2530">
        <v>93.4</v>
      </c>
      <c r="O2530">
        <v>152.82</v>
      </c>
      <c r="P2530">
        <v>7.64</v>
      </c>
      <c r="Q2530">
        <v>7.64</v>
      </c>
      <c r="R2530" t="s">
        <v>30</v>
      </c>
      <c r="S2530">
        <v>29</v>
      </c>
      <c r="T2530">
        <v>1</v>
      </c>
      <c r="U2530">
        <v>2</v>
      </c>
      <c r="V2530">
        <v>145.18</v>
      </c>
      <c r="W2530">
        <v>13130002528</v>
      </c>
    </row>
    <row r="2531" spans="1:23" x14ac:dyDescent="0.2">
      <c r="A2531" s="1">
        <v>44783</v>
      </c>
      <c r="B2531" s="2">
        <v>0.95747685185185183</v>
      </c>
      <c r="C2531">
        <v>3529</v>
      </c>
      <c r="D2531">
        <v>13002561</v>
      </c>
      <c r="E2531">
        <v>13</v>
      </c>
      <c r="F2531">
        <v>22589</v>
      </c>
      <c r="G2531" t="s">
        <v>23</v>
      </c>
      <c r="H2531">
        <v>15</v>
      </c>
      <c r="I2531">
        <v>37090</v>
      </c>
      <c r="J2531" t="s">
        <v>86</v>
      </c>
      <c r="K2531" t="s">
        <v>44</v>
      </c>
      <c r="L2531" t="s">
        <v>26</v>
      </c>
      <c r="M2531">
        <v>2</v>
      </c>
      <c r="N2531">
        <v>465.28</v>
      </c>
      <c r="O2531">
        <v>682.93</v>
      </c>
      <c r="P2531">
        <v>0</v>
      </c>
      <c r="Q2531">
        <v>0</v>
      </c>
      <c r="S2531">
        <v>29</v>
      </c>
      <c r="T2531">
        <v>1</v>
      </c>
      <c r="U2531">
        <v>4</v>
      </c>
      <c r="V2531">
        <v>682.93</v>
      </c>
      <c r="W2531">
        <v>13130002529</v>
      </c>
    </row>
    <row r="2532" spans="1:23" x14ac:dyDescent="0.2">
      <c r="A2532" s="1">
        <v>44795</v>
      </c>
      <c r="B2532" s="2">
        <v>0.67104166666666665</v>
      </c>
      <c r="C2532">
        <v>3530</v>
      </c>
      <c r="D2532">
        <v>13002561</v>
      </c>
      <c r="E2532">
        <v>13</v>
      </c>
      <c r="F2532">
        <v>22589</v>
      </c>
      <c r="G2532" t="s">
        <v>23</v>
      </c>
      <c r="H2532">
        <v>18</v>
      </c>
      <c r="I2532">
        <v>93300</v>
      </c>
      <c r="J2532" t="s">
        <v>80</v>
      </c>
      <c r="K2532" t="s">
        <v>25</v>
      </c>
      <c r="L2532" t="s">
        <v>26</v>
      </c>
      <c r="M2532">
        <v>2</v>
      </c>
      <c r="N2532">
        <v>266.35000000000002</v>
      </c>
      <c r="O2532">
        <v>344.1</v>
      </c>
      <c r="P2532">
        <v>17.21</v>
      </c>
      <c r="Q2532">
        <v>17.21</v>
      </c>
      <c r="R2532" t="s">
        <v>30</v>
      </c>
      <c r="S2532">
        <v>29</v>
      </c>
      <c r="T2532">
        <v>1</v>
      </c>
      <c r="U2532">
        <v>5</v>
      </c>
      <c r="V2532">
        <v>326.89</v>
      </c>
      <c r="W2532">
        <v>13130002530</v>
      </c>
    </row>
    <row r="2533" spans="1:23" x14ac:dyDescent="0.2">
      <c r="A2533" s="1">
        <v>44782</v>
      </c>
      <c r="B2533" s="2">
        <v>0.56831018518518517</v>
      </c>
      <c r="C2533">
        <v>3531</v>
      </c>
      <c r="D2533">
        <v>13002561</v>
      </c>
      <c r="E2533">
        <v>13</v>
      </c>
      <c r="F2533">
        <v>22589</v>
      </c>
      <c r="G2533" t="s">
        <v>23</v>
      </c>
      <c r="H2533">
        <v>18</v>
      </c>
      <c r="I2533">
        <v>47561</v>
      </c>
      <c r="J2533" t="s">
        <v>53</v>
      </c>
      <c r="K2533" t="s">
        <v>60</v>
      </c>
      <c r="L2533" t="s">
        <v>29</v>
      </c>
      <c r="M2533">
        <v>1</v>
      </c>
      <c r="N2533">
        <v>189.89</v>
      </c>
      <c r="O2533">
        <v>252.36</v>
      </c>
      <c r="P2533">
        <v>12.62</v>
      </c>
      <c r="Q2533">
        <v>12.62</v>
      </c>
      <c r="R2533" t="s">
        <v>30</v>
      </c>
      <c r="S2533">
        <v>29</v>
      </c>
      <c r="T2533">
        <v>1</v>
      </c>
      <c r="U2533">
        <v>2</v>
      </c>
      <c r="V2533">
        <v>239.74</v>
      </c>
      <c r="W2533">
        <v>13130002531</v>
      </c>
    </row>
    <row r="2534" spans="1:23" x14ac:dyDescent="0.2">
      <c r="A2534" s="1">
        <v>44800</v>
      </c>
      <c r="B2534" s="2">
        <v>0.37998842592592591</v>
      </c>
      <c r="C2534">
        <v>3532</v>
      </c>
      <c r="D2534">
        <v>13002561</v>
      </c>
      <c r="E2534">
        <v>13</v>
      </c>
      <c r="F2534">
        <v>22589</v>
      </c>
      <c r="G2534" t="s">
        <v>23</v>
      </c>
      <c r="H2534">
        <v>18</v>
      </c>
      <c r="I2534">
        <v>47916</v>
      </c>
      <c r="J2534" t="s">
        <v>79</v>
      </c>
      <c r="K2534" t="s">
        <v>44</v>
      </c>
      <c r="L2534" t="s">
        <v>34</v>
      </c>
      <c r="M2534">
        <v>1</v>
      </c>
      <c r="N2534">
        <v>197.82</v>
      </c>
      <c r="O2534">
        <v>272.87</v>
      </c>
      <c r="P2534">
        <v>13.64</v>
      </c>
      <c r="Q2534">
        <v>13.64</v>
      </c>
      <c r="R2534" t="s">
        <v>30</v>
      </c>
      <c r="S2534">
        <v>29</v>
      </c>
      <c r="T2534">
        <v>1</v>
      </c>
      <c r="U2534">
        <v>5</v>
      </c>
      <c r="V2534">
        <v>259.23</v>
      </c>
      <c r="W2534">
        <v>13130002532</v>
      </c>
    </row>
    <row r="2535" spans="1:23" x14ac:dyDescent="0.2">
      <c r="A2535" s="1">
        <v>44788</v>
      </c>
      <c r="B2535" s="2">
        <v>0.83600694444444446</v>
      </c>
      <c r="C2535">
        <v>3533</v>
      </c>
      <c r="D2535">
        <v>13002561</v>
      </c>
      <c r="E2535">
        <v>13</v>
      </c>
      <c r="F2535">
        <v>22589</v>
      </c>
      <c r="G2535" t="s">
        <v>23</v>
      </c>
      <c r="H2535">
        <v>18</v>
      </c>
      <c r="I2535">
        <v>31355</v>
      </c>
      <c r="J2535" t="s">
        <v>33</v>
      </c>
      <c r="K2535" t="s">
        <v>44</v>
      </c>
      <c r="L2535" t="s">
        <v>39</v>
      </c>
      <c r="M2535">
        <v>1</v>
      </c>
      <c r="N2535">
        <v>374.87</v>
      </c>
      <c r="O2535">
        <v>600.14</v>
      </c>
      <c r="P2535">
        <v>0</v>
      </c>
      <c r="Q2535">
        <v>0</v>
      </c>
      <c r="S2535">
        <v>29</v>
      </c>
      <c r="T2535">
        <v>1</v>
      </c>
      <c r="U2535">
        <v>5</v>
      </c>
      <c r="V2535">
        <v>600.14</v>
      </c>
      <c r="W2535">
        <v>13130002533</v>
      </c>
    </row>
    <row r="2536" spans="1:23" x14ac:dyDescent="0.2">
      <c r="A2536" s="1">
        <v>44797</v>
      </c>
      <c r="B2536" s="2">
        <v>0.39402777777777781</v>
      </c>
      <c r="C2536">
        <v>3534</v>
      </c>
      <c r="D2536">
        <v>13002561</v>
      </c>
      <c r="E2536">
        <v>13</v>
      </c>
      <c r="F2536">
        <v>22589</v>
      </c>
      <c r="G2536" t="s">
        <v>23</v>
      </c>
      <c r="H2536">
        <v>15</v>
      </c>
      <c r="I2536">
        <v>36161</v>
      </c>
      <c r="J2536" t="s">
        <v>49</v>
      </c>
      <c r="K2536" t="s">
        <v>38</v>
      </c>
      <c r="L2536" t="s">
        <v>39</v>
      </c>
      <c r="M2536">
        <v>2</v>
      </c>
      <c r="N2536">
        <v>287.04000000000002</v>
      </c>
      <c r="O2536">
        <v>383.37</v>
      </c>
      <c r="P2536">
        <v>0</v>
      </c>
      <c r="Q2536">
        <v>0</v>
      </c>
      <c r="S2536">
        <v>29</v>
      </c>
      <c r="T2536">
        <v>1</v>
      </c>
      <c r="U2536">
        <v>6</v>
      </c>
      <c r="V2536">
        <v>383.37</v>
      </c>
      <c r="W2536">
        <v>13130002534</v>
      </c>
    </row>
    <row r="2537" spans="1:23" x14ac:dyDescent="0.2">
      <c r="A2537" s="1">
        <v>44799</v>
      </c>
      <c r="B2537" s="2">
        <v>0.93730324074074078</v>
      </c>
      <c r="C2537">
        <v>3535</v>
      </c>
      <c r="D2537">
        <v>13002561</v>
      </c>
      <c r="E2537">
        <v>13</v>
      </c>
      <c r="F2537">
        <v>22589</v>
      </c>
      <c r="G2537" t="s">
        <v>23</v>
      </c>
      <c r="H2537">
        <v>18</v>
      </c>
      <c r="I2537">
        <v>30587</v>
      </c>
      <c r="J2537" t="s">
        <v>84</v>
      </c>
      <c r="K2537" t="s">
        <v>28</v>
      </c>
      <c r="L2537" t="s">
        <v>36</v>
      </c>
      <c r="M2537">
        <v>1</v>
      </c>
      <c r="N2537">
        <v>118.58</v>
      </c>
      <c r="O2537">
        <v>184.5</v>
      </c>
      <c r="P2537">
        <v>0</v>
      </c>
      <c r="Q2537">
        <v>0</v>
      </c>
      <c r="S2537">
        <v>29</v>
      </c>
      <c r="T2537">
        <v>1</v>
      </c>
      <c r="U2537">
        <v>2</v>
      </c>
      <c r="V2537">
        <v>184.5</v>
      </c>
      <c r="W2537">
        <v>13130002535</v>
      </c>
    </row>
    <row r="2538" spans="1:23" x14ac:dyDescent="0.2">
      <c r="A2538" s="1">
        <v>44794</v>
      </c>
      <c r="B2538" s="2">
        <v>0.70417824074074076</v>
      </c>
      <c r="C2538">
        <v>3536</v>
      </c>
      <c r="D2538">
        <v>13002561</v>
      </c>
      <c r="E2538">
        <v>13</v>
      </c>
      <c r="F2538">
        <v>22589</v>
      </c>
      <c r="G2538" t="s">
        <v>23</v>
      </c>
      <c r="H2538">
        <v>15</v>
      </c>
      <c r="I2538">
        <v>58671</v>
      </c>
      <c r="J2538" t="s">
        <v>89</v>
      </c>
      <c r="K2538" t="s">
        <v>25</v>
      </c>
      <c r="L2538" t="s">
        <v>47</v>
      </c>
      <c r="M2538">
        <v>2</v>
      </c>
      <c r="N2538">
        <v>233.9</v>
      </c>
      <c r="O2538">
        <v>390.9</v>
      </c>
      <c r="P2538">
        <v>0</v>
      </c>
      <c r="Q2538">
        <v>0</v>
      </c>
      <c r="S2538">
        <v>29</v>
      </c>
      <c r="T2538">
        <v>1</v>
      </c>
      <c r="U2538">
        <v>1</v>
      </c>
      <c r="V2538">
        <v>390.9</v>
      </c>
      <c r="W2538">
        <v>13130002536</v>
      </c>
    </row>
    <row r="2539" spans="1:23" x14ac:dyDescent="0.2">
      <c r="A2539" s="1">
        <v>44799</v>
      </c>
      <c r="B2539" s="2">
        <v>0.91356481481481477</v>
      </c>
      <c r="C2539">
        <v>3537</v>
      </c>
      <c r="D2539">
        <v>13002561</v>
      </c>
      <c r="E2539">
        <v>13</v>
      </c>
      <c r="F2539">
        <v>22589</v>
      </c>
      <c r="G2539" t="s">
        <v>23</v>
      </c>
      <c r="H2539">
        <v>18</v>
      </c>
      <c r="I2539">
        <v>84558</v>
      </c>
      <c r="J2539" t="s">
        <v>37</v>
      </c>
      <c r="K2539" t="s">
        <v>38</v>
      </c>
      <c r="L2539" t="s">
        <v>51</v>
      </c>
      <c r="M2539">
        <v>3</v>
      </c>
      <c r="N2539">
        <v>295</v>
      </c>
      <c r="O2539">
        <v>371.43</v>
      </c>
      <c r="P2539">
        <v>18.57</v>
      </c>
      <c r="Q2539">
        <v>18.57</v>
      </c>
      <c r="R2539" t="s">
        <v>30</v>
      </c>
      <c r="S2539">
        <v>29</v>
      </c>
      <c r="T2539">
        <v>1</v>
      </c>
      <c r="U2539">
        <v>2</v>
      </c>
      <c r="V2539">
        <v>352.86</v>
      </c>
      <c r="W2539">
        <v>13130002537</v>
      </c>
    </row>
    <row r="2540" spans="1:23" x14ac:dyDescent="0.2">
      <c r="A2540" s="1">
        <v>44798</v>
      </c>
      <c r="B2540" s="2">
        <v>0.50327546296296299</v>
      </c>
      <c r="C2540">
        <v>3538</v>
      </c>
      <c r="D2540">
        <v>13002561</v>
      </c>
      <c r="E2540">
        <v>13</v>
      </c>
      <c r="F2540">
        <v>22589</v>
      </c>
      <c r="G2540" t="s">
        <v>23</v>
      </c>
      <c r="H2540">
        <v>18</v>
      </c>
      <c r="I2540">
        <v>41487</v>
      </c>
      <c r="J2540" t="s">
        <v>62</v>
      </c>
      <c r="K2540" t="s">
        <v>60</v>
      </c>
      <c r="L2540" t="s">
        <v>39</v>
      </c>
      <c r="M2540">
        <v>2</v>
      </c>
      <c r="N2540">
        <v>76.41</v>
      </c>
      <c r="O2540">
        <v>126.06</v>
      </c>
      <c r="P2540">
        <v>12.61</v>
      </c>
      <c r="Q2540">
        <v>12.61</v>
      </c>
      <c r="R2540" t="s">
        <v>30</v>
      </c>
      <c r="S2540">
        <v>29</v>
      </c>
      <c r="T2540">
        <v>1</v>
      </c>
      <c r="U2540">
        <v>1</v>
      </c>
      <c r="V2540">
        <v>113.45</v>
      </c>
      <c r="W2540">
        <v>13130002538</v>
      </c>
    </row>
    <row r="2541" spans="1:23" x14ac:dyDescent="0.2">
      <c r="A2541" s="1">
        <v>44774</v>
      </c>
      <c r="B2541" s="2">
        <v>0.88146990740740738</v>
      </c>
      <c r="C2541">
        <v>3539</v>
      </c>
      <c r="D2541">
        <v>13002561</v>
      </c>
      <c r="E2541">
        <v>13</v>
      </c>
      <c r="F2541">
        <v>22589</v>
      </c>
      <c r="G2541" t="s">
        <v>23</v>
      </c>
      <c r="H2541">
        <v>15</v>
      </c>
      <c r="I2541">
        <v>42397</v>
      </c>
      <c r="J2541" t="s">
        <v>106</v>
      </c>
      <c r="K2541" t="s">
        <v>28</v>
      </c>
      <c r="L2541" t="s">
        <v>51</v>
      </c>
      <c r="M2541">
        <v>2</v>
      </c>
      <c r="N2541">
        <v>249.75</v>
      </c>
      <c r="O2541">
        <v>389.87</v>
      </c>
      <c r="P2541">
        <v>19.489999999999998</v>
      </c>
      <c r="Q2541">
        <v>19.489999999999998</v>
      </c>
      <c r="R2541" t="s">
        <v>30</v>
      </c>
      <c r="S2541">
        <v>29</v>
      </c>
      <c r="T2541">
        <v>1</v>
      </c>
      <c r="U2541">
        <v>4</v>
      </c>
      <c r="V2541">
        <v>370.38</v>
      </c>
      <c r="W2541">
        <v>13130002539</v>
      </c>
    </row>
    <row r="2542" spans="1:23" x14ac:dyDescent="0.2">
      <c r="A2542" s="1">
        <v>44798</v>
      </c>
      <c r="B2542" s="2">
        <v>0.35439814814814807</v>
      </c>
      <c r="C2542">
        <v>3540</v>
      </c>
      <c r="D2542">
        <v>13002561</v>
      </c>
      <c r="E2542">
        <v>13</v>
      </c>
      <c r="F2542">
        <v>22589</v>
      </c>
      <c r="G2542" t="s">
        <v>23</v>
      </c>
      <c r="H2542">
        <v>18</v>
      </c>
      <c r="I2542">
        <v>13996</v>
      </c>
      <c r="J2542" t="s">
        <v>42</v>
      </c>
      <c r="K2542" t="s">
        <v>25</v>
      </c>
      <c r="L2542" t="s">
        <v>32</v>
      </c>
      <c r="M2542">
        <v>2</v>
      </c>
      <c r="N2542">
        <v>319.02</v>
      </c>
      <c r="O2542">
        <v>539.21</v>
      </c>
      <c r="P2542">
        <v>53.92</v>
      </c>
      <c r="Q2542">
        <v>53.92</v>
      </c>
      <c r="R2542" t="s">
        <v>30</v>
      </c>
      <c r="S2542">
        <v>29</v>
      </c>
      <c r="T2542">
        <v>1</v>
      </c>
      <c r="U2542">
        <v>4</v>
      </c>
      <c r="V2542">
        <v>485.29</v>
      </c>
      <c r="W2542">
        <v>13130002540</v>
      </c>
    </row>
    <row r="2543" spans="1:23" x14ac:dyDescent="0.2">
      <c r="A2543" s="1">
        <v>44784</v>
      </c>
      <c r="B2543" s="2">
        <v>0.67754629629629626</v>
      </c>
      <c r="C2543">
        <v>3541</v>
      </c>
      <c r="D2543">
        <v>13002561</v>
      </c>
      <c r="E2543">
        <v>13</v>
      </c>
      <c r="F2543">
        <v>22589</v>
      </c>
      <c r="G2543" t="s">
        <v>23</v>
      </c>
      <c r="H2543">
        <v>18</v>
      </c>
      <c r="I2543">
        <v>99253</v>
      </c>
      <c r="J2543" t="s">
        <v>72</v>
      </c>
      <c r="K2543" t="s">
        <v>38</v>
      </c>
      <c r="L2543" t="s">
        <v>51</v>
      </c>
      <c r="M2543">
        <v>1</v>
      </c>
      <c r="N2543">
        <v>214.08</v>
      </c>
      <c r="O2543">
        <v>355.53</v>
      </c>
      <c r="P2543">
        <v>0</v>
      </c>
      <c r="Q2543">
        <v>0</v>
      </c>
      <c r="S2543">
        <v>29</v>
      </c>
      <c r="T2543">
        <v>1</v>
      </c>
      <c r="U2543">
        <v>6</v>
      </c>
      <c r="V2543">
        <v>355.53</v>
      </c>
      <c r="W2543">
        <v>13130002541</v>
      </c>
    </row>
    <row r="2544" spans="1:23" x14ac:dyDescent="0.2">
      <c r="A2544" s="1">
        <v>44789</v>
      </c>
      <c r="B2544" s="2">
        <v>0.48943287037037042</v>
      </c>
      <c r="C2544">
        <v>3542</v>
      </c>
      <c r="D2544">
        <v>13002561</v>
      </c>
      <c r="E2544">
        <v>13</v>
      </c>
      <c r="F2544">
        <v>22589</v>
      </c>
      <c r="G2544" t="s">
        <v>23</v>
      </c>
      <c r="H2544">
        <v>15</v>
      </c>
      <c r="I2544">
        <v>11930</v>
      </c>
      <c r="J2544" t="s">
        <v>91</v>
      </c>
      <c r="K2544" t="s">
        <v>28</v>
      </c>
      <c r="L2544" t="s">
        <v>39</v>
      </c>
      <c r="M2544">
        <v>3</v>
      </c>
      <c r="N2544">
        <v>163.63999999999999</v>
      </c>
      <c r="O2544">
        <v>229.08</v>
      </c>
      <c r="P2544">
        <v>0</v>
      </c>
      <c r="Q2544">
        <v>0</v>
      </c>
      <c r="S2544">
        <v>29</v>
      </c>
      <c r="T2544">
        <v>1</v>
      </c>
      <c r="U2544">
        <v>4</v>
      </c>
      <c r="V2544">
        <v>229.08</v>
      </c>
      <c r="W2544">
        <v>13130002542</v>
      </c>
    </row>
    <row r="2545" spans="1:23" x14ac:dyDescent="0.2">
      <c r="A2545" s="1">
        <v>44793</v>
      </c>
      <c r="B2545" s="2">
        <v>0.9393055555555555</v>
      </c>
      <c r="C2545">
        <v>3543</v>
      </c>
      <c r="D2545">
        <v>13002561</v>
      </c>
      <c r="E2545">
        <v>13</v>
      </c>
      <c r="F2545">
        <v>22589</v>
      </c>
      <c r="G2545" t="s">
        <v>23</v>
      </c>
      <c r="H2545">
        <v>18</v>
      </c>
      <c r="I2545">
        <v>77078</v>
      </c>
      <c r="J2545" t="s">
        <v>113</v>
      </c>
      <c r="K2545" t="s">
        <v>38</v>
      </c>
      <c r="L2545" t="s">
        <v>26</v>
      </c>
      <c r="M2545">
        <v>3</v>
      </c>
      <c r="N2545">
        <v>308.43</v>
      </c>
      <c r="O2545">
        <v>503.46</v>
      </c>
      <c r="P2545">
        <v>50.35</v>
      </c>
      <c r="Q2545">
        <v>50.35</v>
      </c>
      <c r="R2545" t="s">
        <v>30</v>
      </c>
      <c r="S2545">
        <v>29</v>
      </c>
      <c r="T2545">
        <v>1</v>
      </c>
      <c r="U2545">
        <v>3</v>
      </c>
      <c r="V2545">
        <v>453.11</v>
      </c>
      <c r="W2545">
        <v>13130002543</v>
      </c>
    </row>
    <row r="2546" spans="1:23" x14ac:dyDescent="0.2">
      <c r="A2546" s="1">
        <v>44776</v>
      </c>
      <c r="B2546" s="2">
        <v>0.74386574074074074</v>
      </c>
      <c r="C2546">
        <v>3544</v>
      </c>
      <c r="D2546">
        <v>13002561</v>
      </c>
      <c r="E2546">
        <v>13</v>
      </c>
      <c r="F2546">
        <v>22589</v>
      </c>
      <c r="G2546" t="s">
        <v>23</v>
      </c>
      <c r="H2546">
        <v>18</v>
      </c>
      <c r="I2546">
        <v>81332</v>
      </c>
      <c r="J2546" t="s">
        <v>40</v>
      </c>
      <c r="K2546" t="s">
        <v>28</v>
      </c>
      <c r="L2546" t="s">
        <v>36</v>
      </c>
      <c r="M2546">
        <v>1</v>
      </c>
      <c r="N2546">
        <v>382.38</v>
      </c>
      <c r="O2546">
        <v>559.04999999999995</v>
      </c>
      <c r="P2546">
        <v>0</v>
      </c>
      <c r="Q2546">
        <v>0</v>
      </c>
      <c r="S2546">
        <v>29</v>
      </c>
      <c r="T2546">
        <v>1</v>
      </c>
      <c r="U2546">
        <v>5</v>
      </c>
      <c r="V2546">
        <v>559.04999999999995</v>
      </c>
      <c r="W2546">
        <v>13130002544</v>
      </c>
    </row>
    <row r="2547" spans="1:23" x14ac:dyDescent="0.2">
      <c r="A2547" s="1">
        <v>44791</v>
      </c>
      <c r="B2547" s="2">
        <v>0.79156249999999995</v>
      </c>
      <c r="C2547">
        <v>3545</v>
      </c>
      <c r="D2547">
        <v>13002561</v>
      </c>
      <c r="E2547">
        <v>13</v>
      </c>
      <c r="F2547">
        <v>22589</v>
      </c>
      <c r="G2547" t="s">
        <v>23</v>
      </c>
      <c r="H2547">
        <v>15</v>
      </c>
      <c r="I2547">
        <v>33431</v>
      </c>
      <c r="J2547" t="s">
        <v>103</v>
      </c>
      <c r="K2547" t="s">
        <v>45</v>
      </c>
      <c r="L2547" t="s">
        <v>51</v>
      </c>
      <c r="M2547">
        <v>1</v>
      </c>
      <c r="N2547">
        <v>286.64999999999998</v>
      </c>
      <c r="O2547">
        <v>409.36</v>
      </c>
      <c r="P2547">
        <v>40.94</v>
      </c>
      <c r="Q2547">
        <v>40.94</v>
      </c>
      <c r="R2547" t="s">
        <v>30</v>
      </c>
      <c r="S2547">
        <v>29</v>
      </c>
      <c r="T2547">
        <v>1</v>
      </c>
      <c r="U2547">
        <v>1</v>
      </c>
      <c r="V2547">
        <v>368.42</v>
      </c>
      <c r="W2547">
        <v>13130002545</v>
      </c>
    </row>
    <row r="2548" spans="1:23" x14ac:dyDescent="0.2">
      <c r="A2548" s="1">
        <v>44801</v>
      </c>
      <c r="B2548" s="2">
        <v>0.44480324074074068</v>
      </c>
      <c r="C2548">
        <v>3546</v>
      </c>
      <c r="D2548">
        <v>13002561</v>
      </c>
      <c r="E2548">
        <v>13</v>
      </c>
      <c r="F2548">
        <v>22589</v>
      </c>
      <c r="G2548" t="s">
        <v>23</v>
      </c>
      <c r="H2548">
        <v>15</v>
      </c>
      <c r="I2548">
        <v>30902</v>
      </c>
      <c r="J2548" t="s">
        <v>111</v>
      </c>
      <c r="K2548" t="s">
        <v>28</v>
      </c>
      <c r="L2548" t="s">
        <v>34</v>
      </c>
      <c r="M2548">
        <v>1</v>
      </c>
      <c r="N2548">
        <v>66.099999999999994</v>
      </c>
      <c r="O2548">
        <v>111.97</v>
      </c>
      <c r="P2548">
        <v>5.6</v>
      </c>
      <c r="Q2548">
        <v>5.6</v>
      </c>
      <c r="R2548" t="s">
        <v>30</v>
      </c>
      <c r="S2548">
        <v>29</v>
      </c>
      <c r="T2548">
        <v>1</v>
      </c>
      <c r="U2548">
        <v>5</v>
      </c>
      <c r="V2548">
        <v>106.37</v>
      </c>
      <c r="W2548">
        <v>13130002546</v>
      </c>
    </row>
    <row r="2549" spans="1:23" x14ac:dyDescent="0.2">
      <c r="A2549" s="1">
        <v>44778</v>
      </c>
      <c r="B2549" s="2">
        <v>0.34212962962962962</v>
      </c>
      <c r="C2549">
        <v>3547</v>
      </c>
      <c r="D2549">
        <v>13002561</v>
      </c>
      <c r="E2549">
        <v>13</v>
      </c>
      <c r="F2549">
        <v>22589</v>
      </c>
      <c r="G2549" t="s">
        <v>23</v>
      </c>
      <c r="H2549">
        <v>15</v>
      </c>
      <c r="I2549">
        <v>83395</v>
      </c>
      <c r="J2549" t="s">
        <v>98</v>
      </c>
      <c r="K2549" t="s">
        <v>44</v>
      </c>
      <c r="L2549" t="s">
        <v>26</v>
      </c>
      <c r="M2549">
        <v>3</v>
      </c>
      <c r="N2549">
        <v>96.31</v>
      </c>
      <c r="O2549">
        <v>158.47999999999999</v>
      </c>
      <c r="P2549">
        <v>15.85</v>
      </c>
      <c r="Q2549">
        <v>15.85</v>
      </c>
      <c r="R2549" t="s">
        <v>30</v>
      </c>
      <c r="S2549">
        <v>29</v>
      </c>
      <c r="T2549">
        <v>1</v>
      </c>
      <c r="U2549">
        <v>1</v>
      </c>
      <c r="V2549">
        <v>142.63</v>
      </c>
      <c r="W2549">
        <v>13130002547</v>
      </c>
    </row>
    <row r="2550" spans="1:23" x14ac:dyDescent="0.2">
      <c r="A2550" s="1">
        <v>44789</v>
      </c>
      <c r="B2550" s="2">
        <v>0.81570601851851854</v>
      </c>
      <c r="C2550">
        <v>3548</v>
      </c>
      <c r="D2550">
        <v>13002561</v>
      </c>
      <c r="E2550">
        <v>13</v>
      </c>
      <c r="F2550">
        <v>22589</v>
      </c>
      <c r="G2550" t="s">
        <v>23</v>
      </c>
      <c r="H2550">
        <v>15</v>
      </c>
      <c r="I2550">
        <v>42242</v>
      </c>
      <c r="J2550" t="s">
        <v>119</v>
      </c>
      <c r="K2550" t="s">
        <v>60</v>
      </c>
      <c r="L2550" t="s">
        <v>36</v>
      </c>
      <c r="M2550">
        <v>3</v>
      </c>
      <c r="N2550">
        <v>186</v>
      </c>
      <c r="O2550">
        <v>243.59</v>
      </c>
      <c r="P2550">
        <v>12.18</v>
      </c>
      <c r="Q2550">
        <v>12.18</v>
      </c>
      <c r="R2550" t="s">
        <v>30</v>
      </c>
      <c r="S2550">
        <v>29</v>
      </c>
      <c r="T2550">
        <v>1</v>
      </c>
      <c r="U2550">
        <v>2</v>
      </c>
      <c r="V2550">
        <v>231.41</v>
      </c>
      <c r="W2550">
        <v>13130002548</v>
      </c>
    </row>
    <row r="2551" spans="1:23" x14ac:dyDescent="0.2">
      <c r="A2551" s="1">
        <v>44784</v>
      </c>
      <c r="B2551" s="2">
        <v>0.77249999999999996</v>
      </c>
      <c r="C2551">
        <v>3549</v>
      </c>
      <c r="D2551">
        <v>13002561</v>
      </c>
      <c r="E2551">
        <v>13</v>
      </c>
      <c r="F2551">
        <v>22589</v>
      </c>
      <c r="G2551" t="s">
        <v>23</v>
      </c>
      <c r="H2551">
        <v>15</v>
      </c>
      <c r="I2551">
        <v>75507</v>
      </c>
      <c r="J2551" t="s">
        <v>68</v>
      </c>
      <c r="K2551" t="s">
        <v>44</v>
      </c>
      <c r="L2551" t="s">
        <v>36</v>
      </c>
      <c r="M2551">
        <v>2</v>
      </c>
      <c r="N2551">
        <v>375.32</v>
      </c>
      <c r="O2551">
        <v>538.42999999999995</v>
      </c>
      <c r="P2551">
        <v>26.92</v>
      </c>
      <c r="Q2551">
        <v>26.92</v>
      </c>
      <c r="R2551" t="s">
        <v>30</v>
      </c>
      <c r="S2551">
        <v>29</v>
      </c>
      <c r="T2551">
        <v>1</v>
      </c>
      <c r="U2551">
        <v>5</v>
      </c>
      <c r="V2551">
        <v>511.51</v>
      </c>
      <c r="W2551">
        <v>13130002549</v>
      </c>
    </row>
    <row r="2552" spans="1:23" x14ac:dyDescent="0.2">
      <c r="A2552" s="1">
        <v>44779</v>
      </c>
      <c r="B2552" s="2">
        <v>0.35612268518518519</v>
      </c>
      <c r="C2552">
        <v>3550</v>
      </c>
      <c r="D2552">
        <v>13002561</v>
      </c>
      <c r="E2552">
        <v>13</v>
      </c>
      <c r="F2552">
        <v>22589</v>
      </c>
      <c r="G2552" t="s">
        <v>23</v>
      </c>
      <c r="H2552">
        <v>15</v>
      </c>
      <c r="I2552">
        <v>52307</v>
      </c>
      <c r="J2552" t="s">
        <v>109</v>
      </c>
      <c r="K2552" t="s">
        <v>28</v>
      </c>
      <c r="L2552" t="s">
        <v>39</v>
      </c>
      <c r="M2552">
        <v>3</v>
      </c>
      <c r="N2552">
        <v>397.88</v>
      </c>
      <c r="O2552">
        <v>519.13</v>
      </c>
      <c r="P2552">
        <v>0</v>
      </c>
      <c r="Q2552">
        <v>0</v>
      </c>
      <c r="S2552">
        <v>29</v>
      </c>
      <c r="T2552">
        <v>1</v>
      </c>
      <c r="U2552">
        <v>4</v>
      </c>
      <c r="V2552">
        <v>519.13</v>
      </c>
      <c r="W2552">
        <v>13130002550</v>
      </c>
    </row>
    <row r="2553" spans="1:23" x14ac:dyDescent="0.2">
      <c r="A2553" s="1">
        <v>44787</v>
      </c>
      <c r="B2553" s="2">
        <v>0.48927083333333332</v>
      </c>
      <c r="C2553">
        <v>3551</v>
      </c>
      <c r="D2553">
        <v>13002561</v>
      </c>
      <c r="E2553">
        <v>13</v>
      </c>
      <c r="F2553">
        <v>22589</v>
      </c>
      <c r="G2553" t="s">
        <v>23</v>
      </c>
      <c r="H2553">
        <v>18</v>
      </c>
      <c r="I2553">
        <v>33639</v>
      </c>
      <c r="J2553" t="s">
        <v>65</v>
      </c>
      <c r="K2553" t="s">
        <v>38</v>
      </c>
      <c r="L2553" t="s">
        <v>29</v>
      </c>
      <c r="M2553">
        <v>1</v>
      </c>
      <c r="N2553">
        <v>297.25</v>
      </c>
      <c r="O2553">
        <v>488.51</v>
      </c>
      <c r="P2553">
        <v>48.85</v>
      </c>
      <c r="Q2553">
        <v>48.85</v>
      </c>
      <c r="R2553" t="s">
        <v>30</v>
      </c>
      <c r="S2553">
        <v>29</v>
      </c>
      <c r="T2553">
        <v>1</v>
      </c>
      <c r="U2553">
        <v>5</v>
      </c>
      <c r="V2553">
        <v>439.66</v>
      </c>
      <c r="W2553">
        <v>13130002551</v>
      </c>
    </row>
    <row r="2554" spans="1:23" x14ac:dyDescent="0.2">
      <c r="A2554" s="1">
        <v>44776</v>
      </c>
      <c r="B2554" s="2">
        <v>0.81719907407407411</v>
      </c>
      <c r="C2554">
        <v>3552</v>
      </c>
      <c r="D2554">
        <v>13002561</v>
      </c>
      <c r="E2554">
        <v>13</v>
      </c>
      <c r="F2554">
        <v>22589</v>
      </c>
      <c r="G2554" t="s">
        <v>23</v>
      </c>
      <c r="H2554">
        <v>18</v>
      </c>
      <c r="I2554">
        <v>33630</v>
      </c>
      <c r="J2554" t="s">
        <v>92</v>
      </c>
      <c r="K2554" t="s">
        <v>45</v>
      </c>
      <c r="L2554" t="s">
        <v>32</v>
      </c>
      <c r="M2554">
        <v>2</v>
      </c>
      <c r="N2554">
        <v>34.450000000000003</v>
      </c>
      <c r="O2554">
        <v>57.2</v>
      </c>
      <c r="P2554">
        <v>5.72</v>
      </c>
      <c r="Q2554">
        <v>5.72</v>
      </c>
      <c r="R2554" t="s">
        <v>30</v>
      </c>
      <c r="S2554">
        <v>29</v>
      </c>
      <c r="T2554">
        <v>1</v>
      </c>
      <c r="U2554">
        <v>6</v>
      </c>
      <c r="V2554">
        <v>51.48</v>
      </c>
      <c r="W2554">
        <v>13130002552</v>
      </c>
    </row>
    <row r="2555" spans="1:23" x14ac:dyDescent="0.2">
      <c r="A2555" s="1">
        <v>44784</v>
      </c>
      <c r="B2555" s="2">
        <v>0.82690972222222225</v>
      </c>
      <c r="C2555">
        <v>3553</v>
      </c>
      <c r="D2555">
        <v>13002561</v>
      </c>
      <c r="E2555">
        <v>13</v>
      </c>
      <c r="F2555">
        <v>22589</v>
      </c>
      <c r="G2555" t="s">
        <v>23</v>
      </c>
      <c r="H2555">
        <v>15</v>
      </c>
      <c r="I2555">
        <v>93826</v>
      </c>
      <c r="J2555" t="s">
        <v>120</v>
      </c>
      <c r="K2555" t="s">
        <v>28</v>
      </c>
      <c r="L2555" t="s">
        <v>34</v>
      </c>
      <c r="M2555">
        <v>1</v>
      </c>
      <c r="N2555">
        <v>388.55</v>
      </c>
      <c r="O2555">
        <v>657.49</v>
      </c>
      <c r="P2555">
        <v>32.869999999999997</v>
      </c>
      <c r="Q2555">
        <v>32.869999999999997</v>
      </c>
      <c r="R2555" t="s">
        <v>30</v>
      </c>
      <c r="S2555">
        <v>29</v>
      </c>
      <c r="T2555">
        <v>1</v>
      </c>
      <c r="U2555">
        <v>6</v>
      </c>
      <c r="V2555">
        <v>624.62</v>
      </c>
      <c r="W2555">
        <v>13130002553</v>
      </c>
    </row>
    <row r="2556" spans="1:23" x14ac:dyDescent="0.2">
      <c r="A2556" s="1">
        <v>44801</v>
      </c>
      <c r="B2556" s="2">
        <v>0.7408217592592593</v>
      </c>
      <c r="C2556">
        <v>3554</v>
      </c>
      <c r="D2556">
        <v>13002561</v>
      </c>
      <c r="E2556">
        <v>13</v>
      </c>
      <c r="F2556">
        <v>22589</v>
      </c>
      <c r="G2556" t="s">
        <v>23</v>
      </c>
      <c r="H2556">
        <v>15</v>
      </c>
      <c r="I2556">
        <v>62332</v>
      </c>
      <c r="J2556" t="s">
        <v>43</v>
      </c>
      <c r="K2556" t="s">
        <v>28</v>
      </c>
      <c r="L2556" t="s">
        <v>26</v>
      </c>
      <c r="M2556">
        <v>2</v>
      </c>
      <c r="N2556">
        <v>547.85</v>
      </c>
      <c r="O2556">
        <v>798.17</v>
      </c>
      <c r="P2556">
        <v>39.909999999999997</v>
      </c>
      <c r="Q2556">
        <v>39.909999999999997</v>
      </c>
      <c r="R2556" t="s">
        <v>30</v>
      </c>
      <c r="S2556">
        <v>29</v>
      </c>
      <c r="T2556">
        <v>1</v>
      </c>
      <c r="U2556">
        <v>3</v>
      </c>
      <c r="V2556">
        <v>758.26</v>
      </c>
      <c r="W2556">
        <v>13130002554</v>
      </c>
    </row>
    <row r="2557" spans="1:23" x14ac:dyDescent="0.2">
      <c r="A2557" s="1">
        <v>44794</v>
      </c>
      <c r="B2557" s="2">
        <v>0.4848263888888889</v>
      </c>
      <c r="C2557">
        <v>3555</v>
      </c>
      <c r="D2557">
        <v>13002561</v>
      </c>
      <c r="E2557">
        <v>13</v>
      </c>
      <c r="F2557">
        <v>22589</v>
      </c>
      <c r="G2557" t="s">
        <v>23</v>
      </c>
      <c r="H2557">
        <v>15</v>
      </c>
      <c r="I2557">
        <v>20683</v>
      </c>
      <c r="J2557" t="s">
        <v>113</v>
      </c>
      <c r="K2557" t="s">
        <v>25</v>
      </c>
      <c r="L2557" t="s">
        <v>32</v>
      </c>
      <c r="M2557">
        <v>2</v>
      </c>
      <c r="N2557">
        <v>478.05</v>
      </c>
      <c r="O2557">
        <v>680.02</v>
      </c>
      <c r="P2557">
        <v>0</v>
      </c>
      <c r="Q2557">
        <v>0</v>
      </c>
      <c r="S2557">
        <v>29</v>
      </c>
      <c r="T2557">
        <v>1</v>
      </c>
      <c r="U2557">
        <v>1</v>
      </c>
      <c r="V2557">
        <v>680.02</v>
      </c>
      <c r="W2557">
        <v>13130002555</v>
      </c>
    </row>
    <row r="2558" spans="1:23" x14ac:dyDescent="0.2">
      <c r="A2558" s="1">
        <v>44802</v>
      </c>
      <c r="B2558" s="2">
        <v>0.64358796296296295</v>
      </c>
      <c r="C2558">
        <v>3556</v>
      </c>
      <c r="D2558">
        <v>13002561</v>
      </c>
      <c r="E2558">
        <v>13</v>
      </c>
      <c r="F2558">
        <v>22589</v>
      </c>
      <c r="G2558" t="s">
        <v>23</v>
      </c>
      <c r="H2558">
        <v>15</v>
      </c>
      <c r="I2558">
        <v>81377</v>
      </c>
      <c r="J2558" t="s">
        <v>83</v>
      </c>
      <c r="K2558" t="s">
        <v>60</v>
      </c>
      <c r="L2558" t="s">
        <v>47</v>
      </c>
      <c r="M2558">
        <v>2</v>
      </c>
      <c r="N2558">
        <v>374.2</v>
      </c>
      <c r="O2558">
        <v>632.76</v>
      </c>
      <c r="P2558">
        <v>0</v>
      </c>
      <c r="Q2558">
        <v>0</v>
      </c>
      <c r="S2558">
        <v>29</v>
      </c>
      <c r="T2558">
        <v>1</v>
      </c>
      <c r="U2558">
        <v>5</v>
      </c>
      <c r="V2558">
        <v>632.76</v>
      </c>
      <c r="W2558">
        <v>13130002556</v>
      </c>
    </row>
    <row r="2559" spans="1:23" x14ac:dyDescent="0.2">
      <c r="A2559" s="1">
        <v>44798</v>
      </c>
      <c r="B2559" s="2">
        <v>0.37047453703703698</v>
      </c>
      <c r="C2559">
        <v>3557</v>
      </c>
      <c r="D2559">
        <v>13002561</v>
      </c>
      <c r="E2559">
        <v>13</v>
      </c>
      <c r="F2559">
        <v>22589</v>
      </c>
      <c r="G2559" t="s">
        <v>23</v>
      </c>
      <c r="H2559">
        <v>18</v>
      </c>
      <c r="I2559">
        <v>93024</v>
      </c>
      <c r="J2559" t="s">
        <v>83</v>
      </c>
      <c r="K2559" t="s">
        <v>44</v>
      </c>
      <c r="L2559" t="s">
        <v>29</v>
      </c>
      <c r="M2559">
        <v>1</v>
      </c>
      <c r="N2559">
        <v>401.34</v>
      </c>
      <c r="O2559">
        <v>612.15</v>
      </c>
      <c r="P2559">
        <v>0</v>
      </c>
      <c r="Q2559">
        <v>0</v>
      </c>
      <c r="S2559">
        <v>29</v>
      </c>
      <c r="T2559">
        <v>1</v>
      </c>
      <c r="U2559">
        <v>1</v>
      </c>
      <c r="V2559">
        <v>612.15</v>
      </c>
      <c r="W2559">
        <v>13130002557</v>
      </c>
    </row>
    <row r="2560" spans="1:23" x14ac:dyDescent="0.2">
      <c r="A2560" s="1">
        <v>44796</v>
      </c>
      <c r="B2560" s="2">
        <v>0.4931712962962963</v>
      </c>
      <c r="C2560">
        <v>3558</v>
      </c>
      <c r="D2560">
        <v>13002561</v>
      </c>
      <c r="E2560">
        <v>13</v>
      </c>
      <c r="F2560">
        <v>22589</v>
      </c>
      <c r="G2560" t="s">
        <v>23</v>
      </c>
      <c r="H2560">
        <v>15</v>
      </c>
      <c r="I2560">
        <v>71468</v>
      </c>
      <c r="J2560" t="s">
        <v>59</v>
      </c>
      <c r="K2560" t="s">
        <v>60</v>
      </c>
      <c r="L2560" t="s">
        <v>29</v>
      </c>
      <c r="M2560">
        <v>3</v>
      </c>
      <c r="N2560">
        <v>159.33000000000001</v>
      </c>
      <c r="O2560">
        <v>251.18</v>
      </c>
      <c r="P2560">
        <v>0</v>
      </c>
      <c r="Q2560">
        <v>0</v>
      </c>
      <c r="S2560">
        <v>29</v>
      </c>
      <c r="T2560">
        <v>1</v>
      </c>
      <c r="U2560">
        <v>1</v>
      </c>
      <c r="V2560">
        <v>251.18</v>
      </c>
      <c r="W2560">
        <v>13130002558</v>
      </c>
    </row>
    <row r="2561" spans="1:23" x14ac:dyDescent="0.2">
      <c r="A2561" s="1">
        <v>44795</v>
      </c>
      <c r="B2561" s="2">
        <v>0.53164351851851854</v>
      </c>
      <c r="C2561">
        <v>3559</v>
      </c>
      <c r="D2561">
        <v>13002561</v>
      </c>
      <c r="E2561">
        <v>13</v>
      </c>
      <c r="F2561">
        <v>22589</v>
      </c>
      <c r="G2561" t="s">
        <v>23</v>
      </c>
      <c r="H2561">
        <v>15</v>
      </c>
      <c r="I2561">
        <v>84049</v>
      </c>
      <c r="J2561" t="s">
        <v>94</v>
      </c>
      <c r="K2561" t="s">
        <v>44</v>
      </c>
      <c r="L2561" t="s">
        <v>32</v>
      </c>
      <c r="M2561">
        <v>1</v>
      </c>
      <c r="N2561">
        <v>473.97</v>
      </c>
      <c r="O2561">
        <v>795.81</v>
      </c>
      <c r="P2561">
        <v>0</v>
      </c>
      <c r="Q2561">
        <v>0</v>
      </c>
      <c r="S2561">
        <v>29</v>
      </c>
      <c r="T2561">
        <v>1</v>
      </c>
      <c r="U2561">
        <v>5</v>
      </c>
      <c r="V2561">
        <v>795.81</v>
      </c>
      <c r="W2561">
        <v>13130002559</v>
      </c>
    </row>
    <row r="2562" spans="1:23" x14ac:dyDescent="0.2">
      <c r="A2562" s="1">
        <v>44795</v>
      </c>
      <c r="B2562" s="2">
        <v>0.66349537037037032</v>
      </c>
      <c r="C2562">
        <v>3560</v>
      </c>
      <c r="D2562">
        <v>13002561</v>
      </c>
      <c r="E2562">
        <v>13</v>
      </c>
      <c r="F2562">
        <v>22589</v>
      </c>
      <c r="G2562" t="s">
        <v>23</v>
      </c>
      <c r="H2562">
        <v>15</v>
      </c>
      <c r="I2562">
        <v>90571</v>
      </c>
      <c r="J2562" t="s">
        <v>108</v>
      </c>
      <c r="K2562" t="s">
        <v>25</v>
      </c>
      <c r="L2562" t="s">
        <v>39</v>
      </c>
      <c r="M2562">
        <v>2</v>
      </c>
      <c r="N2562">
        <v>222.03</v>
      </c>
      <c r="O2562">
        <v>372.19</v>
      </c>
      <c r="P2562">
        <v>18.61</v>
      </c>
      <c r="Q2562">
        <v>18.61</v>
      </c>
      <c r="R2562" t="s">
        <v>30</v>
      </c>
      <c r="S2562">
        <v>29</v>
      </c>
      <c r="T2562">
        <v>1</v>
      </c>
      <c r="U2562">
        <v>1</v>
      </c>
      <c r="V2562">
        <v>353.58</v>
      </c>
      <c r="W2562">
        <v>13130002560</v>
      </c>
    </row>
    <row r="2563" spans="1:23" x14ac:dyDescent="0.2">
      <c r="A2563" s="1">
        <v>44782</v>
      </c>
      <c r="B2563" s="2">
        <v>0.4472800925925926</v>
      </c>
      <c r="C2563">
        <v>3561</v>
      </c>
      <c r="D2563">
        <v>13002561</v>
      </c>
      <c r="E2563">
        <v>13</v>
      </c>
      <c r="F2563">
        <v>22589</v>
      </c>
      <c r="G2563" t="s">
        <v>23</v>
      </c>
      <c r="H2563">
        <v>15</v>
      </c>
      <c r="I2563">
        <v>86362</v>
      </c>
      <c r="J2563" t="s">
        <v>57</v>
      </c>
      <c r="K2563" t="s">
        <v>25</v>
      </c>
      <c r="L2563" t="s">
        <v>47</v>
      </c>
      <c r="M2563">
        <v>2</v>
      </c>
      <c r="N2563">
        <v>81.92</v>
      </c>
      <c r="O2563">
        <v>117.23</v>
      </c>
      <c r="P2563">
        <v>5.86</v>
      </c>
      <c r="Q2563">
        <v>5.86</v>
      </c>
      <c r="R2563" t="s">
        <v>30</v>
      </c>
      <c r="S2563">
        <v>29</v>
      </c>
      <c r="T2563">
        <v>1</v>
      </c>
      <c r="U2563">
        <v>4</v>
      </c>
      <c r="V2563">
        <v>111.37</v>
      </c>
      <c r="W2563">
        <v>13130002561</v>
      </c>
    </row>
    <row r="2564" spans="1:23" x14ac:dyDescent="0.2">
      <c r="A2564" s="1">
        <v>44792</v>
      </c>
      <c r="B2564" s="2">
        <v>0.61920138888888887</v>
      </c>
      <c r="C2564">
        <v>3562</v>
      </c>
      <c r="D2564">
        <v>13002561</v>
      </c>
      <c r="E2564">
        <v>13</v>
      </c>
      <c r="F2564">
        <v>22589</v>
      </c>
      <c r="G2564" t="s">
        <v>23</v>
      </c>
      <c r="H2564">
        <v>15</v>
      </c>
      <c r="I2564">
        <v>52519</v>
      </c>
      <c r="J2564" t="s">
        <v>53</v>
      </c>
      <c r="K2564" t="s">
        <v>45</v>
      </c>
      <c r="L2564" t="s">
        <v>47</v>
      </c>
      <c r="M2564">
        <v>1</v>
      </c>
      <c r="N2564">
        <v>226.92</v>
      </c>
      <c r="O2564">
        <v>323.22000000000003</v>
      </c>
      <c r="P2564">
        <v>0</v>
      </c>
      <c r="Q2564">
        <v>0</v>
      </c>
      <c r="S2564">
        <v>29</v>
      </c>
      <c r="T2564">
        <v>1</v>
      </c>
      <c r="U2564">
        <v>2</v>
      </c>
      <c r="V2564">
        <v>323.22000000000003</v>
      </c>
      <c r="W2564">
        <v>13130002562</v>
      </c>
    </row>
    <row r="2565" spans="1:23" x14ac:dyDescent="0.2">
      <c r="A2565" s="1">
        <v>44788</v>
      </c>
      <c r="B2565" s="2">
        <v>0.35526620370370371</v>
      </c>
      <c r="C2565">
        <v>3563</v>
      </c>
      <c r="D2565">
        <v>13002561</v>
      </c>
      <c r="E2565">
        <v>13</v>
      </c>
      <c r="F2565">
        <v>22589</v>
      </c>
      <c r="G2565" t="s">
        <v>23</v>
      </c>
      <c r="H2565">
        <v>15</v>
      </c>
      <c r="I2565">
        <v>78258</v>
      </c>
      <c r="J2565" t="s">
        <v>85</v>
      </c>
      <c r="K2565" t="s">
        <v>38</v>
      </c>
      <c r="L2565" t="s">
        <v>26</v>
      </c>
      <c r="M2565">
        <v>2</v>
      </c>
      <c r="N2565">
        <v>164.18</v>
      </c>
      <c r="O2565">
        <v>251.17</v>
      </c>
      <c r="P2565">
        <v>12.56</v>
      </c>
      <c r="Q2565">
        <v>12.56</v>
      </c>
      <c r="R2565" t="s">
        <v>30</v>
      </c>
      <c r="S2565">
        <v>29</v>
      </c>
      <c r="T2565">
        <v>1</v>
      </c>
      <c r="U2565">
        <v>1</v>
      </c>
      <c r="V2565">
        <v>238.61</v>
      </c>
      <c r="W2565">
        <v>13130002563</v>
      </c>
    </row>
    <row r="2566" spans="1:23" x14ac:dyDescent="0.2">
      <c r="A2566" s="1">
        <v>44796</v>
      </c>
      <c r="B2566" s="2">
        <v>0.62443287037037032</v>
      </c>
      <c r="C2566">
        <v>3564</v>
      </c>
      <c r="D2566">
        <v>13002561</v>
      </c>
      <c r="E2566">
        <v>13</v>
      </c>
      <c r="F2566">
        <v>22589</v>
      </c>
      <c r="G2566" t="s">
        <v>23</v>
      </c>
      <c r="H2566">
        <v>15</v>
      </c>
      <c r="I2566">
        <v>95280</v>
      </c>
      <c r="J2566" t="s">
        <v>114</v>
      </c>
      <c r="K2566" t="s">
        <v>60</v>
      </c>
      <c r="L2566" t="s">
        <v>34</v>
      </c>
      <c r="M2566">
        <v>1</v>
      </c>
      <c r="N2566">
        <v>210.41</v>
      </c>
      <c r="O2566">
        <v>285.42</v>
      </c>
      <c r="P2566">
        <v>14.27</v>
      </c>
      <c r="Q2566">
        <v>14.27</v>
      </c>
      <c r="R2566" t="s">
        <v>30</v>
      </c>
      <c r="S2566">
        <v>29</v>
      </c>
      <c r="T2566">
        <v>1</v>
      </c>
      <c r="U2566">
        <v>3</v>
      </c>
      <c r="V2566">
        <v>271.14999999999998</v>
      </c>
      <c r="W2566">
        <v>13130002564</v>
      </c>
    </row>
    <row r="2567" spans="1:23" x14ac:dyDescent="0.2">
      <c r="A2567" s="1">
        <v>44783</v>
      </c>
      <c r="B2567" s="2">
        <v>0.4541203703703704</v>
      </c>
      <c r="C2567">
        <v>3565</v>
      </c>
      <c r="D2567">
        <v>13002561</v>
      </c>
      <c r="E2567">
        <v>13</v>
      </c>
      <c r="F2567">
        <v>22589</v>
      </c>
      <c r="G2567" t="s">
        <v>23</v>
      </c>
      <c r="H2567">
        <v>15</v>
      </c>
      <c r="I2567">
        <v>92287</v>
      </c>
      <c r="J2567" t="s">
        <v>93</v>
      </c>
      <c r="K2567" t="s">
        <v>60</v>
      </c>
      <c r="L2567" t="s">
        <v>47</v>
      </c>
      <c r="M2567">
        <v>2</v>
      </c>
      <c r="N2567">
        <v>362.11</v>
      </c>
      <c r="O2567">
        <v>548.33000000000004</v>
      </c>
      <c r="P2567">
        <v>27.42</v>
      </c>
      <c r="Q2567">
        <v>27.42</v>
      </c>
      <c r="R2567" t="s">
        <v>30</v>
      </c>
      <c r="S2567">
        <v>29</v>
      </c>
      <c r="T2567">
        <v>1</v>
      </c>
      <c r="U2567">
        <v>3</v>
      </c>
      <c r="V2567">
        <v>520.91</v>
      </c>
      <c r="W2567">
        <v>13130002565</v>
      </c>
    </row>
    <row r="2568" spans="1:23" x14ac:dyDescent="0.2">
      <c r="A2568" s="1">
        <v>44799</v>
      </c>
      <c r="B2568" s="2">
        <v>0.57348379629629631</v>
      </c>
      <c r="C2568">
        <v>3566</v>
      </c>
      <c r="D2568">
        <v>13002561</v>
      </c>
      <c r="E2568">
        <v>13</v>
      </c>
      <c r="F2568">
        <v>22589</v>
      </c>
      <c r="G2568" t="s">
        <v>23</v>
      </c>
      <c r="H2568">
        <v>15</v>
      </c>
      <c r="I2568">
        <v>15663</v>
      </c>
      <c r="J2568" t="s">
        <v>106</v>
      </c>
      <c r="K2568" t="s">
        <v>28</v>
      </c>
      <c r="L2568" t="s">
        <v>39</v>
      </c>
      <c r="M2568">
        <v>2</v>
      </c>
      <c r="N2568">
        <v>244.74</v>
      </c>
      <c r="O2568">
        <v>322.05</v>
      </c>
      <c r="P2568">
        <v>32.21</v>
      </c>
      <c r="Q2568">
        <v>32.21</v>
      </c>
      <c r="R2568" t="s">
        <v>30</v>
      </c>
      <c r="S2568">
        <v>29</v>
      </c>
      <c r="T2568">
        <v>1</v>
      </c>
      <c r="U2568">
        <v>2</v>
      </c>
      <c r="V2568">
        <v>289.83999999999997</v>
      </c>
      <c r="W2568">
        <v>13130002566</v>
      </c>
    </row>
    <row r="2569" spans="1:23" x14ac:dyDescent="0.2">
      <c r="A2569" s="1">
        <v>44778</v>
      </c>
      <c r="B2569" s="2">
        <v>0.92864583333333328</v>
      </c>
      <c r="C2569">
        <v>3567</v>
      </c>
      <c r="D2569">
        <v>13002561</v>
      </c>
      <c r="E2569">
        <v>13</v>
      </c>
      <c r="F2569">
        <v>22589</v>
      </c>
      <c r="G2569" t="s">
        <v>23</v>
      </c>
      <c r="H2569">
        <v>18</v>
      </c>
      <c r="I2569">
        <v>55877</v>
      </c>
      <c r="J2569" t="s">
        <v>110</v>
      </c>
      <c r="K2569" t="s">
        <v>38</v>
      </c>
      <c r="L2569" t="s">
        <v>26</v>
      </c>
      <c r="M2569">
        <v>2</v>
      </c>
      <c r="N2569">
        <v>397.01</v>
      </c>
      <c r="O2569">
        <v>577.38</v>
      </c>
      <c r="P2569">
        <v>28.87</v>
      </c>
      <c r="Q2569">
        <v>28.87</v>
      </c>
      <c r="R2569" t="s">
        <v>30</v>
      </c>
      <c r="S2569">
        <v>29</v>
      </c>
      <c r="T2569">
        <v>1</v>
      </c>
      <c r="U2569">
        <v>6</v>
      </c>
      <c r="V2569">
        <v>548.51</v>
      </c>
      <c r="W2569">
        <v>13130002567</v>
      </c>
    </row>
    <row r="2570" spans="1:23" x14ac:dyDescent="0.2">
      <c r="A2570" s="1">
        <v>44796</v>
      </c>
      <c r="B2570" s="2">
        <v>0.56421296296296297</v>
      </c>
      <c r="C2570">
        <v>3568</v>
      </c>
      <c r="D2570">
        <v>13002561</v>
      </c>
      <c r="E2570">
        <v>13</v>
      </c>
      <c r="F2570">
        <v>22589</v>
      </c>
      <c r="G2570" t="s">
        <v>23</v>
      </c>
      <c r="H2570">
        <v>15</v>
      </c>
      <c r="I2570">
        <v>42558</v>
      </c>
      <c r="J2570" t="s">
        <v>113</v>
      </c>
      <c r="K2570" t="s">
        <v>60</v>
      </c>
      <c r="L2570" t="s">
        <v>36</v>
      </c>
      <c r="M2570">
        <v>1</v>
      </c>
      <c r="N2570">
        <v>358.46</v>
      </c>
      <c r="O2570">
        <v>541.64</v>
      </c>
      <c r="P2570">
        <v>0</v>
      </c>
      <c r="Q2570">
        <v>0</v>
      </c>
      <c r="S2570">
        <v>29</v>
      </c>
      <c r="T2570">
        <v>1</v>
      </c>
      <c r="U2570">
        <v>5</v>
      </c>
      <c r="V2570">
        <v>541.64</v>
      </c>
      <c r="W2570">
        <v>13130002568</v>
      </c>
    </row>
    <row r="2571" spans="1:23" x14ac:dyDescent="0.2">
      <c r="A2571" s="1">
        <v>44791</v>
      </c>
      <c r="B2571" s="2">
        <v>0.37837962962962962</v>
      </c>
      <c r="C2571">
        <v>3569</v>
      </c>
      <c r="D2571">
        <v>13002561</v>
      </c>
      <c r="E2571">
        <v>13</v>
      </c>
      <c r="F2571">
        <v>22589</v>
      </c>
      <c r="G2571" t="s">
        <v>23</v>
      </c>
      <c r="H2571">
        <v>18</v>
      </c>
      <c r="I2571">
        <v>87244</v>
      </c>
      <c r="J2571" t="s">
        <v>41</v>
      </c>
      <c r="K2571" t="s">
        <v>60</v>
      </c>
      <c r="L2571" t="s">
        <v>29</v>
      </c>
      <c r="M2571">
        <v>1</v>
      </c>
      <c r="N2571">
        <v>207.32</v>
      </c>
      <c r="O2571">
        <v>342.25</v>
      </c>
      <c r="P2571">
        <v>34.229999999999997</v>
      </c>
      <c r="Q2571">
        <v>34.229999999999997</v>
      </c>
      <c r="R2571" t="s">
        <v>30</v>
      </c>
      <c r="S2571">
        <v>29</v>
      </c>
      <c r="T2571">
        <v>1</v>
      </c>
      <c r="U2571">
        <v>3</v>
      </c>
      <c r="V2571">
        <v>308.02</v>
      </c>
      <c r="W2571">
        <v>13130002569</v>
      </c>
    </row>
    <row r="2572" spans="1:23" x14ac:dyDescent="0.2">
      <c r="A2572" s="1">
        <v>44789</v>
      </c>
      <c r="B2572" s="2">
        <v>0.78255787037037039</v>
      </c>
      <c r="C2572">
        <v>3570</v>
      </c>
      <c r="D2572">
        <v>13002561</v>
      </c>
      <c r="E2572">
        <v>13</v>
      </c>
      <c r="F2572">
        <v>22589</v>
      </c>
      <c r="G2572" t="s">
        <v>23</v>
      </c>
      <c r="H2572">
        <v>15</v>
      </c>
      <c r="I2572">
        <v>88412</v>
      </c>
      <c r="J2572" t="s">
        <v>81</v>
      </c>
      <c r="K2572" t="s">
        <v>25</v>
      </c>
      <c r="L2572" t="s">
        <v>51</v>
      </c>
      <c r="M2572">
        <v>3</v>
      </c>
      <c r="N2572">
        <v>61.09</v>
      </c>
      <c r="O2572">
        <v>84.37</v>
      </c>
      <c r="P2572">
        <v>0</v>
      </c>
      <c r="Q2572">
        <v>0</v>
      </c>
      <c r="S2572">
        <v>29</v>
      </c>
      <c r="T2572">
        <v>1</v>
      </c>
      <c r="U2572">
        <v>4</v>
      </c>
      <c r="V2572">
        <v>84.37</v>
      </c>
      <c r="W2572">
        <v>13130002570</v>
      </c>
    </row>
    <row r="2573" spans="1:23" x14ac:dyDescent="0.2">
      <c r="A2573" s="1">
        <v>44798</v>
      </c>
      <c r="B2573" s="2">
        <v>0.56706018518518519</v>
      </c>
      <c r="C2573">
        <v>3571</v>
      </c>
      <c r="D2573">
        <v>13002561</v>
      </c>
      <c r="E2573">
        <v>13</v>
      </c>
      <c r="F2573">
        <v>22589</v>
      </c>
      <c r="G2573" t="s">
        <v>23</v>
      </c>
      <c r="H2573">
        <v>18</v>
      </c>
      <c r="I2573">
        <v>52210</v>
      </c>
      <c r="J2573" t="s">
        <v>31</v>
      </c>
      <c r="K2573" t="s">
        <v>28</v>
      </c>
      <c r="L2573" t="s">
        <v>32</v>
      </c>
      <c r="M2573">
        <v>2</v>
      </c>
      <c r="N2573">
        <v>132.94</v>
      </c>
      <c r="O2573">
        <v>195.07</v>
      </c>
      <c r="P2573">
        <v>9.75</v>
      </c>
      <c r="Q2573">
        <v>9.75</v>
      </c>
      <c r="R2573" t="s">
        <v>30</v>
      </c>
      <c r="S2573">
        <v>29</v>
      </c>
      <c r="T2573">
        <v>1</v>
      </c>
      <c r="U2573">
        <v>1</v>
      </c>
      <c r="V2573">
        <v>185.32</v>
      </c>
      <c r="W2573">
        <v>13130002571</v>
      </c>
    </row>
    <row r="2574" spans="1:23" x14ac:dyDescent="0.2">
      <c r="A2574" s="1">
        <v>44781</v>
      </c>
      <c r="B2574" s="2">
        <v>0.83232638888888888</v>
      </c>
      <c r="C2574">
        <v>3572</v>
      </c>
      <c r="D2574">
        <v>13002561</v>
      </c>
      <c r="E2574">
        <v>13</v>
      </c>
      <c r="F2574">
        <v>22589</v>
      </c>
      <c r="G2574" t="s">
        <v>23</v>
      </c>
      <c r="H2574">
        <v>15</v>
      </c>
      <c r="I2574">
        <v>63287</v>
      </c>
      <c r="J2574" t="s">
        <v>110</v>
      </c>
      <c r="K2574" t="s">
        <v>38</v>
      </c>
      <c r="L2574" t="s">
        <v>36</v>
      </c>
      <c r="M2574">
        <v>3</v>
      </c>
      <c r="N2574">
        <v>401.92</v>
      </c>
      <c r="O2574">
        <v>608.38</v>
      </c>
      <c r="P2574">
        <v>30.42</v>
      </c>
      <c r="Q2574">
        <v>30.42</v>
      </c>
      <c r="R2574" t="s">
        <v>30</v>
      </c>
      <c r="S2574">
        <v>29</v>
      </c>
      <c r="T2574">
        <v>1</v>
      </c>
      <c r="U2574">
        <v>6</v>
      </c>
      <c r="V2574">
        <v>577.96</v>
      </c>
      <c r="W2574">
        <v>13130002572</v>
      </c>
    </row>
    <row r="2575" spans="1:23" x14ac:dyDescent="0.2">
      <c r="A2575" s="1">
        <v>44804</v>
      </c>
      <c r="B2575" s="2">
        <v>0.72979166666666662</v>
      </c>
      <c r="C2575">
        <v>3573</v>
      </c>
      <c r="D2575">
        <v>13002561</v>
      </c>
      <c r="E2575">
        <v>13</v>
      </c>
      <c r="F2575">
        <v>22589</v>
      </c>
      <c r="G2575" t="s">
        <v>23</v>
      </c>
      <c r="H2575">
        <v>18</v>
      </c>
      <c r="I2575">
        <v>53041</v>
      </c>
      <c r="J2575" t="s">
        <v>93</v>
      </c>
      <c r="K2575" t="s">
        <v>60</v>
      </c>
      <c r="L2575" t="s">
        <v>32</v>
      </c>
      <c r="M2575">
        <v>2</v>
      </c>
      <c r="N2575">
        <v>74.37</v>
      </c>
      <c r="O2575">
        <v>99.81</v>
      </c>
      <c r="P2575">
        <v>0</v>
      </c>
      <c r="Q2575">
        <v>0</v>
      </c>
      <c r="S2575">
        <v>29</v>
      </c>
      <c r="T2575">
        <v>1</v>
      </c>
      <c r="U2575">
        <v>1</v>
      </c>
      <c r="V2575">
        <v>99.81</v>
      </c>
      <c r="W2575">
        <v>13130002573</v>
      </c>
    </row>
    <row r="2576" spans="1:23" x14ac:dyDescent="0.2">
      <c r="A2576" s="1">
        <v>44774</v>
      </c>
      <c r="B2576" s="2">
        <v>0.79331018518518515</v>
      </c>
      <c r="C2576">
        <v>3574</v>
      </c>
      <c r="D2576">
        <v>13002561</v>
      </c>
      <c r="E2576">
        <v>13</v>
      </c>
      <c r="F2576">
        <v>22589</v>
      </c>
      <c r="G2576" t="s">
        <v>23</v>
      </c>
      <c r="H2576">
        <v>15</v>
      </c>
      <c r="I2576">
        <v>51974</v>
      </c>
      <c r="J2576" t="s">
        <v>50</v>
      </c>
      <c r="K2576" t="s">
        <v>44</v>
      </c>
      <c r="L2576" t="s">
        <v>39</v>
      </c>
      <c r="M2576">
        <v>1</v>
      </c>
      <c r="N2576">
        <v>16</v>
      </c>
      <c r="O2576">
        <v>25.65</v>
      </c>
      <c r="P2576">
        <v>0</v>
      </c>
      <c r="Q2576">
        <v>0</v>
      </c>
      <c r="S2576">
        <v>29</v>
      </c>
      <c r="T2576">
        <v>1</v>
      </c>
      <c r="U2576">
        <v>5</v>
      </c>
      <c r="V2576">
        <v>25.65</v>
      </c>
      <c r="W2576">
        <v>13130002574</v>
      </c>
    </row>
    <row r="2577" spans="1:23" x14ac:dyDescent="0.2">
      <c r="A2577" s="1">
        <v>44799</v>
      </c>
      <c r="B2577" s="2">
        <v>0.34449074074074082</v>
      </c>
      <c r="C2577">
        <v>3575</v>
      </c>
      <c r="D2577">
        <v>13002561</v>
      </c>
      <c r="E2577">
        <v>13</v>
      </c>
      <c r="F2577">
        <v>22589</v>
      </c>
      <c r="G2577" t="s">
        <v>23</v>
      </c>
      <c r="H2577">
        <v>15</v>
      </c>
      <c r="I2577">
        <v>84767</v>
      </c>
      <c r="J2577" t="s">
        <v>55</v>
      </c>
      <c r="K2577" t="s">
        <v>28</v>
      </c>
      <c r="L2577" t="s">
        <v>51</v>
      </c>
      <c r="M2577">
        <v>2</v>
      </c>
      <c r="N2577">
        <v>477.21</v>
      </c>
      <c r="O2577">
        <v>798.78</v>
      </c>
      <c r="P2577">
        <v>0</v>
      </c>
      <c r="Q2577">
        <v>0</v>
      </c>
      <c r="S2577">
        <v>29</v>
      </c>
      <c r="T2577">
        <v>1</v>
      </c>
      <c r="U2577">
        <v>2</v>
      </c>
      <c r="V2577">
        <v>798.78</v>
      </c>
      <c r="W2577">
        <v>13130002575</v>
      </c>
    </row>
    <row r="2578" spans="1:23" x14ac:dyDescent="0.2">
      <c r="A2578" s="1">
        <v>44778</v>
      </c>
      <c r="B2578" s="2">
        <v>0.42878472222222219</v>
      </c>
      <c r="C2578">
        <v>3576</v>
      </c>
      <c r="D2578">
        <v>13002561</v>
      </c>
      <c r="E2578">
        <v>13</v>
      </c>
      <c r="F2578">
        <v>22589</v>
      </c>
      <c r="G2578" t="s">
        <v>23</v>
      </c>
      <c r="H2578">
        <v>18</v>
      </c>
      <c r="I2578">
        <v>55794</v>
      </c>
      <c r="J2578" t="s">
        <v>83</v>
      </c>
      <c r="K2578" t="s">
        <v>25</v>
      </c>
      <c r="L2578" t="s">
        <v>51</v>
      </c>
      <c r="M2578">
        <v>3</v>
      </c>
      <c r="N2578">
        <v>91.51</v>
      </c>
      <c r="O2578">
        <v>131.03</v>
      </c>
      <c r="P2578">
        <v>13.1</v>
      </c>
      <c r="Q2578">
        <v>13.1</v>
      </c>
      <c r="R2578" t="s">
        <v>30</v>
      </c>
      <c r="S2578">
        <v>29</v>
      </c>
      <c r="T2578">
        <v>1</v>
      </c>
      <c r="U2578">
        <v>4</v>
      </c>
      <c r="V2578">
        <v>117.93</v>
      </c>
      <c r="W2578">
        <v>13130002576</v>
      </c>
    </row>
    <row r="2579" spans="1:23" x14ac:dyDescent="0.2">
      <c r="A2579" s="1">
        <v>44787</v>
      </c>
      <c r="B2579" s="2">
        <v>0.9048842592592593</v>
      </c>
      <c r="C2579">
        <v>3577</v>
      </c>
      <c r="D2579">
        <v>13002561</v>
      </c>
      <c r="E2579">
        <v>13</v>
      </c>
      <c r="F2579">
        <v>22589</v>
      </c>
      <c r="G2579" t="s">
        <v>23</v>
      </c>
      <c r="H2579">
        <v>15</v>
      </c>
      <c r="I2579">
        <v>92204</v>
      </c>
      <c r="J2579" t="s">
        <v>99</v>
      </c>
      <c r="K2579" t="s">
        <v>28</v>
      </c>
      <c r="L2579" t="s">
        <v>36</v>
      </c>
      <c r="M2579">
        <v>3</v>
      </c>
      <c r="N2579">
        <v>34.64</v>
      </c>
      <c r="O2579">
        <v>47.18</v>
      </c>
      <c r="P2579">
        <v>0</v>
      </c>
      <c r="Q2579">
        <v>0</v>
      </c>
      <c r="S2579">
        <v>29</v>
      </c>
      <c r="T2579">
        <v>1</v>
      </c>
      <c r="U2579">
        <v>6</v>
      </c>
      <c r="V2579">
        <v>47.18</v>
      </c>
      <c r="W2579">
        <v>13130002577</v>
      </c>
    </row>
    <row r="2580" spans="1:23" x14ac:dyDescent="0.2">
      <c r="A2580" s="1">
        <v>44797</v>
      </c>
      <c r="B2580" s="2">
        <v>0.66862268518518519</v>
      </c>
      <c r="C2580">
        <v>3578</v>
      </c>
      <c r="D2580">
        <v>13002561</v>
      </c>
      <c r="E2580">
        <v>13</v>
      </c>
      <c r="F2580">
        <v>22589</v>
      </c>
      <c r="G2580" t="s">
        <v>23</v>
      </c>
      <c r="H2580">
        <v>18</v>
      </c>
      <c r="I2580">
        <v>36450</v>
      </c>
      <c r="J2580" t="s">
        <v>107</v>
      </c>
      <c r="K2580" t="s">
        <v>25</v>
      </c>
      <c r="L2580" t="s">
        <v>47</v>
      </c>
      <c r="M2580">
        <v>3</v>
      </c>
      <c r="N2580">
        <v>350.26</v>
      </c>
      <c r="O2580">
        <v>533.16999999999996</v>
      </c>
      <c r="P2580">
        <v>0</v>
      </c>
      <c r="Q2580">
        <v>0</v>
      </c>
      <c r="S2580">
        <v>29</v>
      </c>
      <c r="T2580">
        <v>1</v>
      </c>
      <c r="U2580">
        <v>4</v>
      </c>
      <c r="V2580">
        <v>533.16999999999996</v>
      </c>
      <c r="W2580">
        <v>13130002578</v>
      </c>
    </row>
    <row r="2581" spans="1:23" x14ac:dyDescent="0.2">
      <c r="A2581" s="1">
        <v>44803</v>
      </c>
      <c r="B2581" s="2">
        <v>0.42899305555555561</v>
      </c>
      <c r="C2581">
        <v>3579</v>
      </c>
      <c r="D2581">
        <v>13002561</v>
      </c>
      <c r="E2581">
        <v>13</v>
      </c>
      <c r="F2581">
        <v>22589</v>
      </c>
      <c r="G2581" t="s">
        <v>23</v>
      </c>
      <c r="H2581">
        <v>15</v>
      </c>
      <c r="I2581">
        <v>16587</v>
      </c>
      <c r="J2581" t="s">
        <v>83</v>
      </c>
      <c r="K2581" t="s">
        <v>28</v>
      </c>
      <c r="L2581" t="s">
        <v>34</v>
      </c>
      <c r="M2581">
        <v>1</v>
      </c>
      <c r="N2581">
        <v>135.53</v>
      </c>
      <c r="O2581">
        <v>212</v>
      </c>
      <c r="P2581">
        <v>0</v>
      </c>
      <c r="Q2581">
        <v>0</v>
      </c>
      <c r="S2581">
        <v>29</v>
      </c>
      <c r="T2581">
        <v>1</v>
      </c>
      <c r="U2581">
        <v>1</v>
      </c>
      <c r="V2581">
        <v>212</v>
      </c>
      <c r="W2581">
        <v>13130002579</v>
      </c>
    </row>
    <row r="2582" spans="1:23" x14ac:dyDescent="0.2">
      <c r="A2582" s="1">
        <v>44783</v>
      </c>
      <c r="B2582" s="2">
        <v>0.85342592592592592</v>
      </c>
      <c r="C2582">
        <v>3580</v>
      </c>
      <c r="D2582">
        <v>13002561</v>
      </c>
      <c r="E2582">
        <v>13</v>
      </c>
      <c r="F2582">
        <v>22589</v>
      </c>
      <c r="G2582" t="s">
        <v>23</v>
      </c>
      <c r="H2582">
        <v>18</v>
      </c>
      <c r="I2582">
        <v>81889</v>
      </c>
      <c r="J2582" t="s">
        <v>42</v>
      </c>
      <c r="K2582" t="s">
        <v>28</v>
      </c>
      <c r="L2582" t="s">
        <v>26</v>
      </c>
      <c r="M2582">
        <v>3</v>
      </c>
      <c r="N2582">
        <v>434.1</v>
      </c>
      <c r="O2582">
        <v>721.02</v>
      </c>
      <c r="P2582">
        <v>72.099999999999994</v>
      </c>
      <c r="Q2582">
        <v>72.099999999999994</v>
      </c>
      <c r="R2582" t="s">
        <v>30</v>
      </c>
      <c r="S2582">
        <v>29</v>
      </c>
      <c r="T2582">
        <v>1</v>
      </c>
      <c r="U2582">
        <v>6</v>
      </c>
      <c r="V2582">
        <v>648.91999999999996</v>
      </c>
      <c r="W2582">
        <v>13130002580</v>
      </c>
    </row>
    <row r="2583" spans="1:23" x14ac:dyDescent="0.2">
      <c r="A2583" s="1">
        <v>44798</v>
      </c>
      <c r="B2583" s="2">
        <v>0.4553935185185185</v>
      </c>
      <c r="C2583">
        <v>3581</v>
      </c>
      <c r="D2583">
        <v>13002561</v>
      </c>
      <c r="E2583">
        <v>13</v>
      </c>
      <c r="F2583">
        <v>22589</v>
      </c>
      <c r="G2583" t="s">
        <v>23</v>
      </c>
      <c r="H2583">
        <v>15</v>
      </c>
      <c r="I2583">
        <v>27197</v>
      </c>
      <c r="J2583" t="s">
        <v>88</v>
      </c>
      <c r="K2583" t="s">
        <v>28</v>
      </c>
      <c r="L2583" t="s">
        <v>39</v>
      </c>
      <c r="M2583">
        <v>3</v>
      </c>
      <c r="N2583">
        <v>215.68</v>
      </c>
      <c r="O2583">
        <v>332.17</v>
      </c>
      <c r="P2583">
        <v>33.22</v>
      </c>
      <c r="Q2583">
        <v>33.22</v>
      </c>
      <c r="R2583" t="s">
        <v>30</v>
      </c>
      <c r="S2583">
        <v>29</v>
      </c>
      <c r="T2583">
        <v>1</v>
      </c>
      <c r="U2583">
        <v>2</v>
      </c>
      <c r="V2583">
        <v>298.95</v>
      </c>
      <c r="W2583">
        <v>13130002581</v>
      </c>
    </row>
    <row r="2584" spans="1:23" x14ac:dyDescent="0.2">
      <c r="A2584" s="1">
        <v>44801</v>
      </c>
      <c r="B2584" s="2">
        <v>0.78187499999999999</v>
      </c>
      <c r="C2584">
        <v>3582</v>
      </c>
      <c r="D2584">
        <v>13002561</v>
      </c>
      <c r="E2584">
        <v>13</v>
      </c>
      <c r="F2584">
        <v>22589</v>
      </c>
      <c r="G2584" t="s">
        <v>23</v>
      </c>
      <c r="H2584">
        <v>15</v>
      </c>
      <c r="I2584">
        <v>37147</v>
      </c>
      <c r="J2584" t="s">
        <v>49</v>
      </c>
      <c r="K2584" t="s">
        <v>60</v>
      </c>
      <c r="L2584" t="s">
        <v>34</v>
      </c>
      <c r="M2584">
        <v>3</v>
      </c>
      <c r="N2584">
        <v>513.28</v>
      </c>
      <c r="O2584">
        <v>791.92</v>
      </c>
      <c r="P2584">
        <v>79.19</v>
      </c>
      <c r="Q2584">
        <v>79.19</v>
      </c>
      <c r="R2584" t="s">
        <v>30</v>
      </c>
      <c r="S2584">
        <v>29</v>
      </c>
      <c r="T2584">
        <v>1</v>
      </c>
      <c r="U2584">
        <v>5</v>
      </c>
      <c r="V2584">
        <v>712.73</v>
      </c>
      <c r="W2584">
        <v>13130002582</v>
      </c>
    </row>
    <row r="2585" spans="1:23" x14ac:dyDescent="0.2">
      <c r="A2585" s="1">
        <v>44792</v>
      </c>
      <c r="B2585" s="2">
        <v>0.79136574074074073</v>
      </c>
      <c r="C2585">
        <v>3583</v>
      </c>
      <c r="D2585">
        <v>13002561</v>
      </c>
      <c r="E2585">
        <v>13</v>
      </c>
      <c r="F2585">
        <v>22589</v>
      </c>
      <c r="G2585" t="s">
        <v>23</v>
      </c>
      <c r="H2585">
        <v>15</v>
      </c>
      <c r="I2585">
        <v>73393</v>
      </c>
      <c r="J2585" t="s">
        <v>31</v>
      </c>
      <c r="K2585" t="s">
        <v>60</v>
      </c>
      <c r="L2585" t="s">
        <v>34</v>
      </c>
      <c r="M2585">
        <v>2</v>
      </c>
      <c r="N2585">
        <v>123.14</v>
      </c>
      <c r="O2585">
        <v>193.6</v>
      </c>
      <c r="P2585">
        <v>19.36</v>
      </c>
      <c r="Q2585">
        <v>19.36</v>
      </c>
      <c r="R2585" t="s">
        <v>30</v>
      </c>
      <c r="S2585">
        <v>29</v>
      </c>
      <c r="T2585">
        <v>1</v>
      </c>
      <c r="U2585">
        <v>4</v>
      </c>
      <c r="V2585">
        <v>174.24</v>
      </c>
      <c r="W2585">
        <v>13130002583</v>
      </c>
    </row>
    <row r="2586" spans="1:23" x14ac:dyDescent="0.2">
      <c r="A2586" s="1">
        <v>44774</v>
      </c>
      <c r="B2586" s="2">
        <v>0.78782407407407407</v>
      </c>
      <c r="C2586">
        <v>3584</v>
      </c>
      <c r="D2586">
        <v>13002561</v>
      </c>
      <c r="E2586">
        <v>13</v>
      </c>
      <c r="F2586">
        <v>22589</v>
      </c>
      <c r="G2586" t="s">
        <v>23</v>
      </c>
      <c r="H2586">
        <v>18</v>
      </c>
      <c r="I2586">
        <v>16556</v>
      </c>
      <c r="J2586" t="s">
        <v>107</v>
      </c>
      <c r="K2586" t="s">
        <v>44</v>
      </c>
      <c r="L2586" t="s">
        <v>51</v>
      </c>
      <c r="M2586">
        <v>2</v>
      </c>
      <c r="N2586">
        <v>6.15</v>
      </c>
      <c r="O2586">
        <v>8.68</v>
      </c>
      <c r="P2586">
        <v>0.43</v>
      </c>
      <c r="Q2586">
        <v>0.43</v>
      </c>
      <c r="R2586" t="s">
        <v>30</v>
      </c>
      <c r="S2586">
        <v>29</v>
      </c>
      <c r="T2586">
        <v>1</v>
      </c>
      <c r="U2586">
        <v>6</v>
      </c>
      <c r="V2586">
        <v>8.25</v>
      </c>
      <c r="W2586">
        <v>13130002584</v>
      </c>
    </row>
    <row r="2587" spans="1:23" x14ac:dyDescent="0.2">
      <c r="A2587" s="1">
        <v>44803</v>
      </c>
      <c r="B2587" s="2">
        <v>0.41453703703703698</v>
      </c>
      <c r="C2587">
        <v>3585</v>
      </c>
      <c r="D2587">
        <v>13002561</v>
      </c>
      <c r="E2587">
        <v>13</v>
      </c>
      <c r="F2587">
        <v>22589</v>
      </c>
      <c r="G2587" t="s">
        <v>23</v>
      </c>
      <c r="H2587">
        <v>18</v>
      </c>
      <c r="I2587">
        <v>47986</v>
      </c>
      <c r="J2587" t="s">
        <v>88</v>
      </c>
      <c r="K2587" t="s">
        <v>60</v>
      </c>
      <c r="L2587" t="s">
        <v>26</v>
      </c>
      <c r="M2587">
        <v>1</v>
      </c>
      <c r="N2587">
        <v>330.12</v>
      </c>
      <c r="O2587">
        <v>525.53</v>
      </c>
      <c r="P2587">
        <v>52.55</v>
      </c>
      <c r="Q2587">
        <v>52.55</v>
      </c>
      <c r="R2587" t="s">
        <v>30</v>
      </c>
      <c r="S2587">
        <v>29</v>
      </c>
      <c r="T2587">
        <v>1</v>
      </c>
      <c r="U2587">
        <v>6</v>
      </c>
      <c r="V2587">
        <v>472.98</v>
      </c>
      <c r="W2587">
        <v>13130002585</v>
      </c>
    </row>
    <row r="2588" spans="1:23" x14ac:dyDescent="0.2">
      <c r="A2588" s="1">
        <v>44804</v>
      </c>
      <c r="B2588" s="2">
        <v>0.86585648148148153</v>
      </c>
      <c r="C2588">
        <v>3586</v>
      </c>
      <c r="D2588">
        <v>13002561</v>
      </c>
      <c r="E2588">
        <v>13</v>
      </c>
      <c r="F2588">
        <v>22589</v>
      </c>
      <c r="G2588" t="s">
        <v>23</v>
      </c>
      <c r="H2588">
        <v>18</v>
      </c>
      <c r="I2588">
        <v>17909</v>
      </c>
      <c r="J2588" t="s">
        <v>107</v>
      </c>
      <c r="K2588" t="s">
        <v>44</v>
      </c>
      <c r="L2588" t="s">
        <v>39</v>
      </c>
      <c r="M2588">
        <v>2</v>
      </c>
      <c r="N2588">
        <v>462.85</v>
      </c>
      <c r="O2588">
        <v>755.93</v>
      </c>
      <c r="P2588">
        <v>0</v>
      </c>
      <c r="Q2588">
        <v>0</v>
      </c>
      <c r="S2588">
        <v>29</v>
      </c>
      <c r="T2588">
        <v>1</v>
      </c>
      <c r="U2588">
        <v>1</v>
      </c>
      <c r="V2588">
        <v>755.93</v>
      </c>
      <c r="W2588">
        <v>13130002586</v>
      </c>
    </row>
    <row r="2589" spans="1:23" x14ac:dyDescent="0.2">
      <c r="A2589" s="1">
        <v>44775</v>
      </c>
      <c r="B2589" s="2">
        <v>0.90717592592592589</v>
      </c>
      <c r="C2589">
        <v>3587</v>
      </c>
      <c r="D2589">
        <v>13002561</v>
      </c>
      <c r="E2589">
        <v>13</v>
      </c>
      <c r="F2589">
        <v>22589</v>
      </c>
      <c r="G2589" t="s">
        <v>23</v>
      </c>
      <c r="H2589">
        <v>18</v>
      </c>
      <c r="I2589">
        <v>81154</v>
      </c>
      <c r="J2589" t="s">
        <v>69</v>
      </c>
      <c r="K2589" t="s">
        <v>25</v>
      </c>
      <c r="L2589" t="s">
        <v>36</v>
      </c>
      <c r="M2589">
        <v>1</v>
      </c>
      <c r="N2589">
        <v>11.79</v>
      </c>
      <c r="O2589">
        <v>17.34</v>
      </c>
      <c r="P2589">
        <v>1.73</v>
      </c>
      <c r="Q2589">
        <v>1.73</v>
      </c>
      <c r="R2589" t="s">
        <v>30</v>
      </c>
      <c r="S2589">
        <v>29</v>
      </c>
      <c r="T2589">
        <v>1</v>
      </c>
      <c r="U2589">
        <v>3</v>
      </c>
      <c r="V2589">
        <v>15.61</v>
      </c>
      <c r="W2589">
        <v>13130002587</v>
      </c>
    </row>
    <row r="2590" spans="1:23" x14ac:dyDescent="0.2">
      <c r="A2590" s="1">
        <v>44795</v>
      </c>
      <c r="B2590" s="2">
        <v>0.3442824074074074</v>
      </c>
      <c r="C2590">
        <v>3588</v>
      </c>
      <c r="D2590">
        <v>13002561</v>
      </c>
      <c r="E2590">
        <v>13</v>
      </c>
      <c r="F2590">
        <v>22589</v>
      </c>
      <c r="G2590" t="s">
        <v>23</v>
      </c>
      <c r="H2590">
        <v>15</v>
      </c>
      <c r="I2590">
        <v>26311</v>
      </c>
      <c r="J2590" t="s">
        <v>41</v>
      </c>
      <c r="K2590" t="s">
        <v>38</v>
      </c>
      <c r="L2590" t="s">
        <v>29</v>
      </c>
      <c r="M2590">
        <v>3</v>
      </c>
      <c r="N2590">
        <v>30.88</v>
      </c>
      <c r="O2590">
        <v>45</v>
      </c>
      <c r="P2590">
        <v>0</v>
      </c>
      <c r="Q2590">
        <v>0</v>
      </c>
      <c r="S2590">
        <v>29</v>
      </c>
      <c r="T2590">
        <v>1</v>
      </c>
      <c r="U2590">
        <v>5</v>
      </c>
      <c r="V2590">
        <v>45</v>
      </c>
      <c r="W2590">
        <v>13130002588</v>
      </c>
    </row>
    <row r="2591" spans="1:23" x14ac:dyDescent="0.2">
      <c r="A2591" s="1">
        <v>44783</v>
      </c>
      <c r="B2591" s="2">
        <v>0.57467592592592598</v>
      </c>
      <c r="C2591">
        <v>3589</v>
      </c>
      <c r="D2591">
        <v>13002561</v>
      </c>
      <c r="E2591">
        <v>13</v>
      </c>
      <c r="F2591">
        <v>22589</v>
      </c>
      <c r="G2591" t="s">
        <v>23</v>
      </c>
      <c r="H2591">
        <v>15</v>
      </c>
      <c r="I2591">
        <v>43051</v>
      </c>
      <c r="J2591" t="s">
        <v>76</v>
      </c>
      <c r="K2591" t="s">
        <v>60</v>
      </c>
      <c r="L2591" t="s">
        <v>51</v>
      </c>
      <c r="M2591">
        <v>1</v>
      </c>
      <c r="N2591">
        <v>297.58999999999997</v>
      </c>
      <c r="O2591">
        <v>501.62</v>
      </c>
      <c r="P2591">
        <v>25.08</v>
      </c>
      <c r="Q2591">
        <v>25.08</v>
      </c>
      <c r="R2591" t="s">
        <v>30</v>
      </c>
      <c r="S2591">
        <v>29</v>
      </c>
      <c r="T2591">
        <v>1</v>
      </c>
      <c r="U2591">
        <v>6</v>
      </c>
      <c r="V2591">
        <v>476.54</v>
      </c>
      <c r="W2591">
        <v>13130002589</v>
      </c>
    </row>
    <row r="2592" spans="1:23" x14ac:dyDescent="0.2">
      <c r="A2592" s="1">
        <v>44795</v>
      </c>
      <c r="B2592" s="2">
        <v>0.87800925925925921</v>
      </c>
      <c r="C2592">
        <v>3590</v>
      </c>
      <c r="D2592">
        <v>13002561</v>
      </c>
      <c r="E2592">
        <v>13</v>
      </c>
      <c r="F2592">
        <v>22589</v>
      </c>
      <c r="G2592" t="s">
        <v>23</v>
      </c>
      <c r="H2592">
        <v>15</v>
      </c>
      <c r="I2592">
        <v>15745</v>
      </c>
      <c r="J2592" t="s">
        <v>93</v>
      </c>
      <c r="K2592" t="s">
        <v>28</v>
      </c>
      <c r="L2592" t="s">
        <v>36</v>
      </c>
      <c r="M2592">
        <v>1</v>
      </c>
      <c r="N2592">
        <v>46.12</v>
      </c>
      <c r="O2592">
        <v>74.47</v>
      </c>
      <c r="P2592">
        <v>0</v>
      </c>
      <c r="Q2592">
        <v>0</v>
      </c>
      <c r="S2592">
        <v>29</v>
      </c>
      <c r="T2592">
        <v>1</v>
      </c>
      <c r="U2592">
        <v>4</v>
      </c>
      <c r="V2592">
        <v>74.47</v>
      </c>
      <c r="W2592">
        <v>13130002590</v>
      </c>
    </row>
    <row r="2593" spans="1:23" x14ac:dyDescent="0.2">
      <c r="A2593" s="1">
        <v>44783</v>
      </c>
      <c r="B2593" s="2">
        <v>0.65554398148148152</v>
      </c>
      <c r="C2593">
        <v>3591</v>
      </c>
      <c r="D2593">
        <v>13002561</v>
      </c>
      <c r="E2593">
        <v>13</v>
      </c>
      <c r="F2593">
        <v>22589</v>
      </c>
      <c r="G2593" t="s">
        <v>23</v>
      </c>
      <c r="H2593">
        <v>15</v>
      </c>
      <c r="I2593">
        <v>79569</v>
      </c>
      <c r="J2593" t="s">
        <v>78</v>
      </c>
      <c r="K2593" t="s">
        <v>45</v>
      </c>
      <c r="L2593" t="s">
        <v>34</v>
      </c>
      <c r="M2593">
        <v>3</v>
      </c>
      <c r="N2593">
        <v>348.65</v>
      </c>
      <c r="O2593">
        <v>476.25</v>
      </c>
      <c r="P2593">
        <v>23.81</v>
      </c>
      <c r="Q2593">
        <v>23.81</v>
      </c>
      <c r="R2593" t="s">
        <v>30</v>
      </c>
      <c r="S2593">
        <v>29</v>
      </c>
      <c r="T2593">
        <v>1</v>
      </c>
      <c r="U2593">
        <v>4</v>
      </c>
      <c r="V2593">
        <v>452.44</v>
      </c>
      <c r="W2593">
        <v>13130002591</v>
      </c>
    </row>
    <row r="2594" spans="1:23" x14ac:dyDescent="0.2">
      <c r="A2594" s="1">
        <v>44803</v>
      </c>
      <c r="B2594" s="2">
        <v>0.64682870370370371</v>
      </c>
      <c r="C2594">
        <v>3592</v>
      </c>
      <c r="D2594">
        <v>13002561</v>
      </c>
      <c r="E2594">
        <v>13</v>
      </c>
      <c r="F2594">
        <v>22589</v>
      </c>
      <c r="G2594" t="s">
        <v>23</v>
      </c>
      <c r="H2594">
        <v>15</v>
      </c>
      <c r="I2594">
        <v>54599</v>
      </c>
      <c r="J2594" t="s">
        <v>68</v>
      </c>
      <c r="K2594" t="s">
        <v>45</v>
      </c>
      <c r="L2594" t="s">
        <v>29</v>
      </c>
      <c r="M2594">
        <v>1</v>
      </c>
      <c r="N2594">
        <v>286.14999999999998</v>
      </c>
      <c r="O2594">
        <v>439.16</v>
      </c>
      <c r="P2594">
        <v>0</v>
      </c>
      <c r="Q2594">
        <v>0</v>
      </c>
      <c r="S2594">
        <v>29</v>
      </c>
      <c r="T2594">
        <v>1</v>
      </c>
      <c r="U2594">
        <v>6</v>
      </c>
      <c r="V2594">
        <v>439.16</v>
      </c>
      <c r="W2594">
        <v>13130002592</v>
      </c>
    </row>
    <row r="2595" spans="1:23" x14ac:dyDescent="0.2">
      <c r="A2595" s="1">
        <v>44797</v>
      </c>
      <c r="B2595" s="2">
        <v>0.91480324074074071</v>
      </c>
      <c r="C2595">
        <v>3593</v>
      </c>
      <c r="D2595">
        <v>13002561</v>
      </c>
      <c r="E2595">
        <v>13</v>
      </c>
      <c r="F2595">
        <v>22589</v>
      </c>
      <c r="G2595" t="s">
        <v>23</v>
      </c>
      <c r="H2595">
        <v>18</v>
      </c>
      <c r="I2595">
        <v>15642</v>
      </c>
      <c r="J2595" t="s">
        <v>65</v>
      </c>
      <c r="K2595" t="s">
        <v>44</v>
      </c>
      <c r="L2595" t="s">
        <v>39</v>
      </c>
      <c r="M2595">
        <v>2</v>
      </c>
      <c r="N2595">
        <v>213.87</v>
      </c>
      <c r="O2595">
        <v>320.60000000000002</v>
      </c>
      <c r="P2595">
        <v>32.06</v>
      </c>
      <c r="Q2595">
        <v>32.06</v>
      </c>
      <c r="R2595" t="s">
        <v>30</v>
      </c>
      <c r="S2595">
        <v>29</v>
      </c>
      <c r="T2595">
        <v>1</v>
      </c>
      <c r="U2595">
        <v>3</v>
      </c>
      <c r="V2595">
        <v>288.54000000000002</v>
      </c>
      <c r="W2595">
        <v>13130002593</v>
      </c>
    </row>
    <row r="2596" spans="1:23" x14ac:dyDescent="0.2">
      <c r="A2596" s="1">
        <v>44801</v>
      </c>
      <c r="B2596" s="2">
        <v>0.54471064814814818</v>
      </c>
      <c r="C2596">
        <v>3594</v>
      </c>
      <c r="D2596">
        <v>13002561</v>
      </c>
      <c r="E2596">
        <v>13</v>
      </c>
      <c r="F2596">
        <v>22589</v>
      </c>
      <c r="G2596" t="s">
        <v>23</v>
      </c>
      <c r="H2596">
        <v>15</v>
      </c>
      <c r="I2596">
        <v>22836</v>
      </c>
      <c r="J2596" t="s">
        <v>72</v>
      </c>
      <c r="K2596" t="s">
        <v>28</v>
      </c>
      <c r="L2596" t="s">
        <v>47</v>
      </c>
      <c r="M2596">
        <v>2</v>
      </c>
      <c r="N2596">
        <v>461.26</v>
      </c>
      <c r="O2596">
        <v>588.04</v>
      </c>
      <c r="P2596">
        <v>0</v>
      </c>
      <c r="Q2596">
        <v>0</v>
      </c>
      <c r="S2596">
        <v>29</v>
      </c>
      <c r="T2596">
        <v>1</v>
      </c>
      <c r="U2596">
        <v>1</v>
      </c>
      <c r="V2596">
        <v>588.04</v>
      </c>
      <c r="W2596">
        <v>13130002594</v>
      </c>
    </row>
    <row r="2597" spans="1:23" x14ac:dyDescent="0.2">
      <c r="A2597" s="1">
        <v>44782</v>
      </c>
      <c r="B2597" s="2">
        <v>0.54218750000000004</v>
      </c>
      <c r="C2597">
        <v>3595</v>
      </c>
      <c r="D2597">
        <v>13002561</v>
      </c>
      <c r="E2597">
        <v>13</v>
      </c>
      <c r="F2597">
        <v>22589</v>
      </c>
      <c r="G2597" t="s">
        <v>23</v>
      </c>
      <c r="H2597">
        <v>15</v>
      </c>
      <c r="I2597">
        <v>11106</v>
      </c>
      <c r="J2597" t="s">
        <v>96</v>
      </c>
      <c r="K2597" t="s">
        <v>28</v>
      </c>
      <c r="L2597" t="s">
        <v>36</v>
      </c>
      <c r="M2597">
        <v>2</v>
      </c>
      <c r="N2597">
        <v>191.32</v>
      </c>
      <c r="O2597">
        <v>303.77</v>
      </c>
      <c r="P2597">
        <v>15.19</v>
      </c>
      <c r="Q2597">
        <v>15.19</v>
      </c>
      <c r="R2597" t="s">
        <v>30</v>
      </c>
      <c r="S2597">
        <v>29</v>
      </c>
      <c r="T2597">
        <v>1</v>
      </c>
      <c r="U2597">
        <v>6</v>
      </c>
      <c r="V2597">
        <v>288.58</v>
      </c>
      <c r="W2597">
        <v>13130002595</v>
      </c>
    </row>
    <row r="2598" spans="1:23" x14ac:dyDescent="0.2">
      <c r="A2598" s="1">
        <v>44794</v>
      </c>
      <c r="B2598" s="2">
        <v>0.39809027777777778</v>
      </c>
      <c r="C2598">
        <v>3596</v>
      </c>
      <c r="D2598">
        <v>13002561</v>
      </c>
      <c r="E2598">
        <v>13</v>
      </c>
      <c r="F2598">
        <v>22589</v>
      </c>
      <c r="G2598" t="s">
        <v>23</v>
      </c>
      <c r="H2598">
        <v>18</v>
      </c>
      <c r="I2598">
        <v>69196</v>
      </c>
      <c r="J2598" t="s">
        <v>84</v>
      </c>
      <c r="K2598" t="s">
        <v>60</v>
      </c>
      <c r="L2598" t="s">
        <v>34</v>
      </c>
      <c r="M2598">
        <v>1</v>
      </c>
      <c r="N2598">
        <v>523.89</v>
      </c>
      <c r="O2598">
        <v>828.62</v>
      </c>
      <c r="P2598">
        <v>41.43</v>
      </c>
      <c r="Q2598">
        <v>41.43</v>
      </c>
      <c r="R2598" t="s">
        <v>30</v>
      </c>
      <c r="S2598">
        <v>29</v>
      </c>
      <c r="T2598">
        <v>1</v>
      </c>
      <c r="U2598">
        <v>6</v>
      </c>
      <c r="V2598">
        <v>787.19</v>
      </c>
      <c r="W2598">
        <v>13130002596</v>
      </c>
    </row>
    <row r="2599" spans="1:23" x14ac:dyDescent="0.2">
      <c r="A2599" s="1">
        <v>44799</v>
      </c>
      <c r="B2599" s="2">
        <v>0.36509259259259258</v>
      </c>
      <c r="C2599">
        <v>3597</v>
      </c>
      <c r="D2599">
        <v>13002561</v>
      </c>
      <c r="E2599">
        <v>13</v>
      </c>
      <c r="F2599">
        <v>22589</v>
      </c>
      <c r="G2599" t="s">
        <v>23</v>
      </c>
      <c r="H2599">
        <v>15</v>
      </c>
      <c r="I2599">
        <v>86405</v>
      </c>
      <c r="J2599" t="s">
        <v>117</v>
      </c>
      <c r="K2599" t="s">
        <v>60</v>
      </c>
      <c r="L2599" t="s">
        <v>29</v>
      </c>
      <c r="M2599">
        <v>2</v>
      </c>
      <c r="N2599">
        <v>106.48</v>
      </c>
      <c r="O2599">
        <v>156.49</v>
      </c>
      <c r="P2599">
        <v>15.65</v>
      </c>
      <c r="Q2599">
        <v>15.65</v>
      </c>
      <c r="R2599" t="s">
        <v>30</v>
      </c>
      <c r="S2599">
        <v>29</v>
      </c>
      <c r="T2599">
        <v>1</v>
      </c>
      <c r="U2599">
        <v>5</v>
      </c>
      <c r="V2599">
        <v>140.84</v>
      </c>
      <c r="W2599">
        <v>13130002597</v>
      </c>
    </row>
    <row r="2600" spans="1:23" x14ac:dyDescent="0.2">
      <c r="A2600" s="1">
        <v>44780</v>
      </c>
      <c r="B2600" s="2">
        <v>0.8962268518518518</v>
      </c>
      <c r="C2600">
        <v>3598</v>
      </c>
      <c r="D2600">
        <v>13002561</v>
      </c>
      <c r="E2600">
        <v>13</v>
      </c>
      <c r="F2600">
        <v>22589</v>
      </c>
      <c r="G2600" t="s">
        <v>23</v>
      </c>
      <c r="H2600">
        <v>15</v>
      </c>
      <c r="I2600">
        <v>34214</v>
      </c>
      <c r="J2600" t="s">
        <v>79</v>
      </c>
      <c r="K2600" t="s">
        <v>38</v>
      </c>
      <c r="L2600" t="s">
        <v>29</v>
      </c>
      <c r="M2600">
        <v>1</v>
      </c>
      <c r="N2600">
        <v>481.76</v>
      </c>
      <c r="O2600">
        <v>796.21</v>
      </c>
      <c r="P2600">
        <v>0</v>
      </c>
      <c r="Q2600">
        <v>0</v>
      </c>
      <c r="S2600">
        <v>29</v>
      </c>
      <c r="T2600">
        <v>1</v>
      </c>
      <c r="U2600">
        <v>2</v>
      </c>
      <c r="V2600">
        <v>796.21</v>
      </c>
      <c r="W2600">
        <v>13130002598</v>
      </c>
    </row>
    <row r="2601" spans="1:23" x14ac:dyDescent="0.2">
      <c r="A2601" s="1">
        <v>44793</v>
      </c>
      <c r="B2601" s="2">
        <v>0.77651620370370367</v>
      </c>
      <c r="C2601">
        <v>3599</v>
      </c>
      <c r="D2601">
        <v>13002561</v>
      </c>
      <c r="E2601">
        <v>13</v>
      </c>
      <c r="F2601">
        <v>22589</v>
      </c>
      <c r="G2601" t="s">
        <v>23</v>
      </c>
      <c r="H2601">
        <v>15</v>
      </c>
      <c r="I2601">
        <v>16358</v>
      </c>
      <c r="J2601" t="s">
        <v>53</v>
      </c>
      <c r="K2601" t="s">
        <v>44</v>
      </c>
      <c r="L2601" t="s">
        <v>34</v>
      </c>
      <c r="M2601">
        <v>3</v>
      </c>
      <c r="N2601">
        <v>223.65</v>
      </c>
      <c r="O2601">
        <v>298.87</v>
      </c>
      <c r="P2601">
        <v>29.89</v>
      </c>
      <c r="Q2601">
        <v>29.89</v>
      </c>
      <c r="R2601" t="s">
        <v>30</v>
      </c>
      <c r="S2601">
        <v>29</v>
      </c>
      <c r="T2601">
        <v>1</v>
      </c>
      <c r="U2601">
        <v>1</v>
      </c>
      <c r="V2601">
        <v>268.98</v>
      </c>
      <c r="W2601">
        <v>13130002599</v>
      </c>
    </row>
    <row r="2602" spans="1:23" x14ac:dyDescent="0.2">
      <c r="A2602" s="1">
        <v>44791</v>
      </c>
      <c r="B2602" s="2">
        <v>0.58528935185185182</v>
      </c>
      <c r="C2602">
        <v>3600</v>
      </c>
      <c r="D2602">
        <v>13002561</v>
      </c>
      <c r="E2602">
        <v>13</v>
      </c>
      <c r="F2602">
        <v>22589</v>
      </c>
      <c r="G2602" t="s">
        <v>23</v>
      </c>
      <c r="H2602">
        <v>15</v>
      </c>
      <c r="I2602">
        <v>82453</v>
      </c>
      <c r="J2602" t="s">
        <v>48</v>
      </c>
      <c r="K2602" t="s">
        <v>60</v>
      </c>
      <c r="L2602" t="s">
        <v>26</v>
      </c>
      <c r="M2602">
        <v>2</v>
      </c>
      <c r="N2602">
        <v>276.93</v>
      </c>
      <c r="O2602">
        <v>426.36</v>
      </c>
      <c r="P2602">
        <v>21.32</v>
      </c>
      <c r="Q2602">
        <v>21.32</v>
      </c>
      <c r="R2602" t="s">
        <v>30</v>
      </c>
      <c r="S2602">
        <v>29</v>
      </c>
      <c r="T2602">
        <v>1</v>
      </c>
      <c r="U2602">
        <v>4</v>
      </c>
      <c r="V2602">
        <v>405.04</v>
      </c>
      <c r="W2602">
        <v>13130002600</v>
      </c>
    </row>
    <row r="2603" spans="1:23" x14ac:dyDescent="0.2">
      <c r="A2603" s="1">
        <v>44791</v>
      </c>
      <c r="B2603" s="2">
        <v>0.88710648148148152</v>
      </c>
      <c r="C2603">
        <v>3601</v>
      </c>
      <c r="D2603">
        <v>13002561</v>
      </c>
      <c r="E2603">
        <v>13</v>
      </c>
      <c r="F2603">
        <v>22589</v>
      </c>
      <c r="G2603" t="s">
        <v>23</v>
      </c>
      <c r="H2603">
        <v>18</v>
      </c>
      <c r="I2603">
        <v>50710</v>
      </c>
      <c r="J2603" t="s">
        <v>66</v>
      </c>
      <c r="K2603" t="s">
        <v>38</v>
      </c>
      <c r="L2603" t="s">
        <v>51</v>
      </c>
      <c r="M2603">
        <v>3</v>
      </c>
      <c r="N2603">
        <v>513.05999999999995</v>
      </c>
      <c r="O2603">
        <v>650.19000000000005</v>
      </c>
      <c r="P2603">
        <v>32.51</v>
      </c>
      <c r="Q2603">
        <v>32.51</v>
      </c>
      <c r="R2603" t="s">
        <v>30</v>
      </c>
      <c r="S2603">
        <v>29</v>
      </c>
      <c r="T2603">
        <v>1</v>
      </c>
      <c r="U2603">
        <v>1</v>
      </c>
      <c r="V2603">
        <v>617.67999999999995</v>
      </c>
      <c r="W2603">
        <v>13130002601</v>
      </c>
    </row>
    <row r="2604" spans="1:23" x14ac:dyDescent="0.2">
      <c r="A2604" s="1">
        <v>44780</v>
      </c>
      <c r="B2604" s="2">
        <v>0.80960648148148151</v>
      </c>
      <c r="C2604">
        <v>3602</v>
      </c>
      <c r="D2604">
        <v>13002561</v>
      </c>
      <c r="E2604">
        <v>13</v>
      </c>
      <c r="F2604">
        <v>22589</v>
      </c>
      <c r="G2604" t="s">
        <v>23</v>
      </c>
      <c r="H2604">
        <v>18</v>
      </c>
      <c r="I2604">
        <v>93841</v>
      </c>
      <c r="J2604" t="s">
        <v>98</v>
      </c>
      <c r="K2604" t="s">
        <v>60</v>
      </c>
      <c r="L2604" t="s">
        <v>47</v>
      </c>
      <c r="M2604">
        <v>2</v>
      </c>
      <c r="N2604">
        <v>275.38</v>
      </c>
      <c r="O2604">
        <v>464.49</v>
      </c>
      <c r="P2604">
        <v>23.22</v>
      </c>
      <c r="Q2604">
        <v>23.22</v>
      </c>
      <c r="R2604" t="s">
        <v>30</v>
      </c>
      <c r="S2604">
        <v>29</v>
      </c>
      <c r="T2604">
        <v>1</v>
      </c>
      <c r="U2604">
        <v>4</v>
      </c>
      <c r="V2604">
        <v>441.27</v>
      </c>
      <c r="W2604">
        <v>13130002602</v>
      </c>
    </row>
    <row r="2605" spans="1:23" x14ac:dyDescent="0.2">
      <c r="A2605" s="1">
        <v>44793</v>
      </c>
      <c r="B2605" s="2">
        <v>0.70960648148148153</v>
      </c>
      <c r="C2605">
        <v>3603</v>
      </c>
      <c r="D2605">
        <v>13002561</v>
      </c>
      <c r="E2605">
        <v>13</v>
      </c>
      <c r="F2605">
        <v>22589</v>
      </c>
      <c r="G2605" t="s">
        <v>23</v>
      </c>
      <c r="H2605">
        <v>18</v>
      </c>
      <c r="I2605">
        <v>65178</v>
      </c>
      <c r="J2605" t="s">
        <v>98</v>
      </c>
      <c r="K2605" t="s">
        <v>44</v>
      </c>
      <c r="L2605" t="s">
        <v>39</v>
      </c>
      <c r="M2605">
        <v>3</v>
      </c>
      <c r="N2605">
        <v>539.35</v>
      </c>
      <c r="O2605">
        <v>812.63</v>
      </c>
      <c r="P2605">
        <v>81.260000000000005</v>
      </c>
      <c r="Q2605">
        <v>81.260000000000005</v>
      </c>
      <c r="R2605" t="s">
        <v>30</v>
      </c>
      <c r="S2605">
        <v>29</v>
      </c>
      <c r="T2605">
        <v>1</v>
      </c>
      <c r="U2605">
        <v>3</v>
      </c>
      <c r="V2605">
        <v>731.37</v>
      </c>
      <c r="W2605">
        <v>13130002603</v>
      </c>
    </row>
    <row r="2606" spans="1:23" x14ac:dyDescent="0.2">
      <c r="A2606" s="1">
        <v>44785</v>
      </c>
      <c r="B2606" s="2">
        <v>0.84924768518518523</v>
      </c>
      <c r="C2606">
        <v>3604</v>
      </c>
      <c r="D2606">
        <v>13002561</v>
      </c>
      <c r="E2606">
        <v>13</v>
      </c>
      <c r="F2606">
        <v>22589</v>
      </c>
      <c r="G2606" t="s">
        <v>23</v>
      </c>
      <c r="H2606">
        <v>18</v>
      </c>
      <c r="I2606">
        <v>26976</v>
      </c>
      <c r="J2606" t="s">
        <v>41</v>
      </c>
      <c r="K2606" t="s">
        <v>38</v>
      </c>
      <c r="L2606" t="s">
        <v>47</v>
      </c>
      <c r="M2606">
        <v>3</v>
      </c>
      <c r="N2606">
        <v>506.9</v>
      </c>
      <c r="O2606">
        <v>728.1</v>
      </c>
      <c r="P2606">
        <v>72.81</v>
      </c>
      <c r="Q2606">
        <v>72.81</v>
      </c>
      <c r="R2606" t="s">
        <v>30</v>
      </c>
      <c r="S2606">
        <v>29</v>
      </c>
      <c r="T2606">
        <v>1</v>
      </c>
      <c r="U2606">
        <v>1</v>
      </c>
      <c r="V2606">
        <v>655.29</v>
      </c>
      <c r="W2606">
        <v>13130002604</v>
      </c>
    </row>
    <row r="2607" spans="1:23" x14ac:dyDescent="0.2">
      <c r="A2607" s="1">
        <v>44798</v>
      </c>
      <c r="B2607" s="2">
        <v>0.54412037037037042</v>
      </c>
      <c r="C2607">
        <v>3605</v>
      </c>
      <c r="D2607">
        <v>13002561</v>
      </c>
      <c r="E2607">
        <v>13</v>
      </c>
      <c r="F2607">
        <v>22589</v>
      </c>
      <c r="G2607" t="s">
        <v>23</v>
      </c>
      <c r="H2607">
        <v>18</v>
      </c>
      <c r="I2607">
        <v>77622</v>
      </c>
      <c r="J2607" t="s">
        <v>78</v>
      </c>
      <c r="K2607" t="s">
        <v>44</v>
      </c>
      <c r="L2607" t="s">
        <v>47</v>
      </c>
      <c r="M2607">
        <v>3</v>
      </c>
      <c r="N2607">
        <v>373.29</v>
      </c>
      <c r="O2607">
        <v>508.92</v>
      </c>
      <c r="P2607">
        <v>0</v>
      </c>
      <c r="Q2607">
        <v>0</v>
      </c>
      <c r="S2607">
        <v>29</v>
      </c>
      <c r="T2607">
        <v>1</v>
      </c>
      <c r="U2607">
        <v>5</v>
      </c>
      <c r="V2607">
        <v>508.92</v>
      </c>
      <c r="W2607">
        <v>13130002605</v>
      </c>
    </row>
    <row r="2608" spans="1:23" x14ac:dyDescent="0.2">
      <c r="A2608" s="1">
        <v>44799</v>
      </c>
      <c r="B2608" s="2">
        <v>0.39908564814814818</v>
      </c>
      <c r="C2608">
        <v>3606</v>
      </c>
      <c r="D2608">
        <v>13002561</v>
      </c>
      <c r="E2608">
        <v>13</v>
      </c>
      <c r="F2608">
        <v>22589</v>
      </c>
      <c r="G2608" t="s">
        <v>23</v>
      </c>
      <c r="H2608">
        <v>18</v>
      </c>
      <c r="I2608">
        <v>51004</v>
      </c>
      <c r="J2608" t="s">
        <v>116</v>
      </c>
      <c r="K2608" t="s">
        <v>25</v>
      </c>
      <c r="L2608" t="s">
        <v>32</v>
      </c>
      <c r="M2608">
        <v>3</v>
      </c>
      <c r="N2608">
        <v>328.32</v>
      </c>
      <c r="O2608">
        <v>430.64</v>
      </c>
      <c r="P2608">
        <v>43.06</v>
      </c>
      <c r="Q2608">
        <v>43.06</v>
      </c>
      <c r="R2608" t="s">
        <v>30</v>
      </c>
      <c r="S2608">
        <v>29</v>
      </c>
      <c r="T2608">
        <v>1</v>
      </c>
      <c r="U2608">
        <v>4</v>
      </c>
      <c r="V2608">
        <v>387.58</v>
      </c>
      <c r="W2608">
        <v>13130002606</v>
      </c>
    </row>
    <row r="2609" spans="1:23" x14ac:dyDescent="0.2">
      <c r="A2609" s="1">
        <v>44784</v>
      </c>
      <c r="B2609" s="2">
        <v>0.48922453703703711</v>
      </c>
      <c r="C2609">
        <v>3607</v>
      </c>
      <c r="D2609">
        <v>13002561</v>
      </c>
      <c r="E2609">
        <v>13</v>
      </c>
      <c r="F2609">
        <v>22589</v>
      </c>
      <c r="G2609" t="s">
        <v>23</v>
      </c>
      <c r="H2609">
        <v>18</v>
      </c>
      <c r="I2609">
        <v>52715</v>
      </c>
      <c r="J2609" t="s">
        <v>97</v>
      </c>
      <c r="K2609" t="s">
        <v>44</v>
      </c>
      <c r="L2609" t="s">
        <v>36</v>
      </c>
      <c r="M2609">
        <v>1</v>
      </c>
      <c r="N2609">
        <v>485.57</v>
      </c>
      <c r="O2609">
        <v>761.55</v>
      </c>
      <c r="P2609">
        <v>76.16</v>
      </c>
      <c r="Q2609">
        <v>76.16</v>
      </c>
      <c r="R2609" t="s">
        <v>30</v>
      </c>
      <c r="S2609">
        <v>29</v>
      </c>
      <c r="T2609">
        <v>1</v>
      </c>
      <c r="U2609">
        <v>6</v>
      </c>
      <c r="V2609">
        <v>685.39</v>
      </c>
      <c r="W2609">
        <v>13130002607</v>
      </c>
    </row>
    <row r="2610" spans="1:23" x14ac:dyDescent="0.2">
      <c r="A2610" s="1">
        <v>44787</v>
      </c>
      <c r="B2610" s="2">
        <v>0.34328703703703711</v>
      </c>
      <c r="C2610">
        <v>3608</v>
      </c>
      <c r="D2610">
        <v>13002561</v>
      </c>
      <c r="E2610">
        <v>13</v>
      </c>
      <c r="F2610">
        <v>22589</v>
      </c>
      <c r="G2610" t="s">
        <v>23</v>
      </c>
      <c r="H2610">
        <v>18</v>
      </c>
      <c r="I2610">
        <v>94060</v>
      </c>
      <c r="J2610" t="s">
        <v>73</v>
      </c>
      <c r="K2610" t="s">
        <v>60</v>
      </c>
      <c r="L2610" t="s">
        <v>34</v>
      </c>
      <c r="M2610">
        <v>3</v>
      </c>
      <c r="N2610">
        <v>251.04</v>
      </c>
      <c r="O2610">
        <v>378.88</v>
      </c>
      <c r="P2610">
        <v>18.940000000000001</v>
      </c>
      <c r="Q2610">
        <v>18.940000000000001</v>
      </c>
      <c r="R2610" t="s">
        <v>30</v>
      </c>
      <c r="S2610">
        <v>29</v>
      </c>
      <c r="T2610">
        <v>1</v>
      </c>
      <c r="U2610">
        <v>3</v>
      </c>
      <c r="V2610">
        <v>359.94</v>
      </c>
      <c r="W2610">
        <v>13130002608</v>
      </c>
    </row>
    <row r="2611" spans="1:23" x14ac:dyDescent="0.2">
      <c r="A2611" s="1">
        <v>44791</v>
      </c>
      <c r="B2611" s="2">
        <v>0.4911226851851852</v>
      </c>
      <c r="C2611">
        <v>3609</v>
      </c>
      <c r="D2611">
        <v>13002561</v>
      </c>
      <c r="E2611">
        <v>13</v>
      </c>
      <c r="F2611">
        <v>22589</v>
      </c>
      <c r="G2611" t="s">
        <v>23</v>
      </c>
      <c r="H2611">
        <v>15</v>
      </c>
      <c r="I2611">
        <v>93806</v>
      </c>
      <c r="J2611" t="s">
        <v>110</v>
      </c>
      <c r="K2611" t="s">
        <v>60</v>
      </c>
      <c r="L2611" t="s">
        <v>36</v>
      </c>
      <c r="M2611">
        <v>3</v>
      </c>
      <c r="N2611">
        <v>460.9</v>
      </c>
      <c r="O2611">
        <v>729.74</v>
      </c>
      <c r="P2611">
        <v>0</v>
      </c>
      <c r="Q2611">
        <v>0</v>
      </c>
      <c r="S2611">
        <v>29</v>
      </c>
      <c r="T2611">
        <v>1</v>
      </c>
      <c r="U2611">
        <v>6</v>
      </c>
      <c r="V2611">
        <v>729.74</v>
      </c>
      <c r="W2611">
        <v>13130002609</v>
      </c>
    </row>
    <row r="2612" spans="1:23" x14ac:dyDescent="0.2">
      <c r="A2612" s="1">
        <v>44783</v>
      </c>
      <c r="B2612" s="2">
        <v>0.46111111111111108</v>
      </c>
      <c r="C2612">
        <v>3610</v>
      </c>
      <c r="D2612">
        <v>13002561</v>
      </c>
      <c r="E2612">
        <v>13</v>
      </c>
      <c r="F2612">
        <v>22589</v>
      </c>
      <c r="G2612" t="s">
        <v>23</v>
      </c>
      <c r="H2612">
        <v>18</v>
      </c>
      <c r="I2612">
        <v>17021</v>
      </c>
      <c r="J2612" t="s">
        <v>76</v>
      </c>
      <c r="K2612" t="s">
        <v>28</v>
      </c>
      <c r="L2612" t="s">
        <v>32</v>
      </c>
      <c r="M2612">
        <v>1</v>
      </c>
      <c r="N2612">
        <v>313.60000000000002</v>
      </c>
      <c r="O2612">
        <v>452.54</v>
      </c>
      <c r="P2612">
        <v>22.63</v>
      </c>
      <c r="Q2612">
        <v>22.63</v>
      </c>
      <c r="R2612" t="s">
        <v>30</v>
      </c>
      <c r="S2612">
        <v>29</v>
      </c>
      <c r="T2612">
        <v>1</v>
      </c>
      <c r="U2612">
        <v>1</v>
      </c>
      <c r="V2612">
        <v>429.91</v>
      </c>
      <c r="W2612">
        <v>13130002610</v>
      </c>
    </row>
    <row r="2613" spans="1:23" x14ac:dyDescent="0.2">
      <c r="A2613" s="1">
        <v>44779</v>
      </c>
      <c r="B2613" s="2">
        <v>0.60234953703703709</v>
      </c>
      <c r="C2613">
        <v>3611</v>
      </c>
      <c r="D2613">
        <v>13002561</v>
      </c>
      <c r="E2613">
        <v>13</v>
      </c>
      <c r="F2613">
        <v>22589</v>
      </c>
      <c r="G2613" t="s">
        <v>23</v>
      </c>
      <c r="H2613">
        <v>15</v>
      </c>
      <c r="I2613">
        <v>99628</v>
      </c>
      <c r="J2613" t="s">
        <v>95</v>
      </c>
      <c r="K2613" t="s">
        <v>28</v>
      </c>
      <c r="L2613" t="s">
        <v>47</v>
      </c>
      <c r="M2613">
        <v>1</v>
      </c>
      <c r="N2613">
        <v>115.78</v>
      </c>
      <c r="O2613">
        <v>169.14</v>
      </c>
      <c r="P2613">
        <v>0</v>
      </c>
      <c r="Q2613">
        <v>0</v>
      </c>
      <c r="S2613">
        <v>29</v>
      </c>
      <c r="T2613">
        <v>1</v>
      </c>
      <c r="U2613">
        <v>4</v>
      </c>
      <c r="V2613">
        <v>169.14</v>
      </c>
      <c r="W2613">
        <v>13130002611</v>
      </c>
    </row>
    <row r="2614" spans="1:23" x14ac:dyDescent="0.2">
      <c r="A2614" s="1">
        <v>44793</v>
      </c>
      <c r="B2614" s="2">
        <v>0.59667824074074072</v>
      </c>
      <c r="C2614">
        <v>3612</v>
      </c>
      <c r="D2614">
        <v>13002561</v>
      </c>
      <c r="E2614">
        <v>13</v>
      </c>
      <c r="F2614">
        <v>22589</v>
      </c>
      <c r="G2614" t="s">
        <v>23</v>
      </c>
      <c r="H2614">
        <v>18</v>
      </c>
      <c r="I2614">
        <v>53124</v>
      </c>
      <c r="J2614" t="s">
        <v>56</v>
      </c>
      <c r="K2614" t="s">
        <v>25</v>
      </c>
      <c r="L2614" t="s">
        <v>39</v>
      </c>
      <c r="M2614">
        <v>2</v>
      </c>
      <c r="N2614">
        <v>89.8</v>
      </c>
      <c r="O2614">
        <v>120.74</v>
      </c>
      <c r="P2614">
        <v>6.04</v>
      </c>
      <c r="Q2614">
        <v>6.04</v>
      </c>
      <c r="R2614" t="s">
        <v>30</v>
      </c>
      <c r="S2614">
        <v>29</v>
      </c>
      <c r="T2614">
        <v>1</v>
      </c>
      <c r="U2614">
        <v>2</v>
      </c>
      <c r="V2614">
        <v>114.7</v>
      </c>
      <c r="W2614">
        <v>13130002612</v>
      </c>
    </row>
    <row r="2615" spans="1:23" x14ac:dyDescent="0.2">
      <c r="A2615" s="1">
        <v>44788</v>
      </c>
      <c r="B2615" s="2">
        <v>0.6534375</v>
      </c>
      <c r="C2615">
        <v>3613</v>
      </c>
      <c r="D2615">
        <v>13002561</v>
      </c>
      <c r="E2615">
        <v>13</v>
      </c>
      <c r="F2615">
        <v>22589</v>
      </c>
      <c r="G2615" t="s">
        <v>23</v>
      </c>
      <c r="H2615">
        <v>15</v>
      </c>
      <c r="I2615">
        <v>76807</v>
      </c>
      <c r="J2615" t="s">
        <v>81</v>
      </c>
      <c r="K2615" t="s">
        <v>44</v>
      </c>
      <c r="L2615" t="s">
        <v>39</v>
      </c>
      <c r="M2615">
        <v>3</v>
      </c>
      <c r="N2615">
        <v>370.87</v>
      </c>
      <c r="O2615">
        <v>511.92</v>
      </c>
      <c r="P2615">
        <v>51.19</v>
      </c>
      <c r="Q2615">
        <v>51.19</v>
      </c>
      <c r="R2615" t="s">
        <v>30</v>
      </c>
      <c r="S2615">
        <v>29</v>
      </c>
      <c r="T2615">
        <v>1</v>
      </c>
      <c r="U2615">
        <v>2</v>
      </c>
      <c r="V2615">
        <v>460.73</v>
      </c>
      <c r="W2615">
        <v>13130002613</v>
      </c>
    </row>
    <row r="2616" spans="1:23" x14ac:dyDescent="0.2">
      <c r="A2616" s="1">
        <v>44797</v>
      </c>
      <c r="B2616" s="2">
        <v>0.81473379629629628</v>
      </c>
      <c r="C2616">
        <v>3614</v>
      </c>
      <c r="D2616">
        <v>13002561</v>
      </c>
      <c r="E2616">
        <v>13</v>
      </c>
      <c r="F2616">
        <v>22589</v>
      </c>
      <c r="G2616" t="s">
        <v>23</v>
      </c>
      <c r="H2616">
        <v>18</v>
      </c>
      <c r="I2616">
        <v>17919</v>
      </c>
      <c r="J2616" t="s">
        <v>52</v>
      </c>
      <c r="K2616" t="s">
        <v>28</v>
      </c>
      <c r="L2616" t="s">
        <v>51</v>
      </c>
      <c r="M2616">
        <v>2</v>
      </c>
      <c r="N2616">
        <v>543.09</v>
      </c>
      <c r="O2616">
        <v>901.78</v>
      </c>
      <c r="P2616">
        <v>90.18</v>
      </c>
      <c r="Q2616">
        <v>90.18</v>
      </c>
      <c r="R2616" t="s">
        <v>30</v>
      </c>
      <c r="S2616">
        <v>29</v>
      </c>
      <c r="T2616">
        <v>1</v>
      </c>
      <c r="U2616">
        <v>5</v>
      </c>
      <c r="V2616">
        <v>811.6</v>
      </c>
      <c r="W2616">
        <v>13130002614</v>
      </c>
    </row>
    <row r="2617" spans="1:23" x14ac:dyDescent="0.2">
      <c r="A2617" s="1">
        <v>44788</v>
      </c>
      <c r="B2617" s="2">
        <v>0.60187500000000005</v>
      </c>
      <c r="C2617">
        <v>3615</v>
      </c>
      <c r="D2617">
        <v>13002561</v>
      </c>
      <c r="E2617">
        <v>13</v>
      </c>
      <c r="F2617">
        <v>22589</v>
      </c>
      <c r="G2617" t="s">
        <v>23</v>
      </c>
      <c r="H2617">
        <v>15</v>
      </c>
      <c r="I2617">
        <v>86324</v>
      </c>
      <c r="J2617" t="s">
        <v>59</v>
      </c>
      <c r="K2617" t="s">
        <v>44</v>
      </c>
      <c r="L2617" t="s">
        <v>29</v>
      </c>
      <c r="M2617">
        <v>2</v>
      </c>
      <c r="N2617">
        <v>301.23</v>
      </c>
      <c r="O2617">
        <v>461.57</v>
      </c>
      <c r="P2617">
        <v>0</v>
      </c>
      <c r="Q2617">
        <v>0</v>
      </c>
      <c r="S2617">
        <v>29</v>
      </c>
      <c r="T2617">
        <v>1</v>
      </c>
      <c r="U2617">
        <v>5</v>
      </c>
      <c r="V2617">
        <v>461.57</v>
      </c>
      <c r="W2617">
        <v>13130002615</v>
      </c>
    </row>
    <row r="2618" spans="1:23" x14ac:dyDescent="0.2">
      <c r="A2618" s="1">
        <v>44801</v>
      </c>
      <c r="B2618" s="2">
        <v>0.4887037037037037</v>
      </c>
      <c r="C2618">
        <v>3616</v>
      </c>
      <c r="D2618">
        <v>13002561</v>
      </c>
      <c r="E2618">
        <v>13</v>
      </c>
      <c r="F2618">
        <v>22589</v>
      </c>
      <c r="G2618" t="s">
        <v>23</v>
      </c>
      <c r="H2618">
        <v>15</v>
      </c>
      <c r="I2618">
        <v>20177</v>
      </c>
      <c r="J2618" t="s">
        <v>83</v>
      </c>
      <c r="K2618" t="s">
        <v>45</v>
      </c>
      <c r="L2618" t="s">
        <v>26</v>
      </c>
      <c r="M2618">
        <v>1</v>
      </c>
      <c r="N2618">
        <v>55.98</v>
      </c>
      <c r="O2618">
        <v>70.3</v>
      </c>
      <c r="P2618">
        <v>3.52</v>
      </c>
      <c r="Q2618">
        <v>3.52</v>
      </c>
      <c r="R2618" t="s">
        <v>30</v>
      </c>
      <c r="S2618">
        <v>29</v>
      </c>
      <c r="T2618">
        <v>1</v>
      </c>
      <c r="U2618">
        <v>6</v>
      </c>
      <c r="V2618">
        <v>66.78</v>
      </c>
      <c r="W2618">
        <v>13130002616</v>
      </c>
    </row>
    <row r="2619" spans="1:23" x14ac:dyDescent="0.2">
      <c r="A2619" s="1">
        <v>44803</v>
      </c>
      <c r="B2619" s="2">
        <v>0.47077546296296302</v>
      </c>
      <c r="C2619">
        <v>3617</v>
      </c>
      <c r="D2619">
        <v>13002561</v>
      </c>
      <c r="E2619">
        <v>13</v>
      </c>
      <c r="F2619">
        <v>22589</v>
      </c>
      <c r="G2619" t="s">
        <v>23</v>
      </c>
      <c r="H2619">
        <v>18</v>
      </c>
      <c r="I2619">
        <v>64212</v>
      </c>
      <c r="J2619" t="s">
        <v>82</v>
      </c>
      <c r="K2619" t="s">
        <v>45</v>
      </c>
      <c r="L2619" t="s">
        <v>26</v>
      </c>
      <c r="M2619">
        <v>1</v>
      </c>
      <c r="N2619">
        <v>12.6</v>
      </c>
      <c r="O2619">
        <v>16.63</v>
      </c>
      <c r="P2619">
        <v>1.66</v>
      </c>
      <c r="Q2619">
        <v>1.66</v>
      </c>
      <c r="R2619" t="s">
        <v>30</v>
      </c>
      <c r="S2619">
        <v>29</v>
      </c>
      <c r="T2619">
        <v>1</v>
      </c>
      <c r="U2619">
        <v>5</v>
      </c>
      <c r="V2619">
        <v>14.97</v>
      </c>
      <c r="W2619">
        <v>13130002617</v>
      </c>
    </row>
    <row r="2620" spans="1:23" x14ac:dyDescent="0.2">
      <c r="A2620" s="1">
        <v>44792</v>
      </c>
      <c r="B2620" s="2">
        <v>0.91638888888888892</v>
      </c>
      <c r="C2620">
        <v>3618</v>
      </c>
      <c r="D2620">
        <v>13002561</v>
      </c>
      <c r="E2620">
        <v>13</v>
      </c>
      <c r="F2620">
        <v>22589</v>
      </c>
      <c r="G2620" t="s">
        <v>23</v>
      </c>
      <c r="H2620">
        <v>15</v>
      </c>
      <c r="I2620">
        <v>15684</v>
      </c>
      <c r="J2620" t="s">
        <v>91</v>
      </c>
      <c r="K2620" t="s">
        <v>25</v>
      </c>
      <c r="L2620" t="s">
        <v>39</v>
      </c>
      <c r="M2620">
        <v>2</v>
      </c>
      <c r="N2620">
        <v>343.74</v>
      </c>
      <c r="O2620">
        <v>516.6</v>
      </c>
      <c r="P2620">
        <v>51.66</v>
      </c>
      <c r="Q2620">
        <v>51.66</v>
      </c>
      <c r="R2620" t="s">
        <v>30</v>
      </c>
      <c r="S2620">
        <v>29</v>
      </c>
      <c r="T2620">
        <v>1</v>
      </c>
      <c r="U2620">
        <v>2</v>
      </c>
      <c r="V2620">
        <v>464.94</v>
      </c>
      <c r="W2620">
        <v>13130002618</v>
      </c>
    </row>
    <row r="2621" spans="1:23" x14ac:dyDescent="0.2">
      <c r="A2621" s="1">
        <v>44804</v>
      </c>
      <c r="B2621" s="2">
        <v>0.93179398148148151</v>
      </c>
      <c r="C2621">
        <v>3619</v>
      </c>
      <c r="D2621">
        <v>13002561</v>
      </c>
      <c r="E2621">
        <v>13</v>
      </c>
      <c r="F2621">
        <v>22589</v>
      </c>
      <c r="G2621" t="s">
        <v>23</v>
      </c>
      <c r="H2621">
        <v>15</v>
      </c>
      <c r="I2621">
        <v>52406</v>
      </c>
      <c r="J2621" t="s">
        <v>99</v>
      </c>
      <c r="K2621" t="s">
        <v>25</v>
      </c>
      <c r="L2621" t="s">
        <v>51</v>
      </c>
      <c r="M2621">
        <v>1</v>
      </c>
      <c r="N2621">
        <v>265.5</v>
      </c>
      <c r="O2621">
        <v>439.58</v>
      </c>
      <c r="P2621">
        <v>0</v>
      </c>
      <c r="Q2621">
        <v>0</v>
      </c>
      <c r="S2621">
        <v>29</v>
      </c>
      <c r="T2621">
        <v>1</v>
      </c>
      <c r="U2621">
        <v>5</v>
      </c>
      <c r="V2621">
        <v>439.58</v>
      </c>
      <c r="W2621">
        <v>13130002619</v>
      </c>
    </row>
    <row r="2622" spans="1:23" x14ac:dyDescent="0.2">
      <c r="A2622" s="1">
        <v>44800</v>
      </c>
      <c r="B2622" s="2">
        <v>0.37892361111111111</v>
      </c>
      <c r="C2622">
        <v>3620</v>
      </c>
      <c r="D2622">
        <v>13002561</v>
      </c>
      <c r="E2622">
        <v>13</v>
      </c>
      <c r="F2622">
        <v>22589</v>
      </c>
      <c r="G2622" t="s">
        <v>23</v>
      </c>
      <c r="H2622">
        <v>15</v>
      </c>
      <c r="I2622">
        <v>42168</v>
      </c>
      <c r="J2622" t="s">
        <v>114</v>
      </c>
      <c r="K2622" t="s">
        <v>25</v>
      </c>
      <c r="L2622" t="s">
        <v>34</v>
      </c>
      <c r="M2622">
        <v>2</v>
      </c>
      <c r="N2622">
        <v>112.55</v>
      </c>
      <c r="O2622">
        <v>165.96</v>
      </c>
      <c r="P2622">
        <v>16.600000000000001</v>
      </c>
      <c r="Q2622">
        <v>16.600000000000001</v>
      </c>
      <c r="R2622" t="s">
        <v>30</v>
      </c>
      <c r="S2622">
        <v>29</v>
      </c>
      <c r="T2622">
        <v>1</v>
      </c>
      <c r="U2622">
        <v>5</v>
      </c>
      <c r="V2622">
        <v>149.36000000000001</v>
      </c>
      <c r="W2622">
        <v>13130002620</v>
      </c>
    </row>
    <row r="2623" spans="1:23" x14ac:dyDescent="0.2">
      <c r="A2623" s="1">
        <v>44804</v>
      </c>
      <c r="B2623" s="2">
        <v>0.62820601851851854</v>
      </c>
      <c r="C2623">
        <v>3621</v>
      </c>
      <c r="D2623">
        <v>13002561</v>
      </c>
      <c r="E2623">
        <v>13</v>
      </c>
      <c r="F2623">
        <v>22589</v>
      </c>
      <c r="G2623" t="s">
        <v>23</v>
      </c>
      <c r="H2623">
        <v>18</v>
      </c>
      <c r="I2623">
        <v>99071</v>
      </c>
      <c r="J2623" t="s">
        <v>98</v>
      </c>
      <c r="K2623" t="s">
        <v>28</v>
      </c>
      <c r="L2623" t="s">
        <v>47</v>
      </c>
      <c r="M2623">
        <v>1</v>
      </c>
      <c r="N2623">
        <v>501.96</v>
      </c>
      <c r="O2623">
        <v>787.51</v>
      </c>
      <c r="P2623">
        <v>0</v>
      </c>
      <c r="Q2623">
        <v>0</v>
      </c>
      <c r="S2623">
        <v>29</v>
      </c>
      <c r="T2623">
        <v>1</v>
      </c>
      <c r="U2623">
        <v>3</v>
      </c>
      <c r="V2623">
        <v>787.51</v>
      </c>
      <c r="W2623">
        <v>13130002621</v>
      </c>
    </row>
    <row r="2624" spans="1:23" x14ac:dyDescent="0.2">
      <c r="A2624" s="1">
        <v>44787</v>
      </c>
      <c r="B2624" s="2">
        <v>0.89480324074074069</v>
      </c>
      <c r="C2624">
        <v>3622</v>
      </c>
      <c r="D2624">
        <v>13002561</v>
      </c>
      <c r="E2624">
        <v>13</v>
      </c>
      <c r="F2624">
        <v>22589</v>
      </c>
      <c r="G2624" t="s">
        <v>23</v>
      </c>
      <c r="H2624">
        <v>15</v>
      </c>
      <c r="I2624">
        <v>44719</v>
      </c>
      <c r="J2624" t="s">
        <v>127</v>
      </c>
      <c r="K2624" t="s">
        <v>60</v>
      </c>
      <c r="L2624" t="s">
        <v>34</v>
      </c>
      <c r="M2624">
        <v>1</v>
      </c>
      <c r="N2624">
        <v>276.95999999999998</v>
      </c>
      <c r="O2624">
        <v>427.65</v>
      </c>
      <c r="P2624">
        <v>42.77</v>
      </c>
      <c r="Q2624">
        <v>42.77</v>
      </c>
      <c r="R2624" t="s">
        <v>30</v>
      </c>
      <c r="S2624">
        <v>29</v>
      </c>
      <c r="T2624">
        <v>1</v>
      </c>
      <c r="U2624">
        <v>4</v>
      </c>
      <c r="V2624">
        <v>384.88</v>
      </c>
      <c r="W2624">
        <v>13130002622</v>
      </c>
    </row>
    <row r="2625" spans="1:23" x14ac:dyDescent="0.2">
      <c r="A2625" s="1">
        <v>44790</v>
      </c>
      <c r="B2625" s="2">
        <v>0.82414351851851853</v>
      </c>
      <c r="C2625">
        <v>3623</v>
      </c>
      <c r="D2625">
        <v>13002561</v>
      </c>
      <c r="E2625">
        <v>13</v>
      </c>
      <c r="F2625">
        <v>22589</v>
      </c>
      <c r="G2625" t="s">
        <v>23</v>
      </c>
      <c r="H2625">
        <v>15</v>
      </c>
      <c r="I2625">
        <v>22759</v>
      </c>
      <c r="J2625" t="s">
        <v>117</v>
      </c>
      <c r="K2625" t="s">
        <v>60</v>
      </c>
      <c r="L2625" t="s">
        <v>34</v>
      </c>
      <c r="M2625">
        <v>1</v>
      </c>
      <c r="N2625">
        <v>68.08</v>
      </c>
      <c r="O2625">
        <v>109.96</v>
      </c>
      <c r="P2625">
        <v>5.5</v>
      </c>
      <c r="Q2625">
        <v>5.5</v>
      </c>
      <c r="R2625" t="s">
        <v>30</v>
      </c>
      <c r="S2625">
        <v>29</v>
      </c>
      <c r="T2625">
        <v>1</v>
      </c>
      <c r="U2625">
        <v>1</v>
      </c>
      <c r="V2625">
        <v>104.46</v>
      </c>
      <c r="W2625">
        <v>13130002623</v>
      </c>
    </row>
    <row r="2626" spans="1:23" x14ac:dyDescent="0.2">
      <c r="A2626" s="1">
        <v>44791</v>
      </c>
      <c r="B2626" s="2">
        <v>0.35388888888888892</v>
      </c>
      <c r="C2626">
        <v>3624</v>
      </c>
      <c r="D2626">
        <v>13002561</v>
      </c>
      <c r="E2626">
        <v>13</v>
      </c>
      <c r="F2626">
        <v>22589</v>
      </c>
      <c r="G2626" t="s">
        <v>23</v>
      </c>
      <c r="H2626">
        <v>18</v>
      </c>
      <c r="I2626">
        <v>84086</v>
      </c>
      <c r="J2626" t="s">
        <v>108</v>
      </c>
      <c r="K2626" t="s">
        <v>44</v>
      </c>
      <c r="L2626" t="s">
        <v>36</v>
      </c>
      <c r="M2626">
        <v>2</v>
      </c>
      <c r="N2626">
        <v>387.16</v>
      </c>
      <c r="O2626">
        <v>583.23</v>
      </c>
      <c r="P2626">
        <v>58.32</v>
      </c>
      <c r="Q2626">
        <v>58.32</v>
      </c>
      <c r="R2626" t="s">
        <v>30</v>
      </c>
      <c r="S2626">
        <v>29</v>
      </c>
      <c r="T2626">
        <v>1</v>
      </c>
      <c r="U2626">
        <v>4</v>
      </c>
      <c r="V2626">
        <v>524.91</v>
      </c>
      <c r="W2626">
        <v>13130002624</v>
      </c>
    </row>
    <row r="2627" spans="1:23" x14ac:dyDescent="0.2">
      <c r="A2627" s="1">
        <v>44789</v>
      </c>
      <c r="B2627" s="2">
        <v>0.56620370370370365</v>
      </c>
      <c r="C2627">
        <v>3625</v>
      </c>
      <c r="D2627">
        <v>13002561</v>
      </c>
      <c r="E2627">
        <v>13</v>
      </c>
      <c r="F2627">
        <v>22589</v>
      </c>
      <c r="G2627" t="s">
        <v>23</v>
      </c>
      <c r="H2627">
        <v>15</v>
      </c>
      <c r="I2627">
        <v>90105</v>
      </c>
      <c r="J2627" t="s">
        <v>115</v>
      </c>
      <c r="K2627" t="s">
        <v>60</v>
      </c>
      <c r="L2627" t="s">
        <v>47</v>
      </c>
      <c r="M2627">
        <v>1</v>
      </c>
      <c r="N2627">
        <v>413.62</v>
      </c>
      <c r="O2627">
        <v>546.55999999999995</v>
      </c>
      <c r="P2627">
        <v>0</v>
      </c>
      <c r="Q2627">
        <v>0</v>
      </c>
      <c r="S2627">
        <v>29</v>
      </c>
      <c r="T2627">
        <v>1</v>
      </c>
      <c r="U2627">
        <v>3</v>
      </c>
      <c r="V2627">
        <v>546.55999999999995</v>
      </c>
      <c r="W2627">
        <v>13130002625</v>
      </c>
    </row>
    <row r="2628" spans="1:23" x14ac:dyDescent="0.2">
      <c r="A2628" s="1">
        <v>44802</v>
      </c>
      <c r="B2628" s="2">
        <v>0.41938657407407409</v>
      </c>
      <c r="C2628">
        <v>3626</v>
      </c>
      <c r="D2628">
        <v>13002561</v>
      </c>
      <c r="E2628">
        <v>13</v>
      </c>
      <c r="F2628">
        <v>22589</v>
      </c>
      <c r="G2628" t="s">
        <v>23</v>
      </c>
      <c r="H2628">
        <v>15</v>
      </c>
      <c r="I2628">
        <v>55012</v>
      </c>
      <c r="J2628" t="s">
        <v>113</v>
      </c>
      <c r="K2628" t="s">
        <v>60</v>
      </c>
      <c r="L2628" t="s">
        <v>39</v>
      </c>
      <c r="M2628">
        <v>1</v>
      </c>
      <c r="N2628">
        <v>217.35</v>
      </c>
      <c r="O2628">
        <v>368.08</v>
      </c>
      <c r="P2628">
        <v>0</v>
      </c>
      <c r="Q2628">
        <v>0</v>
      </c>
      <c r="S2628">
        <v>29</v>
      </c>
      <c r="T2628">
        <v>1</v>
      </c>
      <c r="U2628">
        <v>4</v>
      </c>
      <c r="V2628">
        <v>368.08</v>
      </c>
      <c r="W2628">
        <v>13130002626</v>
      </c>
    </row>
    <row r="2629" spans="1:23" x14ac:dyDescent="0.2">
      <c r="A2629" s="1">
        <v>44795</v>
      </c>
      <c r="B2629" s="2">
        <v>0.42637731481481478</v>
      </c>
      <c r="C2629">
        <v>3627</v>
      </c>
      <c r="D2629">
        <v>13002561</v>
      </c>
      <c r="E2629">
        <v>13</v>
      </c>
      <c r="F2629">
        <v>22589</v>
      </c>
      <c r="G2629" t="s">
        <v>23</v>
      </c>
      <c r="H2629">
        <v>18</v>
      </c>
      <c r="I2629">
        <v>64031</v>
      </c>
      <c r="J2629" t="s">
        <v>115</v>
      </c>
      <c r="K2629" t="s">
        <v>25</v>
      </c>
      <c r="L2629" t="s">
        <v>29</v>
      </c>
      <c r="M2629">
        <v>3</v>
      </c>
      <c r="N2629">
        <v>231.64</v>
      </c>
      <c r="O2629">
        <v>336.28</v>
      </c>
      <c r="P2629">
        <v>33.630000000000003</v>
      </c>
      <c r="Q2629">
        <v>33.630000000000003</v>
      </c>
      <c r="R2629" t="s">
        <v>30</v>
      </c>
      <c r="S2629">
        <v>29</v>
      </c>
      <c r="T2629">
        <v>1</v>
      </c>
      <c r="U2629">
        <v>2</v>
      </c>
      <c r="V2629">
        <v>302.64999999999998</v>
      </c>
      <c r="W2629">
        <v>13130002627</v>
      </c>
    </row>
    <row r="2630" spans="1:23" x14ac:dyDescent="0.2">
      <c r="A2630" s="1">
        <v>44784</v>
      </c>
      <c r="B2630" s="2">
        <v>0.65814814814814815</v>
      </c>
      <c r="C2630">
        <v>3628</v>
      </c>
      <c r="D2630">
        <v>13002561</v>
      </c>
      <c r="E2630">
        <v>13</v>
      </c>
      <c r="F2630">
        <v>22589</v>
      </c>
      <c r="G2630" t="s">
        <v>23</v>
      </c>
      <c r="H2630">
        <v>15</v>
      </c>
      <c r="I2630">
        <v>75160</v>
      </c>
      <c r="J2630" t="s">
        <v>65</v>
      </c>
      <c r="K2630" t="s">
        <v>44</v>
      </c>
      <c r="L2630" t="s">
        <v>39</v>
      </c>
      <c r="M2630">
        <v>2</v>
      </c>
      <c r="N2630">
        <v>392.49</v>
      </c>
      <c r="O2630">
        <v>508.87</v>
      </c>
      <c r="P2630">
        <v>25.44</v>
      </c>
      <c r="Q2630">
        <v>25.44</v>
      </c>
      <c r="R2630" t="s">
        <v>30</v>
      </c>
      <c r="S2630">
        <v>29</v>
      </c>
      <c r="T2630">
        <v>1</v>
      </c>
      <c r="U2630">
        <v>6</v>
      </c>
      <c r="V2630">
        <v>483.43</v>
      </c>
      <c r="W2630">
        <v>13130002628</v>
      </c>
    </row>
    <row r="2631" spans="1:23" x14ac:dyDescent="0.2">
      <c r="A2631" s="1">
        <v>44778</v>
      </c>
      <c r="B2631" s="2">
        <v>0.84349537037037037</v>
      </c>
      <c r="C2631">
        <v>3629</v>
      </c>
      <c r="D2631">
        <v>13002561</v>
      </c>
      <c r="E2631">
        <v>13</v>
      </c>
      <c r="F2631">
        <v>22589</v>
      </c>
      <c r="G2631" t="s">
        <v>23</v>
      </c>
      <c r="H2631">
        <v>18</v>
      </c>
      <c r="I2631">
        <v>16058</v>
      </c>
      <c r="J2631" t="s">
        <v>55</v>
      </c>
      <c r="K2631" t="s">
        <v>44</v>
      </c>
      <c r="L2631" t="s">
        <v>51</v>
      </c>
      <c r="M2631">
        <v>1</v>
      </c>
      <c r="N2631">
        <v>428.33</v>
      </c>
      <c r="O2631">
        <v>680.06</v>
      </c>
      <c r="P2631">
        <v>68.010000000000005</v>
      </c>
      <c r="Q2631">
        <v>68.010000000000005</v>
      </c>
      <c r="R2631" t="s">
        <v>30</v>
      </c>
      <c r="S2631">
        <v>29</v>
      </c>
      <c r="T2631">
        <v>1</v>
      </c>
      <c r="U2631">
        <v>5</v>
      </c>
      <c r="V2631">
        <v>612.04999999999995</v>
      </c>
      <c r="W2631">
        <v>13130002629</v>
      </c>
    </row>
    <row r="2632" spans="1:23" x14ac:dyDescent="0.2">
      <c r="A2632" s="1">
        <v>44801</v>
      </c>
      <c r="B2632" s="2">
        <v>0.53577546296296297</v>
      </c>
      <c r="C2632">
        <v>3630</v>
      </c>
      <c r="D2632">
        <v>13002561</v>
      </c>
      <c r="E2632">
        <v>13</v>
      </c>
      <c r="F2632">
        <v>22589</v>
      </c>
      <c r="G2632" t="s">
        <v>23</v>
      </c>
      <c r="H2632">
        <v>18</v>
      </c>
      <c r="I2632">
        <v>88048</v>
      </c>
      <c r="J2632" t="s">
        <v>27</v>
      </c>
      <c r="K2632" t="s">
        <v>38</v>
      </c>
      <c r="L2632" t="s">
        <v>51</v>
      </c>
      <c r="M2632">
        <v>1</v>
      </c>
      <c r="N2632">
        <v>386.59</v>
      </c>
      <c r="O2632">
        <v>600.74</v>
      </c>
      <c r="P2632">
        <v>30.04</v>
      </c>
      <c r="Q2632">
        <v>30.04</v>
      </c>
      <c r="R2632" t="s">
        <v>30</v>
      </c>
      <c r="S2632">
        <v>29</v>
      </c>
      <c r="T2632">
        <v>1</v>
      </c>
      <c r="U2632">
        <v>5</v>
      </c>
      <c r="V2632">
        <v>570.70000000000005</v>
      </c>
      <c r="W2632">
        <v>13130002630</v>
      </c>
    </row>
    <row r="2633" spans="1:23" x14ac:dyDescent="0.2">
      <c r="A2633" s="1">
        <v>44787</v>
      </c>
      <c r="B2633" s="2">
        <v>0.87076388888888889</v>
      </c>
      <c r="C2633">
        <v>3631</v>
      </c>
      <c r="D2633">
        <v>13002561</v>
      </c>
      <c r="E2633">
        <v>13</v>
      </c>
      <c r="F2633">
        <v>22589</v>
      </c>
      <c r="G2633" t="s">
        <v>23</v>
      </c>
      <c r="H2633">
        <v>18</v>
      </c>
      <c r="I2633">
        <v>85229</v>
      </c>
      <c r="J2633" t="s">
        <v>115</v>
      </c>
      <c r="K2633" t="s">
        <v>38</v>
      </c>
      <c r="L2633" t="s">
        <v>32</v>
      </c>
      <c r="M2633">
        <v>1</v>
      </c>
      <c r="N2633">
        <v>194.91</v>
      </c>
      <c r="O2633">
        <v>311.58</v>
      </c>
      <c r="P2633">
        <v>31.16</v>
      </c>
      <c r="Q2633">
        <v>31.16</v>
      </c>
      <c r="R2633" t="s">
        <v>30</v>
      </c>
      <c r="S2633">
        <v>29</v>
      </c>
      <c r="T2633">
        <v>1</v>
      </c>
      <c r="U2633">
        <v>3</v>
      </c>
      <c r="V2633">
        <v>280.42</v>
      </c>
      <c r="W2633">
        <v>13130002631</v>
      </c>
    </row>
    <row r="2634" spans="1:23" x14ac:dyDescent="0.2">
      <c r="A2634" s="1">
        <v>44792</v>
      </c>
      <c r="B2634" s="2">
        <v>0.90822916666666664</v>
      </c>
      <c r="C2634">
        <v>3632</v>
      </c>
      <c r="D2634">
        <v>13002561</v>
      </c>
      <c r="E2634">
        <v>13</v>
      </c>
      <c r="F2634">
        <v>22589</v>
      </c>
      <c r="G2634" t="s">
        <v>23</v>
      </c>
      <c r="H2634">
        <v>18</v>
      </c>
      <c r="I2634">
        <v>68746</v>
      </c>
      <c r="J2634" t="s">
        <v>82</v>
      </c>
      <c r="K2634" t="s">
        <v>38</v>
      </c>
      <c r="L2634" t="s">
        <v>51</v>
      </c>
      <c r="M2634">
        <v>1</v>
      </c>
      <c r="N2634">
        <v>417.38</v>
      </c>
      <c r="O2634">
        <v>694.89</v>
      </c>
      <c r="P2634">
        <v>34.74</v>
      </c>
      <c r="Q2634">
        <v>34.74</v>
      </c>
      <c r="R2634" t="s">
        <v>30</v>
      </c>
      <c r="S2634">
        <v>29</v>
      </c>
      <c r="T2634">
        <v>1</v>
      </c>
      <c r="U2634">
        <v>6</v>
      </c>
      <c r="V2634">
        <v>660.15</v>
      </c>
      <c r="W2634">
        <v>13130002632</v>
      </c>
    </row>
    <row r="2635" spans="1:23" x14ac:dyDescent="0.2">
      <c r="A2635" s="1">
        <v>44782</v>
      </c>
      <c r="B2635" s="2">
        <v>0.54002314814814811</v>
      </c>
      <c r="C2635">
        <v>3633</v>
      </c>
      <c r="D2635">
        <v>13002561</v>
      </c>
      <c r="E2635">
        <v>13</v>
      </c>
      <c r="F2635">
        <v>22589</v>
      </c>
      <c r="G2635" t="s">
        <v>23</v>
      </c>
      <c r="H2635">
        <v>18</v>
      </c>
      <c r="I2635">
        <v>82966</v>
      </c>
      <c r="J2635" t="s">
        <v>37</v>
      </c>
      <c r="K2635" t="s">
        <v>44</v>
      </c>
      <c r="L2635" t="s">
        <v>34</v>
      </c>
      <c r="M2635">
        <v>2</v>
      </c>
      <c r="N2635">
        <v>212.28</v>
      </c>
      <c r="O2635">
        <v>286.70999999999998</v>
      </c>
      <c r="P2635">
        <v>14.34</v>
      </c>
      <c r="Q2635">
        <v>14.34</v>
      </c>
      <c r="R2635" t="s">
        <v>30</v>
      </c>
      <c r="S2635">
        <v>29</v>
      </c>
      <c r="T2635">
        <v>1</v>
      </c>
      <c r="U2635">
        <v>6</v>
      </c>
      <c r="V2635">
        <v>272.37</v>
      </c>
      <c r="W2635">
        <v>13130002633</v>
      </c>
    </row>
    <row r="2636" spans="1:23" x14ac:dyDescent="0.2">
      <c r="A2636" s="1">
        <v>44793</v>
      </c>
      <c r="B2636" s="2">
        <v>0.33835648148148151</v>
      </c>
      <c r="C2636">
        <v>3634</v>
      </c>
      <c r="D2636">
        <v>13002561</v>
      </c>
      <c r="E2636">
        <v>13</v>
      </c>
      <c r="F2636">
        <v>22589</v>
      </c>
      <c r="G2636" t="s">
        <v>23</v>
      </c>
      <c r="H2636">
        <v>15</v>
      </c>
      <c r="I2636">
        <v>41613</v>
      </c>
      <c r="J2636" t="s">
        <v>66</v>
      </c>
      <c r="K2636" t="s">
        <v>38</v>
      </c>
      <c r="L2636" t="s">
        <v>29</v>
      </c>
      <c r="M2636">
        <v>2</v>
      </c>
      <c r="N2636">
        <v>557.74</v>
      </c>
      <c r="O2636">
        <v>726.23</v>
      </c>
      <c r="P2636">
        <v>72.62</v>
      </c>
      <c r="Q2636">
        <v>72.62</v>
      </c>
      <c r="R2636" t="s">
        <v>30</v>
      </c>
      <c r="S2636">
        <v>29</v>
      </c>
      <c r="T2636">
        <v>1</v>
      </c>
      <c r="U2636">
        <v>6</v>
      </c>
      <c r="V2636">
        <v>653.61</v>
      </c>
      <c r="W2636">
        <v>13130002634</v>
      </c>
    </row>
    <row r="2637" spans="1:23" x14ac:dyDescent="0.2">
      <c r="A2637" s="1">
        <v>44804</v>
      </c>
      <c r="B2637" s="2">
        <v>0.82056712962962963</v>
      </c>
      <c r="C2637">
        <v>3635</v>
      </c>
      <c r="D2637">
        <v>13002561</v>
      </c>
      <c r="E2637">
        <v>13</v>
      </c>
      <c r="F2637">
        <v>22589</v>
      </c>
      <c r="G2637" t="s">
        <v>23</v>
      </c>
      <c r="H2637">
        <v>15</v>
      </c>
      <c r="I2637">
        <v>27079</v>
      </c>
      <c r="J2637" t="s">
        <v>84</v>
      </c>
      <c r="K2637" t="s">
        <v>45</v>
      </c>
      <c r="L2637" t="s">
        <v>39</v>
      </c>
      <c r="M2637">
        <v>1</v>
      </c>
      <c r="N2637">
        <v>472.18</v>
      </c>
      <c r="O2637">
        <v>765.97</v>
      </c>
      <c r="P2637">
        <v>76.599999999999994</v>
      </c>
      <c r="Q2637">
        <v>76.599999999999994</v>
      </c>
      <c r="R2637" t="s">
        <v>30</v>
      </c>
      <c r="S2637">
        <v>29</v>
      </c>
      <c r="T2637">
        <v>1</v>
      </c>
      <c r="U2637">
        <v>6</v>
      </c>
      <c r="V2637">
        <v>689.37</v>
      </c>
      <c r="W2637">
        <v>13130002635</v>
      </c>
    </row>
    <row r="2638" spans="1:23" x14ac:dyDescent="0.2">
      <c r="A2638" s="1">
        <v>44775</v>
      </c>
      <c r="B2638" s="2">
        <v>0.78306712962962965</v>
      </c>
      <c r="C2638">
        <v>3636</v>
      </c>
      <c r="D2638">
        <v>13002561</v>
      </c>
      <c r="E2638">
        <v>13</v>
      </c>
      <c r="F2638">
        <v>22589</v>
      </c>
      <c r="G2638" t="s">
        <v>23</v>
      </c>
      <c r="H2638">
        <v>15</v>
      </c>
      <c r="I2638">
        <v>86986</v>
      </c>
      <c r="J2638" t="s">
        <v>87</v>
      </c>
      <c r="K2638" t="s">
        <v>28</v>
      </c>
      <c r="L2638" t="s">
        <v>47</v>
      </c>
      <c r="M2638">
        <v>2</v>
      </c>
      <c r="N2638">
        <v>155.26</v>
      </c>
      <c r="O2638">
        <v>243.58</v>
      </c>
      <c r="P2638">
        <v>24.36</v>
      </c>
      <c r="Q2638">
        <v>24.36</v>
      </c>
      <c r="R2638" t="s">
        <v>30</v>
      </c>
      <c r="S2638">
        <v>29</v>
      </c>
      <c r="T2638">
        <v>1</v>
      </c>
      <c r="U2638">
        <v>4</v>
      </c>
      <c r="V2638">
        <v>219.22</v>
      </c>
      <c r="W2638">
        <v>13130002636</v>
      </c>
    </row>
    <row r="2639" spans="1:23" x14ac:dyDescent="0.2">
      <c r="A2639" s="1">
        <v>44787</v>
      </c>
      <c r="B2639" s="2">
        <v>0.61009259259259263</v>
      </c>
      <c r="C2639">
        <v>3637</v>
      </c>
      <c r="D2639">
        <v>13002561</v>
      </c>
      <c r="E2639">
        <v>13</v>
      </c>
      <c r="F2639">
        <v>22589</v>
      </c>
      <c r="G2639" t="s">
        <v>23</v>
      </c>
      <c r="H2639">
        <v>18</v>
      </c>
      <c r="I2639">
        <v>88511</v>
      </c>
      <c r="J2639" t="s">
        <v>96</v>
      </c>
      <c r="K2639" t="s">
        <v>44</v>
      </c>
      <c r="L2639" t="s">
        <v>29</v>
      </c>
      <c r="M2639">
        <v>2</v>
      </c>
      <c r="N2639">
        <v>211.93</v>
      </c>
      <c r="O2639">
        <v>276.87</v>
      </c>
      <c r="P2639">
        <v>27.69</v>
      </c>
      <c r="Q2639">
        <v>27.69</v>
      </c>
      <c r="R2639" t="s">
        <v>30</v>
      </c>
      <c r="S2639">
        <v>29</v>
      </c>
      <c r="T2639">
        <v>1</v>
      </c>
      <c r="U2639">
        <v>1</v>
      </c>
      <c r="V2639">
        <v>249.18</v>
      </c>
      <c r="W2639">
        <v>13130002637</v>
      </c>
    </row>
    <row r="2640" spans="1:23" x14ac:dyDescent="0.2">
      <c r="A2640" s="1">
        <v>44792</v>
      </c>
      <c r="B2640" s="2">
        <v>0.89776620370370375</v>
      </c>
      <c r="C2640">
        <v>3638</v>
      </c>
      <c r="D2640">
        <v>13002561</v>
      </c>
      <c r="E2640">
        <v>13</v>
      </c>
      <c r="F2640">
        <v>22589</v>
      </c>
      <c r="G2640" t="s">
        <v>23</v>
      </c>
      <c r="H2640">
        <v>15</v>
      </c>
      <c r="I2640">
        <v>73886</v>
      </c>
      <c r="J2640" t="s">
        <v>94</v>
      </c>
      <c r="K2640" t="s">
        <v>25</v>
      </c>
      <c r="L2640" t="s">
        <v>39</v>
      </c>
      <c r="M2640">
        <v>3</v>
      </c>
      <c r="N2640">
        <v>591.98</v>
      </c>
      <c r="O2640">
        <v>975.4</v>
      </c>
      <c r="P2640">
        <v>48.77</v>
      </c>
      <c r="Q2640">
        <v>48.77</v>
      </c>
      <c r="R2640" t="s">
        <v>30</v>
      </c>
      <c r="S2640">
        <v>29</v>
      </c>
      <c r="T2640">
        <v>1</v>
      </c>
      <c r="U2640">
        <v>6</v>
      </c>
      <c r="V2640">
        <v>926.63</v>
      </c>
      <c r="W2640">
        <v>13130002638</v>
      </c>
    </row>
    <row r="2641" spans="1:23" x14ac:dyDescent="0.2">
      <c r="A2641" s="1">
        <v>44776</v>
      </c>
      <c r="B2641" s="2">
        <v>0.53187499999999999</v>
      </c>
      <c r="C2641">
        <v>3639</v>
      </c>
      <c r="D2641">
        <v>13002561</v>
      </c>
      <c r="E2641">
        <v>13</v>
      </c>
      <c r="F2641">
        <v>22589</v>
      </c>
      <c r="G2641" t="s">
        <v>23</v>
      </c>
      <c r="H2641">
        <v>15</v>
      </c>
      <c r="I2641">
        <v>98570</v>
      </c>
      <c r="J2641" t="s">
        <v>86</v>
      </c>
      <c r="K2641" t="s">
        <v>38</v>
      </c>
      <c r="L2641" t="s">
        <v>51</v>
      </c>
      <c r="M2641">
        <v>2</v>
      </c>
      <c r="N2641">
        <v>84.26</v>
      </c>
      <c r="O2641">
        <v>139.37</v>
      </c>
      <c r="P2641">
        <v>6.97</v>
      </c>
      <c r="Q2641">
        <v>6.97</v>
      </c>
      <c r="R2641" t="s">
        <v>30</v>
      </c>
      <c r="S2641">
        <v>29</v>
      </c>
      <c r="T2641">
        <v>1</v>
      </c>
      <c r="U2641">
        <v>4</v>
      </c>
      <c r="V2641">
        <v>132.4</v>
      </c>
      <c r="W2641">
        <v>13130002639</v>
      </c>
    </row>
    <row r="2642" spans="1:23" x14ac:dyDescent="0.2">
      <c r="A2642" s="1">
        <v>44777</v>
      </c>
      <c r="B2642" s="2">
        <v>0.3628587962962963</v>
      </c>
      <c r="C2642">
        <v>3640</v>
      </c>
      <c r="D2642">
        <v>13002561</v>
      </c>
      <c r="E2642">
        <v>13</v>
      </c>
      <c r="F2642">
        <v>22589</v>
      </c>
      <c r="G2642" t="s">
        <v>23</v>
      </c>
      <c r="H2642">
        <v>18</v>
      </c>
      <c r="I2642">
        <v>42419</v>
      </c>
      <c r="J2642" t="s">
        <v>24</v>
      </c>
      <c r="K2642" t="s">
        <v>38</v>
      </c>
      <c r="L2642" t="s">
        <v>47</v>
      </c>
      <c r="M2642">
        <v>2</v>
      </c>
      <c r="N2642">
        <v>102.44</v>
      </c>
      <c r="O2642">
        <v>169.9</v>
      </c>
      <c r="P2642">
        <v>8.5</v>
      </c>
      <c r="Q2642">
        <v>8.5</v>
      </c>
      <c r="R2642" t="s">
        <v>30</v>
      </c>
      <c r="S2642">
        <v>29</v>
      </c>
      <c r="T2642">
        <v>1</v>
      </c>
      <c r="U2642">
        <v>3</v>
      </c>
      <c r="V2642">
        <v>161.4</v>
      </c>
      <c r="W2642">
        <v>13130002640</v>
      </c>
    </row>
    <row r="2643" spans="1:23" x14ac:dyDescent="0.2">
      <c r="A2643" s="1">
        <v>44784</v>
      </c>
      <c r="B2643" s="2">
        <v>0.4713310185185185</v>
      </c>
      <c r="C2643">
        <v>3641</v>
      </c>
      <c r="D2643">
        <v>13002561</v>
      </c>
      <c r="E2643">
        <v>13</v>
      </c>
      <c r="F2643">
        <v>22589</v>
      </c>
      <c r="G2643" t="s">
        <v>23</v>
      </c>
      <c r="H2643">
        <v>18</v>
      </c>
      <c r="I2643">
        <v>66590</v>
      </c>
      <c r="J2643" t="s">
        <v>108</v>
      </c>
      <c r="K2643" t="s">
        <v>25</v>
      </c>
      <c r="L2643" t="s">
        <v>36</v>
      </c>
      <c r="M2643">
        <v>1</v>
      </c>
      <c r="N2643">
        <v>274.64</v>
      </c>
      <c r="O2643">
        <v>444.3</v>
      </c>
      <c r="P2643">
        <v>0</v>
      </c>
      <c r="Q2643">
        <v>0</v>
      </c>
      <c r="S2643">
        <v>29</v>
      </c>
      <c r="T2643">
        <v>1</v>
      </c>
      <c r="U2643">
        <v>1</v>
      </c>
      <c r="V2643">
        <v>444.3</v>
      </c>
      <c r="W2643">
        <v>13130002641</v>
      </c>
    </row>
    <row r="2644" spans="1:23" x14ac:dyDescent="0.2">
      <c r="A2644" s="1">
        <v>44789</v>
      </c>
      <c r="B2644" s="2">
        <v>0.80429398148148146</v>
      </c>
      <c r="C2644">
        <v>3642</v>
      </c>
      <c r="D2644">
        <v>13002561</v>
      </c>
      <c r="E2644">
        <v>13</v>
      </c>
      <c r="F2644">
        <v>22589</v>
      </c>
      <c r="G2644" t="s">
        <v>23</v>
      </c>
      <c r="H2644">
        <v>18</v>
      </c>
      <c r="I2644">
        <v>71270</v>
      </c>
      <c r="J2644" t="s">
        <v>48</v>
      </c>
      <c r="K2644" t="s">
        <v>25</v>
      </c>
      <c r="L2644" t="s">
        <v>29</v>
      </c>
      <c r="M2644">
        <v>2</v>
      </c>
      <c r="N2644">
        <v>76.89</v>
      </c>
      <c r="O2644">
        <v>115.48</v>
      </c>
      <c r="P2644">
        <v>11.55</v>
      </c>
      <c r="Q2644">
        <v>11.55</v>
      </c>
      <c r="R2644" t="s">
        <v>30</v>
      </c>
      <c r="S2644">
        <v>29</v>
      </c>
      <c r="T2644">
        <v>1</v>
      </c>
      <c r="U2644">
        <v>4</v>
      </c>
      <c r="V2644">
        <v>103.93</v>
      </c>
      <c r="W2644">
        <v>13130002642</v>
      </c>
    </row>
    <row r="2645" spans="1:23" x14ac:dyDescent="0.2">
      <c r="A2645" s="1">
        <v>44778</v>
      </c>
      <c r="B2645" s="2">
        <v>0.43336805555555558</v>
      </c>
      <c r="C2645">
        <v>3643</v>
      </c>
      <c r="D2645">
        <v>13002561</v>
      </c>
      <c r="E2645">
        <v>13</v>
      </c>
      <c r="F2645">
        <v>22589</v>
      </c>
      <c r="G2645" t="s">
        <v>23</v>
      </c>
      <c r="H2645">
        <v>15</v>
      </c>
      <c r="I2645">
        <v>83172</v>
      </c>
      <c r="J2645" t="s">
        <v>94</v>
      </c>
      <c r="K2645" t="s">
        <v>25</v>
      </c>
      <c r="L2645" t="s">
        <v>39</v>
      </c>
      <c r="M2645">
        <v>1</v>
      </c>
      <c r="N2645">
        <v>51</v>
      </c>
      <c r="O2645">
        <v>68.25</v>
      </c>
      <c r="P2645">
        <v>3.41</v>
      </c>
      <c r="Q2645">
        <v>3.41</v>
      </c>
      <c r="R2645" t="s">
        <v>30</v>
      </c>
      <c r="S2645">
        <v>29</v>
      </c>
      <c r="T2645">
        <v>1</v>
      </c>
      <c r="U2645">
        <v>3</v>
      </c>
      <c r="V2645">
        <v>64.84</v>
      </c>
      <c r="W2645">
        <v>13130002643</v>
      </c>
    </row>
    <row r="2646" spans="1:23" x14ac:dyDescent="0.2">
      <c r="A2646" s="1">
        <v>44787</v>
      </c>
      <c r="B2646" s="2">
        <v>0.46211805555555557</v>
      </c>
      <c r="C2646">
        <v>3644</v>
      </c>
      <c r="D2646">
        <v>13002561</v>
      </c>
      <c r="E2646">
        <v>13</v>
      </c>
      <c r="F2646">
        <v>22589</v>
      </c>
      <c r="G2646" t="s">
        <v>23</v>
      </c>
      <c r="H2646">
        <v>18</v>
      </c>
      <c r="I2646">
        <v>28589</v>
      </c>
      <c r="J2646" t="s">
        <v>102</v>
      </c>
      <c r="K2646" t="s">
        <v>38</v>
      </c>
      <c r="L2646" t="s">
        <v>32</v>
      </c>
      <c r="M2646">
        <v>1</v>
      </c>
      <c r="N2646">
        <v>313.25</v>
      </c>
      <c r="O2646">
        <v>413.13</v>
      </c>
      <c r="P2646">
        <v>20.66</v>
      </c>
      <c r="Q2646">
        <v>20.66</v>
      </c>
      <c r="R2646" t="s">
        <v>30</v>
      </c>
      <c r="S2646">
        <v>29</v>
      </c>
      <c r="T2646">
        <v>1</v>
      </c>
      <c r="U2646">
        <v>5</v>
      </c>
      <c r="V2646">
        <v>392.47</v>
      </c>
      <c r="W2646">
        <v>13130002644</v>
      </c>
    </row>
    <row r="2647" spans="1:23" x14ac:dyDescent="0.2">
      <c r="A2647" s="1">
        <v>44804</v>
      </c>
      <c r="B2647" s="2">
        <v>0.89598379629629632</v>
      </c>
      <c r="C2647">
        <v>3645</v>
      </c>
      <c r="D2647">
        <v>13002561</v>
      </c>
      <c r="E2647">
        <v>13</v>
      </c>
      <c r="F2647">
        <v>22589</v>
      </c>
      <c r="G2647" t="s">
        <v>23</v>
      </c>
      <c r="H2647">
        <v>15</v>
      </c>
      <c r="I2647">
        <v>16102</v>
      </c>
      <c r="J2647" t="s">
        <v>78</v>
      </c>
      <c r="K2647" t="s">
        <v>60</v>
      </c>
      <c r="L2647" t="s">
        <v>32</v>
      </c>
      <c r="M2647">
        <v>3</v>
      </c>
      <c r="N2647">
        <v>51.38</v>
      </c>
      <c r="O2647">
        <v>66.959999999999994</v>
      </c>
      <c r="P2647">
        <v>0</v>
      </c>
      <c r="Q2647">
        <v>0</v>
      </c>
      <c r="S2647">
        <v>29</v>
      </c>
      <c r="T2647">
        <v>1</v>
      </c>
      <c r="U2647">
        <v>1</v>
      </c>
      <c r="V2647">
        <v>66.959999999999994</v>
      </c>
      <c r="W2647">
        <v>13130002645</v>
      </c>
    </row>
    <row r="2648" spans="1:23" x14ac:dyDescent="0.2">
      <c r="A2648" s="1">
        <v>44774</v>
      </c>
      <c r="B2648" s="2">
        <v>0.45162037037037039</v>
      </c>
      <c r="C2648">
        <v>3646</v>
      </c>
      <c r="D2648">
        <v>13002561</v>
      </c>
      <c r="E2648">
        <v>13</v>
      </c>
      <c r="F2648">
        <v>22589</v>
      </c>
      <c r="G2648" t="s">
        <v>23</v>
      </c>
      <c r="H2648">
        <v>15</v>
      </c>
      <c r="I2648">
        <v>56011</v>
      </c>
      <c r="J2648" t="s">
        <v>52</v>
      </c>
      <c r="K2648" t="s">
        <v>28</v>
      </c>
      <c r="L2648" t="s">
        <v>47</v>
      </c>
      <c r="M2648">
        <v>2</v>
      </c>
      <c r="N2648">
        <v>530.59</v>
      </c>
      <c r="O2648">
        <v>772.26</v>
      </c>
      <c r="P2648">
        <v>0</v>
      </c>
      <c r="Q2648">
        <v>0</v>
      </c>
      <c r="S2648">
        <v>29</v>
      </c>
      <c r="T2648">
        <v>1</v>
      </c>
      <c r="U2648">
        <v>1</v>
      </c>
      <c r="V2648">
        <v>772.26</v>
      </c>
      <c r="W2648">
        <v>13130002646</v>
      </c>
    </row>
    <row r="2649" spans="1:23" x14ac:dyDescent="0.2">
      <c r="A2649" s="1">
        <v>44774</v>
      </c>
      <c r="B2649" s="2">
        <v>0.74753472222222217</v>
      </c>
      <c r="C2649">
        <v>3647</v>
      </c>
      <c r="D2649">
        <v>13002561</v>
      </c>
      <c r="E2649">
        <v>13</v>
      </c>
      <c r="F2649">
        <v>22589</v>
      </c>
      <c r="G2649" t="s">
        <v>23</v>
      </c>
      <c r="H2649">
        <v>18</v>
      </c>
      <c r="I2649">
        <v>98328</v>
      </c>
      <c r="J2649" t="s">
        <v>96</v>
      </c>
      <c r="K2649" t="s">
        <v>45</v>
      </c>
      <c r="L2649" t="s">
        <v>34</v>
      </c>
      <c r="M2649">
        <v>1</v>
      </c>
      <c r="N2649">
        <v>274.82</v>
      </c>
      <c r="O2649">
        <v>347.37</v>
      </c>
      <c r="P2649">
        <v>0</v>
      </c>
      <c r="Q2649">
        <v>0</v>
      </c>
      <c r="S2649">
        <v>29</v>
      </c>
      <c r="T2649">
        <v>1</v>
      </c>
      <c r="U2649">
        <v>6</v>
      </c>
      <c r="V2649">
        <v>347.37</v>
      </c>
      <c r="W2649">
        <v>13130002647</v>
      </c>
    </row>
    <row r="2650" spans="1:23" x14ac:dyDescent="0.2">
      <c r="A2650" s="1">
        <v>44774</v>
      </c>
      <c r="B2650" s="2">
        <v>0.42391203703703711</v>
      </c>
      <c r="C2650">
        <v>3648</v>
      </c>
      <c r="D2650">
        <v>13002561</v>
      </c>
      <c r="E2650">
        <v>13</v>
      </c>
      <c r="F2650">
        <v>22589</v>
      </c>
      <c r="G2650" t="s">
        <v>23</v>
      </c>
      <c r="H2650">
        <v>15</v>
      </c>
      <c r="I2650">
        <v>70857</v>
      </c>
      <c r="J2650" t="s">
        <v>70</v>
      </c>
      <c r="K2650" t="s">
        <v>25</v>
      </c>
      <c r="L2650" t="s">
        <v>29</v>
      </c>
      <c r="M2650">
        <v>1</v>
      </c>
      <c r="N2650">
        <v>571.71</v>
      </c>
      <c r="O2650">
        <v>820.09</v>
      </c>
      <c r="P2650">
        <v>0</v>
      </c>
      <c r="Q2650">
        <v>0</v>
      </c>
      <c r="S2650">
        <v>29</v>
      </c>
      <c r="T2650">
        <v>1</v>
      </c>
      <c r="U2650">
        <v>2</v>
      </c>
      <c r="V2650">
        <v>820.09</v>
      </c>
      <c r="W2650">
        <v>13130002648</v>
      </c>
    </row>
    <row r="2651" spans="1:23" x14ac:dyDescent="0.2">
      <c r="A2651" s="1">
        <v>44785</v>
      </c>
      <c r="B2651" s="2">
        <v>0.86971064814814814</v>
      </c>
      <c r="C2651">
        <v>3649</v>
      </c>
      <c r="D2651">
        <v>13002561</v>
      </c>
      <c r="E2651">
        <v>13</v>
      </c>
      <c r="F2651">
        <v>22589</v>
      </c>
      <c r="G2651" t="s">
        <v>23</v>
      </c>
      <c r="H2651">
        <v>18</v>
      </c>
      <c r="I2651">
        <v>54718</v>
      </c>
      <c r="J2651" t="s">
        <v>64</v>
      </c>
      <c r="K2651" t="s">
        <v>38</v>
      </c>
      <c r="L2651" t="s">
        <v>29</v>
      </c>
      <c r="M2651">
        <v>1</v>
      </c>
      <c r="N2651">
        <v>530.97</v>
      </c>
      <c r="O2651">
        <v>702.13</v>
      </c>
      <c r="P2651">
        <v>70.209999999999994</v>
      </c>
      <c r="Q2651">
        <v>70.209999999999994</v>
      </c>
      <c r="R2651" t="s">
        <v>30</v>
      </c>
      <c r="S2651">
        <v>29</v>
      </c>
      <c r="T2651">
        <v>1</v>
      </c>
      <c r="U2651">
        <v>6</v>
      </c>
      <c r="V2651">
        <v>631.91999999999996</v>
      </c>
      <c r="W2651">
        <v>13130002649</v>
      </c>
    </row>
    <row r="2652" spans="1:23" x14ac:dyDescent="0.2">
      <c r="A2652" s="1">
        <v>44785</v>
      </c>
      <c r="B2652" s="2">
        <v>0.69785879629629632</v>
      </c>
      <c r="C2652">
        <v>3650</v>
      </c>
      <c r="D2652">
        <v>13002561</v>
      </c>
      <c r="E2652">
        <v>13</v>
      </c>
      <c r="F2652">
        <v>22589</v>
      </c>
      <c r="G2652" t="s">
        <v>23</v>
      </c>
      <c r="H2652">
        <v>15</v>
      </c>
      <c r="I2652">
        <v>63291</v>
      </c>
      <c r="J2652" t="s">
        <v>66</v>
      </c>
      <c r="K2652" t="s">
        <v>45</v>
      </c>
      <c r="L2652" t="s">
        <v>47</v>
      </c>
      <c r="M2652">
        <v>2</v>
      </c>
      <c r="N2652">
        <v>443.74</v>
      </c>
      <c r="O2652">
        <v>575.09</v>
      </c>
      <c r="P2652">
        <v>57.51</v>
      </c>
      <c r="Q2652">
        <v>57.51</v>
      </c>
      <c r="R2652" t="s">
        <v>30</v>
      </c>
      <c r="S2652">
        <v>29</v>
      </c>
      <c r="T2652">
        <v>1</v>
      </c>
      <c r="U2652">
        <v>3</v>
      </c>
      <c r="V2652">
        <v>517.58000000000004</v>
      </c>
      <c r="W2652">
        <v>13130002650</v>
      </c>
    </row>
    <row r="2653" spans="1:23" x14ac:dyDescent="0.2">
      <c r="A2653" s="1">
        <v>44778</v>
      </c>
      <c r="B2653" s="2">
        <v>0.90752314814814816</v>
      </c>
      <c r="C2653">
        <v>3651</v>
      </c>
      <c r="D2653">
        <v>13002561</v>
      </c>
      <c r="E2653">
        <v>13</v>
      </c>
      <c r="F2653">
        <v>22589</v>
      </c>
      <c r="G2653" t="s">
        <v>23</v>
      </c>
      <c r="H2653">
        <v>18</v>
      </c>
      <c r="I2653">
        <v>80239</v>
      </c>
      <c r="J2653" t="s">
        <v>109</v>
      </c>
      <c r="K2653" t="s">
        <v>44</v>
      </c>
      <c r="L2653" t="s">
        <v>51</v>
      </c>
      <c r="M2653">
        <v>1</v>
      </c>
      <c r="N2653">
        <v>445.94</v>
      </c>
      <c r="O2653">
        <v>744.9</v>
      </c>
      <c r="P2653">
        <v>0</v>
      </c>
      <c r="Q2653">
        <v>0</v>
      </c>
      <c r="S2653">
        <v>29</v>
      </c>
      <c r="T2653">
        <v>1</v>
      </c>
      <c r="U2653">
        <v>2</v>
      </c>
      <c r="V2653">
        <v>744.9</v>
      </c>
      <c r="W2653">
        <v>13130002651</v>
      </c>
    </row>
    <row r="2654" spans="1:23" x14ac:dyDescent="0.2">
      <c r="A2654" s="1">
        <v>44777</v>
      </c>
      <c r="B2654" s="2">
        <v>0.77909722222222222</v>
      </c>
      <c r="C2654">
        <v>3652</v>
      </c>
      <c r="D2654">
        <v>13002561</v>
      </c>
      <c r="E2654">
        <v>13</v>
      </c>
      <c r="F2654">
        <v>22589</v>
      </c>
      <c r="G2654" t="s">
        <v>23</v>
      </c>
      <c r="H2654">
        <v>18</v>
      </c>
      <c r="I2654">
        <v>64646</v>
      </c>
      <c r="J2654" t="s">
        <v>24</v>
      </c>
      <c r="K2654" t="s">
        <v>44</v>
      </c>
      <c r="L2654" t="s">
        <v>26</v>
      </c>
      <c r="M2654">
        <v>1</v>
      </c>
      <c r="N2654">
        <v>470.31</v>
      </c>
      <c r="O2654">
        <v>641.51</v>
      </c>
      <c r="P2654">
        <v>32.08</v>
      </c>
      <c r="Q2654">
        <v>32.08</v>
      </c>
      <c r="R2654" t="s">
        <v>30</v>
      </c>
      <c r="S2654">
        <v>29</v>
      </c>
      <c r="T2654">
        <v>1</v>
      </c>
      <c r="U2654">
        <v>2</v>
      </c>
      <c r="V2654">
        <v>609.42999999999995</v>
      </c>
      <c r="W2654">
        <v>13130002652</v>
      </c>
    </row>
    <row r="2655" spans="1:23" x14ac:dyDescent="0.2">
      <c r="A2655" s="1">
        <v>44802</v>
      </c>
      <c r="B2655" s="2">
        <v>0.87365740740740738</v>
      </c>
      <c r="C2655">
        <v>3653</v>
      </c>
      <c r="D2655">
        <v>13002561</v>
      </c>
      <c r="E2655">
        <v>13</v>
      </c>
      <c r="F2655">
        <v>22589</v>
      </c>
      <c r="G2655" t="s">
        <v>23</v>
      </c>
      <c r="H2655">
        <v>15</v>
      </c>
      <c r="I2655">
        <v>57609</v>
      </c>
      <c r="J2655" t="s">
        <v>98</v>
      </c>
      <c r="K2655" t="s">
        <v>45</v>
      </c>
      <c r="L2655" t="s">
        <v>34</v>
      </c>
      <c r="M2655">
        <v>2</v>
      </c>
      <c r="N2655">
        <v>191.67</v>
      </c>
      <c r="O2655">
        <v>287.69</v>
      </c>
      <c r="P2655">
        <v>14.38</v>
      </c>
      <c r="Q2655">
        <v>14.38</v>
      </c>
      <c r="R2655" t="s">
        <v>30</v>
      </c>
      <c r="S2655">
        <v>29</v>
      </c>
      <c r="T2655">
        <v>1</v>
      </c>
      <c r="U2655">
        <v>3</v>
      </c>
      <c r="V2655">
        <v>273.31</v>
      </c>
      <c r="W2655">
        <v>13130002653</v>
      </c>
    </row>
    <row r="2656" spans="1:23" x14ac:dyDescent="0.2">
      <c r="A2656" s="1">
        <v>44779</v>
      </c>
      <c r="B2656" s="2">
        <v>0.79789351851851853</v>
      </c>
      <c r="C2656">
        <v>3654</v>
      </c>
      <c r="D2656">
        <v>13002561</v>
      </c>
      <c r="E2656">
        <v>13</v>
      </c>
      <c r="F2656">
        <v>22589</v>
      </c>
      <c r="G2656" t="s">
        <v>23</v>
      </c>
      <c r="H2656">
        <v>18</v>
      </c>
      <c r="I2656">
        <v>42377</v>
      </c>
      <c r="J2656" t="s">
        <v>73</v>
      </c>
      <c r="K2656" t="s">
        <v>44</v>
      </c>
      <c r="L2656" t="s">
        <v>39</v>
      </c>
      <c r="M2656">
        <v>3</v>
      </c>
      <c r="N2656">
        <v>288.3</v>
      </c>
      <c r="O2656">
        <v>394.64</v>
      </c>
      <c r="P2656">
        <v>0</v>
      </c>
      <c r="Q2656">
        <v>0</v>
      </c>
      <c r="S2656">
        <v>29</v>
      </c>
      <c r="T2656">
        <v>1</v>
      </c>
      <c r="U2656">
        <v>2</v>
      </c>
      <c r="V2656">
        <v>394.64</v>
      </c>
      <c r="W2656">
        <v>13130002654</v>
      </c>
    </row>
    <row r="2657" spans="1:23" x14ac:dyDescent="0.2">
      <c r="A2657" s="1">
        <v>44803</v>
      </c>
      <c r="B2657" s="2">
        <v>0.48631944444444453</v>
      </c>
      <c r="C2657">
        <v>3655</v>
      </c>
      <c r="D2657">
        <v>13002561</v>
      </c>
      <c r="E2657">
        <v>13</v>
      </c>
      <c r="F2657">
        <v>22589</v>
      </c>
      <c r="G2657" t="s">
        <v>23</v>
      </c>
      <c r="H2657">
        <v>18</v>
      </c>
      <c r="I2657">
        <v>61382</v>
      </c>
      <c r="J2657" t="s">
        <v>92</v>
      </c>
      <c r="K2657" t="s">
        <v>45</v>
      </c>
      <c r="L2657" t="s">
        <v>51</v>
      </c>
      <c r="M2657">
        <v>1</v>
      </c>
      <c r="N2657">
        <v>546.77</v>
      </c>
      <c r="O2657">
        <v>739.69</v>
      </c>
      <c r="P2657">
        <v>73.97</v>
      </c>
      <c r="Q2657">
        <v>73.97</v>
      </c>
      <c r="R2657" t="s">
        <v>30</v>
      </c>
      <c r="S2657">
        <v>29</v>
      </c>
      <c r="T2657">
        <v>1</v>
      </c>
      <c r="U2657">
        <v>3</v>
      </c>
      <c r="V2657">
        <v>665.72</v>
      </c>
      <c r="W2657">
        <v>13130002655</v>
      </c>
    </row>
    <row r="2658" spans="1:23" x14ac:dyDescent="0.2">
      <c r="A2658" s="1">
        <v>44789</v>
      </c>
      <c r="B2658" s="2">
        <v>0.49996527777777777</v>
      </c>
      <c r="C2658">
        <v>3656</v>
      </c>
      <c r="D2658">
        <v>13002561</v>
      </c>
      <c r="E2658">
        <v>13</v>
      </c>
      <c r="F2658">
        <v>22589</v>
      </c>
      <c r="G2658" t="s">
        <v>23</v>
      </c>
      <c r="H2658">
        <v>18</v>
      </c>
      <c r="I2658">
        <v>74622</v>
      </c>
      <c r="J2658" t="s">
        <v>112</v>
      </c>
      <c r="K2658" t="s">
        <v>60</v>
      </c>
      <c r="L2658" t="s">
        <v>39</v>
      </c>
      <c r="M2658">
        <v>2</v>
      </c>
      <c r="N2658">
        <v>93.94</v>
      </c>
      <c r="O2658">
        <v>130.37</v>
      </c>
      <c r="P2658">
        <v>13.04</v>
      </c>
      <c r="Q2658">
        <v>13.04</v>
      </c>
      <c r="R2658" t="s">
        <v>30</v>
      </c>
      <c r="S2658">
        <v>29</v>
      </c>
      <c r="T2658">
        <v>1</v>
      </c>
      <c r="U2658">
        <v>3</v>
      </c>
      <c r="V2658">
        <v>117.33</v>
      </c>
      <c r="W2658">
        <v>13130002656</v>
      </c>
    </row>
    <row r="2659" spans="1:23" x14ac:dyDescent="0.2">
      <c r="A2659" s="1">
        <v>44793</v>
      </c>
      <c r="B2659" s="2">
        <v>0.73133101851851856</v>
      </c>
      <c r="C2659">
        <v>3657</v>
      </c>
      <c r="D2659">
        <v>13002561</v>
      </c>
      <c r="E2659">
        <v>13</v>
      </c>
      <c r="F2659">
        <v>22589</v>
      </c>
      <c r="G2659" t="s">
        <v>23</v>
      </c>
      <c r="H2659">
        <v>15</v>
      </c>
      <c r="I2659">
        <v>16375</v>
      </c>
      <c r="J2659" t="s">
        <v>128</v>
      </c>
      <c r="K2659" t="s">
        <v>28</v>
      </c>
      <c r="L2659" t="s">
        <v>36</v>
      </c>
      <c r="M2659">
        <v>1</v>
      </c>
      <c r="N2659">
        <v>335.43</v>
      </c>
      <c r="O2659">
        <v>533.73</v>
      </c>
      <c r="P2659">
        <v>53.37</v>
      </c>
      <c r="Q2659">
        <v>53.37</v>
      </c>
      <c r="R2659" t="s">
        <v>30</v>
      </c>
      <c r="S2659">
        <v>29</v>
      </c>
      <c r="T2659">
        <v>1</v>
      </c>
      <c r="U2659">
        <v>5</v>
      </c>
      <c r="V2659">
        <v>480.36</v>
      </c>
      <c r="W2659">
        <v>13130002657</v>
      </c>
    </row>
    <row r="2660" spans="1:23" x14ac:dyDescent="0.2">
      <c r="A2660" s="1">
        <v>44796</v>
      </c>
      <c r="B2660" s="2">
        <v>0.55465277777777777</v>
      </c>
      <c r="C2660">
        <v>3658</v>
      </c>
      <c r="D2660">
        <v>13002561</v>
      </c>
      <c r="E2660">
        <v>13</v>
      </c>
      <c r="F2660">
        <v>22589</v>
      </c>
      <c r="G2660" t="s">
        <v>23</v>
      </c>
      <c r="H2660">
        <v>15</v>
      </c>
      <c r="I2660">
        <v>19966</v>
      </c>
      <c r="J2660" t="s">
        <v>80</v>
      </c>
      <c r="K2660" t="s">
        <v>44</v>
      </c>
      <c r="L2660" t="s">
        <v>36</v>
      </c>
      <c r="M2660">
        <v>3</v>
      </c>
      <c r="N2660">
        <v>411.92</v>
      </c>
      <c r="O2660">
        <v>517.20000000000005</v>
      </c>
      <c r="P2660">
        <v>0</v>
      </c>
      <c r="Q2660">
        <v>0</v>
      </c>
      <c r="S2660">
        <v>29</v>
      </c>
      <c r="T2660">
        <v>1</v>
      </c>
      <c r="U2660">
        <v>6</v>
      </c>
      <c r="V2660">
        <v>517.20000000000005</v>
      </c>
      <c r="W2660">
        <v>13130002658</v>
      </c>
    </row>
    <row r="2661" spans="1:23" x14ac:dyDescent="0.2">
      <c r="A2661" s="1">
        <v>44776</v>
      </c>
      <c r="B2661" s="2">
        <v>0.80274305555555558</v>
      </c>
      <c r="C2661">
        <v>3659</v>
      </c>
      <c r="D2661">
        <v>13002561</v>
      </c>
      <c r="E2661">
        <v>13</v>
      </c>
      <c r="F2661">
        <v>22589</v>
      </c>
      <c r="G2661" t="s">
        <v>23</v>
      </c>
      <c r="H2661">
        <v>15</v>
      </c>
      <c r="I2661">
        <v>61331</v>
      </c>
      <c r="J2661" t="s">
        <v>27</v>
      </c>
      <c r="K2661" t="s">
        <v>45</v>
      </c>
      <c r="L2661" t="s">
        <v>47</v>
      </c>
      <c r="M2661">
        <v>3</v>
      </c>
      <c r="N2661">
        <v>364.63</v>
      </c>
      <c r="O2661">
        <v>543.41999999999996</v>
      </c>
      <c r="P2661">
        <v>0</v>
      </c>
      <c r="Q2661">
        <v>0</v>
      </c>
      <c r="S2661">
        <v>29</v>
      </c>
      <c r="T2661">
        <v>1</v>
      </c>
      <c r="U2661">
        <v>6</v>
      </c>
      <c r="V2661">
        <v>543.41999999999996</v>
      </c>
      <c r="W2661">
        <v>13130002659</v>
      </c>
    </row>
    <row r="2662" spans="1:23" x14ac:dyDescent="0.2">
      <c r="A2662" s="1">
        <v>44789</v>
      </c>
      <c r="B2662" s="2">
        <v>0.85442129629629626</v>
      </c>
      <c r="C2662">
        <v>3660</v>
      </c>
      <c r="D2662">
        <v>13002561</v>
      </c>
      <c r="E2662">
        <v>13</v>
      </c>
      <c r="F2662">
        <v>22589</v>
      </c>
      <c r="G2662" t="s">
        <v>23</v>
      </c>
      <c r="H2662">
        <v>15</v>
      </c>
      <c r="I2662">
        <v>18243</v>
      </c>
      <c r="J2662" t="s">
        <v>118</v>
      </c>
      <c r="K2662" t="s">
        <v>28</v>
      </c>
      <c r="L2662" t="s">
        <v>39</v>
      </c>
      <c r="M2662">
        <v>2</v>
      </c>
      <c r="N2662">
        <v>239.16</v>
      </c>
      <c r="O2662">
        <v>386.47</v>
      </c>
      <c r="P2662">
        <v>38.65</v>
      </c>
      <c r="Q2662">
        <v>38.65</v>
      </c>
      <c r="R2662" t="s">
        <v>30</v>
      </c>
      <c r="S2662">
        <v>29</v>
      </c>
      <c r="T2662">
        <v>1</v>
      </c>
      <c r="U2662">
        <v>3</v>
      </c>
      <c r="V2662">
        <v>347.82</v>
      </c>
      <c r="W2662">
        <v>13130002660</v>
      </c>
    </row>
    <row r="2663" spans="1:23" x14ac:dyDescent="0.2">
      <c r="A2663" s="1">
        <v>44774</v>
      </c>
      <c r="B2663" s="2">
        <v>0.79530092592592594</v>
      </c>
      <c r="C2663">
        <v>3661</v>
      </c>
      <c r="D2663">
        <v>13002561</v>
      </c>
      <c r="E2663">
        <v>13</v>
      </c>
      <c r="F2663">
        <v>22589</v>
      </c>
      <c r="G2663" t="s">
        <v>23</v>
      </c>
      <c r="H2663">
        <v>18</v>
      </c>
      <c r="I2663">
        <v>78110</v>
      </c>
      <c r="J2663" t="s">
        <v>112</v>
      </c>
      <c r="K2663" t="s">
        <v>45</v>
      </c>
      <c r="L2663" t="s">
        <v>39</v>
      </c>
      <c r="M2663">
        <v>3</v>
      </c>
      <c r="N2663">
        <v>273.35000000000002</v>
      </c>
      <c r="O2663">
        <v>368.98</v>
      </c>
      <c r="P2663">
        <v>36.9</v>
      </c>
      <c r="Q2663">
        <v>36.9</v>
      </c>
      <c r="R2663" t="s">
        <v>30</v>
      </c>
      <c r="S2663">
        <v>29</v>
      </c>
      <c r="T2663">
        <v>1</v>
      </c>
      <c r="U2663">
        <v>2</v>
      </c>
      <c r="V2663">
        <v>332.08</v>
      </c>
      <c r="W2663">
        <v>13130002661</v>
      </c>
    </row>
    <row r="2664" spans="1:23" x14ac:dyDescent="0.2">
      <c r="A2664" s="1">
        <v>44800</v>
      </c>
      <c r="B2664" s="2">
        <v>0.53392361111111108</v>
      </c>
      <c r="C2664">
        <v>3662</v>
      </c>
      <c r="D2664">
        <v>13002561</v>
      </c>
      <c r="E2664">
        <v>13</v>
      </c>
      <c r="F2664">
        <v>22589</v>
      </c>
      <c r="G2664" t="s">
        <v>23</v>
      </c>
      <c r="H2664">
        <v>18</v>
      </c>
      <c r="I2664">
        <v>34970</v>
      </c>
      <c r="J2664" t="s">
        <v>118</v>
      </c>
      <c r="K2664" t="s">
        <v>60</v>
      </c>
      <c r="L2664" t="s">
        <v>26</v>
      </c>
      <c r="M2664">
        <v>1</v>
      </c>
      <c r="N2664">
        <v>359.02</v>
      </c>
      <c r="O2664">
        <v>526.35</v>
      </c>
      <c r="P2664">
        <v>0</v>
      </c>
      <c r="Q2664">
        <v>0</v>
      </c>
      <c r="S2664">
        <v>29</v>
      </c>
      <c r="T2664">
        <v>1</v>
      </c>
      <c r="U2664">
        <v>5</v>
      </c>
      <c r="V2664">
        <v>526.35</v>
      </c>
      <c r="W2664">
        <v>13130002662</v>
      </c>
    </row>
    <row r="2665" spans="1:23" x14ac:dyDescent="0.2">
      <c r="A2665" s="1">
        <v>44794</v>
      </c>
      <c r="B2665" s="2">
        <v>0.38461805555555562</v>
      </c>
      <c r="C2665">
        <v>3663</v>
      </c>
      <c r="D2665">
        <v>13002561</v>
      </c>
      <c r="E2665">
        <v>13</v>
      </c>
      <c r="F2665">
        <v>22589</v>
      </c>
      <c r="G2665" t="s">
        <v>23</v>
      </c>
      <c r="H2665">
        <v>18</v>
      </c>
      <c r="I2665">
        <v>83652</v>
      </c>
      <c r="J2665" t="s">
        <v>55</v>
      </c>
      <c r="K2665" t="s">
        <v>45</v>
      </c>
      <c r="L2665" t="s">
        <v>32</v>
      </c>
      <c r="M2665">
        <v>3</v>
      </c>
      <c r="N2665">
        <v>121.83</v>
      </c>
      <c r="O2665">
        <v>166.18</v>
      </c>
      <c r="P2665">
        <v>16.62</v>
      </c>
      <c r="Q2665">
        <v>16.62</v>
      </c>
      <c r="R2665" t="s">
        <v>30</v>
      </c>
      <c r="S2665">
        <v>29</v>
      </c>
      <c r="T2665">
        <v>1</v>
      </c>
      <c r="U2665">
        <v>4</v>
      </c>
      <c r="V2665">
        <v>149.56</v>
      </c>
      <c r="W2665">
        <v>13130002663</v>
      </c>
    </row>
    <row r="2666" spans="1:23" x14ac:dyDescent="0.2">
      <c r="A2666" s="1">
        <v>44787</v>
      </c>
      <c r="B2666" s="2">
        <v>0.79667824074074078</v>
      </c>
      <c r="C2666">
        <v>3664</v>
      </c>
      <c r="D2666">
        <v>13002561</v>
      </c>
      <c r="E2666">
        <v>13</v>
      </c>
      <c r="F2666">
        <v>22589</v>
      </c>
      <c r="G2666" t="s">
        <v>23</v>
      </c>
      <c r="H2666">
        <v>18</v>
      </c>
      <c r="I2666">
        <v>92739</v>
      </c>
      <c r="J2666" t="s">
        <v>102</v>
      </c>
      <c r="K2666" t="s">
        <v>60</v>
      </c>
      <c r="L2666" t="s">
        <v>34</v>
      </c>
      <c r="M2666">
        <v>1</v>
      </c>
      <c r="N2666">
        <v>232.29</v>
      </c>
      <c r="O2666">
        <v>321.42</v>
      </c>
      <c r="P2666">
        <v>16.07</v>
      </c>
      <c r="Q2666">
        <v>16.07</v>
      </c>
      <c r="R2666" t="s">
        <v>30</v>
      </c>
      <c r="S2666">
        <v>29</v>
      </c>
      <c r="T2666">
        <v>1</v>
      </c>
      <c r="U2666">
        <v>4</v>
      </c>
      <c r="V2666">
        <v>305.35000000000002</v>
      </c>
      <c r="W2666">
        <v>13130002664</v>
      </c>
    </row>
    <row r="2667" spans="1:23" x14ac:dyDescent="0.2">
      <c r="A2667" s="1">
        <v>44789</v>
      </c>
      <c r="B2667" s="2">
        <v>0.75290509259259264</v>
      </c>
      <c r="C2667">
        <v>3665</v>
      </c>
      <c r="D2667">
        <v>13002561</v>
      </c>
      <c r="E2667">
        <v>13</v>
      </c>
      <c r="F2667">
        <v>22589</v>
      </c>
      <c r="G2667" t="s">
        <v>23</v>
      </c>
      <c r="H2667">
        <v>15</v>
      </c>
      <c r="I2667">
        <v>95124</v>
      </c>
      <c r="J2667" t="s">
        <v>76</v>
      </c>
      <c r="K2667" t="s">
        <v>25</v>
      </c>
      <c r="L2667" t="s">
        <v>32</v>
      </c>
      <c r="M2667">
        <v>2</v>
      </c>
      <c r="N2667">
        <v>382.2</v>
      </c>
      <c r="O2667">
        <v>589.53</v>
      </c>
      <c r="P2667">
        <v>58.95</v>
      </c>
      <c r="Q2667">
        <v>58.95</v>
      </c>
      <c r="R2667" t="s">
        <v>30</v>
      </c>
      <c r="S2667">
        <v>29</v>
      </c>
      <c r="T2667">
        <v>1</v>
      </c>
      <c r="U2667">
        <v>3</v>
      </c>
      <c r="V2667">
        <v>530.58000000000004</v>
      </c>
      <c r="W2667">
        <v>13130002665</v>
      </c>
    </row>
    <row r="2668" spans="1:23" x14ac:dyDescent="0.2">
      <c r="A2668" s="1">
        <v>44784</v>
      </c>
      <c r="B2668" s="2">
        <v>0.88480324074074079</v>
      </c>
      <c r="C2668">
        <v>3666</v>
      </c>
      <c r="D2668">
        <v>13002561</v>
      </c>
      <c r="E2668">
        <v>13</v>
      </c>
      <c r="F2668">
        <v>22589</v>
      </c>
      <c r="G2668" t="s">
        <v>23</v>
      </c>
      <c r="H2668">
        <v>18</v>
      </c>
      <c r="I2668">
        <v>79066</v>
      </c>
      <c r="J2668" t="s">
        <v>106</v>
      </c>
      <c r="K2668" t="s">
        <v>45</v>
      </c>
      <c r="L2668" t="s">
        <v>26</v>
      </c>
      <c r="M2668">
        <v>1</v>
      </c>
      <c r="N2668">
        <v>389.11</v>
      </c>
      <c r="O2668">
        <v>534.79</v>
      </c>
      <c r="P2668">
        <v>0</v>
      </c>
      <c r="Q2668">
        <v>0</v>
      </c>
      <c r="S2668">
        <v>29</v>
      </c>
      <c r="T2668">
        <v>1</v>
      </c>
      <c r="U2668">
        <v>3</v>
      </c>
      <c r="V2668">
        <v>534.79</v>
      </c>
      <c r="W2668">
        <v>13130002666</v>
      </c>
    </row>
    <row r="2669" spans="1:23" x14ac:dyDescent="0.2">
      <c r="A2669" s="1">
        <v>44783</v>
      </c>
      <c r="B2669" s="2">
        <v>0.83527777777777779</v>
      </c>
      <c r="C2669">
        <v>3667</v>
      </c>
      <c r="D2669">
        <v>13002561</v>
      </c>
      <c r="E2669">
        <v>13</v>
      </c>
      <c r="F2669">
        <v>22589</v>
      </c>
      <c r="G2669" t="s">
        <v>23</v>
      </c>
      <c r="H2669">
        <v>15</v>
      </c>
      <c r="I2669">
        <v>28552</v>
      </c>
      <c r="J2669" t="s">
        <v>113</v>
      </c>
      <c r="K2669" t="s">
        <v>38</v>
      </c>
      <c r="L2669" t="s">
        <v>36</v>
      </c>
      <c r="M2669">
        <v>1</v>
      </c>
      <c r="N2669">
        <v>29.12</v>
      </c>
      <c r="O2669">
        <v>43.25</v>
      </c>
      <c r="P2669">
        <v>2.16</v>
      </c>
      <c r="Q2669">
        <v>2.16</v>
      </c>
      <c r="R2669" t="s">
        <v>30</v>
      </c>
      <c r="S2669">
        <v>29</v>
      </c>
      <c r="T2669">
        <v>1</v>
      </c>
      <c r="U2669">
        <v>1</v>
      </c>
      <c r="V2669">
        <v>41.09</v>
      </c>
      <c r="W2669">
        <v>13130002667</v>
      </c>
    </row>
    <row r="2670" spans="1:23" x14ac:dyDescent="0.2">
      <c r="A2670" s="1">
        <v>44788</v>
      </c>
      <c r="B2670" s="2">
        <v>0.81855324074074076</v>
      </c>
      <c r="C2670">
        <v>3668</v>
      </c>
      <c r="D2670">
        <v>13002561</v>
      </c>
      <c r="E2670">
        <v>13</v>
      </c>
      <c r="F2670">
        <v>22589</v>
      </c>
      <c r="G2670" t="s">
        <v>23</v>
      </c>
      <c r="H2670">
        <v>15</v>
      </c>
      <c r="I2670">
        <v>14509</v>
      </c>
      <c r="J2670" t="s">
        <v>90</v>
      </c>
      <c r="K2670" t="s">
        <v>45</v>
      </c>
      <c r="L2670" t="s">
        <v>39</v>
      </c>
      <c r="M2670">
        <v>1</v>
      </c>
      <c r="N2670">
        <v>6.61</v>
      </c>
      <c r="O2670">
        <v>10.56</v>
      </c>
      <c r="P2670">
        <v>0.53</v>
      </c>
      <c r="Q2670">
        <v>0.53</v>
      </c>
      <c r="R2670" t="s">
        <v>30</v>
      </c>
      <c r="S2670">
        <v>29</v>
      </c>
      <c r="T2670">
        <v>1</v>
      </c>
      <c r="U2670">
        <v>4</v>
      </c>
      <c r="V2670">
        <v>10.029999999999999</v>
      </c>
      <c r="W2670">
        <v>13130002668</v>
      </c>
    </row>
    <row r="2671" spans="1:23" x14ac:dyDescent="0.2">
      <c r="A2671" s="1">
        <v>44792</v>
      </c>
      <c r="B2671" s="2">
        <v>0.64009259259259255</v>
      </c>
      <c r="C2671">
        <v>3669</v>
      </c>
      <c r="D2671">
        <v>13002561</v>
      </c>
      <c r="E2671">
        <v>13</v>
      </c>
      <c r="F2671">
        <v>22589</v>
      </c>
      <c r="G2671" t="s">
        <v>23</v>
      </c>
      <c r="H2671">
        <v>18</v>
      </c>
      <c r="I2671">
        <v>27724</v>
      </c>
      <c r="J2671" t="s">
        <v>93</v>
      </c>
      <c r="K2671" t="s">
        <v>45</v>
      </c>
      <c r="L2671" t="s">
        <v>32</v>
      </c>
      <c r="M2671">
        <v>3</v>
      </c>
      <c r="N2671">
        <v>365.29</v>
      </c>
      <c r="O2671">
        <v>607.73</v>
      </c>
      <c r="P2671">
        <v>0</v>
      </c>
      <c r="Q2671">
        <v>0</v>
      </c>
      <c r="S2671">
        <v>29</v>
      </c>
      <c r="T2671">
        <v>1</v>
      </c>
      <c r="U2671">
        <v>4</v>
      </c>
      <c r="V2671">
        <v>607.73</v>
      </c>
      <c r="W2671">
        <v>13130002669</v>
      </c>
    </row>
    <row r="2672" spans="1:23" x14ac:dyDescent="0.2">
      <c r="A2672" s="1">
        <v>44788</v>
      </c>
      <c r="B2672" s="2">
        <v>0.39469907407407412</v>
      </c>
      <c r="C2672">
        <v>3670</v>
      </c>
      <c r="D2672">
        <v>13002561</v>
      </c>
      <c r="E2672">
        <v>13</v>
      </c>
      <c r="F2672">
        <v>22589</v>
      </c>
      <c r="G2672" t="s">
        <v>23</v>
      </c>
      <c r="H2672">
        <v>15</v>
      </c>
      <c r="I2672">
        <v>55219</v>
      </c>
      <c r="J2672" t="s">
        <v>120</v>
      </c>
      <c r="K2672" t="s">
        <v>38</v>
      </c>
      <c r="L2672" t="s">
        <v>47</v>
      </c>
      <c r="M2672">
        <v>2</v>
      </c>
      <c r="N2672">
        <v>460.48</v>
      </c>
      <c r="O2672">
        <v>751.18</v>
      </c>
      <c r="P2672">
        <v>37.56</v>
      </c>
      <c r="Q2672">
        <v>37.56</v>
      </c>
      <c r="R2672" t="s">
        <v>30</v>
      </c>
      <c r="S2672">
        <v>29</v>
      </c>
      <c r="T2672">
        <v>1</v>
      </c>
      <c r="U2672">
        <v>2</v>
      </c>
      <c r="V2672">
        <v>713.62</v>
      </c>
      <c r="W2672">
        <v>13130002670</v>
      </c>
    </row>
    <row r="2673" spans="1:23" x14ac:dyDescent="0.2">
      <c r="A2673" s="1">
        <v>44803</v>
      </c>
      <c r="B2673" s="2">
        <v>0.40738425925925931</v>
      </c>
      <c r="C2673">
        <v>3671</v>
      </c>
      <c r="D2673">
        <v>13002561</v>
      </c>
      <c r="E2673">
        <v>13</v>
      </c>
      <c r="F2673">
        <v>22589</v>
      </c>
      <c r="G2673" t="s">
        <v>23</v>
      </c>
      <c r="H2673">
        <v>18</v>
      </c>
      <c r="I2673">
        <v>29871</v>
      </c>
      <c r="J2673" t="s">
        <v>80</v>
      </c>
      <c r="K2673" t="s">
        <v>38</v>
      </c>
      <c r="L2673" t="s">
        <v>39</v>
      </c>
      <c r="M2673">
        <v>2</v>
      </c>
      <c r="N2673">
        <v>236.1</v>
      </c>
      <c r="O2673">
        <v>361.2</v>
      </c>
      <c r="P2673">
        <v>18.059999999999999</v>
      </c>
      <c r="Q2673">
        <v>18.059999999999999</v>
      </c>
      <c r="R2673" t="s">
        <v>30</v>
      </c>
      <c r="S2673">
        <v>29</v>
      </c>
      <c r="T2673">
        <v>1</v>
      </c>
      <c r="U2673">
        <v>3</v>
      </c>
      <c r="V2673">
        <v>343.14</v>
      </c>
      <c r="W2673">
        <v>13130002671</v>
      </c>
    </row>
    <row r="2674" spans="1:23" x14ac:dyDescent="0.2">
      <c r="A2674" s="1">
        <v>44787</v>
      </c>
      <c r="B2674" s="2">
        <v>0.59028935185185183</v>
      </c>
      <c r="C2674">
        <v>3672</v>
      </c>
      <c r="D2674">
        <v>13002561</v>
      </c>
      <c r="E2674">
        <v>13</v>
      </c>
      <c r="F2674">
        <v>22589</v>
      </c>
      <c r="G2674" t="s">
        <v>23</v>
      </c>
      <c r="H2674">
        <v>15</v>
      </c>
      <c r="I2674">
        <v>74884</v>
      </c>
      <c r="J2674" t="s">
        <v>57</v>
      </c>
      <c r="K2674" t="s">
        <v>44</v>
      </c>
      <c r="L2674" t="s">
        <v>47</v>
      </c>
      <c r="M2674">
        <v>2</v>
      </c>
      <c r="N2674">
        <v>295.70999999999998</v>
      </c>
      <c r="O2674">
        <v>460.43</v>
      </c>
      <c r="P2674">
        <v>0</v>
      </c>
      <c r="Q2674">
        <v>0</v>
      </c>
      <c r="S2674">
        <v>29</v>
      </c>
      <c r="T2674">
        <v>1</v>
      </c>
      <c r="U2674">
        <v>6</v>
      </c>
      <c r="V2674">
        <v>460.43</v>
      </c>
      <c r="W2674">
        <v>13130002672</v>
      </c>
    </row>
    <row r="2675" spans="1:23" x14ac:dyDescent="0.2">
      <c r="A2675" s="1">
        <v>44789</v>
      </c>
      <c r="B2675" s="2">
        <v>0.92031249999999998</v>
      </c>
      <c r="C2675">
        <v>3673</v>
      </c>
      <c r="D2675">
        <v>13002561</v>
      </c>
      <c r="E2675">
        <v>13</v>
      </c>
      <c r="F2675">
        <v>22589</v>
      </c>
      <c r="G2675" t="s">
        <v>23</v>
      </c>
      <c r="H2675">
        <v>18</v>
      </c>
      <c r="I2675">
        <v>85913</v>
      </c>
      <c r="J2675" t="s">
        <v>94</v>
      </c>
      <c r="K2675" t="s">
        <v>45</v>
      </c>
      <c r="L2675" t="s">
        <v>29</v>
      </c>
      <c r="M2675">
        <v>2</v>
      </c>
      <c r="N2675">
        <v>290.95999999999998</v>
      </c>
      <c r="O2675">
        <v>463.13</v>
      </c>
      <c r="P2675">
        <v>23.16</v>
      </c>
      <c r="Q2675">
        <v>23.16</v>
      </c>
      <c r="R2675" t="s">
        <v>30</v>
      </c>
      <c r="S2675">
        <v>29</v>
      </c>
      <c r="T2675">
        <v>1</v>
      </c>
      <c r="U2675">
        <v>1</v>
      </c>
      <c r="V2675">
        <v>439.97</v>
      </c>
      <c r="W2675">
        <v>13130002673</v>
      </c>
    </row>
    <row r="2676" spans="1:23" x14ac:dyDescent="0.2">
      <c r="A2676" s="1">
        <v>44793</v>
      </c>
      <c r="B2676" s="2">
        <v>0.50392361111111106</v>
      </c>
      <c r="C2676">
        <v>3674</v>
      </c>
      <c r="D2676">
        <v>13002561</v>
      </c>
      <c r="E2676">
        <v>13</v>
      </c>
      <c r="F2676">
        <v>22589</v>
      </c>
      <c r="G2676" t="s">
        <v>23</v>
      </c>
      <c r="H2676">
        <v>15</v>
      </c>
      <c r="I2676">
        <v>47373</v>
      </c>
      <c r="J2676" t="s">
        <v>33</v>
      </c>
      <c r="K2676" t="s">
        <v>38</v>
      </c>
      <c r="L2676" t="s">
        <v>32</v>
      </c>
      <c r="M2676">
        <v>3</v>
      </c>
      <c r="N2676">
        <v>173.96</v>
      </c>
      <c r="O2676">
        <v>276.54000000000002</v>
      </c>
      <c r="P2676">
        <v>0</v>
      </c>
      <c r="Q2676">
        <v>0</v>
      </c>
      <c r="S2676">
        <v>29</v>
      </c>
      <c r="T2676">
        <v>1</v>
      </c>
      <c r="U2676">
        <v>4</v>
      </c>
      <c r="V2676">
        <v>276.54000000000002</v>
      </c>
      <c r="W2676">
        <v>13130002674</v>
      </c>
    </row>
    <row r="2677" spans="1:23" x14ac:dyDescent="0.2">
      <c r="A2677" s="1">
        <v>44794</v>
      </c>
      <c r="B2677" s="2">
        <v>0.3606712962962963</v>
      </c>
      <c r="C2677">
        <v>3675</v>
      </c>
      <c r="D2677">
        <v>13002561</v>
      </c>
      <c r="E2677">
        <v>13</v>
      </c>
      <c r="F2677">
        <v>22589</v>
      </c>
      <c r="G2677" t="s">
        <v>23</v>
      </c>
      <c r="H2677">
        <v>15</v>
      </c>
      <c r="I2677">
        <v>69928</v>
      </c>
      <c r="J2677" t="s">
        <v>54</v>
      </c>
      <c r="K2677" t="s">
        <v>38</v>
      </c>
      <c r="L2677" t="s">
        <v>32</v>
      </c>
      <c r="M2677">
        <v>3</v>
      </c>
      <c r="N2677">
        <v>556.1</v>
      </c>
      <c r="O2677">
        <v>708.21</v>
      </c>
      <c r="P2677">
        <v>0</v>
      </c>
      <c r="Q2677">
        <v>0</v>
      </c>
      <c r="S2677">
        <v>29</v>
      </c>
      <c r="T2677">
        <v>1</v>
      </c>
      <c r="U2677">
        <v>1</v>
      </c>
      <c r="V2677">
        <v>708.21</v>
      </c>
      <c r="W2677">
        <v>13130002675</v>
      </c>
    </row>
    <row r="2678" spans="1:23" x14ac:dyDescent="0.2">
      <c r="A2678" s="1">
        <v>44802</v>
      </c>
      <c r="B2678" s="2">
        <v>0.40266203703703701</v>
      </c>
      <c r="C2678">
        <v>3676</v>
      </c>
      <c r="D2678">
        <v>13002561</v>
      </c>
      <c r="E2678">
        <v>13</v>
      </c>
      <c r="F2678">
        <v>22589</v>
      </c>
      <c r="G2678" t="s">
        <v>23</v>
      </c>
      <c r="H2678">
        <v>15</v>
      </c>
      <c r="I2678">
        <v>23408</v>
      </c>
      <c r="J2678" t="s">
        <v>90</v>
      </c>
      <c r="K2678" t="s">
        <v>60</v>
      </c>
      <c r="L2678" t="s">
        <v>29</v>
      </c>
      <c r="M2678">
        <v>3</v>
      </c>
      <c r="N2678">
        <v>569.44000000000005</v>
      </c>
      <c r="O2678">
        <v>952.05</v>
      </c>
      <c r="P2678">
        <v>47.6</v>
      </c>
      <c r="Q2678">
        <v>47.6</v>
      </c>
      <c r="R2678" t="s">
        <v>30</v>
      </c>
      <c r="S2678">
        <v>29</v>
      </c>
      <c r="T2678">
        <v>1</v>
      </c>
      <c r="U2678">
        <v>1</v>
      </c>
      <c r="V2678">
        <v>904.45</v>
      </c>
      <c r="W2678">
        <v>13130002676</v>
      </c>
    </row>
    <row r="2679" spans="1:23" x14ac:dyDescent="0.2">
      <c r="A2679" s="1">
        <v>44779</v>
      </c>
      <c r="B2679" s="2">
        <v>0.86163194444444446</v>
      </c>
      <c r="C2679">
        <v>3677</v>
      </c>
      <c r="D2679">
        <v>13002561</v>
      </c>
      <c r="E2679">
        <v>13</v>
      </c>
      <c r="F2679">
        <v>22589</v>
      </c>
      <c r="G2679" t="s">
        <v>23</v>
      </c>
      <c r="H2679">
        <v>15</v>
      </c>
      <c r="I2679">
        <v>41729</v>
      </c>
      <c r="J2679" t="s">
        <v>101</v>
      </c>
      <c r="K2679" t="s">
        <v>38</v>
      </c>
      <c r="L2679" t="s">
        <v>26</v>
      </c>
      <c r="M2679">
        <v>3</v>
      </c>
      <c r="N2679">
        <v>258.36</v>
      </c>
      <c r="O2679">
        <v>418.76</v>
      </c>
      <c r="P2679">
        <v>0</v>
      </c>
      <c r="Q2679">
        <v>0</v>
      </c>
      <c r="S2679">
        <v>29</v>
      </c>
      <c r="T2679">
        <v>1</v>
      </c>
      <c r="U2679">
        <v>2</v>
      </c>
      <c r="V2679">
        <v>418.76</v>
      </c>
      <c r="W2679">
        <v>13130002677</v>
      </c>
    </row>
    <row r="2680" spans="1:23" x14ac:dyDescent="0.2">
      <c r="A2680" s="1">
        <v>44801</v>
      </c>
      <c r="B2680" s="2">
        <v>0.42738425925925932</v>
      </c>
      <c r="C2680">
        <v>3678</v>
      </c>
      <c r="D2680">
        <v>13002561</v>
      </c>
      <c r="E2680">
        <v>13</v>
      </c>
      <c r="F2680">
        <v>22589</v>
      </c>
      <c r="G2680" t="s">
        <v>23</v>
      </c>
      <c r="H2680">
        <v>18</v>
      </c>
      <c r="I2680">
        <v>50606</v>
      </c>
      <c r="J2680" t="s">
        <v>59</v>
      </c>
      <c r="K2680" t="s">
        <v>44</v>
      </c>
      <c r="L2680" t="s">
        <v>26</v>
      </c>
      <c r="M2680">
        <v>3</v>
      </c>
      <c r="N2680">
        <v>192.17</v>
      </c>
      <c r="O2680">
        <v>242.62</v>
      </c>
      <c r="P2680">
        <v>12.13</v>
      </c>
      <c r="Q2680">
        <v>12.13</v>
      </c>
      <c r="R2680" t="s">
        <v>30</v>
      </c>
      <c r="S2680">
        <v>29</v>
      </c>
      <c r="T2680">
        <v>1</v>
      </c>
      <c r="U2680">
        <v>6</v>
      </c>
      <c r="V2680">
        <v>230.49</v>
      </c>
      <c r="W2680">
        <v>13130002678</v>
      </c>
    </row>
    <row r="2681" spans="1:23" x14ac:dyDescent="0.2">
      <c r="A2681" s="1">
        <v>44800</v>
      </c>
      <c r="B2681" s="2">
        <v>0.93711805555555561</v>
      </c>
      <c r="C2681">
        <v>3679</v>
      </c>
      <c r="D2681">
        <v>13002561</v>
      </c>
      <c r="E2681">
        <v>13</v>
      </c>
      <c r="F2681">
        <v>22589</v>
      </c>
      <c r="G2681" t="s">
        <v>23</v>
      </c>
      <c r="H2681">
        <v>15</v>
      </c>
      <c r="I2681">
        <v>48879</v>
      </c>
      <c r="J2681" t="s">
        <v>42</v>
      </c>
      <c r="K2681" t="s">
        <v>60</v>
      </c>
      <c r="L2681" t="s">
        <v>34</v>
      </c>
      <c r="M2681">
        <v>2</v>
      </c>
      <c r="N2681">
        <v>375.72</v>
      </c>
      <c r="O2681">
        <v>571.32000000000005</v>
      </c>
      <c r="P2681">
        <v>0</v>
      </c>
      <c r="Q2681">
        <v>0</v>
      </c>
      <c r="S2681">
        <v>29</v>
      </c>
      <c r="T2681">
        <v>1</v>
      </c>
      <c r="U2681">
        <v>1</v>
      </c>
      <c r="V2681">
        <v>571.32000000000005</v>
      </c>
      <c r="W2681">
        <v>13130002679</v>
      </c>
    </row>
    <row r="2682" spans="1:23" x14ac:dyDescent="0.2">
      <c r="A2682" s="1">
        <v>44784</v>
      </c>
      <c r="B2682" s="2">
        <v>0.9178587962962963</v>
      </c>
      <c r="C2682">
        <v>3680</v>
      </c>
      <c r="D2682">
        <v>13002561</v>
      </c>
      <c r="E2682">
        <v>13</v>
      </c>
      <c r="F2682">
        <v>22589</v>
      </c>
      <c r="G2682" t="s">
        <v>23</v>
      </c>
      <c r="H2682">
        <v>18</v>
      </c>
      <c r="I2682">
        <v>89199</v>
      </c>
      <c r="J2682" t="s">
        <v>54</v>
      </c>
      <c r="K2682" t="s">
        <v>25</v>
      </c>
      <c r="L2682" t="s">
        <v>26</v>
      </c>
      <c r="M2682">
        <v>2</v>
      </c>
      <c r="N2682">
        <v>76.64</v>
      </c>
      <c r="O2682">
        <v>128.81</v>
      </c>
      <c r="P2682">
        <v>6.44</v>
      </c>
      <c r="Q2682">
        <v>6.44</v>
      </c>
      <c r="R2682" t="s">
        <v>30</v>
      </c>
      <c r="S2682">
        <v>29</v>
      </c>
      <c r="T2682">
        <v>1</v>
      </c>
      <c r="U2682">
        <v>4</v>
      </c>
      <c r="V2682">
        <v>122.37</v>
      </c>
      <c r="W2682">
        <v>13130002680</v>
      </c>
    </row>
    <row r="2683" spans="1:23" x14ac:dyDescent="0.2">
      <c r="A2683" s="1">
        <v>44777</v>
      </c>
      <c r="B2683" s="2">
        <v>0.91025462962962966</v>
      </c>
      <c r="C2683">
        <v>3681</v>
      </c>
      <c r="D2683">
        <v>13002561</v>
      </c>
      <c r="E2683">
        <v>13</v>
      </c>
      <c r="F2683">
        <v>22589</v>
      </c>
      <c r="G2683" t="s">
        <v>23</v>
      </c>
      <c r="H2683">
        <v>15</v>
      </c>
      <c r="I2683">
        <v>74455</v>
      </c>
      <c r="J2683" t="s">
        <v>100</v>
      </c>
      <c r="K2683" t="s">
        <v>25</v>
      </c>
      <c r="L2683" t="s">
        <v>34</v>
      </c>
      <c r="M2683">
        <v>3</v>
      </c>
      <c r="N2683">
        <v>72.5</v>
      </c>
      <c r="O2683">
        <v>118.53</v>
      </c>
      <c r="P2683">
        <v>5.93</v>
      </c>
      <c r="Q2683">
        <v>5.93</v>
      </c>
      <c r="R2683" t="s">
        <v>30</v>
      </c>
      <c r="S2683">
        <v>29</v>
      </c>
      <c r="T2683">
        <v>1</v>
      </c>
      <c r="U2683">
        <v>5</v>
      </c>
      <c r="V2683">
        <v>112.6</v>
      </c>
      <c r="W2683">
        <v>13130002681</v>
      </c>
    </row>
    <row r="2684" spans="1:23" x14ac:dyDescent="0.2">
      <c r="A2684" s="1">
        <v>44786</v>
      </c>
      <c r="B2684" s="2">
        <v>0.72528935185185184</v>
      </c>
      <c r="C2684">
        <v>3682</v>
      </c>
      <c r="D2684">
        <v>13002561</v>
      </c>
      <c r="E2684">
        <v>13</v>
      </c>
      <c r="F2684">
        <v>22589</v>
      </c>
      <c r="G2684" t="s">
        <v>23</v>
      </c>
      <c r="H2684">
        <v>15</v>
      </c>
      <c r="I2684">
        <v>26425</v>
      </c>
      <c r="J2684" t="s">
        <v>68</v>
      </c>
      <c r="K2684" t="s">
        <v>25</v>
      </c>
      <c r="L2684" t="s">
        <v>39</v>
      </c>
      <c r="M2684">
        <v>3</v>
      </c>
      <c r="N2684">
        <v>258.20999999999998</v>
      </c>
      <c r="O2684">
        <v>438.54</v>
      </c>
      <c r="P2684">
        <v>43.85</v>
      </c>
      <c r="Q2684">
        <v>43.85</v>
      </c>
      <c r="R2684" t="s">
        <v>30</v>
      </c>
      <c r="S2684">
        <v>29</v>
      </c>
      <c r="T2684">
        <v>1</v>
      </c>
      <c r="U2684">
        <v>1</v>
      </c>
      <c r="V2684">
        <v>394.69</v>
      </c>
      <c r="W2684">
        <v>13130002682</v>
      </c>
    </row>
    <row r="2685" spans="1:23" x14ac:dyDescent="0.2">
      <c r="A2685" s="1">
        <v>44801</v>
      </c>
      <c r="B2685" s="2">
        <v>0.95553240740740741</v>
      </c>
      <c r="C2685">
        <v>3683</v>
      </c>
      <c r="D2685">
        <v>13002561</v>
      </c>
      <c r="E2685">
        <v>13</v>
      </c>
      <c r="F2685">
        <v>22589</v>
      </c>
      <c r="G2685" t="s">
        <v>23</v>
      </c>
      <c r="H2685">
        <v>18</v>
      </c>
      <c r="I2685">
        <v>33963</v>
      </c>
      <c r="J2685" t="s">
        <v>57</v>
      </c>
      <c r="K2685" t="s">
        <v>44</v>
      </c>
      <c r="L2685" t="s">
        <v>29</v>
      </c>
      <c r="M2685">
        <v>2</v>
      </c>
      <c r="N2685">
        <v>273.68</v>
      </c>
      <c r="O2685">
        <v>439.27</v>
      </c>
      <c r="P2685">
        <v>21.96</v>
      </c>
      <c r="Q2685">
        <v>21.96</v>
      </c>
      <c r="R2685" t="s">
        <v>30</v>
      </c>
      <c r="S2685">
        <v>29</v>
      </c>
      <c r="T2685">
        <v>1</v>
      </c>
      <c r="U2685">
        <v>3</v>
      </c>
      <c r="V2685">
        <v>417.31</v>
      </c>
      <c r="W2685">
        <v>13130002683</v>
      </c>
    </row>
    <row r="2686" spans="1:23" x14ac:dyDescent="0.2">
      <c r="A2686" s="1">
        <v>44784</v>
      </c>
      <c r="B2686" s="2">
        <v>0.49071759259259262</v>
      </c>
      <c r="C2686">
        <v>3684</v>
      </c>
      <c r="D2686">
        <v>13002561</v>
      </c>
      <c r="E2686">
        <v>13</v>
      </c>
      <c r="F2686">
        <v>22589</v>
      </c>
      <c r="G2686" t="s">
        <v>23</v>
      </c>
      <c r="H2686">
        <v>15</v>
      </c>
      <c r="I2686">
        <v>81056</v>
      </c>
      <c r="J2686" t="s">
        <v>108</v>
      </c>
      <c r="K2686" t="s">
        <v>28</v>
      </c>
      <c r="L2686" t="s">
        <v>47</v>
      </c>
      <c r="M2686">
        <v>2</v>
      </c>
      <c r="N2686">
        <v>503.14</v>
      </c>
      <c r="O2686">
        <v>804.53</v>
      </c>
      <c r="P2686">
        <v>40.229999999999997</v>
      </c>
      <c r="Q2686">
        <v>40.229999999999997</v>
      </c>
      <c r="R2686" t="s">
        <v>30</v>
      </c>
      <c r="S2686">
        <v>29</v>
      </c>
      <c r="T2686">
        <v>1</v>
      </c>
      <c r="U2686">
        <v>4</v>
      </c>
      <c r="V2686">
        <v>764.3</v>
      </c>
      <c r="W2686">
        <v>13130002684</v>
      </c>
    </row>
    <row r="2687" spans="1:23" x14ac:dyDescent="0.2">
      <c r="A2687" s="1">
        <v>44800</v>
      </c>
      <c r="B2687" s="2">
        <v>0.93118055555555557</v>
      </c>
      <c r="C2687">
        <v>3685</v>
      </c>
      <c r="D2687">
        <v>13002561</v>
      </c>
      <c r="E2687">
        <v>13</v>
      </c>
      <c r="F2687">
        <v>22589</v>
      </c>
      <c r="G2687" t="s">
        <v>23</v>
      </c>
      <c r="H2687">
        <v>15</v>
      </c>
      <c r="I2687">
        <v>91642</v>
      </c>
      <c r="J2687" t="s">
        <v>81</v>
      </c>
      <c r="K2687" t="s">
        <v>45</v>
      </c>
      <c r="L2687" t="s">
        <v>47</v>
      </c>
      <c r="M2687">
        <v>2</v>
      </c>
      <c r="N2687">
        <v>216.03</v>
      </c>
      <c r="O2687">
        <v>320.02999999999997</v>
      </c>
      <c r="P2687">
        <v>0</v>
      </c>
      <c r="Q2687">
        <v>0</v>
      </c>
      <c r="S2687">
        <v>29</v>
      </c>
      <c r="T2687">
        <v>1</v>
      </c>
      <c r="U2687">
        <v>2</v>
      </c>
      <c r="V2687">
        <v>320.02999999999997</v>
      </c>
      <c r="W2687">
        <v>13130002685</v>
      </c>
    </row>
    <row r="2688" spans="1:23" x14ac:dyDescent="0.2">
      <c r="A2688" s="1">
        <v>44799</v>
      </c>
      <c r="B2688" s="2">
        <v>0.45234953703703712</v>
      </c>
      <c r="C2688">
        <v>3686</v>
      </c>
      <c r="D2688">
        <v>13002561</v>
      </c>
      <c r="E2688">
        <v>13</v>
      </c>
      <c r="F2688">
        <v>22589</v>
      </c>
      <c r="G2688" t="s">
        <v>23</v>
      </c>
      <c r="H2688">
        <v>18</v>
      </c>
      <c r="I2688">
        <v>44902</v>
      </c>
      <c r="J2688" t="s">
        <v>102</v>
      </c>
      <c r="K2688" t="s">
        <v>45</v>
      </c>
      <c r="L2688" t="s">
        <v>39</v>
      </c>
      <c r="M2688">
        <v>1</v>
      </c>
      <c r="N2688">
        <v>416.35</v>
      </c>
      <c r="O2688">
        <v>535.66999999999996</v>
      </c>
      <c r="P2688">
        <v>0</v>
      </c>
      <c r="Q2688">
        <v>0</v>
      </c>
      <c r="S2688">
        <v>29</v>
      </c>
      <c r="T2688">
        <v>1</v>
      </c>
      <c r="U2688">
        <v>2</v>
      </c>
      <c r="V2688">
        <v>535.66999999999996</v>
      </c>
      <c r="W2688">
        <v>13130002686</v>
      </c>
    </row>
    <row r="2689" spans="1:23" x14ac:dyDescent="0.2">
      <c r="A2689" s="1">
        <v>44804</v>
      </c>
      <c r="B2689" s="2">
        <v>0.64089120370370367</v>
      </c>
      <c r="C2689">
        <v>3687</v>
      </c>
      <c r="D2689">
        <v>13002561</v>
      </c>
      <c r="E2689">
        <v>13</v>
      </c>
      <c r="F2689">
        <v>22589</v>
      </c>
      <c r="G2689" t="s">
        <v>23</v>
      </c>
      <c r="H2689">
        <v>15</v>
      </c>
      <c r="I2689">
        <v>51913</v>
      </c>
      <c r="J2689" t="s">
        <v>70</v>
      </c>
      <c r="K2689" t="s">
        <v>60</v>
      </c>
      <c r="L2689" t="s">
        <v>39</v>
      </c>
      <c r="M2689">
        <v>3</v>
      </c>
      <c r="N2689">
        <v>158.72</v>
      </c>
      <c r="O2689">
        <v>242.14</v>
      </c>
      <c r="P2689">
        <v>0</v>
      </c>
      <c r="Q2689">
        <v>0</v>
      </c>
      <c r="S2689">
        <v>29</v>
      </c>
      <c r="T2689">
        <v>1</v>
      </c>
      <c r="U2689">
        <v>5</v>
      </c>
      <c r="V2689">
        <v>242.14</v>
      </c>
      <c r="W2689">
        <v>13130002687</v>
      </c>
    </row>
    <row r="2690" spans="1:23" x14ac:dyDescent="0.2">
      <c r="A2690" s="1">
        <v>44798</v>
      </c>
      <c r="B2690" s="2">
        <v>0.72905092592592591</v>
      </c>
      <c r="C2690">
        <v>3688</v>
      </c>
      <c r="D2690">
        <v>13002561</v>
      </c>
      <c r="E2690">
        <v>13</v>
      </c>
      <c r="F2690">
        <v>22589</v>
      </c>
      <c r="G2690" t="s">
        <v>23</v>
      </c>
      <c r="H2690">
        <v>15</v>
      </c>
      <c r="I2690">
        <v>26337</v>
      </c>
      <c r="J2690" t="s">
        <v>119</v>
      </c>
      <c r="K2690" t="s">
        <v>44</v>
      </c>
      <c r="L2690" t="s">
        <v>32</v>
      </c>
      <c r="M2690">
        <v>1</v>
      </c>
      <c r="N2690">
        <v>519.83000000000004</v>
      </c>
      <c r="O2690">
        <v>651</v>
      </c>
      <c r="P2690">
        <v>32.549999999999997</v>
      </c>
      <c r="Q2690">
        <v>32.549999999999997</v>
      </c>
      <c r="R2690" t="s">
        <v>30</v>
      </c>
      <c r="S2690">
        <v>29</v>
      </c>
      <c r="T2690">
        <v>1</v>
      </c>
      <c r="U2690">
        <v>3</v>
      </c>
      <c r="V2690">
        <v>618.45000000000005</v>
      </c>
      <c r="W2690">
        <v>13130002688</v>
      </c>
    </row>
    <row r="2691" spans="1:23" x14ac:dyDescent="0.2">
      <c r="A2691" s="1">
        <v>44775</v>
      </c>
      <c r="B2691" s="2">
        <v>0.43238425925925927</v>
      </c>
      <c r="C2691">
        <v>3689</v>
      </c>
      <c r="D2691">
        <v>13002561</v>
      </c>
      <c r="E2691">
        <v>13</v>
      </c>
      <c r="F2691">
        <v>22589</v>
      </c>
      <c r="G2691" t="s">
        <v>23</v>
      </c>
      <c r="H2691">
        <v>15</v>
      </c>
      <c r="I2691">
        <v>91577</v>
      </c>
      <c r="J2691" t="s">
        <v>54</v>
      </c>
      <c r="K2691" t="s">
        <v>45</v>
      </c>
      <c r="L2691" t="s">
        <v>34</v>
      </c>
      <c r="M2691">
        <v>2</v>
      </c>
      <c r="N2691">
        <v>190.03</v>
      </c>
      <c r="O2691">
        <v>265.51</v>
      </c>
      <c r="P2691">
        <v>26.55</v>
      </c>
      <c r="Q2691">
        <v>26.55</v>
      </c>
      <c r="R2691" t="s">
        <v>30</v>
      </c>
      <c r="S2691">
        <v>29</v>
      </c>
      <c r="T2691">
        <v>1</v>
      </c>
      <c r="U2691">
        <v>3</v>
      </c>
      <c r="V2691">
        <v>238.96</v>
      </c>
      <c r="W2691">
        <v>13130002689</v>
      </c>
    </row>
    <row r="2692" spans="1:23" x14ac:dyDescent="0.2">
      <c r="A2692" s="1">
        <v>44779</v>
      </c>
      <c r="B2692" s="2">
        <v>0.71785879629629634</v>
      </c>
      <c r="C2692">
        <v>3690</v>
      </c>
      <c r="D2692">
        <v>13002561</v>
      </c>
      <c r="E2692">
        <v>13</v>
      </c>
      <c r="F2692">
        <v>22589</v>
      </c>
      <c r="G2692" t="s">
        <v>23</v>
      </c>
      <c r="H2692">
        <v>18</v>
      </c>
      <c r="I2692">
        <v>83570</v>
      </c>
      <c r="J2692" t="s">
        <v>104</v>
      </c>
      <c r="K2692" t="s">
        <v>60</v>
      </c>
      <c r="L2692" t="s">
        <v>29</v>
      </c>
      <c r="M2692">
        <v>2</v>
      </c>
      <c r="N2692">
        <v>209.34</v>
      </c>
      <c r="O2692">
        <v>269.04000000000002</v>
      </c>
      <c r="P2692">
        <v>13.45</v>
      </c>
      <c r="Q2692">
        <v>13.45</v>
      </c>
      <c r="R2692" t="s">
        <v>30</v>
      </c>
      <c r="S2692">
        <v>29</v>
      </c>
      <c r="T2692">
        <v>1</v>
      </c>
      <c r="U2692">
        <v>3</v>
      </c>
      <c r="V2692">
        <v>255.59</v>
      </c>
      <c r="W2692">
        <v>13130002690</v>
      </c>
    </row>
    <row r="2693" spans="1:23" x14ac:dyDescent="0.2">
      <c r="A2693" s="1">
        <v>44781</v>
      </c>
      <c r="B2693" s="2">
        <v>0.81776620370370368</v>
      </c>
      <c r="C2693">
        <v>3691</v>
      </c>
      <c r="D2693">
        <v>13002561</v>
      </c>
      <c r="E2693">
        <v>13</v>
      </c>
      <c r="F2693">
        <v>22589</v>
      </c>
      <c r="G2693" t="s">
        <v>23</v>
      </c>
      <c r="H2693">
        <v>18</v>
      </c>
      <c r="I2693">
        <v>25352</v>
      </c>
      <c r="J2693" t="s">
        <v>68</v>
      </c>
      <c r="K2693" t="s">
        <v>44</v>
      </c>
      <c r="L2693" t="s">
        <v>39</v>
      </c>
      <c r="M2693">
        <v>3</v>
      </c>
      <c r="N2693">
        <v>449.72</v>
      </c>
      <c r="O2693">
        <v>738.64</v>
      </c>
      <c r="P2693">
        <v>36.93</v>
      </c>
      <c r="Q2693">
        <v>36.93</v>
      </c>
      <c r="R2693" t="s">
        <v>30</v>
      </c>
      <c r="S2693">
        <v>29</v>
      </c>
      <c r="T2693">
        <v>1</v>
      </c>
      <c r="U2693">
        <v>2</v>
      </c>
      <c r="V2693">
        <v>701.71</v>
      </c>
      <c r="W2693">
        <v>13130002691</v>
      </c>
    </row>
    <row r="2694" spans="1:23" x14ac:dyDescent="0.2">
      <c r="A2694" s="1">
        <v>44789</v>
      </c>
      <c r="B2694" s="2">
        <v>0.33564814814814808</v>
      </c>
      <c r="C2694">
        <v>3692</v>
      </c>
      <c r="D2694">
        <v>13002561</v>
      </c>
      <c r="E2694">
        <v>13</v>
      </c>
      <c r="F2694">
        <v>22589</v>
      </c>
      <c r="G2694" t="s">
        <v>23</v>
      </c>
      <c r="H2694">
        <v>18</v>
      </c>
      <c r="I2694">
        <v>69523</v>
      </c>
      <c r="J2694" t="s">
        <v>79</v>
      </c>
      <c r="K2694" t="s">
        <v>44</v>
      </c>
      <c r="L2694" t="s">
        <v>39</v>
      </c>
      <c r="M2694">
        <v>2</v>
      </c>
      <c r="N2694">
        <v>538.91</v>
      </c>
      <c r="O2694">
        <v>869.27</v>
      </c>
      <c r="P2694">
        <v>86.93</v>
      </c>
      <c r="Q2694">
        <v>86.93</v>
      </c>
      <c r="R2694" t="s">
        <v>30</v>
      </c>
      <c r="S2694">
        <v>29</v>
      </c>
      <c r="T2694">
        <v>1</v>
      </c>
      <c r="U2694">
        <v>5</v>
      </c>
      <c r="V2694">
        <v>782.34</v>
      </c>
      <c r="W2694">
        <v>13130002692</v>
      </c>
    </row>
    <row r="2695" spans="1:23" x14ac:dyDescent="0.2">
      <c r="A2695" s="1">
        <v>44801</v>
      </c>
      <c r="B2695" s="2">
        <v>0.69787037037037036</v>
      </c>
      <c r="C2695">
        <v>3693</v>
      </c>
      <c r="D2695">
        <v>13002561</v>
      </c>
      <c r="E2695">
        <v>13</v>
      </c>
      <c r="F2695">
        <v>22589</v>
      </c>
      <c r="G2695" t="s">
        <v>23</v>
      </c>
      <c r="H2695">
        <v>18</v>
      </c>
      <c r="I2695">
        <v>40230</v>
      </c>
      <c r="J2695" t="s">
        <v>121</v>
      </c>
      <c r="K2695" t="s">
        <v>60</v>
      </c>
      <c r="L2695" t="s">
        <v>26</v>
      </c>
      <c r="M2695">
        <v>2</v>
      </c>
      <c r="N2695">
        <v>206.75</v>
      </c>
      <c r="O2695">
        <v>279.32</v>
      </c>
      <c r="P2695">
        <v>0</v>
      </c>
      <c r="Q2695">
        <v>0</v>
      </c>
      <c r="S2695">
        <v>29</v>
      </c>
      <c r="T2695">
        <v>1</v>
      </c>
      <c r="U2695">
        <v>5</v>
      </c>
      <c r="V2695">
        <v>279.32</v>
      </c>
      <c r="W2695">
        <v>13130002693</v>
      </c>
    </row>
    <row r="2696" spans="1:23" x14ac:dyDescent="0.2">
      <c r="A2696" s="1">
        <v>44785</v>
      </c>
      <c r="B2696" s="2">
        <v>0.79006944444444449</v>
      </c>
      <c r="C2696">
        <v>3694</v>
      </c>
      <c r="D2696">
        <v>13002561</v>
      </c>
      <c r="E2696">
        <v>13</v>
      </c>
      <c r="F2696">
        <v>22589</v>
      </c>
      <c r="G2696" t="s">
        <v>23</v>
      </c>
      <c r="H2696">
        <v>18</v>
      </c>
      <c r="I2696">
        <v>31815</v>
      </c>
      <c r="J2696" t="s">
        <v>86</v>
      </c>
      <c r="K2696" t="s">
        <v>25</v>
      </c>
      <c r="L2696" t="s">
        <v>32</v>
      </c>
      <c r="M2696">
        <v>1</v>
      </c>
      <c r="N2696">
        <v>305.61</v>
      </c>
      <c r="O2696">
        <v>433.34</v>
      </c>
      <c r="P2696">
        <v>21.67</v>
      </c>
      <c r="Q2696">
        <v>21.67</v>
      </c>
      <c r="R2696" t="s">
        <v>30</v>
      </c>
      <c r="S2696">
        <v>29</v>
      </c>
      <c r="T2696">
        <v>1</v>
      </c>
      <c r="U2696">
        <v>2</v>
      </c>
      <c r="V2696">
        <v>411.67</v>
      </c>
      <c r="W2696">
        <v>13130002694</v>
      </c>
    </row>
    <row r="2697" spans="1:23" x14ac:dyDescent="0.2">
      <c r="A2697" s="1">
        <v>44791</v>
      </c>
      <c r="B2697" s="2">
        <v>0.70313657407407404</v>
      </c>
      <c r="C2697">
        <v>3695</v>
      </c>
      <c r="D2697">
        <v>13002561</v>
      </c>
      <c r="E2697">
        <v>13</v>
      </c>
      <c r="F2697">
        <v>22589</v>
      </c>
      <c r="G2697" t="s">
        <v>23</v>
      </c>
      <c r="H2697">
        <v>18</v>
      </c>
      <c r="I2697">
        <v>77747</v>
      </c>
      <c r="J2697" t="s">
        <v>49</v>
      </c>
      <c r="K2697" t="s">
        <v>60</v>
      </c>
      <c r="L2697" t="s">
        <v>34</v>
      </c>
      <c r="M2697">
        <v>3</v>
      </c>
      <c r="N2697">
        <v>234.13</v>
      </c>
      <c r="O2697">
        <v>364.69</v>
      </c>
      <c r="P2697">
        <v>0</v>
      </c>
      <c r="Q2697">
        <v>0</v>
      </c>
      <c r="S2697">
        <v>29</v>
      </c>
      <c r="T2697">
        <v>1</v>
      </c>
      <c r="U2697">
        <v>4</v>
      </c>
      <c r="V2697">
        <v>364.69</v>
      </c>
      <c r="W2697">
        <v>13130002695</v>
      </c>
    </row>
    <row r="2698" spans="1:23" x14ac:dyDescent="0.2">
      <c r="A2698" s="1">
        <v>44795</v>
      </c>
      <c r="B2698" s="2">
        <v>0.36141203703703711</v>
      </c>
      <c r="C2698">
        <v>3696</v>
      </c>
      <c r="D2698">
        <v>13002561</v>
      </c>
      <c r="E2698">
        <v>13</v>
      </c>
      <c r="F2698">
        <v>22589</v>
      </c>
      <c r="G2698" t="s">
        <v>23</v>
      </c>
      <c r="H2698">
        <v>18</v>
      </c>
      <c r="I2698">
        <v>47659</v>
      </c>
      <c r="J2698" t="s">
        <v>83</v>
      </c>
      <c r="K2698" t="s">
        <v>45</v>
      </c>
      <c r="L2698" t="s">
        <v>32</v>
      </c>
      <c r="M2698">
        <v>2</v>
      </c>
      <c r="N2698">
        <v>594.42999999999995</v>
      </c>
      <c r="O2698">
        <v>939.72</v>
      </c>
      <c r="P2698">
        <v>93.97</v>
      </c>
      <c r="Q2698">
        <v>93.97</v>
      </c>
      <c r="R2698" t="s">
        <v>30</v>
      </c>
      <c r="S2698">
        <v>29</v>
      </c>
      <c r="T2698">
        <v>1</v>
      </c>
      <c r="U2698">
        <v>5</v>
      </c>
      <c r="V2698">
        <v>845.75</v>
      </c>
      <c r="W2698">
        <v>13130002696</v>
      </c>
    </row>
    <row r="2699" spans="1:23" x14ac:dyDescent="0.2">
      <c r="A2699" s="1">
        <v>44788</v>
      </c>
      <c r="B2699" s="2">
        <v>0.79706018518518518</v>
      </c>
      <c r="C2699">
        <v>3697</v>
      </c>
      <c r="D2699">
        <v>13002561</v>
      </c>
      <c r="E2699">
        <v>13</v>
      </c>
      <c r="F2699">
        <v>22589</v>
      </c>
      <c r="G2699" t="s">
        <v>23</v>
      </c>
      <c r="H2699">
        <v>18</v>
      </c>
      <c r="I2699">
        <v>49083</v>
      </c>
      <c r="J2699" t="s">
        <v>102</v>
      </c>
      <c r="K2699" t="s">
        <v>60</v>
      </c>
      <c r="L2699" t="s">
        <v>51</v>
      </c>
      <c r="M2699">
        <v>3</v>
      </c>
      <c r="N2699">
        <v>412.78</v>
      </c>
      <c r="O2699">
        <v>639.42999999999995</v>
      </c>
      <c r="P2699">
        <v>0</v>
      </c>
      <c r="Q2699">
        <v>0</v>
      </c>
      <c r="S2699">
        <v>29</v>
      </c>
      <c r="T2699">
        <v>1</v>
      </c>
      <c r="U2699">
        <v>1</v>
      </c>
      <c r="V2699">
        <v>639.42999999999995</v>
      </c>
      <c r="W2699">
        <v>13130002697</v>
      </c>
    </row>
    <row r="2700" spans="1:23" x14ac:dyDescent="0.2">
      <c r="A2700" s="1">
        <v>44790</v>
      </c>
      <c r="B2700" s="2">
        <v>0.83831018518518519</v>
      </c>
      <c r="C2700">
        <v>3698</v>
      </c>
      <c r="D2700">
        <v>13002561</v>
      </c>
      <c r="E2700">
        <v>13</v>
      </c>
      <c r="F2700">
        <v>22589</v>
      </c>
      <c r="G2700" t="s">
        <v>23</v>
      </c>
      <c r="H2700">
        <v>18</v>
      </c>
      <c r="I2700">
        <v>46325</v>
      </c>
      <c r="J2700" t="s">
        <v>43</v>
      </c>
      <c r="K2700" t="s">
        <v>25</v>
      </c>
      <c r="L2700" t="s">
        <v>29</v>
      </c>
      <c r="M2700">
        <v>2</v>
      </c>
      <c r="N2700">
        <v>187.29</v>
      </c>
      <c r="O2700">
        <v>248.65</v>
      </c>
      <c r="P2700">
        <v>0</v>
      </c>
      <c r="Q2700">
        <v>0</v>
      </c>
      <c r="S2700">
        <v>29</v>
      </c>
      <c r="T2700">
        <v>1</v>
      </c>
      <c r="U2700">
        <v>5</v>
      </c>
      <c r="V2700">
        <v>248.65</v>
      </c>
      <c r="W2700">
        <v>13130002698</v>
      </c>
    </row>
    <row r="2701" spans="1:23" x14ac:dyDescent="0.2">
      <c r="A2701" s="1">
        <v>44799</v>
      </c>
      <c r="B2701" s="2">
        <v>0.83229166666666665</v>
      </c>
      <c r="C2701">
        <v>3699</v>
      </c>
      <c r="D2701">
        <v>13002561</v>
      </c>
      <c r="E2701">
        <v>13</v>
      </c>
      <c r="F2701">
        <v>22589</v>
      </c>
      <c r="G2701" t="s">
        <v>23</v>
      </c>
      <c r="H2701">
        <v>18</v>
      </c>
      <c r="I2701">
        <v>78761</v>
      </c>
      <c r="J2701" t="s">
        <v>67</v>
      </c>
      <c r="K2701" t="s">
        <v>60</v>
      </c>
      <c r="L2701" t="s">
        <v>26</v>
      </c>
      <c r="M2701">
        <v>3</v>
      </c>
      <c r="N2701">
        <v>345.94</v>
      </c>
      <c r="O2701">
        <v>464.48</v>
      </c>
      <c r="P2701">
        <v>46.45</v>
      </c>
      <c r="Q2701">
        <v>46.45</v>
      </c>
      <c r="R2701" t="s">
        <v>30</v>
      </c>
      <c r="S2701">
        <v>29</v>
      </c>
      <c r="T2701">
        <v>1</v>
      </c>
      <c r="U2701">
        <v>3</v>
      </c>
      <c r="V2701">
        <v>418.03</v>
      </c>
      <c r="W2701">
        <v>13130002699</v>
      </c>
    </row>
    <row r="2702" spans="1:23" x14ac:dyDescent="0.2">
      <c r="A2702" s="1">
        <v>44784</v>
      </c>
      <c r="B2702" s="2">
        <v>0.74008101851851849</v>
      </c>
      <c r="C2702">
        <v>3700</v>
      </c>
      <c r="D2702">
        <v>13002561</v>
      </c>
      <c r="E2702">
        <v>13</v>
      </c>
      <c r="F2702">
        <v>22589</v>
      </c>
      <c r="G2702" t="s">
        <v>23</v>
      </c>
      <c r="H2702">
        <v>18</v>
      </c>
      <c r="I2702">
        <v>67763</v>
      </c>
      <c r="J2702" t="s">
        <v>96</v>
      </c>
      <c r="K2702" t="s">
        <v>38</v>
      </c>
      <c r="L2702" t="s">
        <v>26</v>
      </c>
      <c r="M2702">
        <v>3</v>
      </c>
      <c r="N2702">
        <v>532.76</v>
      </c>
      <c r="O2702">
        <v>792.32</v>
      </c>
      <c r="P2702">
        <v>0</v>
      </c>
      <c r="Q2702">
        <v>0</v>
      </c>
      <c r="S2702">
        <v>29</v>
      </c>
      <c r="T2702">
        <v>1</v>
      </c>
      <c r="U2702">
        <v>2</v>
      </c>
      <c r="V2702">
        <v>792.32</v>
      </c>
      <c r="W2702">
        <v>13130002700</v>
      </c>
    </row>
    <row r="2703" spans="1:23" x14ac:dyDescent="0.2">
      <c r="A2703" s="1">
        <v>44786</v>
      </c>
      <c r="B2703" s="2">
        <v>0.75556712962962957</v>
      </c>
      <c r="C2703">
        <v>3701</v>
      </c>
      <c r="D2703">
        <v>13002561</v>
      </c>
      <c r="E2703">
        <v>13</v>
      </c>
      <c r="F2703">
        <v>22589</v>
      </c>
      <c r="G2703" t="s">
        <v>23</v>
      </c>
      <c r="H2703">
        <v>18</v>
      </c>
      <c r="I2703">
        <v>29377</v>
      </c>
      <c r="J2703" t="s">
        <v>78</v>
      </c>
      <c r="K2703" t="s">
        <v>28</v>
      </c>
      <c r="L2703" t="s">
        <v>51</v>
      </c>
      <c r="M2703">
        <v>2</v>
      </c>
      <c r="N2703">
        <v>517.22</v>
      </c>
      <c r="O2703">
        <v>823.75</v>
      </c>
      <c r="P2703">
        <v>82.38</v>
      </c>
      <c r="Q2703">
        <v>82.38</v>
      </c>
      <c r="R2703" t="s">
        <v>30</v>
      </c>
      <c r="S2703">
        <v>29</v>
      </c>
      <c r="T2703">
        <v>1</v>
      </c>
      <c r="U2703">
        <v>3</v>
      </c>
      <c r="V2703">
        <v>741.37</v>
      </c>
      <c r="W2703">
        <v>13130002701</v>
      </c>
    </row>
    <row r="2704" spans="1:23" x14ac:dyDescent="0.2">
      <c r="A2704" s="1">
        <v>44784</v>
      </c>
      <c r="B2704" s="2">
        <v>0.90079861111111115</v>
      </c>
      <c r="C2704">
        <v>3702</v>
      </c>
      <c r="D2704">
        <v>13002561</v>
      </c>
      <c r="E2704">
        <v>13</v>
      </c>
      <c r="F2704">
        <v>22589</v>
      </c>
      <c r="G2704" t="s">
        <v>23</v>
      </c>
      <c r="H2704">
        <v>15</v>
      </c>
      <c r="I2704">
        <v>74936</v>
      </c>
      <c r="J2704" t="s">
        <v>35</v>
      </c>
      <c r="K2704" t="s">
        <v>38</v>
      </c>
      <c r="L2704" t="s">
        <v>32</v>
      </c>
      <c r="M2704">
        <v>1</v>
      </c>
      <c r="N2704">
        <v>449.46</v>
      </c>
      <c r="O2704">
        <v>732.05</v>
      </c>
      <c r="P2704">
        <v>36.6</v>
      </c>
      <c r="Q2704">
        <v>36.6</v>
      </c>
      <c r="R2704" t="s">
        <v>30</v>
      </c>
      <c r="S2704">
        <v>29</v>
      </c>
      <c r="T2704">
        <v>1</v>
      </c>
      <c r="U2704">
        <v>4</v>
      </c>
      <c r="V2704">
        <v>695.45</v>
      </c>
      <c r="W2704">
        <v>13130002702</v>
      </c>
    </row>
    <row r="2705" spans="1:23" x14ac:dyDescent="0.2">
      <c r="A2705" s="1">
        <v>44787</v>
      </c>
      <c r="B2705" s="2">
        <v>0.66445601851851854</v>
      </c>
      <c r="C2705">
        <v>3703</v>
      </c>
      <c r="D2705">
        <v>13002561</v>
      </c>
      <c r="E2705">
        <v>13</v>
      </c>
      <c r="F2705">
        <v>22589</v>
      </c>
      <c r="G2705" t="s">
        <v>23</v>
      </c>
      <c r="H2705">
        <v>18</v>
      </c>
      <c r="I2705">
        <v>51436</v>
      </c>
      <c r="J2705" t="s">
        <v>80</v>
      </c>
      <c r="K2705" t="s">
        <v>38</v>
      </c>
      <c r="L2705" t="s">
        <v>47</v>
      </c>
      <c r="M2705">
        <v>2</v>
      </c>
      <c r="N2705">
        <v>200.45</v>
      </c>
      <c r="O2705">
        <v>317.39999999999998</v>
      </c>
      <c r="P2705">
        <v>0</v>
      </c>
      <c r="Q2705">
        <v>0</v>
      </c>
      <c r="S2705">
        <v>29</v>
      </c>
      <c r="T2705">
        <v>1</v>
      </c>
      <c r="U2705">
        <v>2</v>
      </c>
      <c r="V2705">
        <v>317.39999999999998</v>
      </c>
      <c r="W2705">
        <v>13130002703</v>
      </c>
    </row>
    <row r="2706" spans="1:23" x14ac:dyDescent="0.2">
      <c r="A2706" s="1">
        <v>44798</v>
      </c>
      <c r="B2706" s="2">
        <v>0.66487268518518516</v>
      </c>
      <c r="C2706">
        <v>3704</v>
      </c>
      <c r="D2706">
        <v>13002561</v>
      </c>
      <c r="E2706">
        <v>13</v>
      </c>
      <c r="F2706">
        <v>22589</v>
      </c>
      <c r="G2706" t="s">
        <v>23</v>
      </c>
      <c r="H2706">
        <v>18</v>
      </c>
      <c r="I2706">
        <v>56710</v>
      </c>
      <c r="J2706" t="s">
        <v>63</v>
      </c>
      <c r="K2706" t="s">
        <v>28</v>
      </c>
      <c r="L2706" t="s">
        <v>47</v>
      </c>
      <c r="M2706">
        <v>3</v>
      </c>
      <c r="N2706">
        <v>82.72</v>
      </c>
      <c r="O2706">
        <v>116.47</v>
      </c>
      <c r="P2706">
        <v>5.82</v>
      </c>
      <c r="Q2706">
        <v>5.82</v>
      </c>
      <c r="R2706" t="s">
        <v>30</v>
      </c>
      <c r="S2706">
        <v>29</v>
      </c>
      <c r="T2706">
        <v>1</v>
      </c>
      <c r="U2706">
        <v>4</v>
      </c>
      <c r="V2706">
        <v>110.65</v>
      </c>
      <c r="W2706">
        <v>13130002704</v>
      </c>
    </row>
    <row r="2707" spans="1:23" x14ac:dyDescent="0.2">
      <c r="A2707" s="1">
        <v>44796</v>
      </c>
      <c r="B2707" s="2">
        <v>0.68743055555555554</v>
      </c>
      <c r="C2707">
        <v>3705</v>
      </c>
      <c r="D2707">
        <v>13002561</v>
      </c>
      <c r="E2707">
        <v>13</v>
      </c>
      <c r="F2707">
        <v>22589</v>
      </c>
      <c r="G2707" t="s">
        <v>23</v>
      </c>
      <c r="H2707">
        <v>15</v>
      </c>
      <c r="I2707">
        <v>38334</v>
      </c>
      <c r="J2707" t="s">
        <v>101</v>
      </c>
      <c r="K2707" t="s">
        <v>38</v>
      </c>
      <c r="L2707" t="s">
        <v>39</v>
      </c>
      <c r="M2707">
        <v>2</v>
      </c>
      <c r="N2707">
        <v>191.53</v>
      </c>
      <c r="O2707">
        <v>250.86</v>
      </c>
      <c r="P2707">
        <v>0</v>
      </c>
      <c r="Q2707">
        <v>0</v>
      </c>
      <c r="S2707">
        <v>29</v>
      </c>
      <c r="T2707">
        <v>1</v>
      </c>
      <c r="U2707">
        <v>2</v>
      </c>
      <c r="V2707">
        <v>250.86</v>
      </c>
      <c r="W2707">
        <v>13130002705</v>
      </c>
    </row>
    <row r="2708" spans="1:23" x14ac:dyDescent="0.2">
      <c r="A2708" s="1">
        <v>44799</v>
      </c>
      <c r="B2708" s="2">
        <v>0.49254629629629632</v>
      </c>
      <c r="C2708">
        <v>3706</v>
      </c>
      <c r="D2708">
        <v>13002561</v>
      </c>
      <c r="E2708">
        <v>13</v>
      </c>
      <c r="F2708">
        <v>22589</v>
      </c>
      <c r="G2708" t="s">
        <v>23</v>
      </c>
      <c r="H2708">
        <v>15</v>
      </c>
      <c r="I2708">
        <v>24611</v>
      </c>
      <c r="J2708" t="s">
        <v>54</v>
      </c>
      <c r="K2708" t="s">
        <v>45</v>
      </c>
      <c r="L2708" t="s">
        <v>34</v>
      </c>
      <c r="M2708">
        <v>1</v>
      </c>
      <c r="N2708">
        <v>127.38</v>
      </c>
      <c r="O2708">
        <v>203.54</v>
      </c>
      <c r="P2708">
        <v>10.18</v>
      </c>
      <c r="Q2708">
        <v>10.18</v>
      </c>
      <c r="R2708" t="s">
        <v>30</v>
      </c>
      <c r="S2708">
        <v>29</v>
      </c>
      <c r="T2708">
        <v>1</v>
      </c>
      <c r="U2708">
        <v>5</v>
      </c>
      <c r="V2708">
        <v>193.36</v>
      </c>
      <c r="W2708">
        <v>13130002706</v>
      </c>
    </row>
    <row r="2709" spans="1:23" x14ac:dyDescent="0.2">
      <c r="A2709" s="1">
        <v>44786</v>
      </c>
      <c r="B2709" s="2">
        <v>0.74059027777777775</v>
      </c>
      <c r="C2709">
        <v>3707</v>
      </c>
      <c r="D2709">
        <v>13002561</v>
      </c>
      <c r="E2709">
        <v>13</v>
      </c>
      <c r="F2709">
        <v>22589</v>
      </c>
      <c r="G2709" t="s">
        <v>23</v>
      </c>
      <c r="H2709">
        <v>15</v>
      </c>
      <c r="I2709">
        <v>62661</v>
      </c>
      <c r="J2709" t="s">
        <v>96</v>
      </c>
      <c r="K2709" t="s">
        <v>28</v>
      </c>
      <c r="L2709" t="s">
        <v>36</v>
      </c>
      <c r="M2709">
        <v>2</v>
      </c>
      <c r="N2709">
        <v>400.99</v>
      </c>
      <c r="O2709">
        <v>506.86</v>
      </c>
      <c r="P2709">
        <v>0</v>
      </c>
      <c r="Q2709">
        <v>0</v>
      </c>
      <c r="S2709">
        <v>29</v>
      </c>
      <c r="T2709">
        <v>1</v>
      </c>
      <c r="U2709">
        <v>3</v>
      </c>
      <c r="V2709">
        <v>506.86</v>
      </c>
      <c r="W2709">
        <v>13130002707</v>
      </c>
    </row>
    <row r="2710" spans="1:23" x14ac:dyDescent="0.2">
      <c r="A2710" s="1">
        <v>44804</v>
      </c>
      <c r="B2710" s="2">
        <v>0.79416666666666669</v>
      </c>
      <c r="C2710">
        <v>3708</v>
      </c>
      <c r="D2710">
        <v>13002561</v>
      </c>
      <c r="E2710">
        <v>13</v>
      </c>
      <c r="F2710">
        <v>22589</v>
      </c>
      <c r="G2710" t="s">
        <v>23</v>
      </c>
      <c r="H2710">
        <v>15</v>
      </c>
      <c r="I2710">
        <v>57974</v>
      </c>
      <c r="J2710" t="s">
        <v>63</v>
      </c>
      <c r="K2710" t="s">
        <v>25</v>
      </c>
      <c r="L2710" t="s">
        <v>32</v>
      </c>
      <c r="M2710">
        <v>1</v>
      </c>
      <c r="N2710">
        <v>232.24</v>
      </c>
      <c r="O2710">
        <v>373.6</v>
      </c>
      <c r="P2710">
        <v>37.36</v>
      </c>
      <c r="Q2710">
        <v>37.36</v>
      </c>
      <c r="R2710" t="s">
        <v>30</v>
      </c>
      <c r="S2710">
        <v>29</v>
      </c>
      <c r="T2710">
        <v>1</v>
      </c>
      <c r="U2710">
        <v>1</v>
      </c>
      <c r="V2710">
        <v>336.24</v>
      </c>
      <c r="W2710">
        <v>13130002708</v>
      </c>
    </row>
    <row r="2711" spans="1:23" x14ac:dyDescent="0.2">
      <c r="A2711" s="1">
        <v>44784</v>
      </c>
      <c r="B2711" s="2">
        <v>0.41341435185185182</v>
      </c>
      <c r="C2711">
        <v>3709</v>
      </c>
      <c r="D2711">
        <v>13002561</v>
      </c>
      <c r="E2711">
        <v>13</v>
      </c>
      <c r="F2711">
        <v>22589</v>
      </c>
      <c r="G2711" t="s">
        <v>23</v>
      </c>
      <c r="H2711">
        <v>15</v>
      </c>
      <c r="I2711">
        <v>71660</v>
      </c>
      <c r="J2711" t="s">
        <v>115</v>
      </c>
      <c r="K2711" t="s">
        <v>28</v>
      </c>
      <c r="L2711" t="s">
        <v>26</v>
      </c>
      <c r="M2711">
        <v>3</v>
      </c>
      <c r="N2711">
        <v>153.41999999999999</v>
      </c>
      <c r="O2711">
        <v>253.13</v>
      </c>
      <c r="P2711">
        <v>25.31</v>
      </c>
      <c r="Q2711">
        <v>25.31</v>
      </c>
      <c r="R2711" t="s">
        <v>30</v>
      </c>
      <c r="S2711">
        <v>29</v>
      </c>
      <c r="T2711">
        <v>1</v>
      </c>
      <c r="U2711">
        <v>3</v>
      </c>
      <c r="V2711">
        <v>227.82</v>
      </c>
      <c r="W2711">
        <v>13130002709</v>
      </c>
    </row>
    <row r="2712" spans="1:23" x14ac:dyDescent="0.2">
      <c r="A2712" s="1">
        <v>44781</v>
      </c>
      <c r="B2712" s="2">
        <v>0.92041666666666666</v>
      </c>
      <c r="C2712">
        <v>3710</v>
      </c>
      <c r="D2712">
        <v>13002561</v>
      </c>
      <c r="E2712">
        <v>13</v>
      </c>
      <c r="F2712">
        <v>22589</v>
      </c>
      <c r="G2712" t="s">
        <v>23</v>
      </c>
      <c r="H2712">
        <v>18</v>
      </c>
      <c r="I2712">
        <v>84647</v>
      </c>
      <c r="J2712" t="s">
        <v>95</v>
      </c>
      <c r="K2712" t="s">
        <v>28</v>
      </c>
      <c r="L2712" t="s">
        <v>36</v>
      </c>
      <c r="M2712">
        <v>1</v>
      </c>
      <c r="N2712">
        <v>488.4</v>
      </c>
      <c r="O2712">
        <v>702.05</v>
      </c>
      <c r="P2712">
        <v>0</v>
      </c>
      <c r="Q2712">
        <v>0</v>
      </c>
      <c r="S2712">
        <v>29</v>
      </c>
      <c r="T2712">
        <v>1</v>
      </c>
      <c r="U2712">
        <v>1</v>
      </c>
      <c r="V2712">
        <v>702.05</v>
      </c>
      <c r="W2712">
        <v>13130002710</v>
      </c>
    </row>
    <row r="2713" spans="1:23" x14ac:dyDescent="0.2">
      <c r="A2713" s="1">
        <v>44798</v>
      </c>
      <c r="B2713" s="2">
        <v>0.47256944444444438</v>
      </c>
      <c r="C2713">
        <v>3711</v>
      </c>
      <c r="D2713">
        <v>13002561</v>
      </c>
      <c r="E2713">
        <v>13</v>
      </c>
      <c r="F2713">
        <v>22589</v>
      </c>
      <c r="G2713" t="s">
        <v>23</v>
      </c>
      <c r="H2713">
        <v>18</v>
      </c>
      <c r="I2713">
        <v>95935</v>
      </c>
      <c r="J2713" t="s">
        <v>107</v>
      </c>
      <c r="K2713" t="s">
        <v>28</v>
      </c>
      <c r="L2713" t="s">
        <v>47</v>
      </c>
      <c r="M2713">
        <v>1</v>
      </c>
      <c r="N2713">
        <v>359.9</v>
      </c>
      <c r="O2713">
        <v>533.46</v>
      </c>
      <c r="P2713">
        <v>0</v>
      </c>
      <c r="Q2713">
        <v>0</v>
      </c>
      <c r="S2713">
        <v>29</v>
      </c>
      <c r="T2713">
        <v>1</v>
      </c>
      <c r="U2713">
        <v>4</v>
      </c>
      <c r="V2713">
        <v>533.46</v>
      </c>
      <c r="W2713">
        <v>13130002711</v>
      </c>
    </row>
    <row r="2714" spans="1:23" x14ac:dyDescent="0.2">
      <c r="A2714" s="1">
        <v>44795</v>
      </c>
      <c r="B2714" s="2">
        <v>0.77292824074074074</v>
      </c>
      <c r="C2714">
        <v>3712</v>
      </c>
      <c r="D2714">
        <v>13002561</v>
      </c>
      <c r="E2714">
        <v>13</v>
      </c>
      <c r="F2714">
        <v>22589</v>
      </c>
      <c r="G2714" t="s">
        <v>23</v>
      </c>
      <c r="H2714">
        <v>18</v>
      </c>
      <c r="I2714">
        <v>44946</v>
      </c>
      <c r="J2714" t="s">
        <v>72</v>
      </c>
      <c r="K2714" t="s">
        <v>38</v>
      </c>
      <c r="L2714" t="s">
        <v>47</v>
      </c>
      <c r="M2714">
        <v>3</v>
      </c>
      <c r="N2714">
        <v>98.98</v>
      </c>
      <c r="O2714">
        <v>129.38</v>
      </c>
      <c r="P2714">
        <v>12.94</v>
      </c>
      <c r="Q2714">
        <v>12.94</v>
      </c>
      <c r="R2714" t="s">
        <v>30</v>
      </c>
      <c r="S2714">
        <v>29</v>
      </c>
      <c r="T2714">
        <v>1</v>
      </c>
      <c r="U2714">
        <v>2</v>
      </c>
      <c r="V2714">
        <v>116.44</v>
      </c>
      <c r="W2714">
        <v>13130002712</v>
      </c>
    </row>
    <row r="2715" spans="1:23" x14ac:dyDescent="0.2">
      <c r="A2715" s="1">
        <v>44780</v>
      </c>
      <c r="B2715" s="2">
        <v>0.54737268518518523</v>
      </c>
      <c r="C2715">
        <v>3713</v>
      </c>
      <c r="D2715">
        <v>13002561</v>
      </c>
      <c r="E2715">
        <v>13</v>
      </c>
      <c r="F2715">
        <v>22589</v>
      </c>
      <c r="G2715" t="s">
        <v>23</v>
      </c>
      <c r="H2715">
        <v>18</v>
      </c>
      <c r="I2715">
        <v>72251</v>
      </c>
      <c r="J2715" t="s">
        <v>99</v>
      </c>
      <c r="K2715" t="s">
        <v>60</v>
      </c>
      <c r="L2715" t="s">
        <v>29</v>
      </c>
      <c r="M2715">
        <v>1</v>
      </c>
      <c r="N2715">
        <v>512.54</v>
      </c>
      <c r="O2715">
        <v>669.35</v>
      </c>
      <c r="P2715">
        <v>0</v>
      </c>
      <c r="Q2715">
        <v>0</v>
      </c>
      <c r="S2715">
        <v>29</v>
      </c>
      <c r="T2715">
        <v>1</v>
      </c>
      <c r="U2715">
        <v>5</v>
      </c>
      <c r="V2715">
        <v>669.35</v>
      </c>
      <c r="W2715">
        <v>13130002713</v>
      </c>
    </row>
    <row r="2716" spans="1:23" x14ac:dyDescent="0.2">
      <c r="A2716" s="1">
        <v>44775</v>
      </c>
      <c r="B2716" s="2">
        <v>0.42638888888888887</v>
      </c>
      <c r="C2716">
        <v>3714</v>
      </c>
      <c r="D2716">
        <v>13002561</v>
      </c>
      <c r="E2716">
        <v>13</v>
      </c>
      <c r="F2716">
        <v>22589</v>
      </c>
      <c r="G2716" t="s">
        <v>23</v>
      </c>
      <c r="H2716">
        <v>18</v>
      </c>
      <c r="I2716">
        <v>83923</v>
      </c>
      <c r="J2716" t="s">
        <v>110</v>
      </c>
      <c r="K2716" t="s">
        <v>28</v>
      </c>
      <c r="L2716" t="s">
        <v>36</v>
      </c>
      <c r="M2716">
        <v>1</v>
      </c>
      <c r="N2716">
        <v>561.9</v>
      </c>
      <c r="O2716">
        <v>896.47</v>
      </c>
      <c r="P2716">
        <v>89.65</v>
      </c>
      <c r="Q2716">
        <v>89.65</v>
      </c>
      <c r="R2716" t="s">
        <v>30</v>
      </c>
      <c r="S2716">
        <v>29</v>
      </c>
      <c r="T2716">
        <v>1</v>
      </c>
      <c r="U2716">
        <v>1</v>
      </c>
      <c r="V2716">
        <v>806.82</v>
      </c>
      <c r="W2716">
        <v>13130002714</v>
      </c>
    </row>
    <row r="2717" spans="1:23" x14ac:dyDescent="0.2">
      <c r="A2717" s="1">
        <v>44792</v>
      </c>
      <c r="B2717" s="2">
        <v>0.36942129629629628</v>
      </c>
      <c r="C2717">
        <v>3715</v>
      </c>
      <c r="D2717">
        <v>13002561</v>
      </c>
      <c r="E2717">
        <v>13</v>
      </c>
      <c r="F2717">
        <v>22589</v>
      </c>
      <c r="G2717" t="s">
        <v>23</v>
      </c>
      <c r="H2717">
        <v>18</v>
      </c>
      <c r="I2717">
        <v>21143</v>
      </c>
      <c r="J2717" t="s">
        <v>33</v>
      </c>
      <c r="K2717" t="s">
        <v>28</v>
      </c>
      <c r="L2717" t="s">
        <v>51</v>
      </c>
      <c r="M2717">
        <v>2</v>
      </c>
      <c r="N2717">
        <v>491.16</v>
      </c>
      <c r="O2717">
        <v>651.82000000000005</v>
      </c>
      <c r="P2717">
        <v>0</v>
      </c>
      <c r="Q2717">
        <v>0</v>
      </c>
      <c r="S2717">
        <v>29</v>
      </c>
      <c r="T2717">
        <v>1</v>
      </c>
      <c r="U2717">
        <v>4</v>
      </c>
      <c r="V2717">
        <v>651.82000000000005</v>
      </c>
      <c r="W2717">
        <v>13130002715</v>
      </c>
    </row>
    <row r="2718" spans="1:23" x14ac:dyDescent="0.2">
      <c r="A2718" s="1">
        <v>44795</v>
      </c>
      <c r="B2718" s="2">
        <v>0.53560185185185183</v>
      </c>
      <c r="C2718">
        <v>3716</v>
      </c>
      <c r="D2718">
        <v>13002561</v>
      </c>
      <c r="E2718">
        <v>13</v>
      </c>
      <c r="F2718">
        <v>22589</v>
      </c>
      <c r="G2718" t="s">
        <v>23</v>
      </c>
      <c r="H2718">
        <v>18</v>
      </c>
      <c r="I2718">
        <v>74447</v>
      </c>
      <c r="J2718" t="s">
        <v>127</v>
      </c>
      <c r="K2718" t="s">
        <v>28</v>
      </c>
      <c r="L2718" t="s">
        <v>39</v>
      </c>
      <c r="M2718">
        <v>2</v>
      </c>
      <c r="N2718">
        <v>57.71</v>
      </c>
      <c r="O2718">
        <v>74.75</v>
      </c>
      <c r="P2718">
        <v>0</v>
      </c>
      <c r="Q2718">
        <v>0</v>
      </c>
      <c r="S2718">
        <v>29</v>
      </c>
      <c r="T2718">
        <v>1</v>
      </c>
      <c r="U2718">
        <v>6</v>
      </c>
      <c r="V2718">
        <v>74.75</v>
      </c>
      <c r="W2718">
        <v>13130002716</v>
      </c>
    </row>
    <row r="2719" spans="1:23" x14ac:dyDescent="0.2">
      <c r="A2719" s="1">
        <v>44782</v>
      </c>
      <c r="B2719" s="2">
        <v>0.84416666666666662</v>
      </c>
      <c r="C2719">
        <v>3717</v>
      </c>
      <c r="D2719">
        <v>13002561</v>
      </c>
      <c r="E2719">
        <v>13</v>
      </c>
      <c r="F2719">
        <v>22589</v>
      </c>
      <c r="G2719" t="s">
        <v>23</v>
      </c>
      <c r="H2719">
        <v>15</v>
      </c>
      <c r="I2719">
        <v>43892</v>
      </c>
      <c r="J2719" t="s">
        <v>112</v>
      </c>
      <c r="K2719" t="s">
        <v>38</v>
      </c>
      <c r="L2719" t="s">
        <v>34</v>
      </c>
      <c r="M2719">
        <v>1</v>
      </c>
      <c r="N2719">
        <v>381.26</v>
      </c>
      <c r="O2719">
        <v>565.34</v>
      </c>
      <c r="P2719">
        <v>28.27</v>
      </c>
      <c r="Q2719">
        <v>28.27</v>
      </c>
      <c r="R2719" t="s">
        <v>30</v>
      </c>
      <c r="S2719">
        <v>29</v>
      </c>
      <c r="T2719">
        <v>1</v>
      </c>
      <c r="U2719">
        <v>3</v>
      </c>
      <c r="V2719">
        <v>537.07000000000005</v>
      </c>
      <c r="W2719">
        <v>13130002717</v>
      </c>
    </row>
    <row r="2720" spans="1:23" x14ac:dyDescent="0.2">
      <c r="A2720" s="1">
        <v>44785</v>
      </c>
      <c r="B2720" s="2">
        <v>0.4830787037037037</v>
      </c>
      <c r="C2720">
        <v>3718</v>
      </c>
      <c r="D2720">
        <v>13002561</v>
      </c>
      <c r="E2720">
        <v>13</v>
      </c>
      <c r="F2720">
        <v>22589</v>
      </c>
      <c r="G2720" t="s">
        <v>23</v>
      </c>
      <c r="H2720">
        <v>18</v>
      </c>
      <c r="I2720">
        <v>56599</v>
      </c>
      <c r="J2720" t="s">
        <v>75</v>
      </c>
      <c r="K2720" t="s">
        <v>28</v>
      </c>
      <c r="L2720" t="s">
        <v>34</v>
      </c>
      <c r="M2720">
        <v>3</v>
      </c>
      <c r="N2720">
        <v>139.35</v>
      </c>
      <c r="O2720">
        <v>194.61</v>
      </c>
      <c r="P2720">
        <v>9.73</v>
      </c>
      <c r="Q2720">
        <v>9.73</v>
      </c>
      <c r="R2720" t="s">
        <v>30</v>
      </c>
      <c r="S2720">
        <v>29</v>
      </c>
      <c r="T2720">
        <v>1</v>
      </c>
      <c r="U2720">
        <v>5</v>
      </c>
      <c r="V2720">
        <v>184.88</v>
      </c>
      <c r="W2720">
        <v>13130002718</v>
      </c>
    </row>
    <row r="2721" spans="1:23" x14ac:dyDescent="0.2">
      <c r="A2721" s="1">
        <v>44793</v>
      </c>
      <c r="B2721" s="2">
        <v>0.52776620370370375</v>
      </c>
      <c r="C2721">
        <v>3719</v>
      </c>
      <c r="D2721">
        <v>13002561</v>
      </c>
      <c r="E2721">
        <v>13</v>
      </c>
      <c r="F2721">
        <v>22589</v>
      </c>
      <c r="G2721" t="s">
        <v>23</v>
      </c>
      <c r="H2721">
        <v>15</v>
      </c>
      <c r="I2721">
        <v>77281</v>
      </c>
      <c r="J2721" t="s">
        <v>116</v>
      </c>
      <c r="K2721" t="s">
        <v>60</v>
      </c>
      <c r="L2721" t="s">
        <v>29</v>
      </c>
      <c r="M2721">
        <v>3</v>
      </c>
      <c r="N2721">
        <v>10.36</v>
      </c>
      <c r="O2721">
        <v>16.61</v>
      </c>
      <c r="P2721">
        <v>0.83</v>
      </c>
      <c r="Q2721">
        <v>0.83</v>
      </c>
      <c r="R2721" t="s">
        <v>30</v>
      </c>
      <c r="S2721">
        <v>29</v>
      </c>
      <c r="T2721">
        <v>1</v>
      </c>
      <c r="U2721">
        <v>6</v>
      </c>
      <c r="V2721">
        <v>15.78</v>
      </c>
      <c r="W2721">
        <v>13130002719</v>
      </c>
    </row>
    <row r="2722" spans="1:23" x14ac:dyDescent="0.2">
      <c r="A2722" s="1">
        <v>44799</v>
      </c>
      <c r="B2722" s="2">
        <v>0.89025462962962965</v>
      </c>
      <c r="C2722">
        <v>3720</v>
      </c>
      <c r="D2722">
        <v>13002561</v>
      </c>
      <c r="E2722">
        <v>13</v>
      </c>
      <c r="F2722">
        <v>22589</v>
      </c>
      <c r="G2722" t="s">
        <v>23</v>
      </c>
      <c r="H2722">
        <v>15</v>
      </c>
      <c r="I2722">
        <v>30996</v>
      </c>
      <c r="J2722" t="s">
        <v>58</v>
      </c>
      <c r="K2722" t="s">
        <v>44</v>
      </c>
      <c r="L2722" t="s">
        <v>39</v>
      </c>
      <c r="M2722">
        <v>1</v>
      </c>
      <c r="N2722">
        <v>473.13</v>
      </c>
      <c r="O2722">
        <v>727.79</v>
      </c>
      <c r="P2722">
        <v>72.78</v>
      </c>
      <c r="Q2722">
        <v>72.78</v>
      </c>
      <c r="R2722" t="s">
        <v>30</v>
      </c>
      <c r="S2722">
        <v>29</v>
      </c>
      <c r="T2722">
        <v>1</v>
      </c>
      <c r="U2722">
        <v>1</v>
      </c>
      <c r="V2722">
        <v>655.01</v>
      </c>
      <c r="W2722">
        <v>13130002720</v>
      </c>
    </row>
    <row r="2723" spans="1:23" x14ac:dyDescent="0.2">
      <c r="A2723" s="1">
        <v>44775</v>
      </c>
      <c r="B2723" s="2">
        <v>0.79520833333333329</v>
      </c>
      <c r="C2723">
        <v>3721</v>
      </c>
      <c r="D2723">
        <v>13002561</v>
      </c>
      <c r="E2723">
        <v>13</v>
      </c>
      <c r="F2723">
        <v>22589</v>
      </c>
      <c r="G2723" t="s">
        <v>23</v>
      </c>
      <c r="H2723">
        <v>15</v>
      </c>
      <c r="I2723">
        <v>96408</v>
      </c>
      <c r="J2723" t="s">
        <v>102</v>
      </c>
      <c r="K2723" t="s">
        <v>60</v>
      </c>
      <c r="L2723" t="s">
        <v>26</v>
      </c>
      <c r="M2723">
        <v>2</v>
      </c>
      <c r="N2723">
        <v>88.94</v>
      </c>
      <c r="O2723">
        <v>144.02000000000001</v>
      </c>
      <c r="P2723">
        <v>7.2</v>
      </c>
      <c r="Q2723">
        <v>7.2</v>
      </c>
      <c r="R2723" t="s">
        <v>30</v>
      </c>
      <c r="S2723">
        <v>29</v>
      </c>
      <c r="T2723">
        <v>1</v>
      </c>
      <c r="U2723">
        <v>3</v>
      </c>
      <c r="V2723">
        <v>136.82</v>
      </c>
      <c r="W2723">
        <v>13130002721</v>
      </c>
    </row>
    <row r="2724" spans="1:23" x14ac:dyDescent="0.2">
      <c r="A2724" s="1">
        <v>44778</v>
      </c>
      <c r="B2724" s="2">
        <v>0.7412037037037037</v>
      </c>
      <c r="C2724">
        <v>3722</v>
      </c>
      <c r="D2724">
        <v>13002561</v>
      </c>
      <c r="E2724">
        <v>13</v>
      </c>
      <c r="F2724">
        <v>22589</v>
      </c>
      <c r="G2724" t="s">
        <v>23</v>
      </c>
      <c r="H2724">
        <v>18</v>
      </c>
      <c r="I2724">
        <v>53674</v>
      </c>
      <c r="J2724" t="s">
        <v>69</v>
      </c>
      <c r="K2724" t="s">
        <v>44</v>
      </c>
      <c r="L2724" t="s">
        <v>26</v>
      </c>
      <c r="M2724">
        <v>2</v>
      </c>
      <c r="N2724">
        <v>281.63</v>
      </c>
      <c r="O2724">
        <v>416.54</v>
      </c>
      <c r="P2724">
        <v>41.65</v>
      </c>
      <c r="Q2724">
        <v>41.65</v>
      </c>
      <c r="R2724" t="s">
        <v>30</v>
      </c>
      <c r="S2724">
        <v>29</v>
      </c>
      <c r="T2724">
        <v>1</v>
      </c>
      <c r="U2724">
        <v>5</v>
      </c>
      <c r="V2724">
        <v>374.89</v>
      </c>
      <c r="W2724">
        <v>13130002722</v>
      </c>
    </row>
    <row r="2725" spans="1:23" x14ac:dyDescent="0.2">
      <c r="A2725" s="1">
        <v>44788</v>
      </c>
      <c r="B2725" s="2">
        <v>0.34821759259259261</v>
      </c>
      <c r="C2725">
        <v>3723</v>
      </c>
      <c r="D2725">
        <v>13002561</v>
      </c>
      <c r="E2725">
        <v>13</v>
      </c>
      <c r="F2725">
        <v>22589</v>
      </c>
      <c r="G2725" t="s">
        <v>23</v>
      </c>
      <c r="H2725">
        <v>18</v>
      </c>
      <c r="I2725">
        <v>11471</v>
      </c>
      <c r="J2725" t="s">
        <v>85</v>
      </c>
      <c r="K2725" t="s">
        <v>45</v>
      </c>
      <c r="L2725" t="s">
        <v>26</v>
      </c>
      <c r="M2725">
        <v>2</v>
      </c>
      <c r="N2725">
        <v>51.78</v>
      </c>
      <c r="O2725">
        <v>87.13</v>
      </c>
      <c r="P2725">
        <v>4.3600000000000003</v>
      </c>
      <c r="Q2725">
        <v>4.3600000000000003</v>
      </c>
      <c r="R2725" t="s">
        <v>30</v>
      </c>
      <c r="S2725">
        <v>29</v>
      </c>
      <c r="T2725">
        <v>1</v>
      </c>
      <c r="U2725">
        <v>2</v>
      </c>
      <c r="V2725">
        <v>82.77</v>
      </c>
      <c r="W2725">
        <v>13130002723</v>
      </c>
    </row>
    <row r="2726" spans="1:23" x14ac:dyDescent="0.2">
      <c r="A2726" s="1">
        <v>44802</v>
      </c>
      <c r="B2726" s="2">
        <v>0.42956018518518518</v>
      </c>
      <c r="C2726">
        <v>3724</v>
      </c>
      <c r="D2726">
        <v>13002561</v>
      </c>
      <c r="E2726">
        <v>13</v>
      </c>
      <c r="F2726">
        <v>22589</v>
      </c>
      <c r="G2726" t="s">
        <v>23</v>
      </c>
      <c r="H2726">
        <v>18</v>
      </c>
      <c r="I2726">
        <v>13654</v>
      </c>
      <c r="J2726" t="s">
        <v>115</v>
      </c>
      <c r="K2726" t="s">
        <v>45</v>
      </c>
      <c r="L2726" t="s">
        <v>51</v>
      </c>
      <c r="M2726">
        <v>3</v>
      </c>
      <c r="N2726">
        <v>522.87</v>
      </c>
      <c r="O2726">
        <v>845.96</v>
      </c>
      <c r="P2726">
        <v>42.3</v>
      </c>
      <c r="Q2726">
        <v>42.3</v>
      </c>
      <c r="R2726" t="s">
        <v>30</v>
      </c>
      <c r="S2726">
        <v>29</v>
      </c>
      <c r="T2726">
        <v>1</v>
      </c>
      <c r="U2726">
        <v>1</v>
      </c>
      <c r="V2726">
        <v>803.66</v>
      </c>
      <c r="W2726">
        <v>13130002724</v>
      </c>
    </row>
    <row r="2727" spans="1:23" x14ac:dyDescent="0.2">
      <c r="A2727" s="1">
        <v>44795</v>
      </c>
      <c r="B2727" s="2">
        <v>0.48592592592592587</v>
      </c>
      <c r="C2727">
        <v>3725</v>
      </c>
      <c r="D2727">
        <v>13002561</v>
      </c>
      <c r="E2727">
        <v>13</v>
      </c>
      <c r="F2727">
        <v>22589</v>
      </c>
      <c r="G2727" t="s">
        <v>23</v>
      </c>
      <c r="H2727">
        <v>18</v>
      </c>
      <c r="I2727">
        <v>87462</v>
      </c>
      <c r="J2727" t="s">
        <v>119</v>
      </c>
      <c r="K2727" t="s">
        <v>25</v>
      </c>
      <c r="L2727" t="s">
        <v>29</v>
      </c>
      <c r="M2727">
        <v>1</v>
      </c>
      <c r="N2727">
        <v>157.47</v>
      </c>
      <c r="O2727">
        <v>202.95</v>
      </c>
      <c r="P2727">
        <v>20.3</v>
      </c>
      <c r="Q2727">
        <v>20.3</v>
      </c>
      <c r="R2727" t="s">
        <v>30</v>
      </c>
      <c r="S2727">
        <v>29</v>
      </c>
      <c r="T2727">
        <v>1</v>
      </c>
      <c r="U2727">
        <v>3</v>
      </c>
      <c r="V2727">
        <v>182.65</v>
      </c>
      <c r="W2727">
        <v>13130002725</v>
      </c>
    </row>
    <row r="2728" spans="1:23" x14ac:dyDescent="0.2">
      <c r="A2728" s="1">
        <v>44788</v>
      </c>
      <c r="B2728" s="2">
        <v>0.40406249999999999</v>
      </c>
      <c r="C2728">
        <v>3726</v>
      </c>
      <c r="D2728">
        <v>13002561</v>
      </c>
      <c r="E2728">
        <v>13</v>
      </c>
      <c r="F2728">
        <v>22589</v>
      </c>
      <c r="G2728" t="s">
        <v>23</v>
      </c>
      <c r="H2728">
        <v>18</v>
      </c>
      <c r="I2728">
        <v>23302</v>
      </c>
      <c r="J2728" t="s">
        <v>80</v>
      </c>
      <c r="K2728" t="s">
        <v>44</v>
      </c>
      <c r="L2728" t="s">
        <v>36</v>
      </c>
      <c r="M2728">
        <v>3</v>
      </c>
      <c r="N2728">
        <v>97.63</v>
      </c>
      <c r="O2728">
        <v>136.94</v>
      </c>
      <c r="P2728">
        <v>0</v>
      </c>
      <c r="Q2728">
        <v>0</v>
      </c>
      <c r="S2728">
        <v>29</v>
      </c>
      <c r="T2728">
        <v>1</v>
      </c>
      <c r="U2728">
        <v>3</v>
      </c>
      <c r="V2728">
        <v>136.94</v>
      </c>
      <c r="W2728">
        <v>13130002726</v>
      </c>
    </row>
    <row r="2729" spans="1:23" x14ac:dyDescent="0.2">
      <c r="A2729" s="1">
        <v>44781</v>
      </c>
      <c r="B2729" s="2">
        <v>0.7497800925925926</v>
      </c>
      <c r="C2729">
        <v>3727</v>
      </c>
      <c r="D2729">
        <v>13002561</v>
      </c>
      <c r="E2729">
        <v>13</v>
      </c>
      <c r="F2729">
        <v>22589</v>
      </c>
      <c r="G2729" t="s">
        <v>23</v>
      </c>
      <c r="H2729">
        <v>18</v>
      </c>
      <c r="I2729">
        <v>20333</v>
      </c>
      <c r="J2729" t="s">
        <v>118</v>
      </c>
      <c r="K2729" t="s">
        <v>25</v>
      </c>
      <c r="L2729" t="s">
        <v>47</v>
      </c>
      <c r="M2729">
        <v>3</v>
      </c>
      <c r="N2729">
        <v>273.92</v>
      </c>
      <c r="O2729">
        <v>376.78</v>
      </c>
      <c r="P2729">
        <v>37.68</v>
      </c>
      <c r="Q2729">
        <v>37.68</v>
      </c>
      <c r="R2729" t="s">
        <v>30</v>
      </c>
      <c r="S2729">
        <v>29</v>
      </c>
      <c r="T2729">
        <v>1</v>
      </c>
      <c r="U2729">
        <v>2</v>
      </c>
      <c r="V2729">
        <v>339.1</v>
      </c>
      <c r="W2729">
        <v>13130002727</v>
      </c>
    </row>
    <row r="2730" spans="1:23" x14ac:dyDescent="0.2">
      <c r="A2730" s="1">
        <v>44774</v>
      </c>
      <c r="B2730" s="2">
        <v>0.66618055555555555</v>
      </c>
      <c r="C2730">
        <v>3728</v>
      </c>
      <c r="D2730">
        <v>13002561</v>
      </c>
      <c r="E2730">
        <v>13</v>
      </c>
      <c r="F2730">
        <v>22589</v>
      </c>
      <c r="G2730" t="s">
        <v>23</v>
      </c>
      <c r="H2730">
        <v>18</v>
      </c>
      <c r="I2730">
        <v>17511</v>
      </c>
      <c r="J2730" t="s">
        <v>65</v>
      </c>
      <c r="K2730" t="s">
        <v>38</v>
      </c>
      <c r="L2730" t="s">
        <v>32</v>
      </c>
      <c r="M2730">
        <v>1</v>
      </c>
      <c r="N2730">
        <v>324.52</v>
      </c>
      <c r="O2730">
        <v>525.82000000000005</v>
      </c>
      <c r="P2730">
        <v>26.29</v>
      </c>
      <c r="Q2730">
        <v>26.29</v>
      </c>
      <c r="R2730" t="s">
        <v>30</v>
      </c>
      <c r="S2730">
        <v>29</v>
      </c>
      <c r="T2730">
        <v>1</v>
      </c>
      <c r="U2730">
        <v>1</v>
      </c>
      <c r="V2730">
        <v>499.53</v>
      </c>
      <c r="W2730">
        <v>13130002728</v>
      </c>
    </row>
    <row r="2731" spans="1:23" x14ac:dyDescent="0.2">
      <c r="A2731" s="1">
        <v>44788</v>
      </c>
      <c r="B2731" s="2">
        <v>0.83129629629629631</v>
      </c>
      <c r="C2731">
        <v>3729</v>
      </c>
      <c r="D2731">
        <v>13002561</v>
      </c>
      <c r="E2731">
        <v>13</v>
      </c>
      <c r="F2731">
        <v>22589</v>
      </c>
      <c r="G2731" t="s">
        <v>23</v>
      </c>
      <c r="H2731">
        <v>15</v>
      </c>
      <c r="I2731">
        <v>76494</v>
      </c>
      <c r="J2731" t="s">
        <v>79</v>
      </c>
      <c r="K2731" t="s">
        <v>28</v>
      </c>
      <c r="L2731" t="s">
        <v>34</v>
      </c>
      <c r="M2731">
        <v>3</v>
      </c>
      <c r="N2731">
        <v>81.62</v>
      </c>
      <c r="O2731">
        <v>120.37</v>
      </c>
      <c r="P2731">
        <v>0</v>
      </c>
      <c r="Q2731">
        <v>0</v>
      </c>
      <c r="S2731">
        <v>29</v>
      </c>
      <c r="T2731">
        <v>1</v>
      </c>
      <c r="U2731">
        <v>6</v>
      </c>
      <c r="V2731">
        <v>120.37</v>
      </c>
      <c r="W2731">
        <v>13130002729</v>
      </c>
    </row>
    <row r="2732" spans="1:23" x14ac:dyDescent="0.2">
      <c r="A2732" s="1">
        <v>44793</v>
      </c>
      <c r="B2732" s="2">
        <v>0.45805555555555549</v>
      </c>
      <c r="C2732">
        <v>3730</v>
      </c>
      <c r="D2732">
        <v>13002561</v>
      </c>
      <c r="E2732">
        <v>13</v>
      </c>
      <c r="F2732">
        <v>22589</v>
      </c>
      <c r="G2732" t="s">
        <v>23</v>
      </c>
      <c r="H2732">
        <v>15</v>
      </c>
      <c r="I2732">
        <v>81425</v>
      </c>
      <c r="J2732" t="s">
        <v>83</v>
      </c>
      <c r="K2732" t="s">
        <v>44</v>
      </c>
      <c r="L2732" t="s">
        <v>34</v>
      </c>
      <c r="M2732">
        <v>2</v>
      </c>
      <c r="N2732">
        <v>458.63</v>
      </c>
      <c r="O2732">
        <v>766.62</v>
      </c>
      <c r="P2732">
        <v>0</v>
      </c>
      <c r="Q2732">
        <v>0</v>
      </c>
      <c r="S2732">
        <v>29</v>
      </c>
      <c r="T2732">
        <v>1</v>
      </c>
      <c r="U2732">
        <v>4</v>
      </c>
      <c r="V2732">
        <v>766.62</v>
      </c>
      <c r="W2732">
        <v>13130002730</v>
      </c>
    </row>
    <row r="2733" spans="1:23" x14ac:dyDescent="0.2">
      <c r="A2733" s="1">
        <v>44778</v>
      </c>
      <c r="B2733" s="2">
        <v>0.34491898148148148</v>
      </c>
      <c r="C2733">
        <v>3731</v>
      </c>
      <c r="D2733">
        <v>13002561</v>
      </c>
      <c r="E2733">
        <v>13</v>
      </c>
      <c r="F2733">
        <v>22589</v>
      </c>
      <c r="G2733" t="s">
        <v>23</v>
      </c>
      <c r="H2733">
        <v>15</v>
      </c>
      <c r="I2733">
        <v>60256</v>
      </c>
      <c r="J2733" t="s">
        <v>115</v>
      </c>
      <c r="K2733" t="s">
        <v>44</v>
      </c>
      <c r="L2733" t="s">
        <v>47</v>
      </c>
      <c r="M2733">
        <v>3</v>
      </c>
      <c r="N2733">
        <v>8.48</v>
      </c>
      <c r="O2733">
        <v>11.03</v>
      </c>
      <c r="P2733">
        <v>0.55000000000000004</v>
      </c>
      <c r="Q2733">
        <v>0.55000000000000004</v>
      </c>
      <c r="R2733" t="s">
        <v>30</v>
      </c>
      <c r="S2733">
        <v>29</v>
      </c>
      <c r="T2733">
        <v>1</v>
      </c>
      <c r="U2733">
        <v>5</v>
      </c>
      <c r="V2733">
        <v>10.48</v>
      </c>
      <c r="W2733">
        <v>13130002731</v>
      </c>
    </row>
    <row r="2734" spans="1:23" x14ac:dyDescent="0.2">
      <c r="A2734" s="1">
        <v>44789</v>
      </c>
      <c r="B2734" s="2">
        <v>0.88107638888888884</v>
      </c>
      <c r="C2734">
        <v>3732</v>
      </c>
      <c r="D2734">
        <v>13002561</v>
      </c>
      <c r="E2734">
        <v>13</v>
      </c>
      <c r="F2734">
        <v>22589</v>
      </c>
      <c r="G2734" t="s">
        <v>23</v>
      </c>
      <c r="H2734">
        <v>18</v>
      </c>
      <c r="I2734">
        <v>90362</v>
      </c>
      <c r="J2734" t="s">
        <v>27</v>
      </c>
      <c r="K2734" t="s">
        <v>60</v>
      </c>
      <c r="L2734" t="s">
        <v>29</v>
      </c>
      <c r="M2734">
        <v>2</v>
      </c>
      <c r="N2734">
        <v>271.58999999999997</v>
      </c>
      <c r="O2734">
        <v>423.14</v>
      </c>
      <c r="P2734">
        <v>42.31</v>
      </c>
      <c r="Q2734">
        <v>42.31</v>
      </c>
      <c r="R2734" t="s">
        <v>30</v>
      </c>
      <c r="S2734">
        <v>29</v>
      </c>
      <c r="T2734">
        <v>1</v>
      </c>
      <c r="U2734">
        <v>5</v>
      </c>
      <c r="V2734">
        <v>380.83</v>
      </c>
      <c r="W2734">
        <v>13130002732</v>
      </c>
    </row>
    <row r="2735" spans="1:23" x14ac:dyDescent="0.2">
      <c r="A2735" s="1">
        <v>44799</v>
      </c>
      <c r="B2735" s="2">
        <v>0.90247685185185189</v>
      </c>
      <c r="C2735">
        <v>3733</v>
      </c>
      <c r="D2735">
        <v>13002561</v>
      </c>
      <c r="E2735">
        <v>13</v>
      </c>
      <c r="F2735">
        <v>22589</v>
      </c>
      <c r="G2735" t="s">
        <v>23</v>
      </c>
      <c r="H2735">
        <v>15</v>
      </c>
      <c r="I2735">
        <v>62439</v>
      </c>
      <c r="J2735" t="s">
        <v>31</v>
      </c>
      <c r="K2735" t="s">
        <v>45</v>
      </c>
      <c r="L2735" t="s">
        <v>34</v>
      </c>
      <c r="M2735">
        <v>3</v>
      </c>
      <c r="N2735">
        <v>274.11</v>
      </c>
      <c r="O2735">
        <v>450.28</v>
      </c>
      <c r="P2735">
        <v>0</v>
      </c>
      <c r="Q2735">
        <v>0</v>
      </c>
      <c r="S2735">
        <v>29</v>
      </c>
      <c r="T2735">
        <v>1</v>
      </c>
      <c r="U2735">
        <v>5</v>
      </c>
      <c r="V2735">
        <v>450.28</v>
      </c>
      <c r="W2735">
        <v>13130002733</v>
      </c>
    </row>
    <row r="2736" spans="1:23" x14ac:dyDescent="0.2">
      <c r="A2736" s="1">
        <v>44776</v>
      </c>
      <c r="B2736" s="2">
        <v>0.7481944444444445</v>
      </c>
      <c r="C2736">
        <v>3734</v>
      </c>
      <c r="D2736">
        <v>13002561</v>
      </c>
      <c r="E2736">
        <v>13</v>
      </c>
      <c r="F2736">
        <v>22589</v>
      </c>
      <c r="G2736" t="s">
        <v>23</v>
      </c>
      <c r="H2736">
        <v>18</v>
      </c>
      <c r="I2736">
        <v>80789</v>
      </c>
      <c r="J2736" t="s">
        <v>74</v>
      </c>
      <c r="K2736" t="s">
        <v>28</v>
      </c>
      <c r="L2736" t="s">
        <v>39</v>
      </c>
      <c r="M2736">
        <v>3</v>
      </c>
      <c r="N2736">
        <v>116.29</v>
      </c>
      <c r="O2736">
        <v>166.27</v>
      </c>
      <c r="P2736">
        <v>16.63</v>
      </c>
      <c r="Q2736">
        <v>16.63</v>
      </c>
      <c r="R2736" t="s">
        <v>30</v>
      </c>
      <c r="S2736">
        <v>29</v>
      </c>
      <c r="T2736">
        <v>1</v>
      </c>
      <c r="U2736">
        <v>4</v>
      </c>
      <c r="V2736">
        <v>149.63999999999999</v>
      </c>
      <c r="W2736">
        <v>13130002734</v>
      </c>
    </row>
    <row r="2737" spans="1:23" x14ac:dyDescent="0.2">
      <c r="A2737" s="1">
        <v>44802</v>
      </c>
      <c r="B2737" s="2">
        <v>0.49063657407407413</v>
      </c>
      <c r="C2737">
        <v>3735</v>
      </c>
      <c r="D2737">
        <v>13002561</v>
      </c>
      <c r="E2737">
        <v>13</v>
      </c>
      <c r="F2737">
        <v>22589</v>
      </c>
      <c r="G2737" t="s">
        <v>23</v>
      </c>
      <c r="H2737">
        <v>15</v>
      </c>
      <c r="I2737">
        <v>10466</v>
      </c>
      <c r="J2737" t="s">
        <v>80</v>
      </c>
      <c r="K2737" t="s">
        <v>38</v>
      </c>
      <c r="L2737" t="s">
        <v>26</v>
      </c>
      <c r="M2737">
        <v>2</v>
      </c>
      <c r="N2737">
        <v>441.8</v>
      </c>
      <c r="O2737">
        <v>643.41</v>
      </c>
      <c r="P2737">
        <v>64.34</v>
      </c>
      <c r="Q2737">
        <v>64.34</v>
      </c>
      <c r="R2737" t="s">
        <v>30</v>
      </c>
      <c r="S2737">
        <v>29</v>
      </c>
      <c r="T2737">
        <v>1</v>
      </c>
      <c r="U2737">
        <v>4</v>
      </c>
      <c r="V2737">
        <v>579.07000000000005</v>
      </c>
      <c r="W2737">
        <v>13130002735</v>
      </c>
    </row>
    <row r="2738" spans="1:23" x14ac:dyDescent="0.2">
      <c r="A2738" s="1">
        <v>44787</v>
      </c>
      <c r="B2738" s="2">
        <v>0.5675</v>
      </c>
      <c r="C2738">
        <v>3736</v>
      </c>
      <c r="D2738">
        <v>13002561</v>
      </c>
      <c r="E2738">
        <v>13</v>
      </c>
      <c r="F2738">
        <v>22589</v>
      </c>
      <c r="G2738" t="s">
        <v>23</v>
      </c>
      <c r="H2738">
        <v>15</v>
      </c>
      <c r="I2738">
        <v>98518</v>
      </c>
      <c r="J2738" t="s">
        <v>89</v>
      </c>
      <c r="K2738" t="s">
        <v>38</v>
      </c>
      <c r="L2738" t="s">
        <v>39</v>
      </c>
      <c r="M2738">
        <v>3</v>
      </c>
      <c r="N2738">
        <v>582.22</v>
      </c>
      <c r="O2738">
        <v>838.73</v>
      </c>
      <c r="P2738">
        <v>0</v>
      </c>
      <c r="Q2738">
        <v>0</v>
      </c>
      <c r="S2738">
        <v>29</v>
      </c>
      <c r="T2738">
        <v>1</v>
      </c>
      <c r="U2738">
        <v>3</v>
      </c>
      <c r="V2738">
        <v>838.73</v>
      </c>
      <c r="W2738">
        <v>13130002736</v>
      </c>
    </row>
    <row r="2739" spans="1:23" x14ac:dyDescent="0.2">
      <c r="A2739" s="1">
        <v>44795</v>
      </c>
      <c r="B2739" s="2">
        <v>0.6761342592592593</v>
      </c>
      <c r="C2739">
        <v>3737</v>
      </c>
      <c r="D2739">
        <v>13002561</v>
      </c>
      <c r="E2739">
        <v>13</v>
      </c>
      <c r="F2739">
        <v>22589</v>
      </c>
      <c r="G2739" t="s">
        <v>23</v>
      </c>
      <c r="H2739">
        <v>15</v>
      </c>
      <c r="I2739">
        <v>51683</v>
      </c>
      <c r="J2739" t="s">
        <v>96</v>
      </c>
      <c r="K2739" t="s">
        <v>38</v>
      </c>
      <c r="L2739" t="s">
        <v>36</v>
      </c>
      <c r="M2739">
        <v>3</v>
      </c>
      <c r="N2739">
        <v>344.14</v>
      </c>
      <c r="O2739">
        <v>489.23</v>
      </c>
      <c r="P2739">
        <v>0</v>
      </c>
      <c r="Q2739">
        <v>0</v>
      </c>
      <c r="S2739">
        <v>29</v>
      </c>
      <c r="T2739">
        <v>1</v>
      </c>
      <c r="U2739">
        <v>6</v>
      </c>
      <c r="V2739">
        <v>489.23</v>
      </c>
      <c r="W2739">
        <v>13130002737</v>
      </c>
    </row>
    <row r="2740" spans="1:23" x14ac:dyDescent="0.2">
      <c r="A2740" s="1">
        <v>44778</v>
      </c>
      <c r="B2740" s="2">
        <v>0.8394907407407407</v>
      </c>
      <c r="C2740">
        <v>3738</v>
      </c>
      <c r="D2740">
        <v>13002561</v>
      </c>
      <c r="E2740">
        <v>13</v>
      </c>
      <c r="F2740">
        <v>22589</v>
      </c>
      <c r="G2740" t="s">
        <v>23</v>
      </c>
      <c r="H2740">
        <v>15</v>
      </c>
      <c r="I2740">
        <v>34591</v>
      </c>
      <c r="J2740" t="s">
        <v>127</v>
      </c>
      <c r="K2740" t="s">
        <v>28</v>
      </c>
      <c r="L2740" t="s">
        <v>32</v>
      </c>
      <c r="M2740">
        <v>3</v>
      </c>
      <c r="N2740">
        <v>399.33</v>
      </c>
      <c r="O2740">
        <v>525.9</v>
      </c>
      <c r="P2740">
        <v>52.59</v>
      </c>
      <c r="Q2740">
        <v>52.59</v>
      </c>
      <c r="R2740" t="s">
        <v>30</v>
      </c>
      <c r="S2740">
        <v>29</v>
      </c>
      <c r="T2740">
        <v>1</v>
      </c>
      <c r="U2740">
        <v>1</v>
      </c>
      <c r="V2740">
        <v>473.31</v>
      </c>
      <c r="W2740">
        <v>13130002738</v>
      </c>
    </row>
    <row r="2741" spans="1:23" x14ac:dyDescent="0.2">
      <c r="A2741" s="1">
        <v>44783</v>
      </c>
      <c r="B2741" s="2">
        <v>0.37810185185185191</v>
      </c>
      <c r="C2741">
        <v>3739</v>
      </c>
      <c r="D2741">
        <v>13002561</v>
      </c>
      <c r="E2741">
        <v>13</v>
      </c>
      <c r="F2741">
        <v>22589</v>
      </c>
      <c r="G2741" t="s">
        <v>23</v>
      </c>
      <c r="H2741">
        <v>18</v>
      </c>
      <c r="I2741">
        <v>11383</v>
      </c>
      <c r="J2741" t="s">
        <v>53</v>
      </c>
      <c r="K2741" t="s">
        <v>38</v>
      </c>
      <c r="L2741" t="s">
        <v>39</v>
      </c>
      <c r="M2741">
        <v>2</v>
      </c>
      <c r="N2741">
        <v>258.36</v>
      </c>
      <c r="O2741">
        <v>404.59</v>
      </c>
      <c r="P2741">
        <v>20.23</v>
      </c>
      <c r="Q2741">
        <v>20.23</v>
      </c>
      <c r="R2741" t="s">
        <v>30</v>
      </c>
      <c r="S2741">
        <v>29</v>
      </c>
      <c r="T2741">
        <v>1</v>
      </c>
      <c r="U2741">
        <v>2</v>
      </c>
      <c r="V2741">
        <v>384.36</v>
      </c>
      <c r="W2741">
        <v>13130002739</v>
      </c>
    </row>
    <row r="2742" spans="1:23" x14ac:dyDescent="0.2">
      <c r="A2742" s="1">
        <v>44796</v>
      </c>
      <c r="B2742" s="2">
        <v>0.61092592592592587</v>
      </c>
      <c r="C2742">
        <v>3740</v>
      </c>
      <c r="D2742">
        <v>13002561</v>
      </c>
      <c r="E2742">
        <v>13</v>
      </c>
      <c r="F2742">
        <v>22589</v>
      </c>
      <c r="G2742" t="s">
        <v>23</v>
      </c>
      <c r="H2742">
        <v>15</v>
      </c>
      <c r="I2742">
        <v>81689</v>
      </c>
      <c r="J2742" t="s">
        <v>50</v>
      </c>
      <c r="K2742" t="s">
        <v>45</v>
      </c>
      <c r="L2742" t="s">
        <v>47</v>
      </c>
      <c r="M2742">
        <v>2</v>
      </c>
      <c r="N2742">
        <v>590.79999999999995</v>
      </c>
      <c r="O2742">
        <v>852.33</v>
      </c>
      <c r="P2742">
        <v>42.62</v>
      </c>
      <c r="Q2742">
        <v>42.62</v>
      </c>
      <c r="R2742" t="s">
        <v>30</v>
      </c>
      <c r="S2742">
        <v>29</v>
      </c>
      <c r="T2742">
        <v>1</v>
      </c>
      <c r="U2742">
        <v>1</v>
      </c>
      <c r="V2742">
        <v>809.71</v>
      </c>
      <c r="W2742">
        <v>13130002740</v>
      </c>
    </row>
    <row r="2743" spans="1:23" x14ac:dyDescent="0.2">
      <c r="A2743" s="1">
        <v>44788</v>
      </c>
      <c r="B2743" s="2">
        <v>0.57149305555555552</v>
      </c>
      <c r="C2743">
        <v>3741</v>
      </c>
      <c r="D2743">
        <v>13002561</v>
      </c>
      <c r="E2743">
        <v>13</v>
      </c>
      <c r="F2743">
        <v>22589</v>
      </c>
      <c r="G2743" t="s">
        <v>23</v>
      </c>
      <c r="H2743">
        <v>18</v>
      </c>
      <c r="I2743">
        <v>85561</v>
      </c>
      <c r="J2743" t="s">
        <v>84</v>
      </c>
      <c r="K2743" t="s">
        <v>60</v>
      </c>
      <c r="L2743" t="s">
        <v>39</v>
      </c>
      <c r="M2743">
        <v>3</v>
      </c>
      <c r="N2743">
        <v>350.37</v>
      </c>
      <c r="O2743">
        <v>555.69000000000005</v>
      </c>
      <c r="P2743">
        <v>0</v>
      </c>
      <c r="Q2743">
        <v>0</v>
      </c>
      <c r="S2743">
        <v>29</v>
      </c>
      <c r="T2743">
        <v>1</v>
      </c>
      <c r="U2743">
        <v>4</v>
      </c>
      <c r="V2743">
        <v>555.69000000000005</v>
      </c>
      <c r="W2743">
        <v>13130002741</v>
      </c>
    </row>
    <row r="2744" spans="1:23" x14ac:dyDescent="0.2">
      <c r="A2744" s="1">
        <v>44799</v>
      </c>
      <c r="B2744" s="2">
        <v>0.39350694444444451</v>
      </c>
      <c r="C2744">
        <v>3742</v>
      </c>
      <c r="D2744">
        <v>13002561</v>
      </c>
      <c r="E2744">
        <v>13</v>
      </c>
      <c r="F2744">
        <v>22589</v>
      </c>
      <c r="G2744" t="s">
        <v>23</v>
      </c>
      <c r="H2744">
        <v>15</v>
      </c>
      <c r="I2744">
        <v>21067</v>
      </c>
      <c r="J2744" t="s">
        <v>120</v>
      </c>
      <c r="K2744" t="s">
        <v>25</v>
      </c>
      <c r="L2744" t="s">
        <v>32</v>
      </c>
      <c r="M2744">
        <v>1</v>
      </c>
      <c r="N2744">
        <v>141.54</v>
      </c>
      <c r="O2744">
        <v>203.37</v>
      </c>
      <c r="P2744">
        <v>20.34</v>
      </c>
      <c r="Q2744">
        <v>20.34</v>
      </c>
      <c r="R2744" t="s">
        <v>30</v>
      </c>
      <c r="S2744">
        <v>29</v>
      </c>
      <c r="T2744">
        <v>1</v>
      </c>
      <c r="U2744">
        <v>3</v>
      </c>
      <c r="V2744">
        <v>183.03</v>
      </c>
      <c r="W2744">
        <v>13130002742</v>
      </c>
    </row>
    <row r="2745" spans="1:23" x14ac:dyDescent="0.2">
      <c r="A2745" s="1">
        <v>44779</v>
      </c>
      <c r="B2745" s="2">
        <v>0.61920138888888887</v>
      </c>
      <c r="C2745">
        <v>3743</v>
      </c>
      <c r="D2745">
        <v>13002561</v>
      </c>
      <c r="E2745">
        <v>13</v>
      </c>
      <c r="F2745">
        <v>22589</v>
      </c>
      <c r="G2745" t="s">
        <v>23</v>
      </c>
      <c r="H2745">
        <v>15</v>
      </c>
      <c r="I2745">
        <v>23362</v>
      </c>
      <c r="J2745" t="s">
        <v>123</v>
      </c>
      <c r="K2745" t="s">
        <v>28</v>
      </c>
      <c r="L2745" t="s">
        <v>51</v>
      </c>
      <c r="M2745">
        <v>3</v>
      </c>
      <c r="N2745">
        <v>532.45000000000005</v>
      </c>
      <c r="O2745">
        <v>699.91</v>
      </c>
      <c r="P2745">
        <v>35</v>
      </c>
      <c r="Q2745">
        <v>35</v>
      </c>
      <c r="R2745" t="s">
        <v>30</v>
      </c>
      <c r="S2745">
        <v>29</v>
      </c>
      <c r="T2745">
        <v>1</v>
      </c>
      <c r="U2745">
        <v>1</v>
      </c>
      <c r="V2745">
        <v>664.91</v>
      </c>
      <c r="W2745">
        <v>13130002743</v>
      </c>
    </row>
    <row r="2746" spans="1:23" x14ac:dyDescent="0.2">
      <c r="A2746" s="1">
        <v>44777</v>
      </c>
      <c r="B2746" s="2">
        <v>0.68168981481481483</v>
      </c>
      <c r="C2746">
        <v>3744</v>
      </c>
      <c r="D2746">
        <v>13002561</v>
      </c>
      <c r="E2746">
        <v>13</v>
      </c>
      <c r="F2746">
        <v>22589</v>
      </c>
      <c r="G2746" t="s">
        <v>23</v>
      </c>
      <c r="H2746">
        <v>15</v>
      </c>
      <c r="I2746">
        <v>91366</v>
      </c>
      <c r="J2746" t="s">
        <v>111</v>
      </c>
      <c r="K2746" t="s">
        <v>38</v>
      </c>
      <c r="L2746" t="s">
        <v>36</v>
      </c>
      <c r="M2746">
        <v>1</v>
      </c>
      <c r="N2746">
        <v>452.76</v>
      </c>
      <c r="O2746">
        <v>574.12</v>
      </c>
      <c r="P2746">
        <v>0</v>
      </c>
      <c r="Q2746">
        <v>0</v>
      </c>
      <c r="S2746">
        <v>29</v>
      </c>
      <c r="T2746">
        <v>1</v>
      </c>
      <c r="U2746">
        <v>5</v>
      </c>
      <c r="V2746">
        <v>574.12</v>
      </c>
      <c r="W2746">
        <v>13130002744</v>
      </c>
    </row>
    <row r="2747" spans="1:23" x14ac:dyDescent="0.2">
      <c r="A2747" s="1">
        <v>44777</v>
      </c>
      <c r="B2747" s="2">
        <v>0.58803240740740736</v>
      </c>
      <c r="C2747">
        <v>3745</v>
      </c>
      <c r="D2747">
        <v>13002561</v>
      </c>
      <c r="E2747">
        <v>13</v>
      </c>
      <c r="F2747">
        <v>22589</v>
      </c>
      <c r="G2747" t="s">
        <v>23</v>
      </c>
      <c r="H2747">
        <v>18</v>
      </c>
      <c r="I2747">
        <v>89337</v>
      </c>
      <c r="J2747" t="s">
        <v>46</v>
      </c>
      <c r="K2747" t="s">
        <v>38</v>
      </c>
      <c r="L2747" t="s">
        <v>26</v>
      </c>
      <c r="M2747">
        <v>2</v>
      </c>
      <c r="N2747">
        <v>588.78</v>
      </c>
      <c r="O2747">
        <v>770.59</v>
      </c>
      <c r="P2747">
        <v>77.06</v>
      </c>
      <c r="Q2747">
        <v>77.06</v>
      </c>
      <c r="R2747" t="s">
        <v>30</v>
      </c>
      <c r="S2747">
        <v>29</v>
      </c>
      <c r="T2747">
        <v>1</v>
      </c>
      <c r="U2747">
        <v>4</v>
      </c>
      <c r="V2747">
        <v>693.53</v>
      </c>
      <c r="W2747">
        <v>13130002745</v>
      </c>
    </row>
    <row r="2748" spans="1:23" x14ac:dyDescent="0.2">
      <c r="A2748" s="1">
        <v>44790</v>
      </c>
      <c r="B2748" s="2">
        <v>0.35925925925925928</v>
      </c>
      <c r="C2748">
        <v>3746</v>
      </c>
      <c r="D2748">
        <v>13002561</v>
      </c>
      <c r="E2748">
        <v>13</v>
      </c>
      <c r="F2748">
        <v>22589</v>
      </c>
      <c r="G2748" t="s">
        <v>23</v>
      </c>
      <c r="H2748">
        <v>18</v>
      </c>
      <c r="I2748">
        <v>16328</v>
      </c>
      <c r="J2748" t="s">
        <v>83</v>
      </c>
      <c r="K2748" t="s">
        <v>38</v>
      </c>
      <c r="L2748" t="s">
        <v>34</v>
      </c>
      <c r="M2748">
        <v>2</v>
      </c>
      <c r="N2748">
        <v>201.29</v>
      </c>
      <c r="O2748">
        <v>270.2</v>
      </c>
      <c r="P2748">
        <v>0</v>
      </c>
      <c r="Q2748">
        <v>0</v>
      </c>
      <c r="S2748">
        <v>29</v>
      </c>
      <c r="T2748">
        <v>1</v>
      </c>
      <c r="U2748">
        <v>2</v>
      </c>
      <c r="V2748">
        <v>270.2</v>
      </c>
      <c r="W2748">
        <v>13130002746</v>
      </c>
    </row>
    <row r="2749" spans="1:23" x14ac:dyDescent="0.2">
      <c r="A2749" s="1">
        <v>44790</v>
      </c>
      <c r="B2749" s="2">
        <v>0.85711805555555554</v>
      </c>
      <c r="C2749">
        <v>3747</v>
      </c>
      <c r="D2749">
        <v>13002561</v>
      </c>
      <c r="E2749">
        <v>13</v>
      </c>
      <c r="F2749">
        <v>22589</v>
      </c>
      <c r="G2749" t="s">
        <v>23</v>
      </c>
      <c r="H2749">
        <v>18</v>
      </c>
      <c r="I2749">
        <v>69527</v>
      </c>
      <c r="J2749" t="s">
        <v>75</v>
      </c>
      <c r="K2749" t="s">
        <v>25</v>
      </c>
      <c r="L2749" t="s">
        <v>36</v>
      </c>
      <c r="M2749">
        <v>1</v>
      </c>
      <c r="N2749">
        <v>316.23</v>
      </c>
      <c r="O2749">
        <v>452.67</v>
      </c>
      <c r="P2749">
        <v>45.27</v>
      </c>
      <c r="Q2749">
        <v>45.27</v>
      </c>
      <c r="R2749" t="s">
        <v>30</v>
      </c>
      <c r="S2749">
        <v>29</v>
      </c>
      <c r="T2749">
        <v>1</v>
      </c>
      <c r="U2749">
        <v>1</v>
      </c>
      <c r="V2749">
        <v>407.4</v>
      </c>
      <c r="W2749">
        <v>13130002747</v>
      </c>
    </row>
    <row r="2750" spans="1:23" x14ac:dyDescent="0.2">
      <c r="A2750" s="1">
        <v>44793</v>
      </c>
      <c r="B2750" s="2">
        <v>0.51115740740740745</v>
      </c>
      <c r="C2750">
        <v>3748</v>
      </c>
      <c r="D2750">
        <v>13002561</v>
      </c>
      <c r="E2750">
        <v>13</v>
      </c>
      <c r="F2750">
        <v>22589</v>
      </c>
      <c r="G2750" t="s">
        <v>23</v>
      </c>
      <c r="H2750">
        <v>15</v>
      </c>
      <c r="I2750">
        <v>26713</v>
      </c>
      <c r="J2750" t="s">
        <v>65</v>
      </c>
      <c r="K2750" t="s">
        <v>60</v>
      </c>
      <c r="L2750" t="s">
        <v>47</v>
      </c>
      <c r="M2750">
        <v>3</v>
      </c>
      <c r="N2750">
        <v>445.33</v>
      </c>
      <c r="O2750">
        <v>613.54999999999995</v>
      </c>
      <c r="P2750">
        <v>30.68</v>
      </c>
      <c r="Q2750">
        <v>30.68</v>
      </c>
      <c r="R2750" t="s">
        <v>30</v>
      </c>
      <c r="S2750">
        <v>29</v>
      </c>
      <c r="T2750">
        <v>1</v>
      </c>
      <c r="U2750">
        <v>5</v>
      </c>
      <c r="V2750">
        <v>582.87</v>
      </c>
      <c r="W2750">
        <v>13130002748</v>
      </c>
    </row>
    <row r="2751" spans="1:23" x14ac:dyDescent="0.2">
      <c r="A2751" s="1">
        <v>44789</v>
      </c>
      <c r="B2751" s="2">
        <v>0.71655092592592595</v>
      </c>
      <c r="C2751">
        <v>3749</v>
      </c>
      <c r="D2751">
        <v>13002561</v>
      </c>
      <c r="E2751">
        <v>13</v>
      </c>
      <c r="F2751">
        <v>22589</v>
      </c>
      <c r="G2751" t="s">
        <v>23</v>
      </c>
      <c r="H2751">
        <v>15</v>
      </c>
      <c r="I2751">
        <v>65496</v>
      </c>
      <c r="J2751" t="s">
        <v>58</v>
      </c>
      <c r="K2751" t="s">
        <v>44</v>
      </c>
      <c r="L2751" t="s">
        <v>51</v>
      </c>
      <c r="M2751">
        <v>1</v>
      </c>
      <c r="N2751">
        <v>307.62</v>
      </c>
      <c r="O2751">
        <v>388.51</v>
      </c>
      <c r="P2751">
        <v>19.43</v>
      </c>
      <c r="Q2751">
        <v>19.43</v>
      </c>
      <c r="R2751" t="s">
        <v>30</v>
      </c>
      <c r="S2751">
        <v>29</v>
      </c>
      <c r="T2751">
        <v>1</v>
      </c>
      <c r="U2751">
        <v>6</v>
      </c>
      <c r="V2751">
        <v>369.08</v>
      </c>
      <c r="W2751">
        <v>13130002749</v>
      </c>
    </row>
    <row r="2752" spans="1:23" x14ac:dyDescent="0.2">
      <c r="A2752" s="1">
        <v>44798</v>
      </c>
      <c r="B2752" s="2">
        <v>0.51251157407407411</v>
      </c>
      <c r="C2752">
        <v>3750</v>
      </c>
      <c r="D2752">
        <v>13002561</v>
      </c>
      <c r="E2752">
        <v>13</v>
      </c>
      <c r="F2752">
        <v>22589</v>
      </c>
      <c r="G2752" t="s">
        <v>23</v>
      </c>
      <c r="H2752">
        <v>18</v>
      </c>
      <c r="I2752">
        <v>76002</v>
      </c>
      <c r="J2752" t="s">
        <v>115</v>
      </c>
      <c r="K2752" t="s">
        <v>28</v>
      </c>
      <c r="L2752" t="s">
        <v>34</v>
      </c>
      <c r="M2752">
        <v>2</v>
      </c>
      <c r="N2752">
        <v>144.81</v>
      </c>
      <c r="O2752">
        <v>244.78</v>
      </c>
      <c r="P2752">
        <v>12.24</v>
      </c>
      <c r="Q2752">
        <v>12.24</v>
      </c>
      <c r="R2752" t="s">
        <v>30</v>
      </c>
      <c r="S2752">
        <v>29</v>
      </c>
      <c r="T2752">
        <v>1</v>
      </c>
      <c r="U2752">
        <v>6</v>
      </c>
      <c r="V2752">
        <v>232.54</v>
      </c>
      <c r="W2752">
        <v>13130002750</v>
      </c>
    </row>
    <row r="2753" spans="1:23" x14ac:dyDescent="0.2">
      <c r="A2753" s="1">
        <v>44798</v>
      </c>
      <c r="B2753" s="2">
        <v>0.45928240740740739</v>
      </c>
      <c r="C2753">
        <v>3751</v>
      </c>
      <c r="D2753">
        <v>13002561</v>
      </c>
      <c r="E2753">
        <v>13</v>
      </c>
      <c r="F2753">
        <v>22589</v>
      </c>
      <c r="G2753" t="s">
        <v>23</v>
      </c>
      <c r="H2753">
        <v>18</v>
      </c>
      <c r="I2753">
        <v>22147</v>
      </c>
      <c r="J2753" t="s">
        <v>80</v>
      </c>
      <c r="K2753" t="s">
        <v>45</v>
      </c>
      <c r="L2753" t="s">
        <v>36</v>
      </c>
      <c r="M2753">
        <v>1</v>
      </c>
      <c r="N2753">
        <v>23.53</v>
      </c>
      <c r="O2753">
        <v>35.5</v>
      </c>
      <c r="P2753">
        <v>0</v>
      </c>
      <c r="Q2753">
        <v>0</v>
      </c>
      <c r="S2753">
        <v>29</v>
      </c>
      <c r="T2753">
        <v>1</v>
      </c>
      <c r="U2753">
        <v>4</v>
      </c>
      <c r="V2753">
        <v>35.5</v>
      </c>
      <c r="W2753">
        <v>13130002751</v>
      </c>
    </row>
    <row r="2754" spans="1:23" x14ac:dyDescent="0.2">
      <c r="A2754" s="1">
        <v>44783</v>
      </c>
      <c r="B2754" s="2">
        <v>0.52855324074074073</v>
      </c>
      <c r="C2754">
        <v>3752</v>
      </c>
      <c r="D2754">
        <v>13002561</v>
      </c>
      <c r="E2754">
        <v>13</v>
      </c>
      <c r="F2754">
        <v>22589</v>
      </c>
      <c r="G2754" t="s">
        <v>23</v>
      </c>
      <c r="H2754">
        <v>18</v>
      </c>
      <c r="I2754">
        <v>74227</v>
      </c>
      <c r="J2754" t="s">
        <v>79</v>
      </c>
      <c r="K2754" t="s">
        <v>45</v>
      </c>
      <c r="L2754" t="s">
        <v>26</v>
      </c>
      <c r="M2754">
        <v>2</v>
      </c>
      <c r="N2754">
        <v>471.29</v>
      </c>
      <c r="O2754">
        <v>767.5</v>
      </c>
      <c r="P2754">
        <v>76.75</v>
      </c>
      <c r="Q2754">
        <v>76.75</v>
      </c>
      <c r="R2754" t="s">
        <v>30</v>
      </c>
      <c r="S2754">
        <v>29</v>
      </c>
      <c r="T2754">
        <v>1</v>
      </c>
      <c r="U2754">
        <v>6</v>
      </c>
      <c r="V2754">
        <v>690.75</v>
      </c>
      <c r="W2754">
        <v>13130002752</v>
      </c>
    </row>
    <row r="2755" spans="1:23" x14ac:dyDescent="0.2">
      <c r="A2755" s="1">
        <v>44788</v>
      </c>
      <c r="B2755" s="2">
        <v>0.65900462962962958</v>
      </c>
      <c r="C2755">
        <v>3753</v>
      </c>
      <c r="D2755">
        <v>13002561</v>
      </c>
      <c r="E2755">
        <v>13</v>
      </c>
      <c r="F2755">
        <v>22589</v>
      </c>
      <c r="G2755" t="s">
        <v>23</v>
      </c>
      <c r="H2755">
        <v>18</v>
      </c>
      <c r="I2755">
        <v>81148</v>
      </c>
      <c r="J2755" t="s">
        <v>123</v>
      </c>
      <c r="K2755" t="s">
        <v>60</v>
      </c>
      <c r="L2755" t="s">
        <v>29</v>
      </c>
      <c r="M2755">
        <v>3</v>
      </c>
      <c r="N2755">
        <v>263.36</v>
      </c>
      <c r="O2755">
        <v>436.2</v>
      </c>
      <c r="P2755">
        <v>0</v>
      </c>
      <c r="Q2755">
        <v>0</v>
      </c>
      <c r="S2755">
        <v>29</v>
      </c>
      <c r="T2755">
        <v>1</v>
      </c>
      <c r="U2755">
        <v>4</v>
      </c>
      <c r="V2755">
        <v>436.2</v>
      </c>
      <c r="W2755">
        <v>13130002753</v>
      </c>
    </row>
    <row r="2756" spans="1:23" x14ac:dyDescent="0.2">
      <c r="A2756" s="1">
        <v>44784</v>
      </c>
      <c r="B2756" s="2">
        <v>0.77709490740740739</v>
      </c>
      <c r="C2756">
        <v>3754</v>
      </c>
      <c r="D2756">
        <v>13002561</v>
      </c>
      <c r="E2756">
        <v>13</v>
      </c>
      <c r="F2756">
        <v>22589</v>
      </c>
      <c r="G2756" t="s">
        <v>23</v>
      </c>
      <c r="H2756">
        <v>18</v>
      </c>
      <c r="I2756">
        <v>24780</v>
      </c>
      <c r="J2756" t="s">
        <v>96</v>
      </c>
      <c r="K2756" t="s">
        <v>25</v>
      </c>
      <c r="L2756" t="s">
        <v>36</v>
      </c>
      <c r="M2756">
        <v>1</v>
      </c>
      <c r="N2756">
        <v>90.7</v>
      </c>
      <c r="O2756">
        <v>149.97999999999999</v>
      </c>
      <c r="P2756">
        <v>7.5</v>
      </c>
      <c r="Q2756">
        <v>7.5</v>
      </c>
      <c r="R2756" t="s">
        <v>30</v>
      </c>
      <c r="S2756">
        <v>29</v>
      </c>
      <c r="T2756">
        <v>1</v>
      </c>
      <c r="U2756">
        <v>6</v>
      </c>
      <c r="V2756">
        <v>142.47999999999999</v>
      </c>
      <c r="W2756">
        <v>13130002754</v>
      </c>
    </row>
    <row r="2757" spans="1:23" x14ac:dyDescent="0.2">
      <c r="A2757" s="1">
        <v>44802</v>
      </c>
      <c r="B2757" s="2">
        <v>0.93961805555555555</v>
      </c>
      <c r="C2757">
        <v>3755</v>
      </c>
      <c r="D2757">
        <v>13002561</v>
      </c>
      <c r="E2757">
        <v>13</v>
      </c>
      <c r="F2757">
        <v>22589</v>
      </c>
      <c r="G2757" t="s">
        <v>23</v>
      </c>
      <c r="H2757">
        <v>18</v>
      </c>
      <c r="I2757">
        <v>20052</v>
      </c>
      <c r="J2757" t="s">
        <v>72</v>
      </c>
      <c r="K2757" t="s">
        <v>44</v>
      </c>
      <c r="L2757" t="s">
        <v>32</v>
      </c>
      <c r="M2757">
        <v>2</v>
      </c>
      <c r="N2757">
        <v>7.19</v>
      </c>
      <c r="O2757">
        <v>10.23</v>
      </c>
      <c r="P2757">
        <v>1.02</v>
      </c>
      <c r="Q2757">
        <v>1.02</v>
      </c>
      <c r="R2757" t="s">
        <v>30</v>
      </c>
      <c r="S2757">
        <v>29</v>
      </c>
      <c r="T2757">
        <v>1</v>
      </c>
      <c r="U2757">
        <v>1</v>
      </c>
      <c r="V2757">
        <v>9.2100000000000009</v>
      </c>
      <c r="W2757">
        <v>13130002755</v>
      </c>
    </row>
    <row r="2758" spans="1:23" x14ac:dyDescent="0.2">
      <c r="A2758" s="1">
        <v>44802</v>
      </c>
      <c r="B2758" s="2">
        <v>0.41438657407407409</v>
      </c>
      <c r="C2758">
        <v>3756</v>
      </c>
      <c r="D2758">
        <v>13002561</v>
      </c>
      <c r="E2758">
        <v>13</v>
      </c>
      <c r="F2758">
        <v>22589</v>
      </c>
      <c r="G2758" t="s">
        <v>23</v>
      </c>
      <c r="H2758">
        <v>18</v>
      </c>
      <c r="I2758">
        <v>44845</v>
      </c>
      <c r="J2758" t="s">
        <v>72</v>
      </c>
      <c r="K2758" t="s">
        <v>60</v>
      </c>
      <c r="L2758" t="s">
        <v>36</v>
      </c>
      <c r="M2758">
        <v>3</v>
      </c>
      <c r="N2758">
        <v>489.13</v>
      </c>
      <c r="O2758">
        <v>733.94</v>
      </c>
      <c r="P2758">
        <v>73.39</v>
      </c>
      <c r="Q2758">
        <v>73.39</v>
      </c>
      <c r="R2758" t="s">
        <v>30</v>
      </c>
      <c r="S2758">
        <v>29</v>
      </c>
      <c r="T2758">
        <v>1</v>
      </c>
      <c r="U2758">
        <v>6</v>
      </c>
      <c r="V2758">
        <v>660.55</v>
      </c>
      <c r="W2758">
        <v>13130002756</v>
      </c>
    </row>
    <row r="2759" spans="1:23" x14ac:dyDescent="0.2">
      <c r="A2759" s="1">
        <v>44788</v>
      </c>
      <c r="B2759" s="2">
        <v>0.3694560185185185</v>
      </c>
      <c r="C2759">
        <v>3757</v>
      </c>
      <c r="D2759">
        <v>13002561</v>
      </c>
      <c r="E2759">
        <v>13</v>
      </c>
      <c r="F2759">
        <v>22589</v>
      </c>
      <c r="G2759" t="s">
        <v>23</v>
      </c>
      <c r="H2759">
        <v>15</v>
      </c>
      <c r="I2759">
        <v>78287</v>
      </c>
      <c r="J2759" t="s">
        <v>126</v>
      </c>
      <c r="K2759" t="s">
        <v>38</v>
      </c>
      <c r="L2759" t="s">
        <v>47</v>
      </c>
      <c r="M2759">
        <v>1</v>
      </c>
      <c r="N2759">
        <v>385.45</v>
      </c>
      <c r="O2759">
        <v>523.89</v>
      </c>
      <c r="P2759">
        <v>0</v>
      </c>
      <c r="Q2759">
        <v>0</v>
      </c>
      <c r="S2759">
        <v>29</v>
      </c>
      <c r="T2759">
        <v>1</v>
      </c>
      <c r="U2759">
        <v>2</v>
      </c>
      <c r="V2759">
        <v>523.89</v>
      </c>
      <c r="W2759">
        <v>13130002757</v>
      </c>
    </row>
    <row r="2760" spans="1:23" x14ac:dyDescent="0.2">
      <c r="A2760" s="1">
        <v>44784</v>
      </c>
      <c r="B2760" s="2">
        <v>0.8860069444444445</v>
      </c>
      <c r="C2760">
        <v>3758</v>
      </c>
      <c r="D2760">
        <v>13002561</v>
      </c>
      <c r="E2760">
        <v>13</v>
      </c>
      <c r="F2760">
        <v>22589</v>
      </c>
      <c r="G2760" t="s">
        <v>23</v>
      </c>
      <c r="H2760">
        <v>15</v>
      </c>
      <c r="I2760">
        <v>34670</v>
      </c>
      <c r="J2760" t="s">
        <v>70</v>
      </c>
      <c r="K2760" t="s">
        <v>38</v>
      </c>
      <c r="L2760" t="s">
        <v>26</v>
      </c>
      <c r="M2760">
        <v>3</v>
      </c>
      <c r="N2760">
        <v>116.91</v>
      </c>
      <c r="O2760">
        <v>150.71</v>
      </c>
      <c r="P2760">
        <v>7.54</v>
      </c>
      <c r="Q2760">
        <v>7.54</v>
      </c>
      <c r="R2760" t="s">
        <v>30</v>
      </c>
      <c r="S2760">
        <v>29</v>
      </c>
      <c r="T2760">
        <v>1</v>
      </c>
      <c r="U2760">
        <v>2</v>
      </c>
      <c r="V2760">
        <v>143.16999999999999</v>
      </c>
      <c r="W2760">
        <v>13130002758</v>
      </c>
    </row>
    <row r="2761" spans="1:23" x14ac:dyDescent="0.2">
      <c r="A2761" s="1">
        <v>44792</v>
      </c>
      <c r="B2761" s="2">
        <v>0.67005787037037035</v>
      </c>
      <c r="C2761">
        <v>3759</v>
      </c>
      <c r="D2761">
        <v>13002561</v>
      </c>
      <c r="E2761">
        <v>13</v>
      </c>
      <c r="F2761">
        <v>22589</v>
      </c>
      <c r="G2761" t="s">
        <v>23</v>
      </c>
      <c r="H2761">
        <v>15</v>
      </c>
      <c r="I2761">
        <v>38307</v>
      </c>
      <c r="J2761" t="s">
        <v>67</v>
      </c>
      <c r="K2761" t="s">
        <v>28</v>
      </c>
      <c r="L2761" t="s">
        <v>32</v>
      </c>
      <c r="M2761">
        <v>3</v>
      </c>
      <c r="N2761">
        <v>482.78</v>
      </c>
      <c r="O2761">
        <v>683.08</v>
      </c>
      <c r="P2761">
        <v>34.15</v>
      </c>
      <c r="Q2761">
        <v>34.15</v>
      </c>
      <c r="R2761" t="s">
        <v>30</v>
      </c>
      <c r="S2761">
        <v>29</v>
      </c>
      <c r="T2761">
        <v>1</v>
      </c>
      <c r="U2761">
        <v>1</v>
      </c>
      <c r="V2761">
        <v>648.92999999999995</v>
      </c>
      <c r="W2761">
        <v>13130002759</v>
      </c>
    </row>
    <row r="2762" spans="1:23" x14ac:dyDescent="0.2">
      <c r="A2762" s="1">
        <v>44785</v>
      </c>
      <c r="B2762" s="2">
        <v>0.42189814814814808</v>
      </c>
      <c r="C2762">
        <v>3760</v>
      </c>
      <c r="D2762">
        <v>13002561</v>
      </c>
      <c r="E2762">
        <v>13</v>
      </c>
      <c r="F2762">
        <v>22589</v>
      </c>
      <c r="G2762" t="s">
        <v>23</v>
      </c>
      <c r="H2762">
        <v>18</v>
      </c>
      <c r="I2762">
        <v>22979</v>
      </c>
      <c r="J2762" t="s">
        <v>35</v>
      </c>
      <c r="K2762" t="s">
        <v>44</v>
      </c>
      <c r="L2762" t="s">
        <v>26</v>
      </c>
      <c r="M2762">
        <v>1</v>
      </c>
      <c r="N2762">
        <v>164.47</v>
      </c>
      <c r="O2762">
        <v>266.14</v>
      </c>
      <c r="P2762">
        <v>0</v>
      </c>
      <c r="Q2762">
        <v>0</v>
      </c>
      <c r="S2762">
        <v>29</v>
      </c>
      <c r="T2762">
        <v>1</v>
      </c>
      <c r="U2762">
        <v>3</v>
      </c>
      <c r="V2762">
        <v>266.14</v>
      </c>
      <c r="W2762">
        <v>13130002760</v>
      </c>
    </row>
    <row r="2763" spans="1:23" x14ac:dyDescent="0.2">
      <c r="A2763" s="1">
        <v>44779</v>
      </c>
      <c r="B2763" s="2">
        <v>0.3540625</v>
      </c>
      <c r="C2763">
        <v>3761</v>
      </c>
      <c r="D2763">
        <v>13002561</v>
      </c>
      <c r="E2763">
        <v>13</v>
      </c>
      <c r="F2763">
        <v>22589</v>
      </c>
      <c r="G2763" t="s">
        <v>23</v>
      </c>
      <c r="H2763">
        <v>15</v>
      </c>
      <c r="I2763">
        <v>52088</v>
      </c>
      <c r="J2763" t="s">
        <v>110</v>
      </c>
      <c r="K2763" t="s">
        <v>38</v>
      </c>
      <c r="L2763" t="s">
        <v>36</v>
      </c>
      <c r="M2763">
        <v>1</v>
      </c>
      <c r="N2763">
        <v>248.42</v>
      </c>
      <c r="O2763">
        <v>351.87</v>
      </c>
      <c r="P2763">
        <v>35.19</v>
      </c>
      <c r="Q2763">
        <v>35.19</v>
      </c>
      <c r="R2763" t="s">
        <v>30</v>
      </c>
      <c r="S2763">
        <v>29</v>
      </c>
      <c r="T2763">
        <v>1</v>
      </c>
      <c r="U2763">
        <v>2</v>
      </c>
      <c r="V2763">
        <v>316.68</v>
      </c>
      <c r="W2763">
        <v>13130002761</v>
      </c>
    </row>
    <row r="2764" spans="1:23" x14ac:dyDescent="0.2">
      <c r="A2764" s="1">
        <v>44774</v>
      </c>
      <c r="B2764" s="2">
        <v>0.91763888888888889</v>
      </c>
      <c r="C2764">
        <v>3762</v>
      </c>
      <c r="D2764">
        <v>13002561</v>
      </c>
      <c r="E2764">
        <v>13</v>
      </c>
      <c r="F2764">
        <v>22589</v>
      </c>
      <c r="G2764" t="s">
        <v>23</v>
      </c>
      <c r="H2764">
        <v>15</v>
      </c>
      <c r="I2764">
        <v>19348</v>
      </c>
      <c r="J2764" t="s">
        <v>106</v>
      </c>
      <c r="K2764" t="s">
        <v>60</v>
      </c>
      <c r="L2764" t="s">
        <v>39</v>
      </c>
      <c r="M2764">
        <v>1</v>
      </c>
      <c r="N2764">
        <v>574.36</v>
      </c>
      <c r="O2764">
        <v>731.07</v>
      </c>
      <c r="P2764">
        <v>36.549999999999997</v>
      </c>
      <c r="Q2764">
        <v>36.549999999999997</v>
      </c>
      <c r="R2764" t="s">
        <v>30</v>
      </c>
      <c r="S2764">
        <v>29</v>
      </c>
      <c r="T2764">
        <v>1</v>
      </c>
      <c r="U2764">
        <v>5</v>
      </c>
      <c r="V2764">
        <v>694.52</v>
      </c>
      <c r="W2764">
        <v>13130002762</v>
      </c>
    </row>
    <row r="2765" spans="1:23" x14ac:dyDescent="0.2">
      <c r="A2765" s="1">
        <v>44793</v>
      </c>
      <c r="B2765" s="2">
        <v>0.37793981481481481</v>
      </c>
      <c r="C2765">
        <v>3763</v>
      </c>
      <c r="D2765">
        <v>13002561</v>
      </c>
      <c r="E2765">
        <v>13</v>
      </c>
      <c r="F2765">
        <v>22589</v>
      </c>
      <c r="G2765" t="s">
        <v>23</v>
      </c>
      <c r="H2765">
        <v>18</v>
      </c>
      <c r="I2765">
        <v>20938</v>
      </c>
      <c r="J2765" t="s">
        <v>76</v>
      </c>
      <c r="K2765" t="s">
        <v>44</v>
      </c>
      <c r="L2765" t="s">
        <v>36</v>
      </c>
      <c r="M2765">
        <v>3</v>
      </c>
      <c r="N2765">
        <v>175.32</v>
      </c>
      <c r="O2765">
        <v>294.55</v>
      </c>
      <c r="P2765">
        <v>0</v>
      </c>
      <c r="Q2765">
        <v>0</v>
      </c>
      <c r="S2765">
        <v>29</v>
      </c>
      <c r="T2765">
        <v>1</v>
      </c>
      <c r="U2765">
        <v>6</v>
      </c>
      <c r="V2765">
        <v>294.55</v>
      </c>
      <c r="W2765">
        <v>13130002763</v>
      </c>
    </row>
    <row r="2766" spans="1:23" x14ac:dyDescent="0.2">
      <c r="A2766" s="1">
        <v>44786</v>
      </c>
      <c r="B2766" s="2">
        <v>0.87254629629629632</v>
      </c>
      <c r="C2766">
        <v>3764</v>
      </c>
      <c r="D2766">
        <v>13002561</v>
      </c>
      <c r="E2766">
        <v>13</v>
      </c>
      <c r="F2766">
        <v>22589</v>
      </c>
      <c r="G2766" t="s">
        <v>23</v>
      </c>
      <c r="H2766">
        <v>15</v>
      </c>
      <c r="I2766">
        <v>55824</v>
      </c>
      <c r="J2766" t="s">
        <v>100</v>
      </c>
      <c r="K2766" t="s">
        <v>38</v>
      </c>
      <c r="L2766" t="s">
        <v>32</v>
      </c>
      <c r="M2766">
        <v>3</v>
      </c>
      <c r="N2766">
        <v>199.99</v>
      </c>
      <c r="O2766">
        <v>318.32</v>
      </c>
      <c r="P2766">
        <v>31.83</v>
      </c>
      <c r="Q2766">
        <v>31.83</v>
      </c>
      <c r="R2766" t="s">
        <v>30</v>
      </c>
      <c r="S2766">
        <v>29</v>
      </c>
      <c r="T2766">
        <v>1</v>
      </c>
      <c r="U2766">
        <v>1</v>
      </c>
      <c r="V2766">
        <v>286.49</v>
      </c>
      <c r="W2766">
        <v>13130002764</v>
      </c>
    </row>
    <row r="2767" spans="1:23" x14ac:dyDescent="0.2">
      <c r="A2767" s="1">
        <v>44800</v>
      </c>
      <c r="B2767" s="2">
        <v>0.47121527777777777</v>
      </c>
      <c r="C2767">
        <v>3765</v>
      </c>
      <c r="D2767">
        <v>13002561</v>
      </c>
      <c r="E2767">
        <v>13</v>
      </c>
      <c r="F2767">
        <v>22589</v>
      </c>
      <c r="G2767" t="s">
        <v>23</v>
      </c>
      <c r="H2767">
        <v>18</v>
      </c>
      <c r="I2767">
        <v>93290</v>
      </c>
      <c r="J2767" t="s">
        <v>94</v>
      </c>
      <c r="K2767" t="s">
        <v>44</v>
      </c>
      <c r="L2767" t="s">
        <v>34</v>
      </c>
      <c r="M2767">
        <v>1</v>
      </c>
      <c r="N2767">
        <v>171.62</v>
      </c>
      <c r="O2767">
        <v>230.5</v>
      </c>
      <c r="P2767">
        <v>11.53</v>
      </c>
      <c r="Q2767">
        <v>11.53</v>
      </c>
      <c r="R2767" t="s">
        <v>30</v>
      </c>
      <c r="S2767">
        <v>29</v>
      </c>
      <c r="T2767">
        <v>1</v>
      </c>
      <c r="U2767">
        <v>4</v>
      </c>
      <c r="V2767">
        <v>218.97</v>
      </c>
      <c r="W2767">
        <v>13130002765</v>
      </c>
    </row>
    <row r="2768" spans="1:23" x14ac:dyDescent="0.2">
      <c r="A2768" s="1">
        <v>44795</v>
      </c>
      <c r="B2768" s="2">
        <v>0.50974537037037038</v>
      </c>
      <c r="C2768">
        <v>3766</v>
      </c>
      <c r="D2768">
        <v>13002561</v>
      </c>
      <c r="E2768">
        <v>13</v>
      </c>
      <c r="F2768">
        <v>22589</v>
      </c>
      <c r="G2768" t="s">
        <v>23</v>
      </c>
      <c r="H2768">
        <v>15</v>
      </c>
      <c r="I2768">
        <v>51267</v>
      </c>
      <c r="J2768" t="s">
        <v>122</v>
      </c>
      <c r="K2768" t="s">
        <v>38</v>
      </c>
      <c r="L2768" t="s">
        <v>29</v>
      </c>
      <c r="M2768">
        <v>3</v>
      </c>
      <c r="N2768">
        <v>545.5</v>
      </c>
      <c r="O2768">
        <v>883.36</v>
      </c>
      <c r="P2768">
        <v>0</v>
      </c>
      <c r="Q2768">
        <v>0</v>
      </c>
      <c r="S2768">
        <v>29</v>
      </c>
      <c r="T2768">
        <v>1</v>
      </c>
      <c r="U2768">
        <v>2</v>
      </c>
      <c r="V2768">
        <v>883.36</v>
      </c>
      <c r="W2768">
        <v>13130002766</v>
      </c>
    </row>
    <row r="2769" spans="1:23" x14ac:dyDescent="0.2">
      <c r="A2769" s="1">
        <v>44795</v>
      </c>
      <c r="B2769" s="2">
        <v>0.5014467592592593</v>
      </c>
      <c r="C2769">
        <v>3767</v>
      </c>
      <c r="D2769">
        <v>13002561</v>
      </c>
      <c r="E2769">
        <v>13</v>
      </c>
      <c r="F2769">
        <v>22589</v>
      </c>
      <c r="G2769" t="s">
        <v>23</v>
      </c>
      <c r="H2769">
        <v>15</v>
      </c>
      <c r="I2769">
        <v>50003</v>
      </c>
      <c r="J2769" t="s">
        <v>99</v>
      </c>
      <c r="K2769" t="s">
        <v>45</v>
      </c>
      <c r="L2769" t="s">
        <v>47</v>
      </c>
      <c r="M2769">
        <v>2</v>
      </c>
      <c r="N2769">
        <v>60.88</v>
      </c>
      <c r="O2769">
        <v>79</v>
      </c>
      <c r="P2769">
        <v>3.95</v>
      </c>
      <c r="Q2769">
        <v>3.95</v>
      </c>
      <c r="R2769" t="s">
        <v>30</v>
      </c>
      <c r="S2769">
        <v>29</v>
      </c>
      <c r="T2769">
        <v>1</v>
      </c>
      <c r="U2769">
        <v>4</v>
      </c>
      <c r="V2769">
        <v>75.05</v>
      </c>
      <c r="W2769">
        <v>13130002767</v>
      </c>
    </row>
    <row r="2770" spans="1:23" x14ac:dyDescent="0.2">
      <c r="A2770" s="1">
        <v>44794</v>
      </c>
      <c r="B2770" s="2">
        <v>0.38296296296296289</v>
      </c>
      <c r="C2770">
        <v>3768</v>
      </c>
      <c r="D2770">
        <v>13002561</v>
      </c>
      <c r="E2770">
        <v>13</v>
      </c>
      <c r="F2770">
        <v>22589</v>
      </c>
      <c r="G2770" t="s">
        <v>23</v>
      </c>
      <c r="H2770">
        <v>15</v>
      </c>
      <c r="I2770">
        <v>83339</v>
      </c>
      <c r="J2770" t="s">
        <v>46</v>
      </c>
      <c r="K2770" t="s">
        <v>60</v>
      </c>
      <c r="L2770" t="s">
        <v>51</v>
      </c>
      <c r="M2770">
        <v>2</v>
      </c>
      <c r="N2770">
        <v>547.28</v>
      </c>
      <c r="O2770">
        <v>923.42</v>
      </c>
      <c r="P2770">
        <v>92.34</v>
      </c>
      <c r="Q2770">
        <v>92.34</v>
      </c>
      <c r="R2770" t="s">
        <v>30</v>
      </c>
      <c r="S2770">
        <v>29</v>
      </c>
      <c r="T2770">
        <v>1</v>
      </c>
      <c r="U2770">
        <v>2</v>
      </c>
      <c r="V2770">
        <v>831.08</v>
      </c>
      <c r="W2770">
        <v>13130002768</v>
      </c>
    </row>
    <row r="2771" spans="1:23" x14ac:dyDescent="0.2">
      <c r="A2771" s="1">
        <v>44777</v>
      </c>
      <c r="B2771" s="2">
        <v>0.88148148148148153</v>
      </c>
      <c r="C2771">
        <v>3769</v>
      </c>
      <c r="D2771">
        <v>13002561</v>
      </c>
      <c r="E2771">
        <v>13</v>
      </c>
      <c r="F2771">
        <v>22589</v>
      </c>
      <c r="G2771" t="s">
        <v>23</v>
      </c>
      <c r="H2771">
        <v>15</v>
      </c>
      <c r="I2771">
        <v>11379</v>
      </c>
      <c r="J2771" t="s">
        <v>56</v>
      </c>
      <c r="K2771" t="s">
        <v>45</v>
      </c>
      <c r="L2771" t="s">
        <v>36</v>
      </c>
      <c r="M2771">
        <v>3</v>
      </c>
      <c r="N2771">
        <v>576.66999999999996</v>
      </c>
      <c r="O2771">
        <v>945.85</v>
      </c>
      <c r="P2771">
        <v>94.59</v>
      </c>
      <c r="Q2771">
        <v>94.59</v>
      </c>
      <c r="R2771" t="s">
        <v>30</v>
      </c>
      <c r="S2771">
        <v>29</v>
      </c>
      <c r="T2771">
        <v>1</v>
      </c>
      <c r="U2771">
        <v>2</v>
      </c>
      <c r="V2771">
        <v>851.26</v>
      </c>
      <c r="W2771">
        <v>13130002769</v>
      </c>
    </row>
    <row r="2772" spans="1:23" x14ac:dyDescent="0.2">
      <c r="A2772" s="1">
        <v>44785</v>
      </c>
      <c r="B2772" s="2">
        <v>0.64366898148148144</v>
      </c>
      <c r="C2772">
        <v>3770</v>
      </c>
      <c r="D2772">
        <v>13002561</v>
      </c>
      <c r="E2772">
        <v>13</v>
      </c>
      <c r="F2772">
        <v>22589</v>
      </c>
      <c r="G2772" t="s">
        <v>23</v>
      </c>
      <c r="H2772">
        <v>15</v>
      </c>
      <c r="I2772">
        <v>69968</v>
      </c>
      <c r="J2772" t="s">
        <v>54</v>
      </c>
      <c r="K2772" t="s">
        <v>25</v>
      </c>
      <c r="L2772" t="s">
        <v>47</v>
      </c>
      <c r="M2772">
        <v>3</v>
      </c>
      <c r="N2772">
        <v>488.92</v>
      </c>
      <c r="O2772">
        <v>616.91</v>
      </c>
      <c r="P2772">
        <v>30.85</v>
      </c>
      <c r="Q2772">
        <v>30.85</v>
      </c>
      <c r="R2772" t="s">
        <v>30</v>
      </c>
      <c r="S2772">
        <v>29</v>
      </c>
      <c r="T2772">
        <v>1</v>
      </c>
      <c r="U2772">
        <v>1</v>
      </c>
      <c r="V2772">
        <v>586.05999999999995</v>
      </c>
      <c r="W2772">
        <v>13130002770</v>
      </c>
    </row>
    <row r="2773" spans="1:23" x14ac:dyDescent="0.2">
      <c r="A2773" s="1">
        <v>44791</v>
      </c>
      <c r="B2773" s="2">
        <v>0.87888888888888894</v>
      </c>
      <c r="C2773">
        <v>3771</v>
      </c>
      <c r="D2773">
        <v>13002561</v>
      </c>
      <c r="E2773">
        <v>13</v>
      </c>
      <c r="F2773">
        <v>22589</v>
      </c>
      <c r="G2773" t="s">
        <v>23</v>
      </c>
      <c r="H2773">
        <v>18</v>
      </c>
      <c r="I2773">
        <v>20224</v>
      </c>
      <c r="J2773" t="s">
        <v>62</v>
      </c>
      <c r="K2773" t="s">
        <v>60</v>
      </c>
      <c r="L2773" t="s">
        <v>39</v>
      </c>
      <c r="M2773">
        <v>1</v>
      </c>
      <c r="N2773">
        <v>459.15</v>
      </c>
      <c r="O2773">
        <v>626.08000000000004</v>
      </c>
      <c r="P2773">
        <v>31.3</v>
      </c>
      <c r="Q2773">
        <v>31.3</v>
      </c>
      <c r="R2773" t="s">
        <v>30</v>
      </c>
      <c r="S2773">
        <v>29</v>
      </c>
      <c r="T2773">
        <v>1</v>
      </c>
      <c r="U2773">
        <v>3</v>
      </c>
      <c r="V2773">
        <v>594.78</v>
      </c>
      <c r="W2773">
        <v>13130002771</v>
      </c>
    </row>
    <row r="2774" spans="1:23" x14ac:dyDescent="0.2">
      <c r="A2774" s="1">
        <v>44774</v>
      </c>
      <c r="B2774" s="2">
        <v>0.601099537037037</v>
      </c>
      <c r="C2774">
        <v>3772</v>
      </c>
      <c r="D2774">
        <v>13002561</v>
      </c>
      <c r="E2774">
        <v>13</v>
      </c>
      <c r="F2774">
        <v>22589</v>
      </c>
      <c r="G2774" t="s">
        <v>23</v>
      </c>
      <c r="H2774">
        <v>18</v>
      </c>
      <c r="I2774">
        <v>18745</v>
      </c>
      <c r="J2774" t="s">
        <v>122</v>
      </c>
      <c r="K2774" t="s">
        <v>44</v>
      </c>
      <c r="L2774" t="s">
        <v>32</v>
      </c>
      <c r="M2774">
        <v>3</v>
      </c>
      <c r="N2774">
        <v>520.66999999999996</v>
      </c>
      <c r="O2774">
        <v>690.61</v>
      </c>
      <c r="P2774">
        <v>0</v>
      </c>
      <c r="Q2774">
        <v>0</v>
      </c>
      <c r="S2774">
        <v>29</v>
      </c>
      <c r="T2774">
        <v>1</v>
      </c>
      <c r="U2774">
        <v>4</v>
      </c>
      <c r="V2774">
        <v>690.61</v>
      </c>
      <c r="W2774">
        <v>13130002772</v>
      </c>
    </row>
    <row r="2775" spans="1:23" x14ac:dyDescent="0.2">
      <c r="A2775" s="1">
        <v>44792</v>
      </c>
      <c r="B2775" s="2">
        <v>0.52435185185185185</v>
      </c>
      <c r="C2775">
        <v>3773</v>
      </c>
      <c r="D2775">
        <v>13002561</v>
      </c>
      <c r="E2775">
        <v>13</v>
      </c>
      <c r="F2775">
        <v>22589</v>
      </c>
      <c r="G2775" t="s">
        <v>23</v>
      </c>
      <c r="H2775">
        <v>15</v>
      </c>
      <c r="I2775">
        <v>39419</v>
      </c>
      <c r="J2775" t="s">
        <v>124</v>
      </c>
      <c r="K2775" t="s">
        <v>45</v>
      </c>
      <c r="L2775" t="s">
        <v>36</v>
      </c>
      <c r="M2775">
        <v>3</v>
      </c>
      <c r="N2775">
        <v>336.17</v>
      </c>
      <c r="O2775">
        <v>518.78</v>
      </c>
      <c r="P2775">
        <v>51.88</v>
      </c>
      <c r="Q2775">
        <v>51.88</v>
      </c>
      <c r="R2775" t="s">
        <v>30</v>
      </c>
      <c r="S2775">
        <v>29</v>
      </c>
      <c r="T2775">
        <v>1</v>
      </c>
      <c r="U2775">
        <v>6</v>
      </c>
      <c r="V2775">
        <v>466.9</v>
      </c>
      <c r="W2775">
        <v>13130002773</v>
      </c>
    </row>
    <row r="2776" spans="1:23" x14ac:dyDescent="0.2">
      <c r="A2776" s="1">
        <v>44800</v>
      </c>
      <c r="B2776" s="2">
        <v>0.89025462962962965</v>
      </c>
      <c r="C2776">
        <v>3774</v>
      </c>
      <c r="D2776">
        <v>13002561</v>
      </c>
      <c r="E2776">
        <v>13</v>
      </c>
      <c r="F2776">
        <v>22589</v>
      </c>
      <c r="G2776" t="s">
        <v>23</v>
      </c>
      <c r="H2776">
        <v>15</v>
      </c>
      <c r="I2776">
        <v>10445</v>
      </c>
      <c r="J2776" t="s">
        <v>57</v>
      </c>
      <c r="K2776" t="s">
        <v>45</v>
      </c>
      <c r="L2776" t="s">
        <v>36</v>
      </c>
      <c r="M2776">
        <v>3</v>
      </c>
      <c r="N2776">
        <v>449.53</v>
      </c>
      <c r="O2776">
        <v>575.66999999999996</v>
      </c>
      <c r="P2776">
        <v>0</v>
      </c>
      <c r="Q2776">
        <v>0</v>
      </c>
      <c r="S2776">
        <v>29</v>
      </c>
      <c r="T2776">
        <v>1</v>
      </c>
      <c r="U2776">
        <v>5</v>
      </c>
      <c r="V2776">
        <v>575.66999999999996</v>
      </c>
      <c r="W2776">
        <v>13130002774</v>
      </c>
    </row>
    <row r="2777" spans="1:23" x14ac:dyDescent="0.2">
      <c r="A2777" s="1">
        <v>44798</v>
      </c>
      <c r="B2777" s="2">
        <v>0.81046296296296294</v>
      </c>
      <c r="C2777">
        <v>3775</v>
      </c>
      <c r="D2777">
        <v>13002561</v>
      </c>
      <c r="E2777">
        <v>13</v>
      </c>
      <c r="F2777">
        <v>22589</v>
      </c>
      <c r="G2777" t="s">
        <v>23</v>
      </c>
      <c r="H2777">
        <v>18</v>
      </c>
      <c r="I2777">
        <v>65439</v>
      </c>
      <c r="J2777" t="s">
        <v>112</v>
      </c>
      <c r="K2777" t="s">
        <v>44</v>
      </c>
      <c r="L2777" t="s">
        <v>32</v>
      </c>
      <c r="M2777">
        <v>1</v>
      </c>
      <c r="N2777">
        <v>434.48</v>
      </c>
      <c r="O2777">
        <v>723.01</v>
      </c>
      <c r="P2777">
        <v>36.15</v>
      </c>
      <c r="Q2777">
        <v>36.15</v>
      </c>
      <c r="R2777" t="s">
        <v>30</v>
      </c>
      <c r="S2777">
        <v>29</v>
      </c>
      <c r="T2777">
        <v>1</v>
      </c>
      <c r="U2777">
        <v>1</v>
      </c>
      <c r="V2777">
        <v>686.86</v>
      </c>
      <c r="W2777">
        <v>13130002775</v>
      </c>
    </row>
    <row r="2778" spans="1:23" x14ac:dyDescent="0.2">
      <c r="A2778" s="1">
        <v>44804</v>
      </c>
      <c r="B2778" s="2">
        <v>0.75853009259259263</v>
      </c>
      <c r="C2778">
        <v>3776</v>
      </c>
      <c r="D2778">
        <v>13002561</v>
      </c>
      <c r="E2778">
        <v>13</v>
      </c>
      <c r="F2778">
        <v>22589</v>
      </c>
      <c r="G2778" t="s">
        <v>23</v>
      </c>
      <c r="H2778">
        <v>15</v>
      </c>
      <c r="I2778">
        <v>61107</v>
      </c>
      <c r="J2778" t="s">
        <v>55</v>
      </c>
      <c r="K2778" t="s">
        <v>25</v>
      </c>
      <c r="L2778" t="s">
        <v>47</v>
      </c>
      <c r="M2778">
        <v>1</v>
      </c>
      <c r="N2778">
        <v>460.03</v>
      </c>
      <c r="O2778">
        <v>776.69</v>
      </c>
      <c r="P2778">
        <v>0</v>
      </c>
      <c r="Q2778">
        <v>0</v>
      </c>
      <c r="S2778">
        <v>29</v>
      </c>
      <c r="T2778">
        <v>1</v>
      </c>
      <c r="U2778">
        <v>2</v>
      </c>
      <c r="V2778">
        <v>776.69</v>
      </c>
      <c r="W2778">
        <v>13130002776</v>
      </c>
    </row>
    <row r="2779" spans="1:23" x14ac:dyDescent="0.2">
      <c r="A2779" s="1">
        <v>44802</v>
      </c>
      <c r="B2779" s="2">
        <v>0.65162037037037035</v>
      </c>
      <c r="C2779">
        <v>3777</v>
      </c>
      <c r="D2779">
        <v>13002561</v>
      </c>
      <c r="E2779">
        <v>13</v>
      </c>
      <c r="F2779">
        <v>22589</v>
      </c>
      <c r="G2779" t="s">
        <v>23</v>
      </c>
      <c r="H2779">
        <v>15</v>
      </c>
      <c r="I2779">
        <v>21038</v>
      </c>
      <c r="J2779" t="s">
        <v>80</v>
      </c>
      <c r="K2779" t="s">
        <v>60</v>
      </c>
      <c r="L2779" t="s">
        <v>34</v>
      </c>
      <c r="M2779">
        <v>2</v>
      </c>
      <c r="N2779">
        <v>241.63</v>
      </c>
      <c r="O2779">
        <v>349.28</v>
      </c>
      <c r="P2779">
        <v>0</v>
      </c>
      <c r="Q2779">
        <v>0</v>
      </c>
      <c r="S2779">
        <v>29</v>
      </c>
      <c r="T2779">
        <v>1</v>
      </c>
      <c r="U2779">
        <v>2</v>
      </c>
      <c r="V2779">
        <v>349.28</v>
      </c>
      <c r="W2779">
        <v>13130002777</v>
      </c>
    </row>
    <row r="2780" spans="1:23" x14ac:dyDescent="0.2">
      <c r="A2780" s="1">
        <v>44776</v>
      </c>
      <c r="B2780" s="2">
        <v>0.62402777777777774</v>
      </c>
      <c r="C2780">
        <v>3778</v>
      </c>
      <c r="D2780">
        <v>13002561</v>
      </c>
      <c r="E2780">
        <v>13</v>
      </c>
      <c r="F2780">
        <v>22589</v>
      </c>
      <c r="G2780" t="s">
        <v>23</v>
      </c>
      <c r="H2780">
        <v>18</v>
      </c>
      <c r="I2780">
        <v>27020</v>
      </c>
      <c r="J2780" t="s">
        <v>62</v>
      </c>
      <c r="K2780" t="s">
        <v>45</v>
      </c>
      <c r="L2780" t="s">
        <v>29</v>
      </c>
      <c r="M2780">
        <v>1</v>
      </c>
      <c r="N2780">
        <v>87.3</v>
      </c>
      <c r="O2780">
        <v>121.36</v>
      </c>
      <c r="P2780">
        <v>12.14</v>
      </c>
      <c r="Q2780">
        <v>12.14</v>
      </c>
      <c r="R2780" t="s">
        <v>30</v>
      </c>
      <c r="S2780">
        <v>29</v>
      </c>
      <c r="T2780">
        <v>1</v>
      </c>
      <c r="U2780">
        <v>6</v>
      </c>
      <c r="V2780">
        <v>109.22</v>
      </c>
      <c r="W2780">
        <v>13130002778</v>
      </c>
    </row>
    <row r="2781" spans="1:23" x14ac:dyDescent="0.2">
      <c r="A2781" s="1">
        <v>44791</v>
      </c>
      <c r="B2781" s="2">
        <v>0.94930555555555551</v>
      </c>
      <c r="C2781">
        <v>3779</v>
      </c>
      <c r="D2781">
        <v>13002561</v>
      </c>
      <c r="E2781">
        <v>13</v>
      </c>
      <c r="F2781">
        <v>22589</v>
      </c>
      <c r="G2781" t="s">
        <v>23</v>
      </c>
      <c r="H2781">
        <v>18</v>
      </c>
      <c r="I2781">
        <v>75281</v>
      </c>
      <c r="J2781" t="s">
        <v>97</v>
      </c>
      <c r="K2781" t="s">
        <v>25</v>
      </c>
      <c r="L2781" t="s">
        <v>47</v>
      </c>
      <c r="M2781">
        <v>3</v>
      </c>
      <c r="N2781">
        <v>217.33</v>
      </c>
      <c r="O2781">
        <v>309.87</v>
      </c>
      <c r="P2781">
        <v>0</v>
      </c>
      <c r="Q2781">
        <v>0</v>
      </c>
      <c r="S2781">
        <v>29</v>
      </c>
      <c r="T2781">
        <v>1</v>
      </c>
      <c r="U2781">
        <v>4</v>
      </c>
      <c r="V2781">
        <v>309.87</v>
      </c>
      <c r="W2781">
        <v>13130002779</v>
      </c>
    </row>
    <row r="2782" spans="1:23" x14ac:dyDescent="0.2">
      <c r="A2782" s="1">
        <v>44774</v>
      </c>
      <c r="B2782" s="2">
        <v>0.91583333333333339</v>
      </c>
      <c r="C2782">
        <v>3780</v>
      </c>
      <c r="D2782">
        <v>13002561</v>
      </c>
      <c r="E2782">
        <v>13</v>
      </c>
      <c r="F2782">
        <v>22589</v>
      </c>
      <c r="G2782" t="s">
        <v>23</v>
      </c>
      <c r="H2782">
        <v>18</v>
      </c>
      <c r="I2782">
        <v>68459</v>
      </c>
      <c r="J2782" t="s">
        <v>42</v>
      </c>
      <c r="K2782" t="s">
        <v>44</v>
      </c>
      <c r="L2782" t="s">
        <v>29</v>
      </c>
      <c r="M2782">
        <v>2</v>
      </c>
      <c r="N2782">
        <v>107.61</v>
      </c>
      <c r="O2782">
        <v>140.76</v>
      </c>
      <c r="P2782">
        <v>0</v>
      </c>
      <c r="Q2782">
        <v>0</v>
      </c>
      <c r="S2782">
        <v>29</v>
      </c>
      <c r="T2782">
        <v>1</v>
      </c>
      <c r="U2782">
        <v>3</v>
      </c>
      <c r="V2782">
        <v>140.76</v>
      </c>
      <c r="W2782">
        <v>13130002780</v>
      </c>
    </row>
    <row r="2783" spans="1:23" x14ac:dyDescent="0.2">
      <c r="A2783" s="1">
        <v>44795</v>
      </c>
      <c r="B2783" s="2">
        <v>0.59892361111111114</v>
      </c>
      <c r="C2783">
        <v>3781</v>
      </c>
      <c r="D2783">
        <v>13002561</v>
      </c>
      <c r="E2783">
        <v>13</v>
      </c>
      <c r="F2783">
        <v>22589</v>
      </c>
      <c r="G2783" t="s">
        <v>23</v>
      </c>
      <c r="H2783">
        <v>18</v>
      </c>
      <c r="I2783">
        <v>60510</v>
      </c>
      <c r="J2783" t="s">
        <v>118</v>
      </c>
      <c r="K2783" t="s">
        <v>45</v>
      </c>
      <c r="L2783" t="s">
        <v>32</v>
      </c>
      <c r="M2783">
        <v>3</v>
      </c>
      <c r="N2783">
        <v>108.47</v>
      </c>
      <c r="O2783">
        <v>138.38999999999999</v>
      </c>
      <c r="P2783">
        <v>0</v>
      </c>
      <c r="Q2783">
        <v>0</v>
      </c>
      <c r="S2783">
        <v>29</v>
      </c>
      <c r="T2783">
        <v>1</v>
      </c>
      <c r="U2783">
        <v>4</v>
      </c>
      <c r="V2783">
        <v>138.38999999999999</v>
      </c>
      <c r="W2783">
        <v>13130002781</v>
      </c>
    </row>
    <row r="2784" spans="1:23" x14ac:dyDescent="0.2">
      <c r="A2784" s="1">
        <v>44800</v>
      </c>
      <c r="B2784" s="2">
        <v>0.69443287037037038</v>
      </c>
      <c r="C2784">
        <v>3782</v>
      </c>
      <c r="D2784">
        <v>13002561</v>
      </c>
      <c r="E2784">
        <v>13</v>
      </c>
      <c r="F2784">
        <v>22589</v>
      </c>
      <c r="G2784" t="s">
        <v>23</v>
      </c>
      <c r="H2784">
        <v>15</v>
      </c>
      <c r="I2784">
        <v>69082</v>
      </c>
      <c r="J2784" t="s">
        <v>127</v>
      </c>
      <c r="K2784" t="s">
        <v>45</v>
      </c>
      <c r="L2784" t="s">
        <v>51</v>
      </c>
      <c r="M2784">
        <v>3</v>
      </c>
      <c r="N2784">
        <v>99.03</v>
      </c>
      <c r="O2784">
        <v>151.07</v>
      </c>
      <c r="P2784">
        <v>0</v>
      </c>
      <c r="Q2784">
        <v>0</v>
      </c>
      <c r="S2784">
        <v>29</v>
      </c>
      <c r="T2784">
        <v>1</v>
      </c>
      <c r="U2784">
        <v>3</v>
      </c>
      <c r="V2784">
        <v>151.07</v>
      </c>
      <c r="W2784">
        <v>13130002782</v>
      </c>
    </row>
    <row r="2785" spans="1:23" x14ac:dyDescent="0.2">
      <c r="A2785" s="1">
        <v>44795</v>
      </c>
      <c r="B2785" s="2">
        <v>0.63331018518518523</v>
      </c>
      <c r="C2785">
        <v>3783</v>
      </c>
      <c r="D2785">
        <v>13002561</v>
      </c>
      <c r="E2785">
        <v>13</v>
      </c>
      <c r="F2785">
        <v>22589</v>
      </c>
      <c r="G2785" t="s">
        <v>23</v>
      </c>
      <c r="H2785">
        <v>18</v>
      </c>
      <c r="I2785">
        <v>19523</v>
      </c>
      <c r="J2785" t="s">
        <v>88</v>
      </c>
      <c r="K2785" t="s">
        <v>25</v>
      </c>
      <c r="L2785" t="s">
        <v>32</v>
      </c>
      <c r="M2785">
        <v>1</v>
      </c>
      <c r="N2785">
        <v>488.37</v>
      </c>
      <c r="O2785">
        <v>766.34</v>
      </c>
      <c r="P2785">
        <v>76.63</v>
      </c>
      <c r="Q2785">
        <v>76.63</v>
      </c>
      <c r="R2785" t="s">
        <v>30</v>
      </c>
      <c r="S2785">
        <v>29</v>
      </c>
      <c r="T2785">
        <v>1</v>
      </c>
      <c r="U2785">
        <v>4</v>
      </c>
      <c r="V2785">
        <v>689.71</v>
      </c>
      <c r="W2785">
        <v>13130002783</v>
      </c>
    </row>
    <row r="2786" spans="1:23" x14ac:dyDescent="0.2">
      <c r="A2786" s="1">
        <v>44804</v>
      </c>
      <c r="B2786" s="2">
        <v>0.8169791666666667</v>
      </c>
      <c r="C2786">
        <v>3784</v>
      </c>
      <c r="D2786">
        <v>13002561</v>
      </c>
      <c r="E2786">
        <v>13</v>
      </c>
      <c r="F2786">
        <v>22589</v>
      </c>
      <c r="G2786" t="s">
        <v>23</v>
      </c>
      <c r="H2786">
        <v>18</v>
      </c>
      <c r="I2786">
        <v>40689</v>
      </c>
      <c r="J2786" t="s">
        <v>48</v>
      </c>
      <c r="K2786" t="s">
        <v>45</v>
      </c>
      <c r="L2786" t="s">
        <v>51</v>
      </c>
      <c r="M2786">
        <v>2</v>
      </c>
      <c r="N2786">
        <v>402.87</v>
      </c>
      <c r="O2786">
        <v>667.51</v>
      </c>
      <c r="P2786">
        <v>0</v>
      </c>
      <c r="Q2786">
        <v>0</v>
      </c>
      <c r="S2786">
        <v>29</v>
      </c>
      <c r="T2786">
        <v>1</v>
      </c>
      <c r="U2786">
        <v>3</v>
      </c>
      <c r="V2786">
        <v>667.51</v>
      </c>
      <c r="W2786">
        <v>13130002784</v>
      </c>
    </row>
    <row r="2787" spans="1:23" x14ac:dyDescent="0.2">
      <c r="A2787" s="1">
        <v>44793</v>
      </c>
      <c r="B2787" s="2">
        <v>0.50739583333333338</v>
      </c>
      <c r="C2787">
        <v>3785</v>
      </c>
      <c r="D2787">
        <v>13002561</v>
      </c>
      <c r="E2787">
        <v>13</v>
      </c>
      <c r="F2787">
        <v>22589</v>
      </c>
      <c r="G2787" t="s">
        <v>23</v>
      </c>
      <c r="H2787">
        <v>18</v>
      </c>
      <c r="I2787">
        <v>26748</v>
      </c>
      <c r="J2787" t="s">
        <v>113</v>
      </c>
      <c r="K2787" t="s">
        <v>28</v>
      </c>
      <c r="L2787" t="s">
        <v>47</v>
      </c>
      <c r="M2787">
        <v>1</v>
      </c>
      <c r="N2787">
        <v>129.93</v>
      </c>
      <c r="O2787">
        <v>169.29</v>
      </c>
      <c r="P2787">
        <v>8.4600000000000009</v>
      </c>
      <c r="Q2787">
        <v>8.4600000000000009</v>
      </c>
      <c r="R2787" t="s">
        <v>30</v>
      </c>
      <c r="S2787">
        <v>29</v>
      </c>
      <c r="T2787">
        <v>1</v>
      </c>
      <c r="U2787">
        <v>5</v>
      </c>
      <c r="V2787">
        <v>160.83000000000001</v>
      </c>
      <c r="W2787">
        <v>13130002785</v>
      </c>
    </row>
    <row r="2788" spans="1:23" x14ac:dyDescent="0.2">
      <c r="A2788" s="1">
        <v>44779</v>
      </c>
      <c r="B2788" s="2">
        <v>0.47539351851851852</v>
      </c>
      <c r="C2788">
        <v>3786</v>
      </c>
      <c r="D2788">
        <v>13002561</v>
      </c>
      <c r="E2788">
        <v>13</v>
      </c>
      <c r="F2788">
        <v>22589</v>
      </c>
      <c r="G2788" t="s">
        <v>23</v>
      </c>
      <c r="H2788">
        <v>15</v>
      </c>
      <c r="I2788">
        <v>73691</v>
      </c>
      <c r="J2788" t="s">
        <v>48</v>
      </c>
      <c r="K2788" t="s">
        <v>25</v>
      </c>
      <c r="L2788" t="s">
        <v>29</v>
      </c>
      <c r="M2788">
        <v>3</v>
      </c>
      <c r="N2788">
        <v>65.08</v>
      </c>
      <c r="O2788">
        <v>99.25</v>
      </c>
      <c r="P2788">
        <v>9.93</v>
      </c>
      <c r="Q2788">
        <v>9.93</v>
      </c>
      <c r="R2788" t="s">
        <v>30</v>
      </c>
      <c r="S2788">
        <v>29</v>
      </c>
      <c r="T2788">
        <v>1</v>
      </c>
      <c r="U2788">
        <v>1</v>
      </c>
      <c r="V2788">
        <v>89.32</v>
      </c>
      <c r="W2788">
        <v>13130002786</v>
      </c>
    </row>
    <row r="2789" spans="1:23" x14ac:dyDescent="0.2">
      <c r="A2789" s="1">
        <v>44777</v>
      </c>
      <c r="B2789" s="2">
        <v>0.83233796296296292</v>
      </c>
      <c r="C2789">
        <v>3787</v>
      </c>
      <c r="D2789">
        <v>13002561</v>
      </c>
      <c r="E2789">
        <v>13</v>
      </c>
      <c r="F2789">
        <v>22589</v>
      </c>
      <c r="G2789" t="s">
        <v>23</v>
      </c>
      <c r="H2789">
        <v>18</v>
      </c>
      <c r="I2789">
        <v>54219</v>
      </c>
      <c r="J2789" t="s">
        <v>83</v>
      </c>
      <c r="K2789" t="s">
        <v>28</v>
      </c>
      <c r="L2789" t="s">
        <v>26</v>
      </c>
      <c r="M2789">
        <v>1</v>
      </c>
      <c r="N2789">
        <v>144.58000000000001</v>
      </c>
      <c r="O2789">
        <v>189.9</v>
      </c>
      <c r="P2789">
        <v>9.5</v>
      </c>
      <c r="Q2789">
        <v>9.5</v>
      </c>
      <c r="R2789" t="s">
        <v>30</v>
      </c>
      <c r="S2789">
        <v>29</v>
      </c>
      <c r="T2789">
        <v>1</v>
      </c>
      <c r="U2789">
        <v>6</v>
      </c>
      <c r="V2789">
        <v>180.4</v>
      </c>
      <c r="W2789">
        <v>13130002787</v>
      </c>
    </row>
    <row r="2790" spans="1:23" x14ac:dyDescent="0.2">
      <c r="A2790" s="1">
        <v>44789</v>
      </c>
      <c r="B2790" s="2">
        <v>0.87914351851851846</v>
      </c>
      <c r="C2790">
        <v>3788</v>
      </c>
      <c r="D2790">
        <v>13002561</v>
      </c>
      <c r="E2790">
        <v>13</v>
      </c>
      <c r="F2790">
        <v>22589</v>
      </c>
      <c r="G2790" t="s">
        <v>23</v>
      </c>
      <c r="H2790">
        <v>18</v>
      </c>
      <c r="I2790">
        <v>67406</v>
      </c>
      <c r="J2790" t="s">
        <v>120</v>
      </c>
      <c r="K2790" t="s">
        <v>45</v>
      </c>
      <c r="L2790" t="s">
        <v>32</v>
      </c>
      <c r="M2790">
        <v>3</v>
      </c>
      <c r="N2790">
        <v>222.77</v>
      </c>
      <c r="O2790">
        <v>373.37</v>
      </c>
      <c r="P2790">
        <v>37.340000000000003</v>
      </c>
      <c r="Q2790">
        <v>37.340000000000003</v>
      </c>
      <c r="R2790" t="s">
        <v>30</v>
      </c>
      <c r="S2790">
        <v>29</v>
      </c>
      <c r="T2790">
        <v>1</v>
      </c>
      <c r="U2790">
        <v>3</v>
      </c>
      <c r="V2790">
        <v>336.03</v>
      </c>
      <c r="W2790">
        <v>13130002788</v>
      </c>
    </row>
    <row r="2791" spans="1:23" x14ac:dyDescent="0.2">
      <c r="A2791" s="1">
        <v>44796</v>
      </c>
      <c r="B2791" s="2">
        <v>0.72025462962962961</v>
      </c>
      <c r="C2791">
        <v>3789</v>
      </c>
      <c r="D2791">
        <v>13002561</v>
      </c>
      <c r="E2791">
        <v>13</v>
      </c>
      <c r="F2791">
        <v>22589</v>
      </c>
      <c r="G2791" t="s">
        <v>23</v>
      </c>
      <c r="H2791">
        <v>15</v>
      </c>
      <c r="I2791">
        <v>64508</v>
      </c>
      <c r="J2791" t="s">
        <v>49</v>
      </c>
      <c r="K2791" t="s">
        <v>38</v>
      </c>
      <c r="L2791" t="s">
        <v>32</v>
      </c>
      <c r="M2791">
        <v>1</v>
      </c>
      <c r="N2791">
        <v>158.63999999999999</v>
      </c>
      <c r="O2791">
        <v>198.94</v>
      </c>
      <c r="P2791">
        <v>9.9499999999999993</v>
      </c>
      <c r="Q2791">
        <v>9.9499999999999993</v>
      </c>
      <c r="R2791" t="s">
        <v>30</v>
      </c>
      <c r="S2791">
        <v>29</v>
      </c>
      <c r="T2791">
        <v>1</v>
      </c>
      <c r="U2791">
        <v>3</v>
      </c>
      <c r="V2791">
        <v>188.99</v>
      </c>
      <c r="W2791">
        <v>13130002789</v>
      </c>
    </row>
    <row r="2792" spans="1:23" x14ac:dyDescent="0.2">
      <c r="A2792" s="1">
        <v>44795</v>
      </c>
      <c r="B2792" s="2">
        <v>0.95650462962962968</v>
      </c>
      <c r="C2792">
        <v>3790</v>
      </c>
      <c r="D2792">
        <v>13002561</v>
      </c>
      <c r="E2792">
        <v>13</v>
      </c>
      <c r="F2792">
        <v>22589</v>
      </c>
      <c r="G2792" t="s">
        <v>23</v>
      </c>
      <c r="H2792">
        <v>18</v>
      </c>
      <c r="I2792">
        <v>18025</v>
      </c>
      <c r="J2792" t="s">
        <v>128</v>
      </c>
      <c r="K2792" t="s">
        <v>25</v>
      </c>
      <c r="L2792" t="s">
        <v>34</v>
      </c>
      <c r="M2792">
        <v>1</v>
      </c>
      <c r="N2792">
        <v>374.76</v>
      </c>
      <c r="O2792">
        <v>562.05999999999995</v>
      </c>
      <c r="P2792">
        <v>56.21</v>
      </c>
      <c r="Q2792">
        <v>56.21</v>
      </c>
      <c r="R2792" t="s">
        <v>30</v>
      </c>
      <c r="S2792">
        <v>29</v>
      </c>
      <c r="T2792">
        <v>1</v>
      </c>
      <c r="U2792">
        <v>1</v>
      </c>
      <c r="V2792">
        <v>505.85</v>
      </c>
      <c r="W2792">
        <v>13130002790</v>
      </c>
    </row>
    <row r="2793" spans="1:23" x14ac:dyDescent="0.2">
      <c r="A2793" s="1">
        <v>44801</v>
      </c>
      <c r="B2793" s="2">
        <v>0.68472222222222223</v>
      </c>
      <c r="C2793">
        <v>3791</v>
      </c>
      <c r="D2793">
        <v>13002561</v>
      </c>
      <c r="E2793">
        <v>13</v>
      </c>
      <c r="F2793">
        <v>22589</v>
      </c>
      <c r="G2793" t="s">
        <v>23</v>
      </c>
      <c r="H2793">
        <v>15</v>
      </c>
      <c r="I2793">
        <v>14055</v>
      </c>
      <c r="J2793" t="s">
        <v>62</v>
      </c>
      <c r="K2793" t="s">
        <v>38</v>
      </c>
      <c r="L2793" t="s">
        <v>39</v>
      </c>
      <c r="M2793">
        <v>1</v>
      </c>
      <c r="N2793">
        <v>538</v>
      </c>
      <c r="O2793">
        <v>709.05</v>
      </c>
      <c r="P2793">
        <v>0</v>
      </c>
      <c r="Q2793">
        <v>0</v>
      </c>
      <c r="S2793">
        <v>29</v>
      </c>
      <c r="T2793">
        <v>1</v>
      </c>
      <c r="U2793">
        <v>3</v>
      </c>
      <c r="V2793">
        <v>709.05</v>
      </c>
      <c r="W2793">
        <v>13130002791</v>
      </c>
    </row>
    <row r="2794" spans="1:23" x14ac:dyDescent="0.2">
      <c r="A2794" s="1">
        <v>44793</v>
      </c>
      <c r="B2794" s="2">
        <v>0.50383101851851853</v>
      </c>
      <c r="C2794">
        <v>3792</v>
      </c>
      <c r="D2794">
        <v>13002561</v>
      </c>
      <c r="E2794">
        <v>13</v>
      </c>
      <c r="F2794">
        <v>22589</v>
      </c>
      <c r="G2794" t="s">
        <v>23</v>
      </c>
      <c r="H2794">
        <v>15</v>
      </c>
      <c r="I2794">
        <v>61934</v>
      </c>
      <c r="J2794" t="s">
        <v>48</v>
      </c>
      <c r="K2794" t="s">
        <v>38</v>
      </c>
      <c r="L2794" t="s">
        <v>34</v>
      </c>
      <c r="M2794">
        <v>2</v>
      </c>
      <c r="N2794">
        <v>37.11</v>
      </c>
      <c r="O2794">
        <v>61.05</v>
      </c>
      <c r="P2794">
        <v>6.11</v>
      </c>
      <c r="Q2794">
        <v>6.11</v>
      </c>
      <c r="R2794" t="s">
        <v>30</v>
      </c>
      <c r="S2794">
        <v>29</v>
      </c>
      <c r="T2794">
        <v>1</v>
      </c>
      <c r="U2794">
        <v>2</v>
      </c>
      <c r="V2794">
        <v>54.94</v>
      </c>
      <c r="W2794">
        <v>13130002792</v>
      </c>
    </row>
    <row r="2795" spans="1:23" x14ac:dyDescent="0.2">
      <c r="A2795" s="1">
        <v>44787</v>
      </c>
      <c r="B2795" s="2">
        <v>0.60789351851851847</v>
      </c>
      <c r="C2795">
        <v>3793</v>
      </c>
      <c r="D2795">
        <v>13002561</v>
      </c>
      <c r="E2795">
        <v>13</v>
      </c>
      <c r="F2795">
        <v>22589</v>
      </c>
      <c r="G2795" t="s">
        <v>23</v>
      </c>
      <c r="H2795">
        <v>18</v>
      </c>
      <c r="I2795">
        <v>69673</v>
      </c>
      <c r="J2795" t="s">
        <v>35</v>
      </c>
      <c r="K2795" t="s">
        <v>28</v>
      </c>
      <c r="L2795" t="s">
        <v>34</v>
      </c>
      <c r="M2795">
        <v>2</v>
      </c>
      <c r="N2795">
        <v>427.69</v>
      </c>
      <c r="O2795">
        <v>667.71</v>
      </c>
      <c r="P2795">
        <v>33.39</v>
      </c>
      <c r="Q2795">
        <v>33.39</v>
      </c>
      <c r="R2795" t="s">
        <v>30</v>
      </c>
      <c r="S2795">
        <v>29</v>
      </c>
      <c r="T2795">
        <v>1</v>
      </c>
      <c r="U2795">
        <v>5</v>
      </c>
      <c r="V2795">
        <v>634.32000000000005</v>
      </c>
      <c r="W2795">
        <v>13130002793</v>
      </c>
    </row>
    <row r="2796" spans="1:23" x14ac:dyDescent="0.2">
      <c r="A2796" s="1">
        <v>44786</v>
      </c>
      <c r="B2796" s="2">
        <v>0.67471064814814818</v>
      </c>
      <c r="C2796">
        <v>3794</v>
      </c>
      <c r="D2796">
        <v>13002561</v>
      </c>
      <c r="E2796">
        <v>13</v>
      </c>
      <c r="F2796">
        <v>22589</v>
      </c>
      <c r="G2796" t="s">
        <v>23</v>
      </c>
      <c r="H2796">
        <v>15</v>
      </c>
      <c r="I2796">
        <v>43993</v>
      </c>
      <c r="J2796" t="s">
        <v>27</v>
      </c>
      <c r="K2796" t="s">
        <v>38</v>
      </c>
      <c r="L2796" t="s">
        <v>39</v>
      </c>
      <c r="M2796">
        <v>1</v>
      </c>
      <c r="N2796">
        <v>129.02000000000001</v>
      </c>
      <c r="O2796">
        <v>174.33</v>
      </c>
      <c r="P2796">
        <v>17.43</v>
      </c>
      <c r="Q2796">
        <v>17.43</v>
      </c>
      <c r="R2796" t="s">
        <v>30</v>
      </c>
      <c r="S2796">
        <v>29</v>
      </c>
      <c r="T2796">
        <v>1</v>
      </c>
      <c r="U2796">
        <v>5</v>
      </c>
      <c r="V2796">
        <v>156.9</v>
      </c>
      <c r="W2796">
        <v>13130002794</v>
      </c>
    </row>
    <row r="2797" spans="1:23" x14ac:dyDescent="0.2">
      <c r="A2797" s="1">
        <v>44774</v>
      </c>
      <c r="B2797" s="2">
        <v>0.83734953703703707</v>
      </c>
      <c r="C2797">
        <v>3795</v>
      </c>
      <c r="D2797">
        <v>13002561</v>
      </c>
      <c r="E2797">
        <v>13</v>
      </c>
      <c r="F2797">
        <v>22589</v>
      </c>
      <c r="G2797" t="s">
        <v>23</v>
      </c>
      <c r="H2797">
        <v>18</v>
      </c>
      <c r="I2797">
        <v>58294</v>
      </c>
      <c r="J2797" t="s">
        <v>76</v>
      </c>
      <c r="K2797" t="s">
        <v>60</v>
      </c>
      <c r="L2797" t="s">
        <v>32</v>
      </c>
      <c r="M2797">
        <v>3</v>
      </c>
      <c r="N2797">
        <v>456.25</v>
      </c>
      <c r="O2797">
        <v>678.77</v>
      </c>
      <c r="P2797">
        <v>33.94</v>
      </c>
      <c r="Q2797">
        <v>33.94</v>
      </c>
      <c r="R2797" t="s">
        <v>30</v>
      </c>
      <c r="S2797">
        <v>29</v>
      </c>
      <c r="T2797">
        <v>1</v>
      </c>
      <c r="U2797">
        <v>1</v>
      </c>
      <c r="V2797">
        <v>644.83000000000004</v>
      </c>
      <c r="W2797">
        <v>13130002795</v>
      </c>
    </row>
    <row r="2798" spans="1:23" x14ac:dyDescent="0.2">
      <c r="A2798" s="1">
        <v>44792</v>
      </c>
      <c r="B2798" s="2">
        <v>0.7185300925925926</v>
      </c>
      <c r="C2798">
        <v>3796</v>
      </c>
      <c r="D2798">
        <v>13002561</v>
      </c>
      <c r="E2798">
        <v>13</v>
      </c>
      <c r="F2798">
        <v>22589</v>
      </c>
      <c r="G2798" t="s">
        <v>23</v>
      </c>
      <c r="H2798">
        <v>18</v>
      </c>
      <c r="I2798">
        <v>69679</v>
      </c>
      <c r="J2798" t="s">
        <v>81</v>
      </c>
      <c r="K2798" t="s">
        <v>28</v>
      </c>
      <c r="L2798" t="s">
        <v>32</v>
      </c>
      <c r="M2798">
        <v>3</v>
      </c>
      <c r="N2798">
        <v>394.47</v>
      </c>
      <c r="O2798">
        <v>547.67999999999995</v>
      </c>
      <c r="P2798">
        <v>27.38</v>
      </c>
      <c r="Q2798">
        <v>27.38</v>
      </c>
      <c r="R2798" t="s">
        <v>30</v>
      </c>
      <c r="S2798">
        <v>29</v>
      </c>
      <c r="T2798">
        <v>1</v>
      </c>
      <c r="U2798">
        <v>4</v>
      </c>
      <c r="V2798">
        <v>520.29999999999995</v>
      </c>
      <c r="W2798">
        <v>13130002796</v>
      </c>
    </row>
    <row r="2799" spans="1:23" x14ac:dyDescent="0.2">
      <c r="A2799" s="1">
        <v>44786</v>
      </c>
      <c r="B2799" s="2">
        <v>0.94045138888888891</v>
      </c>
      <c r="C2799">
        <v>3797</v>
      </c>
      <c r="D2799">
        <v>13002561</v>
      </c>
      <c r="E2799">
        <v>13</v>
      </c>
      <c r="F2799">
        <v>22589</v>
      </c>
      <c r="G2799" t="s">
        <v>23</v>
      </c>
      <c r="H2799">
        <v>15</v>
      </c>
      <c r="I2799">
        <v>35673</v>
      </c>
      <c r="J2799" t="s">
        <v>40</v>
      </c>
      <c r="K2799" t="s">
        <v>60</v>
      </c>
      <c r="L2799" t="s">
        <v>47</v>
      </c>
      <c r="M2799">
        <v>1</v>
      </c>
      <c r="N2799">
        <v>138.74</v>
      </c>
      <c r="O2799">
        <v>196.56</v>
      </c>
      <c r="P2799">
        <v>9.83</v>
      </c>
      <c r="Q2799">
        <v>9.83</v>
      </c>
      <c r="R2799" t="s">
        <v>30</v>
      </c>
      <c r="S2799">
        <v>29</v>
      </c>
      <c r="T2799">
        <v>1</v>
      </c>
      <c r="U2799">
        <v>5</v>
      </c>
      <c r="V2799">
        <v>186.73</v>
      </c>
      <c r="W2799">
        <v>13130002797</v>
      </c>
    </row>
    <row r="2800" spans="1:23" x14ac:dyDescent="0.2">
      <c r="A2800" s="1">
        <v>44775</v>
      </c>
      <c r="B2800" s="2">
        <v>0.61570601851851847</v>
      </c>
      <c r="C2800">
        <v>3798</v>
      </c>
      <c r="D2800">
        <v>13002561</v>
      </c>
      <c r="E2800">
        <v>13</v>
      </c>
      <c r="F2800">
        <v>22589</v>
      </c>
      <c r="G2800" t="s">
        <v>23</v>
      </c>
      <c r="H2800">
        <v>18</v>
      </c>
      <c r="I2800">
        <v>93378</v>
      </c>
      <c r="J2800" t="s">
        <v>52</v>
      </c>
      <c r="K2800" t="s">
        <v>45</v>
      </c>
      <c r="L2800" t="s">
        <v>39</v>
      </c>
      <c r="M2800">
        <v>2</v>
      </c>
      <c r="N2800">
        <v>209.47</v>
      </c>
      <c r="O2800">
        <v>307.14</v>
      </c>
      <c r="P2800">
        <v>15.36</v>
      </c>
      <c r="Q2800">
        <v>15.36</v>
      </c>
      <c r="R2800" t="s">
        <v>30</v>
      </c>
      <c r="S2800">
        <v>29</v>
      </c>
      <c r="T2800">
        <v>1</v>
      </c>
      <c r="U2800">
        <v>4</v>
      </c>
      <c r="V2800">
        <v>291.77999999999997</v>
      </c>
      <c r="W2800">
        <v>13130002798</v>
      </c>
    </row>
    <row r="2801" spans="1:23" x14ac:dyDescent="0.2">
      <c r="A2801" s="1">
        <v>44804</v>
      </c>
      <c r="B2801" s="2">
        <v>0.37615740740740738</v>
      </c>
      <c r="C2801">
        <v>3799</v>
      </c>
      <c r="D2801">
        <v>13002561</v>
      </c>
      <c r="E2801">
        <v>13</v>
      </c>
      <c r="F2801">
        <v>22589</v>
      </c>
      <c r="G2801" t="s">
        <v>23</v>
      </c>
      <c r="H2801">
        <v>18</v>
      </c>
      <c r="I2801">
        <v>20876</v>
      </c>
      <c r="J2801" t="s">
        <v>86</v>
      </c>
      <c r="K2801" t="s">
        <v>60</v>
      </c>
      <c r="L2801" t="s">
        <v>39</v>
      </c>
      <c r="M2801">
        <v>2</v>
      </c>
      <c r="N2801">
        <v>447.5</v>
      </c>
      <c r="O2801">
        <v>564.94000000000005</v>
      </c>
      <c r="P2801">
        <v>56.49</v>
      </c>
      <c r="Q2801">
        <v>56.49</v>
      </c>
      <c r="R2801" t="s">
        <v>30</v>
      </c>
      <c r="S2801">
        <v>29</v>
      </c>
      <c r="T2801">
        <v>1</v>
      </c>
      <c r="U2801">
        <v>2</v>
      </c>
      <c r="V2801">
        <v>508.45</v>
      </c>
      <c r="W2801">
        <v>13130002799</v>
      </c>
    </row>
    <row r="2802" spans="1:23" x14ac:dyDescent="0.2">
      <c r="A2802" s="1">
        <v>44792</v>
      </c>
      <c r="B2802" s="2">
        <v>0.5539236111111111</v>
      </c>
      <c r="C2802">
        <v>3800</v>
      </c>
      <c r="D2802">
        <v>13002561</v>
      </c>
      <c r="E2802">
        <v>13</v>
      </c>
      <c r="F2802">
        <v>22589</v>
      </c>
      <c r="G2802" t="s">
        <v>23</v>
      </c>
      <c r="H2802">
        <v>18</v>
      </c>
      <c r="I2802">
        <v>31870</v>
      </c>
      <c r="J2802" t="s">
        <v>73</v>
      </c>
      <c r="K2802" t="s">
        <v>25</v>
      </c>
      <c r="L2802" t="s">
        <v>39</v>
      </c>
      <c r="M2802">
        <v>2</v>
      </c>
      <c r="N2802">
        <v>106.63</v>
      </c>
      <c r="O2802">
        <v>166.94</v>
      </c>
      <c r="P2802">
        <v>16.690000000000001</v>
      </c>
      <c r="Q2802">
        <v>16.690000000000001</v>
      </c>
      <c r="R2802" t="s">
        <v>30</v>
      </c>
      <c r="S2802">
        <v>29</v>
      </c>
      <c r="T2802">
        <v>1</v>
      </c>
      <c r="U2802">
        <v>6</v>
      </c>
      <c r="V2802">
        <v>150.25</v>
      </c>
      <c r="W2802">
        <v>13130002800</v>
      </c>
    </row>
    <row r="2803" spans="1:23" x14ac:dyDescent="0.2">
      <c r="A2803" s="1">
        <v>44784</v>
      </c>
      <c r="B2803" s="2">
        <v>0.51575231481481476</v>
      </c>
      <c r="C2803">
        <v>3801</v>
      </c>
      <c r="D2803">
        <v>13002561</v>
      </c>
      <c r="E2803">
        <v>13</v>
      </c>
      <c r="F2803">
        <v>22589</v>
      </c>
      <c r="G2803" t="s">
        <v>23</v>
      </c>
      <c r="H2803">
        <v>18</v>
      </c>
      <c r="I2803">
        <v>46393</v>
      </c>
      <c r="J2803" t="s">
        <v>91</v>
      </c>
      <c r="K2803" t="s">
        <v>60</v>
      </c>
      <c r="L2803" t="s">
        <v>34</v>
      </c>
      <c r="M2803">
        <v>1</v>
      </c>
      <c r="N2803">
        <v>67.599999999999994</v>
      </c>
      <c r="O2803">
        <v>97.94</v>
      </c>
      <c r="P2803">
        <v>0</v>
      </c>
      <c r="Q2803">
        <v>0</v>
      </c>
      <c r="S2803">
        <v>29</v>
      </c>
      <c r="T2803">
        <v>1</v>
      </c>
      <c r="U2803">
        <v>1</v>
      </c>
      <c r="V2803">
        <v>97.94</v>
      </c>
      <c r="W2803">
        <v>13130002801</v>
      </c>
    </row>
    <row r="2804" spans="1:23" x14ac:dyDescent="0.2">
      <c r="A2804" s="1">
        <v>44785</v>
      </c>
      <c r="B2804" s="2">
        <v>0.39503472222222219</v>
      </c>
      <c r="C2804">
        <v>3802</v>
      </c>
      <c r="D2804">
        <v>13002561</v>
      </c>
      <c r="E2804">
        <v>13</v>
      </c>
      <c r="F2804">
        <v>22589</v>
      </c>
      <c r="G2804" t="s">
        <v>23</v>
      </c>
      <c r="H2804">
        <v>18</v>
      </c>
      <c r="I2804">
        <v>13531</v>
      </c>
      <c r="J2804" t="s">
        <v>111</v>
      </c>
      <c r="K2804" t="s">
        <v>28</v>
      </c>
      <c r="L2804" t="s">
        <v>39</v>
      </c>
      <c r="M2804">
        <v>1</v>
      </c>
      <c r="N2804">
        <v>105.12</v>
      </c>
      <c r="O2804">
        <v>163.18</v>
      </c>
      <c r="P2804">
        <v>0</v>
      </c>
      <c r="Q2804">
        <v>0</v>
      </c>
      <c r="S2804">
        <v>29</v>
      </c>
      <c r="T2804">
        <v>1</v>
      </c>
      <c r="U2804">
        <v>3</v>
      </c>
      <c r="V2804">
        <v>163.18</v>
      </c>
      <c r="W2804">
        <v>13130002802</v>
      </c>
    </row>
    <row r="2805" spans="1:23" x14ac:dyDescent="0.2">
      <c r="A2805" s="1">
        <v>44786</v>
      </c>
      <c r="B2805" s="2">
        <v>0.3967013888888889</v>
      </c>
      <c r="C2805">
        <v>3803</v>
      </c>
      <c r="D2805">
        <v>13002561</v>
      </c>
      <c r="E2805">
        <v>13</v>
      </c>
      <c r="F2805">
        <v>22589</v>
      </c>
      <c r="G2805" t="s">
        <v>23</v>
      </c>
      <c r="H2805">
        <v>15</v>
      </c>
      <c r="I2805">
        <v>96397</v>
      </c>
      <c r="J2805" t="s">
        <v>46</v>
      </c>
      <c r="K2805" t="s">
        <v>28</v>
      </c>
      <c r="L2805" t="s">
        <v>29</v>
      </c>
      <c r="M2805">
        <v>1</v>
      </c>
      <c r="N2805">
        <v>139.62</v>
      </c>
      <c r="O2805">
        <v>224.31</v>
      </c>
      <c r="P2805">
        <v>22.43</v>
      </c>
      <c r="Q2805">
        <v>22.43</v>
      </c>
      <c r="R2805" t="s">
        <v>30</v>
      </c>
      <c r="S2805">
        <v>29</v>
      </c>
      <c r="T2805">
        <v>1</v>
      </c>
      <c r="U2805">
        <v>1</v>
      </c>
      <c r="V2805">
        <v>201.88</v>
      </c>
      <c r="W2805">
        <v>13130002803</v>
      </c>
    </row>
    <row r="2806" spans="1:23" x14ac:dyDescent="0.2">
      <c r="A2806" s="1">
        <v>44779</v>
      </c>
      <c r="B2806" s="2">
        <v>0.38914351851851853</v>
      </c>
      <c r="C2806">
        <v>3804</v>
      </c>
      <c r="D2806">
        <v>13002561</v>
      </c>
      <c r="E2806">
        <v>13</v>
      </c>
      <c r="F2806">
        <v>22589</v>
      </c>
      <c r="G2806" t="s">
        <v>23</v>
      </c>
      <c r="H2806">
        <v>15</v>
      </c>
      <c r="I2806">
        <v>49002</v>
      </c>
      <c r="J2806" t="s">
        <v>66</v>
      </c>
      <c r="K2806" t="s">
        <v>25</v>
      </c>
      <c r="L2806" t="s">
        <v>36</v>
      </c>
      <c r="M2806">
        <v>3</v>
      </c>
      <c r="N2806">
        <v>300.79000000000002</v>
      </c>
      <c r="O2806">
        <v>432.43</v>
      </c>
      <c r="P2806">
        <v>43.24</v>
      </c>
      <c r="Q2806">
        <v>43.24</v>
      </c>
      <c r="R2806" t="s">
        <v>30</v>
      </c>
      <c r="S2806">
        <v>29</v>
      </c>
      <c r="T2806">
        <v>1</v>
      </c>
      <c r="U2806">
        <v>3</v>
      </c>
      <c r="V2806">
        <v>389.19</v>
      </c>
      <c r="W2806">
        <v>13130002804</v>
      </c>
    </row>
    <row r="2807" spans="1:23" x14ac:dyDescent="0.2">
      <c r="A2807" s="1">
        <v>44788</v>
      </c>
      <c r="B2807" s="2">
        <v>0.80780092592592589</v>
      </c>
      <c r="C2807">
        <v>3805</v>
      </c>
      <c r="D2807">
        <v>13002561</v>
      </c>
      <c r="E2807">
        <v>13</v>
      </c>
      <c r="F2807">
        <v>22589</v>
      </c>
      <c r="G2807" t="s">
        <v>23</v>
      </c>
      <c r="H2807">
        <v>15</v>
      </c>
      <c r="I2807">
        <v>48146</v>
      </c>
      <c r="J2807" t="s">
        <v>125</v>
      </c>
      <c r="K2807" t="s">
        <v>28</v>
      </c>
      <c r="L2807" t="s">
        <v>32</v>
      </c>
      <c r="M2807">
        <v>2</v>
      </c>
      <c r="N2807">
        <v>564.78</v>
      </c>
      <c r="O2807">
        <v>938.75</v>
      </c>
      <c r="P2807">
        <v>46.94</v>
      </c>
      <c r="Q2807">
        <v>46.94</v>
      </c>
      <c r="R2807" t="s">
        <v>30</v>
      </c>
      <c r="S2807">
        <v>29</v>
      </c>
      <c r="T2807">
        <v>1</v>
      </c>
      <c r="U2807">
        <v>3</v>
      </c>
      <c r="V2807">
        <v>891.81</v>
      </c>
      <c r="W2807">
        <v>13130002805</v>
      </c>
    </row>
    <row r="2808" spans="1:23" x14ac:dyDescent="0.2">
      <c r="A2808" s="1">
        <v>44799</v>
      </c>
      <c r="B2808" s="2">
        <v>0.92749999999999999</v>
      </c>
      <c r="C2808">
        <v>3806</v>
      </c>
      <c r="D2808">
        <v>13002561</v>
      </c>
      <c r="E2808">
        <v>13</v>
      </c>
      <c r="F2808">
        <v>22589</v>
      </c>
      <c r="G2808" t="s">
        <v>23</v>
      </c>
      <c r="H2808">
        <v>15</v>
      </c>
      <c r="I2808">
        <v>73909</v>
      </c>
      <c r="J2808" t="s">
        <v>125</v>
      </c>
      <c r="K2808" t="s">
        <v>25</v>
      </c>
      <c r="L2808" t="s">
        <v>34</v>
      </c>
      <c r="M2808">
        <v>3</v>
      </c>
      <c r="N2808">
        <v>252.62</v>
      </c>
      <c r="O2808">
        <v>320.69</v>
      </c>
      <c r="P2808">
        <v>32.07</v>
      </c>
      <c r="Q2808">
        <v>32.07</v>
      </c>
      <c r="R2808" t="s">
        <v>30</v>
      </c>
      <c r="S2808">
        <v>29</v>
      </c>
      <c r="T2808">
        <v>1</v>
      </c>
      <c r="U2808">
        <v>1</v>
      </c>
      <c r="V2808">
        <v>288.62</v>
      </c>
      <c r="W2808">
        <v>13130002806</v>
      </c>
    </row>
    <row r="2809" spans="1:23" x14ac:dyDescent="0.2">
      <c r="A2809" s="1">
        <v>44802</v>
      </c>
      <c r="B2809" s="2">
        <v>0.34930555555555548</v>
      </c>
      <c r="C2809">
        <v>3807</v>
      </c>
      <c r="D2809">
        <v>13002561</v>
      </c>
      <c r="E2809">
        <v>13</v>
      </c>
      <c r="F2809">
        <v>22589</v>
      </c>
      <c r="G2809" t="s">
        <v>23</v>
      </c>
      <c r="H2809">
        <v>18</v>
      </c>
      <c r="I2809">
        <v>39609</v>
      </c>
      <c r="J2809" t="s">
        <v>84</v>
      </c>
      <c r="K2809" t="s">
        <v>28</v>
      </c>
      <c r="L2809" t="s">
        <v>39</v>
      </c>
      <c r="M2809">
        <v>2</v>
      </c>
      <c r="N2809">
        <v>147.28</v>
      </c>
      <c r="O2809">
        <v>239.52</v>
      </c>
      <c r="P2809">
        <v>23.95</v>
      </c>
      <c r="Q2809">
        <v>23.95</v>
      </c>
      <c r="R2809" t="s">
        <v>30</v>
      </c>
      <c r="S2809">
        <v>29</v>
      </c>
      <c r="T2809">
        <v>1</v>
      </c>
      <c r="U2809">
        <v>6</v>
      </c>
      <c r="V2809">
        <v>215.57</v>
      </c>
      <c r="W2809">
        <v>13130002807</v>
      </c>
    </row>
    <row r="2810" spans="1:23" x14ac:dyDescent="0.2">
      <c r="A2810" s="1">
        <v>44778</v>
      </c>
      <c r="B2810" s="2">
        <v>0.82975694444444448</v>
      </c>
      <c r="C2810">
        <v>3808</v>
      </c>
      <c r="D2810">
        <v>13002561</v>
      </c>
      <c r="E2810">
        <v>13</v>
      </c>
      <c r="F2810">
        <v>22589</v>
      </c>
      <c r="G2810" t="s">
        <v>23</v>
      </c>
      <c r="H2810">
        <v>18</v>
      </c>
      <c r="I2810">
        <v>81173</v>
      </c>
      <c r="J2810" t="s">
        <v>78</v>
      </c>
      <c r="K2810" t="s">
        <v>60</v>
      </c>
      <c r="L2810" t="s">
        <v>47</v>
      </c>
      <c r="M2810">
        <v>1</v>
      </c>
      <c r="N2810">
        <v>324.32</v>
      </c>
      <c r="O2810">
        <v>416.4</v>
      </c>
      <c r="P2810">
        <v>0</v>
      </c>
      <c r="Q2810">
        <v>0</v>
      </c>
      <c r="S2810">
        <v>29</v>
      </c>
      <c r="T2810">
        <v>1</v>
      </c>
      <c r="U2810">
        <v>1</v>
      </c>
      <c r="V2810">
        <v>416.4</v>
      </c>
      <c r="W2810">
        <v>13130002808</v>
      </c>
    </row>
    <row r="2811" spans="1:23" x14ac:dyDescent="0.2">
      <c r="A2811" s="1">
        <v>44781</v>
      </c>
      <c r="B2811" s="2">
        <v>0.87541666666666662</v>
      </c>
      <c r="C2811">
        <v>3809</v>
      </c>
      <c r="D2811">
        <v>13002561</v>
      </c>
      <c r="E2811">
        <v>13</v>
      </c>
      <c r="F2811">
        <v>22589</v>
      </c>
      <c r="G2811" t="s">
        <v>23</v>
      </c>
      <c r="H2811">
        <v>15</v>
      </c>
      <c r="I2811">
        <v>51519</v>
      </c>
      <c r="J2811" t="s">
        <v>59</v>
      </c>
      <c r="K2811" t="s">
        <v>45</v>
      </c>
      <c r="L2811" t="s">
        <v>47</v>
      </c>
      <c r="M2811">
        <v>1</v>
      </c>
      <c r="N2811">
        <v>251.26</v>
      </c>
      <c r="O2811">
        <v>327.02</v>
      </c>
      <c r="P2811">
        <v>0</v>
      </c>
      <c r="Q2811">
        <v>0</v>
      </c>
      <c r="S2811">
        <v>29</v>
      </c>
      <c r="T2811">
        <v>1</v>
      </c>
      <c r="U2811">
        <v>3</v>
      </c>
      <c r="V2811">
        <v>327.02</v>
      </c>
      <c r="W2811">
        <v>13130002809</v>
      </c>
    </row>
    <row r="2812" spans="1:23" x14ac:dyDescent="0.2">
      <c r="A2812" s="1">
        <v>44778</v>
      </c>
      <c r="B2812" s="2">
        <v>0.72167824074074072</v>
      </c>
      <c r="C2812">
        <v>3810</v>
      </c>
      <c r="D2812">
        <v>13002561</v>
      </c>
      <c r="E2812">
        <v>13</v>
      </c>
      <c r="F2812">
        <v>22589</v>
      </c>
      <c r="G2812" t="s">
        <v>23</v>
      </c>
      <c r="H2812">
        <v>15</v>
      </c>
      <c r="I2812">
        <v>44011</v>
      </c>
      <c r="J2812" t="s">
        <v>48</v>
      </c>
      <c r="K2812" t="s">
        <v>45</v>
      </c>
      <c r="L2812" t="s">
        <v>47</v>
      </c>
      <c r="M2812">
        <v>1</v>
      </c>
      <c r="N2812">
        <v>559.52</v>
      </c>
      <c r="O2812">
        <v>825.57</v>
      </c>
      <c r="P2812">
        <v>82.56</v>
      </c>
      <c r="Q2812">
        <v>82.56</v>
      </c>
      <c r="R2812" t="s">
        <v>30</v>
      </c>
      <c r="S2812">
        <v>29</v>
      </c>
      <c r="T2812">
        <v>1</v>
      </c>
      <c r="U2812">
        <v>1</v>
      </c>
      <c r="V2812">
        <v>743.01</v>
      </c>
      <c r="W2812">
        <v>13130002810</v>
      </c>
    </row>
    <row r="2813" spans="1:23" x14ac:dyDescent="0.2">
      <c r="A2813" s="1">
        <v>44777</v>
      </c>
      <c r="B2813" s="2">
        <v>0.46078703703703711</v>
      </c>
      <c r="C2813">
        <v>3811</v>
      </c>
      <c r="D2813">
        <v>13002561</v>
      </c>
      <c r="E2813">
        <v>13</v>
      </c>
      <c r="F2813">
        <v>22589</v>
      </c>
      <c r="G2813" t="s">
        <v>23</v>
      </c>
      <c r="H2813">
        <v>15</v>
      </c>
      <c r="I2813">
        <v>32721</v>
      </c>
      <c r="J2813" t="s">
        <v>121</v>
      </c>
      <c r="K2813" t="s">
        <v>28</v>
      </c>
      <c r="L2813" t="s">
        <v>32</v>
      </c>
      <c r="M2813">
        <v>2</v>
      </c>
      <c r="N2813">
        <v>475.02</v>
      </c>
      <c r="O2813">
        <v>603.15</v>
      </c>
      <c r="P2813">
        <v>0</v>
      </c>
      <c r="Q2813">
        <v>0</v>
      </c>
      <c r="S2813">
        <v>29</v>
      </c>
      <c r="T2813">
        <v>1</v>
      </c>
      <c r="U2813">
        <v>2</v>
      </c>
      <c r="V2813">
        <v>603.15</v>
      </c>
      <c r="W2813">
        <v>13130002811</v>
      </c>
    </row>
    <row r="2814" spans="1:23" x14ac:dyDescent="0.2">
      <c r="A2814" s="1">
        <v>44794</v>
      </c>
      <c r="B2814" s="2">
        <v>0.64652777777777781</v>
      </c>
      <c r="C2814">
        <v>3812</v>
      </c>
      <c r="D2814">
        <v>13002561</v>
      </c>
      <c r="E2814">
        <v>13</v>
      </c>
      <c r="F2814">
        <v>22589</v>
      </c>
      <c r="G2814" t="s">
        <v>23</v>
      </c>
      <c r="H2814">
        <v>15</v>
      </c>
      <c r="I2814">
        <v>66421</v>
      </c>
      <c r="J2814" t="s">
        <v>59</v>
      </c>
      <c r="K2814" t="s">
        <v>38</v>
      </c>
      <c r="L2814" t="s">
        <v>36</v>
      </c>
      <c r="M2814">
        <v>3</v>
      </c>
      <c r="N2814">
        <v>504.61</v>
      </c>
      <c r="O2814">
        <v>839.79</v>
      </c>
      <c r="P2814">
        <v>41.99</v>
      </c>
      <c r="Q2814">
        <v>41.99</v>
      </c>
      <c r="R2814" t="s">
        <v>30</v>
      </c>
      <c r="S2814">
        <v>29</v>
      </c>
      <c r="T2814">
        <v>1</v>
      </c>
      <c r="U2814">
        <v>1</v>
      </c>
      <c r="V2814">
        <v>797.8</v>
      </c>
      <c r="W2814">
        <v>13130002812</v>
      </c>
    </row>
    <row r="2815" spans="1:23" x14ac:dyDescent="0.2">
      <c r="A2815" s="1">
        <v>44782</v>
      </c>
      <c r="B2815" s="2">
        <v>0.42733796296296289</v>
      </c>
      <c r="C2815">
        <v>3813</v>
      </c>
      <c r="D2815">
        <v>13002561</v>
      </c>
      <c r="E2815">
        <v>13</v>
      </c>
      <c r="F2815">
        <v>22589</v>
      </c>
      <c r="G2815" t="s">
        <v>23</v>
      </c>
      <c r="H2815">
        <v>18</v>
      </c>
      <c r="I2815">
        <v>30421</v>
      </c>
      <c r="J2815" t="s">
        <v>62</v>
      </c>
      <c r="K2815" t="s">
        <v>44</v>
      </c>
      <c r="L2815" t="s">
        <v>51</v>
      </c>
      <c r="M2815">
        <v>2</v>
      </c>
      <c r="N2815">
        <v>136.61000000000001</v>
      </c>
      <c r="O2815">
        <v>172.12</v>
      </c>
      <c r="P2815">
        <v>0</v>
      </c>
      <c r="Q2815">
        <v>0</v>
      </c>
      <c r="S2815">
        <v>29</v>
      </c>
      <c r="T2815">
        <v>1</v>
      </c>
      <c r="U2815">
        <v>1</v>
      </c>
      <c r="V2815">
        <v>172.12</v>
      </c>
      <c r="W2815">
        <v>13130002813</v>
      </c>
    </row>
    <row r="2816" spans="1:23" x14ac:dyDescent="0.2">
      <c r="A2816" s="1">
        <v>44784</v>
      </c>
      <c r="B2816" s="2">
        <v>0.48097222222222219</v>
      </c>
      <c r="C2816">
        <v>3814</v>
      </c>
      <c r="D2816">
        <v>13002561</v>
      </c>
      <c r="E2816">
        <v>13</v>
      </c>
      <c r="F2816">
        <v>22589</v>
      </c>
      <c r="G2816" t="s">
        <v>23</v>
      </c>
      <c r="H2816">
        <v>15</v>
      </c>
      <c r="I2816">
        <v>20036</v>
      </c>
      <c r="J2816" t="s">
        <v>102</v>
      </c>
      <c r="K2816" t="s">
        <v>38</v>
      </c>
      <c r="L2816" t="s">
        <v>29</v>
      </c>
      <c r="M2816">
        <v>3</v>
      </c>
      <c r="N2816">
        <v>97.71</v>
      </c>
      <c r="O2816">
        <v>162.38</v>
      </c>
      <c r="P2816">
        <v>0</v>
      </c>
      <c r="Q2816">
        <v>0</v>
      </c>
      <c r="S2816">
        <v>29</v>
      </c>
      <c r="T2816">
        <v>1</v>
      </c>
      <c r="U2816">
        <v>2</v>
      </c>
      <c r="V2816">
        <v>162.38</v>
      </c>
      <c r="W2816">
        <v>13130002814</v>
      </c>
    </row>
    <row r="2817" spans="1:23" x14ac:dyDescent="0.2">
      <c r="A2817" s="1">
        <v>44785</v>
      </c>
      <c r="B2817" s="2">
        <v>0.43042824074074082</v>
      </c>
      <c r="C2817">
        <v>3815</v>
      </c>
      <c r="D2817">
        <v>13002561</v>
      </c>
      <c r="E2817">
        <v>13</v>
      </c>
      <c r="F2817">
        <v>22589</v>
      </c>
      <c r="G2817" t="s">
        <v>23</v>
      </c>
      <c r="H2817">
        <v>18</v>
      </c>
      <c r="I2817">
        <v>49539</v>
      </c>
      <c r="J2817" t="s">
        <v>33</v>
      </c>
      <c r="K2817" t="s">
        <v>45</v>
      </c>
      <c r="L2817" t="s">
        <v>51</v>
      </c>
      <c r="M2817">
        <v>3</v>
      </c>
      <c r="N2817">
        <v>136.35</v>
      </c>
      <c r="O2817">
        <v>182.44</v>
      </c>
      <c r="P2817">
        <v>18.239999999999998</v>
      </c>
      <c r="Q2817">
        <v>18.239999999999998</v>
      </c>
      <c r="R2817" t="s">
        <v>30</v>
      </c>
      <c r="S2817">
        <v>29</v>
      </c>
      <c r="T2817">
        <v>1</v>
      </c>
      <c r="U2817">
        <v>6</v>
      </c>
      <c r="V2817">
        <v>164.2</v>
      </c>
      <c r="W2817">
        <v>13130002815</v>
      </c>
    </row>
    <row r="2818" spans="1:23" x14ac:dyDescent="0.2">
      <c r="A2818" s="1">
        <v>44803</v>
      </c>
      <c r="B2818" s="2">
        <v>0.9115509259259259</v>
      </c>
      <c r="C2818">
        <v>3816</v>
      </c>
      <c r="D2818">
        <v>13002561</v>
      </c>
      <c r="E2818">
        <v>13</v>
      </c>
      <c r="F2818">
        <v>22589</v>
      </c>
      <c r="G2818" t="s">
        <v>23</v>
      </c>
      <c r="H2818">
        <v>18</v>
      </c>
      <c r="I2818">
        <v>64209</v>
      </c>
      <c r="J2818" t="s">
        <v>125</v>
      </c>
      <c r="K2818" t="s">
        <v>60</v>
      </c>
      <c r="L2818" t="s">
        <v>51</v>
      </c>
      <c r="M2818">
        <v>2</v>
      </c>
      <c r="N2818">
        <v>563.6</v>
      </c>
      <c r="O2818">
        <v>717.05</v>
      </c>
      <c r="P2818">
        <v>0</v>
      </c>
      <c r="Q2818">
        <v>0</v>
      </c>
      <c r="S2818">
        <v>29</v>
      </c>
      <c r="T2818">
        <v>1</v>
      </c>
      <c r="U2818">
        <v>2</v>
      </c>
      <c r="V2818">
        <v>717.05</v>
      </c>
      <c r="W2818">
        <v>13130002816</v>
      </c>
    </row>
    <row r="2819" spans="1:23" x14ac:dyDescent="0.2">
      <c r="A2819" s="1">
        <v>44799</v>
      </c>
      <c r="B2819" s="2">
        <v>0.93784722222222228</v>
      </c>
      <c r="C2819">
        <v>3817</v>
      </c>
      <c r="D2819">
        <v>13002561</v>
      </c>
      <c r="E2819">
        <v>13</v>
      </c>
      <c r="F2819">
        <v>22589</v>
      </c>
      <c r="G2819" t="s">
        <v>23</v>
      </c>
      <c r="H2819">
        <v>18</v>
      </c>
      <c r="I2819">
        <v>19721</v>
      </c>
      <c r="J2819" t="s">
        <v>76</v>
      </c>
      <c r="K2819" t="s">
        <v>44</v>
      </c>
      <c r="L2819" t="s">
        <v>39</v>
      </c>
      <c r="M2819">
        <v>3</v>
      </c>
      <c r="N2819">
        <v>219.21</v>
      </c>
      <c r="O2819">
        <v>366.22</v>
      </c>
      <c r="P2819">
        <v>0</v>
      </c>
      <c r="Q2819">
        <v>0</v>
      </c>
      <c r="S2819">
        <v>29</v>
      </c>
      <c r="T2819">
        <v>1</v>
      </c>
      <c r="U2819">
        <v>6</v>
      </c>
      <c r="V2819">
        <v>366.22</v>
      </c>
      <c r="W2819">
        <v>13130002817</v>
      </c>
    </row>
    <row r="2820" spans="1:23" x14ac:dyDescent="0.2">
      <c r="A2820" s="1">
        <v>44776</v>
      </c>
      <c r="B2820" s="2">
        <v>0.86144675925925929</v>
      </c>
      <c r="C2820">
        <v>3818</v>
      </c>
      <c r="D2820">
        <v>13002561</v>
      </c>
      <c r="E2820">
        <v>13</v>
      </c>
      <c r="F2820">
        <v>22589</v>
      </c>
      <c r="G2820" t="s">
        <v>23</v>
      </c>
      <c r="H2820">
        <v>15</v>
      </c>
      <c r="I2820">
        <v>20976</v>
      </c>
      <c r="J2820" t="s">
        <v>49</v>
      </c>
      <c r="K2820" t="s">
        <v>44</v>
      </c>
      <c r="L2820" t="s">
        <v>51</v>
      </c>
      <c r="M2820">
        <v>2</v>
      </c>
      <c r="N2820">
        <v>565.30999999999995</v>
      </c>
      <c r="O2820">
        <v>823.92</v>
      </c>
      <c r="P2820">
        <v>0</v>
      </c>
      <c r="Q2820">
        <v>0</v>
      </c>
      <c r="S2820">
        <v>29</v>
      </c>
      <c r="T2820">
        <v>1</v>
      </c>
      <c r="U2820">
        <v>6</v>
      </c>
      <c r="V2820">
        <v>823.92</v>
      </c>
      <c r="W2820">
        <v>13130002818</v>
      </c>
    </row>
    <row r="2821" spans="1:23" x14ac:dyDescent="0.2">
      <c r="A2821" s="1">
        <v>44786</v>
      </c>
      <c r="B2821" s="2">
        <v>0.64218750000000002</v>
      </c>
      <c r="C2821">
        <v>3819</v>
      </c>
      <c r="D2821">
        <v>13002561</v>
      </c>
      <c r="E2821">
        <v>13</v>
      </c>
      <c r="F2821">
        <v>22589</v>
      </c>
      <c r="G2821" t="s">
        <v>23</v>
      </c>
      <c r="H2821">
        <v>15</v>
      </c>
      <c r="I2821">
        <v>16672</v>
      </c>
      <c r="J2821" t="s">
        <v>66</v>
      </c>
      <c r="K2821" t="s">
        <v>60</v>
      </c>
      <c r="L2821" t="s">
        <v>47</v>
      </c>
      <c r="M2821">
        <v>2</v>
      </c>
      <c r="N2821">
        <v>257.7</v>
      </c>
      <c r="O2821">
        <v>333.38</v>
      </c>
      <c r="P2821">
        <v>0</v>
      </c>
      <c r="Q2821">
        <v>0</v>
      </c>
      <c r="S2821">
        <v>29</v>
      </c>
      <c r="T2821">
        <v>1</v>
      </c>
      <c r="U2821">
        <v>4</v>
      </c>
      <c r="V2821">
        <v>333.38</v>
      </c>
      <c r="W2821">
        <v>13130002819</v>
      </c>
    </row>
    <row r="2822" spans="1:23" x14ac:dyDescent="0.2">
      <c r="A2822" s="1">
        <v>44799</v>
      </c>
      <c r="B2822" s="2">
        <v>0.53584490740740742</v>
      </c>
      <c r="C2822">
        <v>3820</v>
      </c>
      <c r="D2822">
        <v>13002561</v>
      </c>
      <c r="E2822">
        <v>13</v>
      </c>
      <c r="F2822">
        <v>22589</v>
      </c>
      <c r="G2822" t="s">
        <v>23</v>
      </c>
      <c r="H2822">
        <v>15</v>
      </c>
      <c r="I2822">
        <v>32320</v>
      </c>
      <c r="J2822" t="s">
        <v>81</v>
      </c>
      <c r="K2822" t="s">
        <v>25</v>
      </c>
      <c r="L2822" t="s">
        <v>47</v>
      </c>
      <c r="M2822">
        <v>1</v>
      </c>
      <c r="N2822">
        <v>459.82</v>
      </c>
      <c r="O2822">
        <v>645.33000000000004</v>
      </c>
      <c r="P2822">
        <v>64.53</v>
      </c>
      <c r="Q2822">
        <v>64.53</v>
      </c>
      <c r="R2822" t="s">
        <v>30</v>
      </c>
      <c r="S2822">
        <v>29</v>
      </c>
      <c r="T2822">
        <v>1</v>
      </c>
      <c r="U2822">
        <v>1</v>
      </c>
      <c r="V2822">
        <v>580.79999999999995</v>
      </c>
      <c r="W2822">
        <v>13130002820</v>
      </c>
    </row>
    <row r="2823" spans="1:23" x14ac:dyDescent="0.2">
      <c r="A2823" s="1">
        <v>44774</v>
      </c>
      <c r="B2823" s="2">
        <v>0.35879629629629628</v>
      </c>
      <c r="C2823">
        <v>3821</v>
      </c>
      <c r="D2823">
        <v>13002561</v>
      </c>
      <c r="E2823">
        <v>13</v>
      </c>
      <c r="F2823">
        <v>22589</v>
      </c>
      <c r="G2823" t="s">
        <v>23</v>
      </c>
      <c r="H2823">
        <v>15</v>
      </c>
      <c r="I2823">
        <v>75029</v>
      </c>
      <c r="J2823" t="s">
        <v>64</v>
      </c>
      <c r="K2823" t="s">
        <v>38</v>
      </c>
      <c r="L2823" t="s">
        <v>39</v>
      </c>
      <c r="M2823">
        <v>3</v>
      </c>
      <c r="N2823">
        <v>255.84</v>
      </c>
      <c r="O2823">
        <v>389.42</v>
      </c>
      <c r="P2823">
        <v>19.47</v>
      </c>
      <c r="Q2823">
        <v>19.47</v>
      </c>
      <c r="R2823" t="s">
        <v>30</v>
      </c>
      <c r="S2823">
        <v>29</v>
      </c>
      <c r="T2823">
        <v>1</v>
      </c>
      <c r="U2823">
        <v>4</v>
      </c>
      <c r="V2823">
        <v>369.95</v>
      </c>
      <c r="W2823">
        <v>13130002821</v>
      </c>
    </row>
    <row r="2824" spans="1:23" x14ac:dyDescent="0.2">
      <c r="A2824" s="1">
        <v>44780</v>
      </c>
      <c r="B2824" s="2">
        <v>0.49869212962962961</v>
      </c>
      <c r="C2824">
        <v>3822</v>
      </c>
      <c r="D2824">
        <v>13002561</v>
      </c>
      <c r="E2824">
        <v>13</v>
      </c>
      <c r="F2824">
        <v>22589</v>
      </c>
      <c r="G2824" t="s">
        <v>23</v>
      </c>
      <c r="H2824">
        <v>18</v>
      </c>
      <c r="I2824">
        <v>45929</v>
      </c>
      <c r="J2824" t="s">
        <v>108</v>
      </c>
      <c r="K2824" t="s">
        <v>44</v>
      </c>
      <c r="L2824" t="s">
        <v>26</v>
      </c>
      <c r="M2824">
        <v>3</v>
      </c>
      <c r="N2824">
        <v>55.84</v>
      </c>
      <c r="O2824">
        <v>78.010000000000005</v>
      </c>
      <c r="P2824">
        <v>0</v>
      </c>
      <c r="Q2824">
        <v>0</v>
      </c>
      <c r="S2824">
        <v>29</v>
      </c>
      <c r="T2824">
        <v>1</v>
      </c>
      <c r="U2824">
        <v>3</v>
      </c>
      <c r="V2824">
        <v>78.010000000000005</v>
      </c>
      <c r="W2824">
        <v>13130002822</v>
      </c>
    </row>
    <row r="2825" spans="1:23" x14ac:dyDescent="0.2">
      <c r="A2825" s="1">
        <v>44783</v>
      </c>
      <c r="B2825" s="2">
        <v>0.45482638888888888</v>
      </c>
      <c r="C2825">
        <v>3823</v>
      </c>
      <c r="D2825">
        <v>13002561</v>
      </c>
      <c r="E2825">
        <v>13</v>
      </c>
      <c r="F2825">
        <v>22589</v>
      </c>
      <c r="G2825" t="s">
        <v>23</v>
      </c>
      <c r="H2825">
        <v>15</v>
      </c>
      <c r="I2825">
        <v>18038</v>
      </c>
      <c r="J2825" t="s">
        <v>89</v>
      </c>
      <c r="K2825" t="s">
        <v>45</v>
      </c>
      <c r="L2825" t="s">
        <v>51</v>
      </c>
      <c r="M2825">
        <v>3</v>
      </c>
      <c r="N2825">
        <v>139.15</v>
      </c>
      <c r="O2825">
        <v>182.81</v>
      </c>
      <c r="P2825">
        <v>9.14</v>
      </c>
      <c r="Q2825">
        <v>9.14</v>
      </c>
      <c r="R2825" t="s">
        <v>30</v>
      </c>
      <c r="S2825">
        <v>29</v>
      </c>
      <c r="T2825">
        <v>1</v>
      </c>
      <c r="U2825">
        <v>2</v>
      </c>
      <c r="V2825">
        <v>173.67</v>
      </c>
      <c r="W2825">
        <v>13130002823</v>
      </c>
    </row>
    <row r="2826" spans="1:23" x14ac:dyDescent="0.2">
      <c r="A2826" s="1">
        <v>44802</v>
      </c>
      <c r="B2826" s="2">
        <v>0.48570601851851852</v>
      </c>
      <c r="C2826">
        <v>3824</v>
      </c>
      <c r="D2826">
        <v>13002561</v>
      </c>
      <c r="E2826">
        <v>13</v>
      </c>
      <c r="F2826">
        <v>22589</v>
      </c>
      <c r="G2826" t="s">
        <v>23</v>
      </c>
      <c r="H2826">
        <v>18</v>
      </c>
      <c r="I2826">
        <v>85943</v>
      </c>
      <c r="J2826" t="s">
        <v>77</v>
      </c>
      <c r="K2826" t="s">
        <v>38</v>
      </c>
      <c r="L2826" t="s">
        <v>32</v>
      </c>
      <c r="M2826">
        <v>3</v>
      </c>
      <c r="N2826">
        <v>266.92</v>
      </c>
      <c r="O2826">
        <v>441.87</v>
      </c>
      <c r="P2826">
        <v>22.09</v>
      </c>
      <c r="Q2826">
        <v>22.09</v>
      </c>
      <c r="R2826" t="s">
        <v>30</v>
      </c>
      <c r="S2826">
        <v>29</v>
      </c>
      <c r="T2826">
        <v>1</v>
      </c>
      <c r="U2826">
        <v>5</v>
      </c>
      <c r="V2826">
        <v>419.78</v>
      </c>
      <c r="W2826">
        <v>13130002824</v>
      </c>
    </row>
    <row r="2827" spans="1:23" x14ac:dyDescent="0.2">
      <c r="A2827" s="1">
        <v>44777</v>
      </c>
      <c r="B2827" s="2">
        <v>0.35315972222222219</v>
      </c>
      <c r="C2827">
        <v>3825</v>
      </c>
      <c r="D2827">
        <v>13002561</v>
      </c>
      <c r="E2827">
        <v>13</v>
      </c>
      <c r="F2827">
        <v>22589</v>
      </c>
      <c r="G2827" t="s">
        <v>23</v>
      </c>
      <c r="H2827">
        <v>15</v>
      </c>
      <c r="I2827">
        <v>27920</v>
      </c>
      <c r="J2827" t="s">
        <v>94</v>
      </c>
      <c r="K2827" t="s">
        <v>45</v>
      </c>
      <c r="L2827" t="s">
        <v>29</v>
      </c>
      <c r="M2827">
        <v>2</v>
      </c>
      <c r="N2827">
        <v>347.72</v>
      </c>
      <c r="O2827">
        <v>530.20000000000005</v>
      </c>
      <c r="P2827">
        <v>0</v>
      </c>
      <c r="Q2827">
        <v>0</v>
      </c>
      <c r="S2827">
        <v>29</v>
      </c>
      <c r="T2827">
        <v>1</v>
      </c>
      <c r="U2827">
        <v>2</v>
      </c>
      <c r="V2827">
        <v>530.20000000000005</v>
      </c>
      <c r="W2827">
        <v>13130002825</v>
      </c>
    </row>
    <row r="2828" spans="1:23" x14ac:dyDescent="0.2">
      <c r="A2828" s="1">
        <v>44785</v>
      </c>
      <c r="B2828" s="2">
        <v>0.68982638888888892</v>
      </c>
      <c r="C2828">
        <v>3826</v>
      </c>
      <c r="D2828">
        <v>13002561</v>
      </c>
      <c r="E2828">
        <v>13</v>
      </c>
      <c r="F2828">
        <v>22589</v>
      </c>
      <c r="G2828" t="s">
        <v>23</v>
      </c>
      <c r="H2828">
        <v>15</v>
      </c>
      <c r="I2828">
        <v>98698</v>
      </c>
      <c r="J2828" t="s">
        <v>74</v>
      </c>
      <c r="K2828" t="s">
        <v>60</v>
      </c>
      <c r="L2828" t="s">
        <v>47</v>
      </c>
      <c r="M2828">
        <v>2</v>
      </c>
      <c r="N2828">
        <v>48.71</v>
      </c>
      <c r="O2828">
        <v>72.88</v>
      </c>
      <c r="P2828">
        <v>0</v>
      </c>
      <c r="Q2828">
        <v>0</v>
      </c>
      <c r="S2828">
        <v>29</v>
      </c>
      <c r="T2828">
        <v>1</v>
      </c>
      <c r="U2828">
        <v>1</v>
      </c>
      <c r="V2828">
        <v>72.88</v>
      </c>
      <c r="W2828">
        <v>13130002826</v>
      </c>
    </row>
    <row r="2829" spans="1:23" x14ac:dyDescent="0.2">
      <c r="A2829" s="1">
        <v>44785</v>
      </c>
      <c r="B2829" s="2">
        <v>0.90230324074074075</v>
      </c>
      <c r="C2829">
        <v>3827</v>
      </c>
      <c r="D2829">
        <v>13002561</v>
      </c>
      <c r="E2829">
        <v>13</v>
      </c>
      <c r="F2829">
        <v>22589</v>
      </c>
      <c r="G2829" t="s">
        <v>23</v>
      </c>
      <c r="H2829">
        <v>18</v>
      </c>
      <c r="I2829">
        <v>44753</v>
      </c>
      <c r="J2829" t="s">
        <v>118</v>
      </c>
      <c r="K2829" t="s">
        <v>60</v>
      </c>
      <c r="L2829" t="s">
        <v>34</v>
      </c>
      <c r="M2829">
        <v>2</v>
      </c>
      <c r="N2829">
        <v>20.61</v>
      </c>
      <c r="O2829">
        <v>27.82</v>
      </c>
      <c r="P2829">
        <v>2.78</v>
      </c>
      <c r="Q2829">
        <v>2.78</v>
      </c>
      <c r="R2829" t="s">
        <v>30</v>
      </c>
      <c r="S2829">
        <v>29</v>
      </c>
      <c r="T2829">
        <v>1</v>
      </c>
      <c r="U2829">
        <v>1</v>
      </c>
      <c r="V2829">
        <v>25.04</v>
      </c>
      <c r="W2829">
        <v>13130002827</v>
      </c>
    </row>
    <row r="2830" spans="1:23" x14ac:dyDescent="0.2">
      <c r="A2830" s="1">
        <v>44792</v>
      </c>
      <c r="B2830" s="2">
        <v>0.58914351851851854</v>
      </c>
      <c r="C2830">
        <v>3828</v>
      </c>
      <c r="D2830">
        <v>13002561</v>
      </c>
      <c r="E2830">
        <v>13</v>
      </c>
      <c r="F2830">
        <v>22589</v>
      </c>
      <c r="G2830" t="s">
        <v>23</v>
      </c>
      <c r="H2830">
        <v>15</v>
      </c>
      <c r="I2830">
        <v>34963</v>
      </c>
      <c r="J2830" t="s">
        <v>99</v>
      </c>
      <c r="K2830" t="s">
        <v>60</v>
      </c>
      <c r="L2830" t="s">
        <v>47</v>
      </c>
      <c r="M2830">
        <v>2</v>
      </c>
      <c r="N2830">
        <v>36.94</v>
      </c>
      <c r="O2830">
        <v>58.95</v>
      </c>
      <c r="P2830">
        <v>5.9</v>
      </c>
      <c r="Q2830">
        <v>5.9</v>
      </c>
      <c r="R2830" t="s">
        <v>30</v>
      </c>
      <c r="S2830">
        <v>29</v>
      </c>
      <c r="T2830">
        <v>1</v>
      </c>
      <c r="U2830">
        <v>3</v>
      </c>
      <c r="V2830">
        <v>53.05</v>
      </c>
      <c r="W2830">
        <v>13130002828</v>
      </c>
    </row>
    <row r="2831" spans="1:23" x14ac:dyDescent="0.2">
      <c r="A2831" s="1">
        <v>44801</v>
      </c>
      <c r="B2831" s="2">
        <v>0.36829861111111112</v>
      </c>
      <c r="C2831">
        <v>3829</v>
      </c>
      <c r="D2831">
        <v>13002561</v>
      </c>
      <c r="E2831">
        <v>13</v>
      </c>
      <c r="F2831">
        <v>22589</v>
      </c>
      <c r="G2831" t="s">
        <v>23</v>
      </c>
      <c r="H2831">
        <v>15</v>
      </c>
      <c r="I2831">
        <v>69909</v>
      </c>
      <c r="J2831" t="s">
        <v>96</v>
      </c>
      <c r="K2831" t="s">
        <v>60</v>
      </c>
      <c r="L2831" t="s">
        <v>29</v>
      </c>
      <c r="M2831">
        <v>3</v>
      </c>
      <c r="N2831">
        <v>542.51</v>
      </c>
      <c r="O2831">
        <v>849.28</v>
      </c>
      <c r="P2831">
        <v>0</v>
      </c>
      <c r="Q2831">
        <v>0</v>
      </c>
      <c r="S2831">
        <v>29</v>
      </c>
      <c r="T2831">
        <v>1</v>
      </c>
      <c r="U2831">
        <v>1</v>
      </c>
      <c r="V2831">
        <v>849.28</v>
      </c>
      <c r="W2831">
        <v>13130002829</v>
      </c>
    </row>
    <row r="2832" spans="1:23" x14ac:dyDescent="0.2">
      <c r="A2832" s="1">
        <v>44803</v>
      </c>
      <c r="B2832" s="2">
        <v>0.42865740740740738</v>
      </c>
      <c r="C2832">
        <v>3830</v>
      </c>
      <c r="D2832">
        <v>13002561</v>
      </c>
      <c r="E2832">
        <v>13</v>
      </c>
      <c r="F2832">
        <v>22589</v>
      </c>
      <c r="G2832" t="s">
        <v>23</v>
      </c>
      <c r="H2832">
        <v>18</v>
      </c>
      <c r="I2832">
        <v>29004</v>
      </c>
      <c r="J2832" t="s">
        <v>50</v>
      </c>
      <c r="K2832" t="s">
        <v>60</v>
      </c>
      <c r="L2832" t="s">
        <v>47</v>
      </c>
      <c r="M2832">
        <v>3</v>
      </c>
      <c r="N2832">
        <v>568.58000000000004</v>
      </c>
      <c r="O2832">
        <v>836.21</v>
      </c>
      <c r="P2832">
        <v>41.81</v>
      </c>
      <c r="Q2832">
        <v>41.81</v>
      </c>
      <c r="R2832" t="s">
        <v>30</v>
      </c>
      <c r="S2832">
        <v>29</v>
      </c>
      <c r="T2832">
        <v>1</v>
      </c>
      <c r="U2832">
        <v>1</v>
      </c>
      <c r="V2832">
        <v>794.4</v>
      </c>
      <c r="W2832">
        <v>13130002830</v>
      </c>
    </row>
    <row r="2833" spans="1:23" x14ac:dyDescent="0.2">
      <c r="A2833" s="1">
        <v>44780</v>
      </c>
      <c r="B2833" s="2">
        <v>0.55836805555555558</v>
      </c>
      <c r="C2833">
        <v>3831</v>
      </c>
      <c r="D2833">
        <v>13002561</v>
      </c>
      <c r="E2833">
        <v>13</v>
      </c>
      <c r="F2833">
        <v>22589</v>
      </c>
      <c r="G2833" t="s">
        <v>23</v>
      </c>
      <c r="H2833">
        <v>15</v>
      </c>
      <c r="I2833">
        <v>40709</v>
      </c>
      <c r="J2833" t="s">
        <v>83</v>
      </c>
      <c r="K2833" t="s">
        <v>44</v>
      </c>
      <c r="L2833" t="s">
        <v>36</v>
      </c>
      <c r="M2833">
        <v>1</v>
      </c>
      <c r="N2833">
        <v>512.66999999999996</v>
      </c>
      <c r="O2833">
        <v>814.09</v>
      </c>
      <c r="P2833">
        <v>40.700000000000003</v>
      </c>
      <c r="Q2833">
        <v>40.700000000000003</v>
      </c>
      <c r="R2833" t="s">
        <v>30</v>
      </c>
      <c r="S2833">
        <v>29</v>
      </c>
      <c r="T2833">
        <v>1</v>
      </c>
      <c r="U2833">
        <v>2</v>
      </c>
      <c r="V2833">
        <v>773.39</v>
      </c>
      <c r="W2833">
        <v>13130002831</v>
      </c>
    </row>
    <row r="2834" spans="1:23" x14ac:dyDescent="0.2">
      <c r="A2834" s="1">
        <v>44777</v>
      </c>
      <c r="B2834" s="2">
        <v>0.87002314814814818</v>
      </c>
      <c r="C2834">
        <v>3832</v>
      </c>
      <c r="D2834">
        <v>13002561</v>
      </c>
      <c r="E2834">
        <v>13</v>
      </c>
      <c r="F2834">
        <v>22589</v>
      </c>
      <c r="G2834" t="s">
        <v>23</v>
      </c>
      <c r="H2834">
        <v>18</v>
      </c>
      <c r="I2834">
        <v>24230</v>
      </c>
      <c r="J2834" t="s">
        <v>84</v>
      </c>
      <c r="K2834" t="s">
        <v>28</v>
      </c>
      <c r="L2834" t="s">
        <v>51</v>
      </c>
      <c r="M2834">
        <v>3</v>
      </c>
      <c r="N2834">
        <v>9.44</v>
      </c>
      <c r="O2834">
        <v>13.89</v>
      </c>
      <c r="P2834">
        <v>0</v>
      </c>
      <c r="Q2834">
        <v>0</v>
      </c>
      <c r="S2834">
        <v>29</v>
      </c>
      <c r="T2834">
        <v>1</v>
      </c>
      <c r="U2834">
        <v>4</v>
      </c>
      <c r="V2834">
        <v>13.89</v>
      </c>
      <c r="W2834">
        <v>13130002832</v>
      </c>
    </row>
    <row r="2835" spans="1:23" x14ac:dyDescent="0.2">
      <c r="A2835" s="1">
        <v>44796</v>
      </c>
      <c r="B2835" s="2">
        <v>0.91129629629629627</v>
      </c>
      <c r="C2835">
        <v>3833</v>
      </c>
      <c r="D2835">
        <v>13002561</v>
      </c>
      <c r="E2835">
        <v>13</v>
      </c>
      <c r="F2835">
        <v>22589</v>
      </c>
      <c r="G2835" t="s">
        <v>23</v>
      </c>
      <c r="H2835">
        <v>18</v>
      </c>
      <c r="I2835">
        <v>44624</v>
      </c>
      <c r="J2835" t="s">
        <v>65</v>
      </c>
      <c r="K2835" t="s">
        <v>60</v>
      </c>
      <c r="L2835" t="s">
        <v>39</v>
      </c>
      <c r="M2835">
        <v>1</v>
      </c>
      <c r="N2835">
        <v>246.75</v>
      </c>
      <c r="O2835">
        <v>409.88</v>
      </c>
      <c r="P2835">
        <v>20.49</v>
      </c>
      <c r="Q2835">
        <v>20.49</v>
      </c>
      <c r="R2835" t="s">
        <v>30</v>
      </c>
      <c r="S2835">
        <v>29</v>
      </c>
      <c r="T2835">
        <v>1</v>
      </c>
      <c r="U2835">
        <v>4</v>
      </c>
      <c r="V2835">
        <v>389.39</v>
      </c>
      <c r="W2835">
        <v>13130002833</v>
      </c>
    </row>
    <row r="2836" spans="1:23" x14ac:dyDescent="0.2">
      <c r="A2836" s="1">
        <v>44781</v>
      </c>
      <c r="B2836" s="2">
        <v>0.73526620370370366</v>
      </c>
      <c r="C2836">
        <v>3834</v>
      </c>
      <c r="D2836">
        <v>13002561</v>
      </c>
      <c r="E2836">
        <v>13</v>
      </c>
      <c r="F2836">
        <v>22589</v>
      </c>
      <c r="G2836" t="s">
        <v>23</v>
      </c>
      <c r="H2836">
        <v>18</v>
      </c>
      <c r="I2836">
        <v>22862</v>
      </c>
      <c r="J2836" t="s">
        <v>50</v>
      </c>
      <c r="K2836" t="s">
        <v>28</v>
      </c>
      <c r="L2836" t="s">
        <v>32</v>
      </c>
      <c r="M2836">
        <v>1</v>
      </c>
      <c r="N2836">
        <v>329.52</v>
      </c>
      <c r="O2836">
        <v>550.86</v>
      </c>
      <c r="P2836">
        <v>55.09</v>
      </c>
      <c r="Q2836">
        <v>55.09</v>
      </c>
      <c r="R2836" t="s">
        <v>30</v>
      </c>
      <c r="S2836">
        <v>29</v>
      </c>
      <c r="T2836">
        <v>1</v>
      </c>
      <c r="U2836">
        <v>6</v>
      </c>
      <c r="V2836">
        <v>495.77</v>
      </c>
      <c r="W2836">
        <v>13130002834</v>
      </c>
    </row>
    <row r="2837" spans="1:23" x14ac:dyDescent="0.2">
      <c r="A2837" s="1">
        <v>44800</v>
      </c>
      <c r="B2837" s="2">
        <v>0.45782407407407399</v>
      </c>
      <c r="C2837">
        <v>3835</v>
      </c>
      <c r="D2837">
        <v>13002561</v>
      </c>
      <c r="E2837">
        <v>13</v>
      </c>
      <c r="F2837">
        <v>22589</v>
      </c>
      <c r="G2837" t="s">
        <v>23</v>
      </c>
      <c r="H2837">
        <v>15</v>
      </c>
      <c r="I2837">
        <v>99012</v>
      </c>
      <c r="J2837" t="s">
        <v>87</v>
      </c>
      <c r="K2837" t="s">
        <v>60</v>
      </c>
      <c r="L2837" t="s">
        <v>34</v>
      </c>
      <c r="M2837">
        <v>3</v>
      </c>
      <c r="N2837">
        <v>220.93</v>
      </c>
      <c r="O2837">
        <v>319.68</v>
      </c>
      <c r="P2837">
        <v>0</v>
      </c>
      <c r="Q2837">
        <v>0</v>
      </c>
      <c r="S2837">
        <v>29</v>
      </c>
      <c r="T2837">
        <v>1</v>
      </c>
      <c r="U2837">
        <v>6</v>
      </c>
      <c r="V2837">
        <v>319.68</v>
      </c>
      <c r="W2837">
        <v>13130002835</v>
      </c>
    </row>
    <row r="2838" spans="1:23" x14ac:dyDescent="0.2">
      <c r="A2838" s="1">
        <v>44797</v>
      </c>
      <c r="B2838" s="2">
        <v>0.81906250000000003</v>
      </c>
      <c r="C2838">
        <v>3836</v>
      </c>
      <c r="D2838">
        <v>13002561</v>
      </c>
      <c r="E2838">
        <v>13</v>
      </c>
      <c r="F2838">
        <v>22589</v>
      </c>
      <c r="G2838" t="s">
        <v>23</v>
      </c>
      <c r="H2838">
        <v>15</v>
      </c>
      <c r="I2838">
        <v>44117</v>
      </c>
      <c r="J2838" t="s">
        <v>48</v>
      </c>
      <c r="K2838" t="s">
        <v>44</v>
      </c>
      <c r="L2838" t="s">
        <v>34</v>
      </c>
      <c r="M2838">
        <v>3</v>
      </c>
      <c r="N2838">
        <v>534.66999999999996</v>
      </c>
      <c r="O2838">
        <v>695.34</v>
      </c>
      <c r="P2838">
        <v>0</v>
      </c>
      <c r="Q2838">
        <v>0</v>
      </c>
      <c r="S2838">
        <v>29</v>
      </c>
      <c r="T2838">
        <v>1</v>
      </c>
      <c r="U2838">
        <v>1</v>
      </c>
      <c r="V2838">
        <v>695.34</v>
      </c>
      <c r="W2838">
        <v>13130002836</v>
      </c>
    </row>
    <row r="2839" spans="1:23" x14ac:dyDescent="0.2">
      <c r="A2839" s="1">
        <v>44800</v>
      </c>
      <c r="B2839" s="2">
        <v>0.75217592592592597</v>
      </c>
      <c r="C2839">
        <v>3837</v>
      </c>
      <c r="D2839">
        <v>13002561</v>
      </c>
      <c r="E2839">
        <v>13</v>
      </c>
      <c r="F2839">
        <v>22589</v>
      </c>
      <c r="G2839" t="s">
        <v>23</v>
      </c>
      <c r="H2839">
        <v>15</v>
      </c>
      <c r="I2839">
        <v>48341</v>
      </c>
      <c r="J2839" t="s">
        <v>128</v>
      </c>
      <c r="K2839" t="s">
        <v>60</v>
      </c>
      <c r="L2839" t="s">
        <v>47</v>
      </c>
      <c r="M2839">
        <v>2</v>
      </c>
      <c r="N2839">
        <v>166.52</v>
      </c>
      <c r="O2839">
        <v>260.33999999999997</v>
      </c>
      <c r="P2839">
        <v>0</v>
      </c>
      <c r="Q2839">
        <v>0</v>
      </c>
      <c r="S2839">
        <v>29</v>
      </c>
      <c r="T2839">
        <v>1</v>
      </c>
      <c r="U2839">
        <v>4</v>
      </c>
      <c r="V2839">
        <v>260.33999999999997</v>
      </c>
      <c r="W2839">
        <v>13130002837</v>
      </c>
    </row>
    <row r="2840" spans="1:23" x14ac:dyDescent="0.2">
      <c r="A2840" s="1">
        <v>44789</v>
      </c>
      <c r="B2840" s="2">
        <v>0.36005787037037029</v>
      </c>
      <c r="C2840">
        <v>3838</v>
      </c>
      <c r="D2840">
        <v>13002561</v>
      </c>
      <c r="E2840">
        <v>13</v>
      </c>
      <c r="F2840">
        <v>22589</v>
      </c>
      <c r="G2840" t="s">
        <v>23</v>
      </c>
      <c r="H2840">
        <v>15</v>
      </c>
      <c r="I2840">
        <v>74568</v>
      </c>
      <c r="J2840" t="s">
        <v>74</v>
      </c>
      <c r="K2840" t="s">
        <v>44</v>
      </c>
      <c r="L2840" t="s">
        <v>26</v>
      </c>
      <c r="M2840">
        <v>3</v>
      </c>
      <c r="N2840">
        <v>84.79</v>
      </c>
      <c r="O2840">
        <v>142.30000000000001</v>
      </c>
      <c r="P2840">
        <v>14.23</v>
      </c>
      <c r="Q2840">
        <v>14.23</v>
      </c>
      <c r="R2840" t="s">
        <v>30</v>
      </c>
      <c r="S2840">
        <v>29</v>
      </c>
      <c r="T2840">
        <v>1</v>
      </c>
      <c r="U2840">
        <v>2</v>
      </c>
      <c r="V2840">
        <v>128.07</v>
      </c>
      <c r="W2840">
        <v>13130002838</v>
      </c>
    </row>
    <row r="2841" spans="1:23" x14ac:dyDescent="0.2">
      <c r="A2841" s="1">
        <v>44782</v>
      </c>
      <c r="B2841" s="2">
        <v>0.91280092592592588</v>
      </c>
      <c r="C2841">
        <v>3839</v>
      </c>
      <c r="D2841">
        <v>13002561</v>
      </c>
      <c r="E2841">
        <v>13</v>
      </c>
      <c r="F2841">
        <v>22589</v>
      </c>
      <c r="G2841" t="s">
        <v>23</v>
      </c>
      <c r="H2841">
        <v>15</v>
      </c>
      <c r="I2841">
        <v>15954</v>
      </c>
      <c r="J2841" t="s">
        <v>41</v>
      </c>
      <c r="K2841" t="s">
        <v>45</v>
      </c>
      <c r="L2841" t="s">
        <v>29</v>
      </c>
      <c r="M2841">
        <v>1</v>
      </c>
      <c r="N2841">
        <v>52.17</v>
      </c>
      <c r="O2841">
        <v>83.94</v>
      </c>
      <c r="P2841">
        <v>4.2</v>
      </c>
      <c r="Q2841">
        <v>4.2</v>
      </c>
      <c r="R2841" t="s">
        <v>30</v>
      </c>
      <c r="S2841">
        <v>29</v>
      </c>
      <c r="T2841">
        <v>1</v>
      </c>
      <c r="U2841">
        <v>5</v>
      </c>
      <c r="V2841">
        <v>79.739999999999995</v>
      </c>
      <c r="W2841">
        <v>13130002839</v>
      </c>
    </row>
    <row r="2842" spans="1:23" x14ac:dyDescent="0.2">
      <c r="A2842" s="1">
        <v>44797</v>
      </c>
      <c r="B2842" s="2">
        <v>0.53111111111111109</v>
      </c>
      <c r="C2842">
        <v>3840</v>
      </c>
      <c r="D2842">
        <v>13002561</v>
      </c>
      <c r="E2842">
        <v>13</v>
      </c>
      <c r="F2842">
        <v>22589</v>
      </c>
      <c r="G2842" t="s">
        <v>23</v>
      </c>
      <c r="H2842">
        <v>15</v>
      </c>
      <c r="I2842">
        <v>18111</v>
      </c>
      <c r="J2842" t="s">
        <v>86</v>
      </c>
      <c r="K2842" t="s">
        <v>44</v>
      </c>
      <c r="L2842" t="s">
        <v>32</v>
      </c>
      <c r="M2842">
        <v>1</v>
      </c>
      <c r="N2842">
        <v>516.57000000000005</v>
      </c>
      <c r="O2842">
        <v>767.16</v>
      </c>
      <c r="P2842">
        <v>38.36</v>
      </c>
      <c r="Q2842">
        <v>38.36</v>
      </c>
      <c r="R2842" t="s">
        <v>30</v>
      </c>
      <c r="S2842">
        <v>29</v>
      </c>
      <c r="T2842">
        <v>1</v>
      </c>
      <c r="U2842">
        <v>6</v>
      </c>
      <c r="V2842">
        <v>728.8</v>
      </c>
      <c r="W2842">
        <v>13130002840</v>
      </c>
    </row>
    <row r="2843" spans="1:23" x14ac:dyDescent="0.2">
      <c r="A2843" s="1">
        <v>44799</v>
      </c>
      <c r="B2843" s="2">
        <v>0.86271990740740745</v>
      </c>
      <c r="C2843">
        <v>3841</v>
      </c>
      <c r="D2843">
        <v>13002561</v>
      </c>
      <c r="E2843">
        <v>13</v>
      </c>
      <c r="F2843">
        <v>22589</v>
      </c>
      <c r="G2843" t="s">
        <v>23</v>
      </c>
      <c r="H2843">
        <v>18</v>
      </c>
      <c r="I2843">
        <v>45004</v>
      </c>
      <c r="J2843" t="s">
        <v>43</v>
      </c>
      <c r="K2843" t="s">
        <v>25</v>
      </c>
      <c r="L2843" t="s">
        <v>29</v>
      </c>
      <c r="M2843">
        <v>3</v>
      </c>
      <c r="N2843">
        <v>44.01</v>
      </c>
      <c r="O2843">
        <v>74.28</v>
      </c>
      <c r="P2843">
        <v>0</v>
      </c>
      <c r="Q2843">
        <v>0</v>
      </c>
      <c r="S2843">
        <v>29</v>
      </c>
      <c r="T2843">
        <v>1</v>
      </c>
      <c r="U2843">
        <v>6</v>
      </c>
      <c r="V2843">
        <v>74.28</v>
      </c>
      <c r="W2843">
        <v>13130002841</v>
      </c>
    </row>
    <row r="2844" spans="1:23" x14ac:dyDescent="0.2">
      <c r="A2844" s="1">
        <v>44777</v>
      </c>
      <c r="B2844" s="2">
        <v>0.3894097222222222</v>
      </c>
      <c r="C2844">
        <v>3842</v>
      </c>
      <c r="D2844">
        <v>13002561</v>
      </c>
      <c r="E2844">
        <v>13</v>
      </c>
      <c r="F2844">
        <v>22589</v>
      </c>
      <c r="G2844" t="s">
        <v>23</v>
      </c>
      <c r="H2844">
        <v>18</v>
      </c>
      <c r="I2844">
        <v>50746</v>
      </c>
      <c r="J2844" t="s">
        <v>83</v>
      </c>
      <c r="K2844" t="s">
        <v>38</v>
      </c>
      <c r="L2844" t="s">
        <v>39</v>
      </c>
      <c r="M2844">
        <v>2</v>
      </c>
      <c r="N2844">
        <v>152.72</v>
      </c>
      <c r="O2844">
        <v>214.38</v>
      </c>
      <c r="P2844">
        <v>21.44</v>
      </c>
      <c r="Q2844">
        <v>21.44</v>
      </c>
      <c r="R2844" t="s">
        <v>30</v>
      </c>
      <c r="S2844">
        <v>29</v>
      </c>
      <c r="T2844">
        <v>1</v>
      </c>
      <c r="U2844">
        <v>3</v>
      </c>
      <c r="V2844">
        <v>192.94</v>
      </c>
      <c r="W2844">
        <v>13130002842</v>
      </c>
    </row>
    <row r="2845" spans="1:23" x14ac:dyDescent="0.2">
      <c r="A2845" s="1">
        <v>44779</v>
      </c>
      <c r="B2845" s="2">
        <v>0.91143518518518518</v>
      </c>
      <c r="C2845">
        <v>3843</v>
      </c>
      <c r="D2845">
        <v>13002561</v>
      </c>
      <c r="E2845">
        <v>13</v>
      </c>
      <c r="F2845">
        <v>22589</v>
      </c>
      <c r="G2845" t="s">
        <v>23</v>
      </c>
      <c r="H2845">
        <v>18</v>
      </c>
      <c r="I2845">
        <v>35872</v>
      </c>
      <c r="J2845" t="s">
        <v>41</v>
      </c>
      <c r="K2845" t="s">
        <v>25</v>
      </c>
      <c r="L2845" t="s">
        <v>51</v>
      </c>
      <c r="M2845">
        <v>3</v>
      </c>
      <c r="N2845">
        <v>537.08000000000004</v>
      </c>
      <c r="O2845">
        <v>842.57</v>
      </c>
      <c r="P2845">
        <v>42.13</v>
      </c>
      <c r="Q2845">
        <v>42.13</v>
      </c>
      <c r="R2845" t="s">
        <v>30</v>
      </c>
      <c r="S2845">
        <v>29</v>
      </c>
      <c r="T2845">
        <v>1</v>
      </c>
      <c r="U2845">
        <v>5</v>
      </c>
      <c r="V2845">
        <v>800.44</v>
      </c>
      <c r="W2845">
        <v>13130002843</v>
      </c>
    </row>
    <row r="2846" spans="1:23" x14ac:dyDescent="0.2">
      <c r="A2846" s="1">
        <v>44777</v>
      </c>
      <c r="B2846" s="2">
        <v>0.35924768518518518</v>
      </c>
      <c r="C2846">
        <v>3844</v>
      </c>
      <c r="D2846">
        <v>13002561</v>
      </c>
      <c r="E2846">
        <v>13</v>
      </c>
      <c r="F2846">
        <v>22589</v>
      </c>
      <c r="G2846" t="s">
        <v>23</v>
      </c>
      <c r="H2846">
        <v>18</v>
      </c>
      <c r="I2846">
        <v>31659</v>
      </c>
      <c r="J2846" t="s">
        <v>82</v>
      </c>
      <c r="K2846" t="s">
        <v>44</v>
      </c>
      <c r="L2846" t="s">
        <v>51</v>
      </c>
      <c r="M2846">
        <v>1</v>
      </c>
      <c r="N2846">
        <v>305.54000000000002</v>
      </c>
      <c r="O2846">
        <v>451.19</v>
      </c>
      <c r="P2846">
        <v>45.12</v>
      </c>
      <c r="Q2846">
        <v>45.12</v>
      </c>
      <c r="R2846" t="s">
        <v>30</v>
      </c>
      <c r="S2846">
        <v>29</v>
      </c>
      <c r="T2846">
        <v>1</v>
      </c>
      <c r="U2846">
        <v>6</v>
      </c>
      <c r="V2846">
        <v>406.07</v>
      </c>
      <c r="W2846">
        <v>13130002844</v>
      </c>
    </row>
    <row r="2847" spans="1:23" x14ac:dyDescent="0.2">
      <c r="A2847" s="1">
        <v>44787</v>
      </c>
      <c r="B2847" s="2">
        <v>0.81503472222222217</v>
      </c>
      <c r="C2847">
        <v>3845</v>
      </c>
      <c r="D2847">
        <v>13002561</v>
      </c>
      <c r="E2847">
        <v>13</v>
      </c>
      <c r="F2847">
        <v>22589</v>
      </c>
      <c r="G2847" t="s">
        <v>23</v>
      </c>
      <c r="H2847">
        <v>18</v>
      </c>
      <c r="I2847">
        <v>50244</v>
      </c>
      <c r="J2847" t="s">
        <v>108</v>
      </c>
      <c r="K2847" t="s">
        <v>60</v>
      </c>
      <c r="L2847" t="s">
        <v>51</v>
      </c>
      <c r="M2847">
        <v>1</v>
      </c>
      <c r="N2847">
        <v>360.75</v>
      </c>
      <c r="O2847">
        <v>529.24</v>
      </c>
      <c r="P2847">
        <v>0</v>
      </c>
      <c r="Q2847">
        <v>0</v>
      </c>
      <c r="S2847">
        <v>29</v>
      </c>
      <c r="T2847">
        <v>1</v>
      </c>
      <c r="U2847">
        <v>2</v>
      </c>
      <c r="V2847">
        <v>529.24</v>
      </c>
      <c r="W2847">
        <v>13130002845</v>
      </c>
    </row>
    <row r="2848" spans="1:23" x14ac:dyDescent="0.2">
      <c r="A2848" s="1">
        <v>44803</v>
      </c>
      <c r="B2848" s="2">
        <v>0.60046296296296298</v>
      </c>
      <c r="C2848">
        <v>3846</v>
      </c>
      <c r="D2848">
        <v>13002561</v>
      </c>
      <c r="E2848">
        <v>13</v>
      </c>
      <c r="F2848">
        <v>22589</v>
      </c>
      <c r="G2848" t="s">
        <v>23</v>
      </c>
      <c r="H2848">
        <v>18</v>
      </c>
      <c r="I2848">
        <v>71349</v>
      </c>
      <c r="J2848" t="s">
        <v>33</v>
      </c>
      <c r="K2848" t="s">
        <v>44</v>
      </c>
      <c r="L2848" t="s">
        <v>34</v>
      </c>
      <c r="M2848">
        <v>3</v>
      </c>
      <c r="N2848">
        <v>458.39</v>
      </c>
      <c r="O2848">
        <v>633.23</v>
      </c>
      <c r="P2848">
        <v>0</v>
      </c>
      <c r="Q2848">
        <v>0</v>
      </c>
      <c r="S2848">
        <v>29</v>
      </c>
      <c r="T2848">
        <v>1</v>
      </c>
      <c r="U2848">
        <v>3</v>
      </c>
      <c r="V2848">
        <v>633.23</v>
      </c>
      <c r="W2848">
        <v>13130002846</v>
      </c>
    </row>
    <row r="2849" spans="1:23" x14ac:dyDescent="0.2">
      <c r="A2849" s="1">
        <v>44775</v>
      </c>
      <c r="B2849" s="2">
        <v>0.70263888888888892</v>
      </c>
      <c r="C2849">
        <v>3847</v>
      </c>
      <c r="D2849">
        <v>13002561</v>
      </c>
      <c r="E2849">
        <v>13</v>
      </c>
      <c r="F2849">
        <v>22589</v>
      </c>
      <c r="G2849" t="s">
        <v>23</v>
      </c>
      <c r="H2849">
        <v>15</v>
      </c>
      <c r="I2849">
        <v>14431</v>
      </c>
      <c r="J2849" t="s">
        <v>90</v>
      </c>
      <c r="K2849" t="s">
        <v>44</v>
      </c>
      <c r="L2849" t="s">
        <v>36</v>
      </c>
      <c r="M2849">
        <v>2</v>
      </c>
      <c r="N2849">
        <v>512.76</v>
      </c>
      <c r="O2849">
        <v>644.23</v>
      </c>
      <c r="P2849">
        <v>32.21</v>
      </c>
      <c r="Q2849">
        <v>32.21</v>
      </c>
      <c r="R2849" t="s">
        <v>30</v>
      </c>
      <c r="S2849">
        <v>29</v>
      </c>
      <c r="T2849">
        <v>1</v>
      </c>
      <c r="U2849">
        <v>5</v>
      </c>
      <c r="V2849">
        <v>612.02</v>
      </c>
      <c r="W2849">
        <v>13130002847</v>
      </c>
    </row>
    <row r="2850" spans="1:23" x14ac:dyDescent="0.2">
      <c r="A2850" s="1">
        <v>44801</v>
      </c>
      <c r="B2850" s="2">
        <v>0.82368055555555553</v>
      </c>
      <c r="C2850">
        <v>3848</v>
      </c>
      <c r="D2850">
        <v>13002561</v>
      </c>
      <c r="E2850">
        <v>13</v>
      </c>
      <c r="F2850">
        <v>22589</v>
      </c>
      <c r="G2850" t="s">
        <v>23</v>
      </c>
      <c r="H2850">
        <v>15</v>
      </c>
      <c r="I2850">
        <v>71840</v>
      </c>
      <c r="J2850" t="s">
        <v>69</v>
      </c>
      <c r="K2850" t="s">
        <v>60</v>
      </c>
      <c r="L2850" t="s">
        <v>32</v>
      </c>
      <c r="M2850">
        <v>3</v>
      </c>
      <c r="N2850">
        <v>68.400000000000006</v>
      </c>
      <c r="O2850">
        <v>107.14</v>
      </c>
      <c r="P2850">
        <v>0</v>
      </c>
      <c r="Q2850">
        <v>0</v>
      </c>
      <c r="S2850">
        <v>29</v>
      </c>
      <c r="T2850">
        <v>1</v>
      </c>
      <c r="U2850">
        <v>1</v>
      </c>
      <c r="V2850">
        <v>107.14</v>
      </c>
      <c r="W2850">
        <v>13130002848</v>
      </c>
    </row>
    <row r="2851" spans="1:23" x14ac:dyDescent="0.2">
      <c r="A2851" s="1">
        <v>44790</v>
      </c>
      <c r="B2851" s="2">
        <v>0.42027777777777781</v>
      </c>
      <c r="C2851">
        <v>3849</v>
      </c>
      <c r="D2851">
        <v>13002561</v>
      </c>
      <c r="E2851">
        <v>13</v>
      </c>
      <c r="F2851">
        <v>22589</v>
      </c>
      <c r="G2851" t="s">
        <v>23</v>
      </c>
      <c r="H2851">
        <v>15</v>
      </c>
      <c r="I2851">
        <v>47651</v>
      </c>
      <c r="J2851" t="s">
        <v>24</v>
      </c>
      <c r="K2851" t="s">
        <v>44</v>
      </c>
      <c r="L2851" t="s">
        <v>26</v>
      </c>
      <c r="M2851">
        <v>1</v>
      </c>
      <c r="N2851">
        <v>471.73</v>
      </c>
      <c r="O2851">
        <v>758.54</v>
      </c>
      <c r="P2851">
        <v>37.93</v>
      </c>
      <c r="Q2851">
        <v>37.93</v>
      </c>
      <c r="R2851" t="s">
        <v>30</v>
      </c>
      <c r="S2851">
        <v>29</v>
      </c>
      <c r="T2851">
        <v>1</v>
      </c>
      <c r="U2851">
        <v>3</v>
      </c>
      <c r="V2851">
        <v>720.61</v>
      </c>
      <c r="W2851">
        <v>13130002849</v>
      </c>
    </row>
    <row r="2852" spans="1:23" x14ac:dyDescent="0.2">
      <c r="A2852" s="1">
        <v>44799</v>
      </c>
      <c r="B2852" s="2">
        <v>0.52229166666666671</v>
      </c>
      <c r="C2852">
        <v>3850</v>
      </c>
      <c r="D2852">
        <v>13002561</v>
      </c>
      <c r="E2852">
        <v>13</v>
      </c>
      <c r="F2852">
        <v>22589</v>
      </c>
      <c r="G2852" t="s">
        <v>23</v>
      </c>
      <c r="H2852">
        <v>15</v>
      </c>
      <c r="I2852">
        <v>54790</v>
      </c>
      <c r="J2852" t="s">
        <v>120</v>
      </c>
      <c r="K2852" t="s">
        <v>25</v>
      </c>
      <c r="L2852" t="s">
        <v>47</v>
      </c>
      <c r="M2852">
        <v>2</v>
      </c>
      <c r="N2852">
        <v>106.74</v>
      </c>
      <c r="O2852">
        <v>141.91999999999999</v>
      </c>
      <c r="P2852">
        <v>14.19</v>
      </c>
      <c r="Q2852">
        <v>14.19</v>
      </c>
      <c r="R2852" t="s">
        <v>30</v>
      </c>
      <c r="S2852">
        <v>29</v>
      </c>
      <c r="T2852">
        <v>1</v>
      </c>
      <c r="U2852">
        <v>3</v>
      </c>
      <c r="V2852">
        <v>127.73</v>
      </c>
      <c r="W2852">
        <v>13130002850</v>
      </c>
    </row>
    <row r="2853" spans="1:23" x14ac:dyDescent="0.2">
      <c r="A2853" s="1">
        <v>44790</v>
      </c>
      <c r="B2853" s="2">
        <v>0.77008101851851851</v>
      </c>
      <c r="C2853">
        <v>3851</v>
      </c>
      <c r="D2853">
        <v>13002561</v>
      </c>
      <c r="E2853">
        <v>13</v>
      </c>
      <c r="F2853">
        <v>22589</v>
      </c>
      <c r="G2853" t="s">
        <v>23</v>
      </c>
      <c r="H2853">
        <v>15</v>
      </c>
      <c r="I2853">
        <v>23929</v>
      </c>
      <c r="J2853" t="s">
        <v>105</v>
      </c>
      <c r="K2853" t="s">
        <v>45</v>
      </c>
      <c r="L2853" t="s">
        <v>32</v>
      </c>
      <c r="M2853">
        <v>1</v>
      </c>
      <c r="N2853">
        <v>25.17</v>
      </c>
      <c r="O2853">
        <v>36.97</v>
      </c>
      <c r="P2853">
        <v>0</v>
      </c>
      <c r="Q2853">
        <v>0</v>
      </c>
      <c r="S2853">
        <v>29</v>
      </c>
      <c r="T2853">
        <v>1</v>
      </c>
      <c r="U2853">
        <v>6</v>
      </c>
      <c r="V2853">
        <v>36.97</v>
      </c>
      <c r="W2853">
        <v>13130002851</v>
      </c>
    </row>
    <row r="2854" spans="1:23" x14ac:dyDescent="0.2">
      <c r="A2854" s="1">
        <v>44800</v>
      </c>
      <c r="B2854" s="2">
        <v>0.46943287037037029</v>
      </c>
      <c r="C2854">
        <v>3852</v>
      </c>
      <c r="D2854">
        <v>13002561</v>
      </c>
      <c r="E2854">
        <v>13</v>
      </c>
      <c r="F2854">
        <v>22589</v>
      </c>
      <c r="G2854" t="s">
        <v>23</v>
      </c>
      <c r="H2854">
        <v>18</v>
      </c>
      <c r="I2854">
        <v>42831</v>
      </c>
      <c r="J2854" t="s">
        <v>88</v>
      </c>
      <c r="K2854" t="s">
        <v>28</v>
      </c>
      <c r="L2854" t="s">
        <v>36</v>
      </c>
      <c r="M2854">
        <v>2</v>
      </c>
      <c r="N2854">
        <v>477.65</v>
      </c>
      <c r="O2854">
        <v>758.11</v>
      </c>
      <c r="P2854">
        <v>37.909999999999997</v>
      </c>
      <c r="Q2854">
        <v>37.909999999999997</v>
      </c>
      <c r="R2854" t="s">
        <v>30</v>
      </c>
      <c r="S2854">
        <v>29</v>
      </c>
      <c r="T2854">
        <v>1</v>
      </c>
      <c r="U2854">
        <v>6</v>
      </c>
      <c r="V2854">
        <v>720.2</v>
      </c>
      <c r="W2854">
        <v>13130002852</v>
      </c>
    </row>
    <row r="2855" spans="1:23" x14ac:dyDescent="0.2">
      <c r="A2855" s="1">
        <v>44774</v>
      </c>
      <c r="B2855" s="2">
        <v>0.65843750000000001</v>
      </c>
      <c r="C2855">
        <v>3853</v>
      </c>
      <c r="D2855">
        <v>13002561</v>
      </c>
      <c r="E2855">
        <v>13</v>
      </c>
      <c r="F2855">
        <v>22589</v>
      </c>
      <c r="G2855" t="s">
        <v>23</v>
      </c>
      <c r="H2855">
        <v>15</v>
      </c>
      <c r="I2855">
        <v>32713</v>
      </c>
      <c r="J2855" t="s">
        <v>84</v>
      </c>
      <c r="K2855" t="s">
        <v>60</v>
      </c>
      <c r="L2855" t="s">
        <v>39</v>
      </c>
      <c r="M2855">
        <v>2</v>
      </c>
      <c r="N2855">
        <v>483.82</v>
      </c>
      <c r="O2855">
        <v>822.22</v>
      </c>
      <c r="P2855">
        <v>82.22</v>
      </c>
      <c r="Q2855">
        <v>82.22</v>
      </c>
      <c r="R2855" t="s">
        <v>30</v>
      </c>
      <c r="S2855">
        <v>29</v>
      </c>
      <c r="T2855">
        <v>1</v>
      </c>
      <c r="U2855">
        <v>2</v>
      </c>
      <c r="V2855">
        <v>740</v>
      </c>
      <c r="W2855">
        <v>13130002853</v>
      </c>
    </row>
    <row r="2856" spans="1:23" x14ac:dyDescent="0.2">
      <c r="A2856" s="1">
        <v>44774</v>
      </c>
      <c r="B2856" s="2">
        <v>0.78259259259259262</v>
      </c>
      <c r="C2856">
        <v>3854</v>
      </c>
      <c r="D2856">
        <v>13002561</v>
      </c>
      <c r="E2856">
        <v>13</v>
      </c>
      <c r="F2856">
        <v>22589</v>
      </c>
      <c r="G2856" t="s">
        <v>23</v>
      </c>
      <c r="H2856">
        <v>18</v>
      </c>
      <c r="I2856">
        <v>16792</v>
      </c>
      <c r="J2856" t="s">
        <v>77</v>
      </c>
      <c r="K2856" t="s">
        <v>38</v>
      </c>
      <c r="L2856" t="s">
        <v>26</v>
      </c>
      <c r="M2856">
        <v>3</v>
      </c>
      <c r="N2856">
        <v>519.14</v>
      </c>
      <c r="O2856">
        <v>771.57</v>
      </c>
      <c r="P2856">
        <v>0</v>
      </c>
      <c r="Q2856">
        <v>0</v>
      </c>
      <c r="S2856">
        <v>29</v>
      </c>
      <c r="T2856">
        <v>1</v>
      </c>
      <c r="U2856">
        <v>1</v>
      </c>
      <c r="V2856">
        <v>771.57</v>
      </c>
      <c r="W2856">
        <v>13130002854</v>
      </c>
    </row>
    <row r="2857" spans="1:23" x14ac:dyDescent="0.2">
      <c r="A2857" s="1">
        <v>44801</v>
      </c>
      <c r="B2857" s="2">
        <v>0.58903935185185186</v>
      </c>
      <c r="C2857">
        <v>3855</v>
      </c>
      <c r="D2857">
        <v>13002561</v>
      </c>
      <c r="E2857">
        <v>13</v>
      </c>
      <c r="F2857">
        <v>22589</v>
      </c>
      <c r="G2857" t="s">
        <v>23</v>
      </c>
      <c r="H2857">
        <v>18</v>
      </c>
      <c r="I2857">
        <v>29854</v>
      </c>
      <c r="J2857" t="s">
        <v>102</v>
      </c>
      <c r="K2857" t="s">
        <v>60</v>
      </c>
      <c r="L2857" t="s">
        <v>34</v>
      </c>
      <c r="M2857">
        <v>1</v>
      </c>
      <c r="N2857">
        <v>538.83000000000004</v>
      </c>
      <c r="O2857">
        <v>873.52</v>
      </c>
      <c r="P2857">
        <v>43.68</v>
      </c>
      <c r="Q2857">
        <v>43.68</v>
      </c>
      <c r="R2857" t="s">
        <v>30</v>
      </c>
      <c r="S2857">
        <v>29</v>
      </c>
      <c r="T2857">
        <v>1</v>
      </c>
      <c r="U2857">
        <v>2</v>
      </c>
      <c r="V2857">
        <v>829.84</v>
      </c>
      <c r="W2857">
        <v>13130002855</v>
      </c>
    </row>
    <row r="2858" spans="1:23" x14ac:dyDescent="0.2">
      <c r="A2858" s="1">
        <v>44786</v>
      </c>
      <c r="B2858" s="2">
        <v>0.5365509259259259</v>
      </c>
      <c r="C2858">
        <v>3856</v>
      </c>
      <c r="D2858">
        <v>13002561</v>
      </c>
      <c r="E2858">
        <v>13</v>
      </c>
      <c r="F2858">
        <v>22589</v>
      </c>
      <c r="G2858" t="s">
        <v>23</v>
      </c>
      <c r="H2858">
        <v>15</v>
      </c>
      <c r="I2858">
        <v>74364</v>
      </c>
      <c r="J2858" t="s">
        <v>125</v>
      </c>
      <c r="K2858" t="s">
        <v>44</v>
      </c>
      <c r="L2858" t="s">
        <v>34</v>
      </c>
      <c r="M2858">
        <v>3</v>
      </c>
      <c r="N2858">
        <v>6.07</v>
      </c>
      <c r="O2858">
        <v>9.1300000000000008</v>
      </c>
      <c r="P2858">
        <v>0.46</v>
      </c>
      <c r="Q2858">
        <v>0.46</v>
      </c>
      <c r="R2858" t="s">
        <v>30</v>
      </c>
      <c r="S2858">
        <v>29</v>
      </c>
      <c r="T2858">
        <v>1</v>
      </c>
      <c r="U2858">
        <v>4</v>
      </c>
      <c r="V2858">
        <v>8.67</v>
      </c>
      <c r="W2858">
        <v>13130002856</v>
      </c>
    </row>
    <row r="2859" spans="1:23" x14ac:dyDescent="0.2">
      <c r="A2859" s="1">
        <v>44792</v>
      </c>
      <c r="B2859" s="2">
        <v>0.37321759259259257</v>
      </c>
      <c r="C2859">
        <v>3857</v>
      </c>
      <c r="D2859">
        <v>13002561</v>
      </c>
      <c r="E2859">
        <v>13</v>
      </c>
      <c r="F2859">
        <v>22589</v>
      </c>
      <c r="G2859" t="s">
        <v>23</v>
      </c>
      <c r="H2859">
        <v>15</v>
      </c>
      <c r="I2859">
        <v>79016</v>
      </c>
      <c r="J2859" t="s">
        <v>99</v>
      </c>
      <c r="K2859" t="s">
        <v>60</v>
      </c>
      <c r="L2859" t="s">
        <v>32</v>
      </c>
      <c r="M2859">
        <v>2</v>
      </c>
      <c r="N2859">
        <v>75.14</v>
      </c>
      <c r="O2859">
        <v>127.12</v>
      </c>
      <c r="P2859">
        <v>6.36</v>
      </c>
      <c r="Q2859">
        <v>6.36</v>
      </c>
      <c r="R2859" t="s">
        <v>30</v>
      </c>
      <c r="S2859">
        <v>29</v>
      </c>
      <c r="T2859">
        <v>1</v>
      </c>
      <c r="U2859">
        <v>6</v>
      </c>
      <c r="V2859">
        <v>120.76</v>
      </c>
      <c r="W2859">
        <v>13130002857</v>
      </c>
    </row>
    <row r="2860" spans="1:23" x14ac:dyDescent="0.2">
      <c r="A2860" s="1">
        <v>44802</v>
      </c>
      <c r="B2860" s="2">
        <v>0.59524305555555557</v>
      </c>
      <c r="C2860">
        <v>3858</v>
      </c>
      <c r="D2860">
        <v>13002561</v>
      </c>
      <c r="E2860">
        <v>13</v>
      </c>
      <c r="F2860">
        <v>22589</v>
      </c>
      <c r="G2860" t="s">
        <v>23</v>
      </c>
      <c r="H2860">
        <v>15</v>
      </c>
      <c r="I2860">
        <v>37075</v>
      </c>
      <c r="J2860" t="s">
        <v>76</v>
      </c>
      <c r="K2860" t="s">
        <v>45</v>
      </c>
      <c r="L2860" t="s">
        <v>36</v>
      </c>
      <c r="M2860">
        <v>2</v>
      </c>
      <c r="N2860">
        <v>309.99</v>
      </c>
      <c r="O2860">
        <v>449.66</v>
      </c>
      <c r="P2860">
        <v>0</v>
      </c>
      <c r="Q2860">
        <v>0</v>
      </c>
      <c r="S2860">
        <v>29</v>
      </c>
      <c r="T2860">
        <v>1</v>
      </c>
      <c r="U2860">
        <v>2</v>
      </c>
      <c r="V2860">
        <v>449.66</v>
      </c>
      <c r="W2860">
        <v>13130002858</v>
      </c>
    </row>
    <row r="2861" spans="1:23" x14ac:dyDescent="0.2">
      <c r="A2861" s="1">
        <v>44787</v>
      </c>
      <c r="B2861" s="2">
        <v>0.56126157407407407</v>
      </c>
      <c r="C2861">
        <v>3859</v>
      </c>
      <c r="D2861">
        <v>13002561</v>
      </c>
      <c r="E2861">
        <v>13</v>
      </c>
      <c r="F2861">
        <v>22589</v>
      </c>
      <c r="G2861" t="s">
        <v>23</v>
      </c>
      <c r="H2861">
        <v>15</v>
      </c>
      <c r="I2861">
        <v>62052</v>
      </c>
      <c r="J2861" t="s">
        <v>73</v>
      </c>
      <c r="K2861" t="s">
        <v>44</v>
      </c>
      <c r="L2861" t="s">
        <v>34</v>
      </c>
      <c r="M2861">
        <v>1</v>
      </c>
      <c r="N2861">
        <v>527.86</v>
      </c>
      <c r="O2861">
        <v>666.86</v>
      </c>
      <c r="P2861">
        <v>33.340000000000003</v>
      </c>
      <c r="Q2861">
        <v>33.340000000000003</v>
      </c>
      <c r="R2861" t="s">
        <v>30</v>
      </c>
      <c r="S2861">
        <v>29</v>
      </c>
      <c r="T2861">
        <v>1</v>
      </c>
      <c r="U2861">
        <v>3</v>
      </c>
      <c r="V2861">
        <v>633.52</v>
      </c>
      <c r="W2861">
        <v>13130002859</v>
      </c>
    </row>
    <row r="2862" spans="1:23" x14ac:dyDescent="0.2">
      <c r="A2862" s="1">
        <v>44795</v>
      </c>
      <c r="B2862" s="2">
        <v>0.90688657407407403</v>
      </c>
      <c r="C2862">
        <v>3860</v>
      </c>
      <c r="D2862">
        <v>13002561</v>
      </c>
      <c r="E2862">
        <v>13</v>
      </c>
      <c r="F2862">
        <v>22589</v>
      </c>
      <c r="G2862" t="s">
        <v>23</v>
      </c>
      <c r="H2862">
        <v>18</v>
      </c>
      <c r="I2862">
        <v>78483</v>
      </c>
      <c r="J2862" t="s">
        <v>96</v>
      </c>
      <c r="K2862" t="s">
        <v>28</v>
      </c>
      <c r="L2862" t="s">
        <v>47</v>
      </c>
      <c r="M2862">
        <v>2</v>
      </c>
      <c r="N2862">
        <v>151.99</v>
      </c>
      <c r="O2862">
        <v>202.14</v>
      </c>
      <c r="P2862">
        <v>10.11</v>
      </c>
      <c r="Q2862">
        <v>10.11</v>
      </c>
      <c r="R2862" t="s">
        <v>30</v>
      </c>
      <c r="S2862">
        <v>29</v>
      </c>
      <c r="T2862">
        <v>1</v>
      </c>
      <c r="U2862">
        <v>4</v>
      </c>
      <c r="V2862">
        <v>192.03</v>
      </c>
      <c r="W2862">
        <v>13130002860</v>
      </c>
    </row>
    <row r="2863" spans="1:23" x14ac:dyDescent="0.2">
      <c r="A2863" s="1">
        <v>44776</v>
      </c>
      <c r="B2863" s="2">
        <v>0.95521990740740736</v>
      </c>
      <c r="C2863">
        <v>3861</v>
      </c>
      <c r="D2863">
        <v>13002561</v>
      </c>
      <c r="E2863">
        <v>13</v>
      </c>
      <c r="F2863">
        <v>22589</v>
      </c>
      <c r="G2863" t="s">
        <v>23</v>
      </c>
      <c r="H2863">
        <v>18</v>
      </c>
      <c r="I2863">
        <v>19877</v>
      </c>
      <c r="J2863" t="s">
        <v>76</v>
      </c>
      <c r="K2863" t="s">
        <v>60</v>
      </c>
      <c r="L2863" t="s">
        <v>39</v>
      </c>
      <c r="M2863">
        <v>1</v>
      </c>
      <c r="N2863">
        <v>545.30999999999995</v>
      </c>
      <c r="O2863">
        <v>822.8</v>
      </c>
      <c r="P2863">
        <v>41.14</v>
      </c>
      <c r="Q2863">
        <v>41.14</v>
      </c>
      <c r="R2863" t="s">
        <v>30</v>
      </c>
      <c r="S2863">
        <v>29</v>
      </c>
      <c r="T2863">
        <v>1</v>
      </c>
      <c r="U2863">
        <v>1</v>
      </c>
      <c r="V2863">
        <v>781.66</v>
      </c>
      <c r="W2863">
        <v>13130002861</v>
      </c>
    </row>
    <row r="2864" spans="1:23" x14ac:dyDescent="0.2">
      <c r="A2864" s="1">
        <v>44804</v>
      </c>
      <c r="B2864" s="2">
        <v>0.37952546296296302</v>
      </c>
      <c r="C2864">
        <v>3862</v>
      </c>
      <c r="D2864">
        <v>13002561</v>
      </c>
      <c r="E2864">
        <v>13</v>
      </c>
      <c r="F2864">
        <v>22589</v>
      </c>
      <c r="G2864" t="s">
        <v>23</v>
      </c>
      <c r="H2864">
        <v>18</v>
      </c>
      <c r="I2864">
        <v>34117</v>
      </c>
      <c r="J2864" t="s">
        <v>85</v>
      </c>
      <c r="K2864" t="s">
        <v>45</v>
      </c>
      <c r="L2864" t="s">
        <v>36</v>
      </c>
      <c r="M2864">
        <v>2</v>
      </c>
      <c r="N2864">
        <v>133.88</v>
      </c>
      <c r="O2864">
        <v>216.14</v>
      </c>
      <c r="P2864">
        <v>10.81</v>
      </c>
      <c r="Q2864">
        <v>10.81</v>
      </c>
      <c r="R2864" t="s">
        <v>30</v>
      </c>
      <c r="S2864">
        <v>29</v>
      </c>
      <c r="T2864">
        <v>1</v>
      </c>
      <c r="U2864">
        <v>1</v>
      </c>
      <c r="V2864">
        <v>205.33</v>
      </c>
      <c r="W2864">
        <v>13130002862</v>
      </c>
    </row>
    <row r="2865" spans="1:23" x14ac:dyDescent="0.2">
      <c r="A2865" s="1">
        <v>44790</v>
      </c>
      <c r="B2865" s="2">
        <v>0.59652777777777777</v>
      </c>
      <c r="C2865">
        <v>3863</v>
      </c>
      <c r="D2865">
        <v>13002561</v>
      </c>
      <c r="E2865">
        <v>13</v>
      </c>
      <c r="F2865">
        <v>22589</v>
      </c>
      <c r="G2865" t="s">
        <v>23</v>
      </c>
      <c r="H2865">
        <v>18</v>
      </c>
      <c r="I2865">
        <v>32131</v>
      </c>
      <c r="J2865" t="s">
        <v>79</v>
      </c>
      <c r="K2865" t="s">
        <v>38</v>
      </c>
      <c r="L2865" t="s">
        <v>47</v>
      </c>
      <c r="M2865">
        <v>3</v>
      </c>
      <c r="N2865">
        <v>465.22</v>
      </c>
      <c r="O2865">
        <v>681.56</v>
      </c>
      <c r="P2865">
        <v>68.16</v>
      </c>
      <c r="Q2865">
        <v>68.16</v>
      </c>
      <c r="R2865" t="s">
        <v>30</v>
      </c>
      <c r="S2865">
        <v>29</v>
      </c>
      <c r="T2865">
        <v>1</v>
      </c>
      <c r="U2865">
        <v>1</v>
      </c>
      <c r="V2865">
        <v>613.4</v>
      </c>
      <c r="W2865">
        <v>13130002863</v>
      </c>
    </row>
    <row r="2866" spans="1:23" x14ac:dyDescent="0.2">
      <c r="A2866" s="1">
        <v>44795</v>
      </c>
      <c r="B2866" s="2">
        <v>0.48873842592592592</v>
      </c>
      <c r="C2866">
        <v>3864</v>
      </c>
      <c r="D2866">
        <v>13002561</v>
      </c>
      <c r="E2866">
        <v>13</v>
      </c>
      <c r="F2866">
        <v>22589</v>
      </c>
      <c r="G2866" t="s">
        <v>23</v>
      </c>
      <c r="H2866">
        <v>18</v>
      </c>
      <c r="I2866">
        <v>73695</v>
      </c>
      <c r="J2866" t="s">
        <v>50</v>
      </c>
      <c r="K2866" t="s">
        <v>28</v>
      </c>
      <c r="L2866" t="s">
        <v>47</v>
      </c>
      <c r="M2866">
        <v>2</v>
      </c>
      <c r="N2866">
        <v>398.67</v>
      </c>
      <c r="O2866">
        <v>550.36</v>
      </c>
      <c r="P2866">
        <v>27.52</v>
      </c>
      <c r="Q2866">
        <v>27.52</v>
      </c>
      <c r="R2866" t="s">
        <v>30</v>
      </c>
      <c r="S2866">
        <v>29</v>
      </c>
      <c r="T2866">
        <v>1</v>
      </c>
      <c r="U2866">
        <v>5</v>
      </c>
      <c r="V2866">
        <v>522.84</v>
      </c>
      <c r="W2866">
        <v>13130002864</v>
      </c>
    </row>
    <row r="2867" spans="1:23" x14ac:dyDescent="0.2">
      <c r="A2867" s="1">
        <v>44785</v>
      </c>
      <c r="B2867" s="2">
        <v>0.83531250000000001</v>
      </c>
      <c r="C2867">
        <v>3865</v>
      </c>
      <c r="D2867">
        <v>13002561</v>
      </c>
      <c r="E2867">
        <v>13</v>
      </c>
      <c r="F2867">
        <v>22589</v>
      </c>
      <c r="G2867" t="s">
        <v>23</v>
      </c>
      <c r="H2867">
        <v>15</v>
      </c>
      <c r="I2867">
        <v>67208</v>
      </c>
      <c r="J2867" t="s">
        <v>100</v>
      </c>
      <c r="K2867" t="s">
        <v>28</v>
      </c>
      <c r="L2867" t="s">
        <v>34</v>
      </c>
      <c r="M2867">
        <v>1</v>
      </c>
      <c r="N2867">
        <v>156.27000000000001</v>
      </c>
      <c r="O2867">
        <v>212.19</v>
      </c>
      <c r="P2867">
        <v>10.61</v>
      </c>
      <c r="Q2867">
        <v>10.61</v>
      </c>
      <c r="R2867" t="s">
        <v>30</v>
      </c>
      <c r="S2867">
        <v>29</v>
      </c>
      <c r="T2867">
        <v>1</v>
      </c>
      <c r="U2867">
        <v>4</v>
      </c>
      <c r="V2867">
        <v>201.58</v>
      </c>
      <c r="W2867">
        <v>13130002865</v>
      </c>
    </row>
    <row r="2868" spans="1:23" x14ac:dyDescent="0.2">
      <c r="A2868" s="1">
        <v>44777</v>
      </c>
      <c r="B2868" s="2">
        <v>0.33771990740740743</v>
      </c>
      <c r="C2868">
        <v>3866</v>
      </c>
      <c r="D2868">
        <v>13002561</v>
      </c>
      <c r="E2868">
        <v>13</v>
      </c>
      <c r="F2868">
        <v>22589</v>
      </c>
      <c r="G2868" t="s">
        <v>23</v>
      </c>
      <c r="H2868">
        <v>15</v>
      </c>
      <c r="I2868">
        <v>11697</v>
      </c>
      <c r="J2868" t="s">
        <v>79</v>
      </c>
      <c r="K2868" t="s">
        <v>25</v>
      </c>
      <c r="L2868" t="s">
        <v>29</v>
      </c>
      <c r="M2868">
        <v>2</v>
      </c>
      <c r="N2868">
        <v>508.12</v>
      </c>
      <c r="O2868">
        <v>842.64</v>
      </c>
      <c r="P2868">
        <v>84.26</v>
      </c>
      <c r="Q2868">
        <v>84.26</v>
      </c>
      <c r="R2868" t="s">
        <v>30</v>
      </c>
      <c r="S2868">
        <v>29</v>
      </c>
      <c r="T2868">
        <v>1</v>
      </c>
      <c r="U2868">
        <v>4</v>
      </c>
      <c r="V2868">
        <v>758.38</v>
      </c>
      <c r="W2868">
        <v>13130002866</v>
      </c>
    </row>
    <row r="2869" spans="1:23" x14ac:dyDescent="0.2">
      <c r="A2869" s="1">
        <v>44791</v>
      </c>
      <c r="B2869" s="2">
        <v>0.46234953703703702</v>
      </c>
      <c r="C2869">
        <v>3867</v>
      </c>
      <c r="D2869">
        <v>13002561</v>
      </c>
      <c r="E2869">
        <v>13</v>
      </c>
      <c r="F2869">
        <v>22589</v>
      </c>
      <c r="G2869" t="s">
        <v>23</v>
      </c>
      <c r="H2869">
        <v>18</v>
      </c>
      <c r="I2869">
        <v>23588</v>
      </c>
      <c r="J2869" t="s">
        <v>98</v>
      </c>
      <c r="K2869" t="s">
        <v>25</v>
      </c>
      <c r="L2869" t="s">
        <v>29</v>
      </c>
      <c r="M2869">
        <v>3</v>
      </c>
      <c r="N2869">
        <v>113.28</v>
      </c>
      <c r="O2869">
        <v>144.91</v>
      </c>
      <c r="P2869">
        <v>7.25</v>
      </c>
      <c r="Q2869">
        <v>7.25</v>
      </c>
      <c r="R2869" t="s">
        <v>30</v>
      </c>
      <c r="S2869">
        <v>29</v>
      </c>
      <c r="T2869">
        <v>1</v>
      </c>
      <c r="U2869">
        <v>3</v>
      </c>
      <c r="V2869">
        <v>137.66</v>
      </c>
      <c r="W2869">
        <v>13130002867</v>
      </c>
    </row>
    <row r="2870" spans="1:23" x14ac:dyDescent="0.2">
      <c r="A2870" s="1">
        <v>44775</v>
      </c>
      <c r="B2870" s="2">
        <v>0.48596064814814821</v>
      </c>
      <c r="C2870">
        <v>3868</v>
      </c>
      <c r="D2870">
        <v>13002561</v>
      </c>
      <c r="E2870">
        <v>13</v>
      </c>
      <c r="F2870">
        <v>22589</v>
      </c>
      <c r="G2870" t="s">
        <v>23</v>
      </c>
      <c r="H2870">
        <v>15</v>
      </c>
      <c r="I2870">
        <v>70788</v>
      </c>
      <c r="J2870" t="s">
        <v>113</v>
      </c>
      <c r="K2870" t="s">
        <v>25</v>
      </c>
      <c r="L2870" t="s">
        <v>34</v>
      </c>
      <c r="M2870">
        <v>1</v>
      </c>
      <c r="N2870">
        <v>407.82</v>
      </c>
      <c r="O2870">
        <v>565.84</v>
      </c>
      <c r="P2870">
        <v>56.58</v>
      </c>
      <c r="Q2870">
        <v>56.58</v>
      </c>
      <c r="R2870" t="s">
        <v>30</v>
      </c>
      <c r="S2870">
        <v>29</v>
      </c>
      <c r="T2870">
        <v>1</v>
      </c>
      <c r="U2870">
        <v>6</v>
      </c>
      <c r="V2870">
        <v>509.26</v>
      </c>
      <c r="W2870">
        <v>13130002868</v>
      </c>
    </row>
    <row r="2871" spans="1:23" x14ac:dyDescent="0.2">
      <c r="A2871" s="1">
        <v>44791</v>
      </c>
      <c r="B2871" s="2">
        <v>0.4864236111111111</v>
      </c>
      <c r="C2871">
        <v>3869</v>
      </c>
      <c r="D2871">
        <v>13002561</v>
      </c>
      <c r="E2871">
        <v>13</v>
      </c>
      <c r="F2871">
        <v>22589</v>
      </c>
      <c r="G2871" t="s">
        <v>23</v>
      </c>
      <c r="H2871">
        <v>15</v>
      </c>
      <c r="I2871">
        <v>37471</v>
      </c>
      <c r="J2871" t="s">
        <v>101</v>
      </c>
      <c r="K2871" t="s">
        <v>45</v>
      </c>
      <c r="L2871" t="s">
        <v>47</v>
      </c>
      <c r="M2871">
        <v>2</v>
      </c>
      <c r="N2871">
        <v>163.85</v>
      </c>
      <c r="O2871">
        <v>217.71</v>
      </c>
      <c r="P2871">
        <v>21.77</v>
      </c>
      <c r="Q2871">
        <v>21.77</v>
      </c>
      <c r="R2871" t="s">
        <v>30</v>
      </c>
      <c r="S2871">
        <v>29</v>
      </c>
      <c r="T2871">
        <v>1</v>
      </c>
      <c r="U2871">
        <v>1</v>
      </c>
      <c r="V2871">
        <v>195.94</v>
      </c>
      <c r="W2871">
        <v>13130002869</v>
      </c>
    </row>
    <row r="2872" spans="1:23" x14ac:dyDescent="0.2">
      <c r="A2872" s="1">
        <v>44804</v>
      </c>
      <c r="B2872" s="2">
        <v>0.91135416666666669</v>
      </c>
      <c r="C2872">
        <v>3870</v>
      </c>
      <c r="D2872">
        <v>13002561</v>
      </c>
      <c r="E2872">
        <v>13</v>
      </c>
      <c r="F2872">
        <v>22589</v>
      </c>
      <c r="G2872" t="s">
        <v>23</v>
      </c>
      <c r="H2872">
        <v>15</v>
      </c>
      <c r="I2872">
        <v>29161</v>
      </c>
      <c r="J2872" t="s">
        <v>92</v>
      </c>
      <c r="K2872" t="s">
        <v>28</v>
      </c>
      <c r="L2872" t="s">
        <v>29</v>
      </c>
      <c r="M2872">
        <v>1</v>
      </c>
      <c r="N2872">
        <v>46.9</v>
      </c>
      <c r="O2872">
        <v>70.81</v>
      </c>
      <c r="P2872">
        <v>0</v>
      </c>
      <c r="Q2872">
        <v>0</v>
      </c>
      <c r="S2872">
        <v>29</v>
      </c>
      <c r="T2872">
        <v>1</v>
      </c>
      <c r="U2872">
        <v>5</v>
      </c>
      <c r="V2872">
        <v>70.81</v>
      </c>
      <c r="W2872">
        <v>13130002870</v>
      </c>
    </row>
    <row r="2873" spans="1:23" x14ac:dyDescent="0.2">
      <c r="A2873" s="1">
        <v>44804</v>
      </c>
      <c r="B2873" s="2">
        <v>0.45550925925925928</v>
      </c>
      <c r="C2873">
        <v>3871</v>
      </c>
      <c r="D2873">
        <v>13002561</v>
      </c>
      <c r="E2873">
        <v>13</v>
      </c>
      <c r="F2873">
        <v>22589</v>
      </c>
      <c r="G2873" t="s">
        <v>23</v>
      </c>
      <c r="H2873">
        <v>18</v>
      </c>
      <c r="I2873">
        <v>92094</v>
      </c>
      <c r="J2873" t="s">
        <v>100</v>
      </c>
      <c r="K2873" t="s">
        <v>25</v>
      </c>
      <c r="L2873" t="s">
        <v>34</v>
      </c>
      <c r="M2873">
        <v>1</v>
      </c>
      <c r="N2873">
        <v>49.75</v>
      </c>
      <c r="O2873">
        <v>70.64</v>
      </c>
      <c r="P2873">
        <v>0</v>
      </c>
      <c r="Q2873">
        <v>0</v>
      </c>
      <c r="S2873">
        <v>29</v>
      </c>
      <c r="T2873">
        <v>1</v>
      </c>
      <c r="U2873">
        <v>3</v>
      </c>
      <c r="V2873">
        <v>70.64</v>
      </c>
      <c r="W2873">
        <v>13130002871</v>
      </c>
    </row>
    <row r="2874" spans="1:23" x14ac:dyDescent="0.2">
      <c r="A2874" s="1">
        <v>44796</v>
      </c>
      <c r="B2874" s="2">
        <v>0.39315972222222217</v>
      </c>
      <c r="C2874">
        <v>3872</v>
      </c>
      <c r="D2874">
        <v>13002561</v>
      </c>
      <c r="E2874">
        <v>13</v>
      </c>
      <c r="F2874">
        <v>22589</v>
      </c>
      <c r="G2874" t="s">
        <v>23</v>
      </c>
      <c r="H2874">
        <v>15</v>
      </c>
      <c r="I2874">
        <v>43765</v>
      </c>
      <c r="J2874" t="s">
        <v>52</v>
      </c>
      <c r="K2874" t="s">
        <v>38</v>
      </c>
      <c r="L2874" t="s">
        <v>36</v>
      </c>
      <c r="M2874">
        <v>3</v>
      </c>
      <c r="N2874">
        <v>505.52</v>
      </c>
      <c r="O2874">
        <v>806.49</v>
      </c>
      <c r="P2874">
        <v>80.650000000000006</v>
      </c>
      <c r="Q2874">
        <v>80.650000000000006</v>
      </c>
      <c r="R2874" t="s">
        <v>30</v>
      </c>
      <c r="S2874">
        <v>29</v>
      </c>
      <c r="T2874">
        <v>1</v>
      </c>
      <c r="U2874">
        <v>5</v>
      </c>
      <c r="V2874">
        <v>725.84</v>
      </c>
      <c r="W2874">
        <v>13130002872</v>
      </c>
    </row>
    <row r="2875" spans="1:23" x14ac:dyDescent="0.2">
      <c r="A2875" s="1">
        <v>44804</v>
      </c>
      <c r="B2875" s="2">
        <v>0.37570601851851848</v>
      </c>
      <c r="C2875">
        <v>3873</v>
      </c>
      <c r="D2875">
        <v>13002561</v>
      </c>
      <c r="E2875">
        <v>13</v>
      </c>
      <c r="F2875">
        <v>22589</v>
      </c>
      <c r="G2875" t="s">
        <v>23</v>
      </c>
      <c r="H2875">
        <v>15</v>
      </c>
      <c r="I2875">
        <v>42308</v>
      </c>
      <c r="J2875" t="s">
        <v>40</v>
      </c>
      <c r="K2875" t="s">
        <v>28</v>
      </c>
      <c r="L2875" t="s">
        <v>51</v>
      </c>
      <c r="M2875">
        <v>1</v>
      </c>
      <c r="N2875">
        <v>384.94</v>
      </c>
      <c r="O2875">
        <v>550.11</v>
      </c>
      <c r="P2875">
        <v>55.01</v>
      </c>
      <c r="Q2875">
        <v>55.01</v>
      </c>
      <c r="R2875" t="s">
        <v>30</v>
      </c>
      <c r="S2875">
        <v>29</v>
      </c>
      <c r="T2875">
        <v>1</v>
      </c>
      <c r="U2875">
        <v>5</v>
      </c>
      <c r="V2875">
        <v>495.1</v>
      </c>
      <c r="W2875">
        <v>13130002873</v>
      </c>
    </row>
    <row r="2876" spans="1:23" x14ac:dyDescent="0.2">
      <c r="A2876" s="1">
        <v>44787</v>
      </c>
      <c r="B2876" s="2">
        <v>0.34819444444444442</v>
      </c>
      <c r="C2876">
        <v>3874</v>
      </c>
      <c r="D2876">
        <v>13002561</v>
      </c>
      <c r="E2876">
        <v>13</v>
      </c>
      <c r="F2876">
        <v>22589</v>
      </c>
      <c r="G2876" t="s">
        <v>23</v>
      </c>
      <c r="H2876">
        <v>18</v>
      </c>
      <c r="I2876">
        <v>79619</v>
      </c>
      <c r="J2876" t="s">
        <v>101</v>
      </c>
      <c r="K2876" t="s">
        <v>60</v>
      </c>
      <c r="L2876" t="s">
        <v>36</v>
      </c>
      <c r="M2876">
        <v>1</v>
      </c>
      <c r="N2876">
        <v>346.47</v>
      </c>
      <c r="O2876">
        <v>439.8</v>
      </c>
      <c r="P2876">
        <v>43.98</v>
      </c>
      <c r="Q2876">
        <v>43.98</v>
      </c>
      <c r="R2876" t="s">
        <v>30</v>
      </c>
      <c r="S2876">
        <v>29</v>
      </c>
      <c r="T2876">
        <v>1</v>
      </c>
      <c r="U2876">
        <v>1</v>
      </c>
      <c r="V2876">
        <v>395.82</v>
      </c>
      <c r="W2876">
        <v>13130002874</v>
      </c>
    </row>
    <row r="2877" spans="1:23" x14ac:dyDescent="0.2">
      <c r="A2877" s="1">
        <v>44788</v>
      </c>
      <c r="B2877" s="2">
        <v>0.56950231481481484</v>
      </c>
      <c r="C2877">
        <v>3875</v>
      </c>
      <c r="D2877">
        <v>13002561</v>
      </c>
      <c r="E2877">
        <v>13</v>
      </c>
      <c r="F2877">
        <v>22589</v>
      </c>
      <c r="G2877" t="s">
        <v>23</v>
      </c>
      <c r="H2877">
        <v>15</v>
      </c>
      <c r="I2877">
        <v>81443</v>
      </c>
      <c r="J2877" t="s">
        <v>118</v>
      </c>
      <c r="K2877" t="s">
        <v>28</v>
      </c>
      <c r="L2877" t="s">
        <v>34</v>
      </c>
      <c r="M2877">
        <v>2</v>
      </c>
      <c r="N2877">
        <v>311.64</v>
      </c>
      <c r="O2877">
        <v>509.24</v>
      </c>
      <c r="P2877">
        <v>25.46</v>
      </c>
      <c r="Q2877">
        <v>25.46</v>
      </c>
      <c r="R2877" t="s">
        <v>30</v>
      </c>
      <c r="S2877">
        <v>29</v>
      </c>
      <c r="T2877">
        <v>1</v>
      </c>
      <c r="U2877">
        <v>4</v>
      </c>
      <c r="V2877">
        <v>483.78</v>
      </c>
      <c r="W2877">
        <v>13130002875</v>
      </c>
    </row>
    <row r="2878" spans="1:23" x14ac:dyDescent="0.2">
      <c r="A2878" s="1">
        <v>44793</v>
      </c>
      <c r="B2878" s="2">
        <v>0.35666666666666669</v>
      </c>
      <c r="C2878">
        <v>3876</v>
      </c>
      <c r="D2878">
        <v>13002561</v>
      </c>
      <c r="E2878">
        <v>13</v>
      </c>
      <c r="F2878">
        <v>22589</v>
      </c>
      <c r="G2878" t="s">
        <v>23</v>
      </c>
      <c r="H2878">
        <v>18</v>
      </c>
      <c r="I2878">
        <v>76823</v>
      </c>
      <c r="J2878" t="s">
        <v>114</v>
      </c>
      <c r="K2878" t="s">
        <v>38</v>
      </c>
      <c r="L2878" t="s">
        <v>36</v>
      </c>
      <c r="M2878">
        <v>2</v>
      </c>
      <c r="N2878">
        <v>94.04</v>
      </c>
      <c r="O2878">
        <v>127.64</v>
      </c>
      <c r="P2878">
        <v>0</v>
      </c>
      <c r="Q2878">
        <v>0</v>
      </c>
      <c r="S2878">
        <v>29</v>
      </c>
      <c r="T2878">
        <v>1</v>
      </c>
      <c r="U2878">
        <v>5</v>
      </c>
      <c r="V2878">
        <v>127.64</v>
      </c>
      <c r="W2878">
        <v>13130002876</v>
      </c>
    </row>
    <row r="2879" spans="1:23" x14ac:dyDescent="0.2">
      <c r="A2879" s="1">
        <v>44797</v>
      </c>
      <c r="B2879" s="2">
        <v>0.7583333333333333</v>
      </c>
      <c r="C2879">
        <v>3877</v>
      </c>
      <c r="D2879">
        <v>13002561</v>
      </c>
      <c r="E2879">
        <v>13</v>
      </c>
      <c r="F2879">
        <v>22589</v>
      </c>
      <c r="G2879" t="s">
        <v>23</v>
      </c>
      <c r="H2879">
        <v>15</v>
      </c>
      <c r="I2879">
        <v>69144</v>
      </c>
      <c r="J2879" t="s">
        <v>56</v>
      </c>
      <c r="K2879" t="s">
        <v>38</v>
      </c>
      <c r="L2879" t="s">
        <v>34</v>
      </c>
      <c r="M2879">
        <v>1</v>
      </c>
      <c r="N2879">
        <v>595.19000000000005</v>
      </c>
      <c r="O2879">
        <v>802.54</v>
      </c>
      <c r="P2879">
        <v>40.130000000000003</v>
      </c>
      <c r="Q2879">
        <v>40.130000000000003</v>
      </c>
      <c r="R2879" t="s">
        <v>30</v>
      </c>
      <c r="S2879">
        <v>29</v>
      </c>
      <c r="T2879">
        <v>1</v>
      </c>
      <c r="U2879">
        <v>3</v>
      </c>
      <c r="V2879">
        <v>762.41</v>
      </c>
      <c r="W2879">
        <v>13130002877</v>
      </c>
    </row>
    <row r="2880" spans="1:23" x14ac:dyDescent="0.2">
      <c r="A2880" s="1">
        <v>44804</v>
      </c>
      <c r="B2880" s="2">
        <v>0.67850694444444448</v>
      </c>
      <c r="C2880">
        <v>3878</v>
      </c>
      <c r="D2880">
        <v>13002561</v>
      </c>
      <c r="E2880">
        <v>13</v>
      </c>
      <c r="F2880">
        <v>22589</v>
      </c>
      <c r="G2880" t="s">
        <v>23</v>
      </c>
      <c r="H2880">
        <v>15</v>
      </c>
      <c r="I2880">
        <v>15357</v>
      </c>
      <c r="J2880" t="s">
        <v>109</v>
      </c>
      <c r="K2880" t="s">
        <v>25</v>
      </c>
      <c r="L2880" t="s">
        <v>32</v>
      </c>
      <c r="M2880">
        <v>3</v>
      </c>
      <c r="N2880">
        <v>592.80999999999995</v>
      </c>
      <c r="O2880">
        <v>910.73</v>
      </c>
      <c r="P2880">
        <v>0</v>
      </c>
      <c r="Q2880">
        <v>0</v>
      </c>
      <c r="S2880">
        <v>29</v>
      </c>
      <c r="T2880">
        <v>1</v>
      </c>
      <c r="U2880">
        <v>3</v>
      </c>
      <c r="V2880">
        <v>910.73</v>
      </c>
      <c r="W2880">
        <v>13130002878</v>
      </c>
    </row>
    <row r="2881" spans="1:23" x14ac:dyDescent="0.2">
      <c r="A2881" s="1">
        <v>44776</v>
      </c>
      <c r="B2881" s="2">
        <v>0.76533564814814814</v>
      </c>
      <c r="C2881">
        <v>3879</v>
      </c>
      <c r="D2881">
        <v>13002561</v>
      </c>
      <c r="E2881">
        <v>13</v>
      </c>
      <c r="F2881">
        <v>22589</v>
      </c>
      <c r="G2881" t="s">
        <v>23</v>
      </c>
      <c r="H2881">
        <v>15</v>
      </c>
      <c r="I2881">
        <v>63318</v>
      </c>
      <c r="J2881" t="s">
        <v>88</v>
      </c>
      <c r="K2881" t="s">
        <v>60</v>
      </c>
      <c r="L2881" t="s">
        <v>32</v>
      </c>
      <c r="M2881">
        <v>2</v>
      </c>
      <c r="N2881">
        <v>236.04</v>
      </c>
      <c r="O2881">
        <v>375.54</v>
      </c>
      <c r="P2881">
        <v>0</v>
      </c>
      <c r="Q2881">
        <v>0</v>
      </c>
      <c r="S2881">
        <v>29</v>
      </c>
      <c r="T2881">
        <v>1</v>
      </c>
      <c r="U2881">
        <v>6</v>
      </c>
      <c r="V2881">
        <v>375.54</v>
      </c>
      <c r="W2881">
        <v>13130002879</v>
      </c>
    </row>
    <row r="2882" spans="1:23" x14ac:dyDescent="0.2">
      <c r="A2882" s="1">
        <v>44800</v>
      </c>
      <c r="B2882" s="2">
        <v>0.71101851851851849</v>
      </c>
      <c r="C2882">
        <v>3880</v>
      </c>
      <c r="D2882">
        <v>13002561</v>
      </c>
      <c r="E2882">
        <v>13</v>
      </c>
      <c r="F2882">
        <v>22589</v>
      </c>
      <c r="G2882" t="s">
        <v>23</v>
      </c>
      <c r="H2882">
        <v>18</v>
      </c>
      <c r="I2882">
        <v>86978</v>
      </c>
      <c r="J2882" t="s">
        <v>53</v>
      </c>
      <c r="K2882" t="s">
        <v>45</v>
      </c>
      <c r="L2882" t="s">
        <v>51</v>
      </c>
      <c r="M2882">
        <v>1</v>
      </c>
      <c r="N2882">
        <v>174.55</v>
      </c>
      <c r="O2882">
        <v>236.36</v>
      </c>
      <c r="P2882">
        <v>23.64</v>
      </c>
      <c r="Q2882">
        <v>23.64</v>
      </c>
      <c r="R2882" t="s">
        <v>30</v>
      </c>
      <c r="S2882">
        <v>29</v>
      </c>
      <c r="T2882">
        <v>1</v>
      </c>
      <c r="U2882">
        <v>1</v>
      </c>
      <c r="V2882">
        <v>212.72</v>
      </c>
      <c r="W2882">
        <v>13130002880</v>
      </c>
    </row>
    <row r="2883" spans="1:23" x14ac:dyDescent="0.2">
      <c r="A2883" s="1">
        <v>44774</v>
      </c>
      <c r="B2883" s="2">
        <v>0.52979166666666666</v>
      </c>
      <c r="C2883">
        <v>3881</v>
      </c>
      <c r="D2883">
        <v>13002561</v>
      </c>
      <c r="E2883">
        <v>13</v>
      </c>
      <c r="F2883">
        <v>22589</v>
      </c>
      <c r="G2883" t="s">
        <v>23</v>
      </c>
      <c r="H2883">
        <v>15</v>
      </c>
      <c r="I2883">
        <v>31229</v>
      </c>
      <c r="J2883" t="s">
        <v>40</v>
      </c>
      <c r="K2883" t="s">
        <v>28</v>
      </c>
      <c r="L2883" t="s">
        <v>36</v>
      </c>
      <c r="M2883">
        <v>1</v>
      </c>
      <c r="N2883">
        <v>140.38</v>
      </c>
      <c r="O2883">
        <v>227.14</v>
      </c>
      <c r="P2883">
        <v>22.71</v>
      </c>
      <c r="Q2883">
        <v>22.71</v>
      </c>
      <c r="R2883" t="s">
        <v>30</v>
      </c>
      <c r="S2883">
        <v>29</v>
      </c>
      <c r="T2883">
        <v>1</v>
      </c>
      <c r="U2883">
        <v>6</v>
      </c>
      <c r="V2883">
        <v>204.43</v>
      </c>
      <c r="W2883">
        <v>13130002881</v>
      </c>
    </row>
    <row r="2884" spans="1:23" x14ac:dyDescent="0.2">
      <c r="A2884" s="1">
        <v>44796</v>
      </c>
      <c r="B2884" s="2">
        <v>0.79189814814814818</v>
      </c>
      <c r="C2884">
        <v>3882</v>
      </c>
      <c r="D2884">
        <v>13002561</v>
      </c>
      <c r="E2884">
        <v>13</v>
      </c>
      <c r="F2884">
        <v>22589</v>
      </c>
      <c r="G2884" t="s">
        <v>23</v>
      </c>
      <c r="H2884">
        <v>15</v>
      </c>
      <c r="I2884">
        <v>45542</v>
      </c>
      <c r="J2884" t="s">
        <v>56</v>
      </c>
      <c r="K2884" t="s">
        <v>45</v>
      </c>
      <c r="L2884" t="s">
        <v>51</v>
      </c>
      <c r="M2884">
        <v>1</v>
      </c>
      <c r="N2884">
        <v>579.22</v>
      </c>
      <c r="O2884">
        <v>849.41</v>
      </c>
      <c r="P2884">
        <v>84.94</v>
      </c>
      <c r="Q2884">
        <v>84.94</v>
      </c>
      <c r="R2884" t="s">
        <v>30</v>
      </c>
      <c r="S2884">
        <v>29</v>
      </c>
      <c r="T2884">
        <v>1</v>
      </c>
      <c r="U2884">
        <v>3</v>
      </c>
      <c r="V2884">
        <v>764.47</v>
      </c>
      <c r="W2884">
        <v>13130002882</v>
      </c>
    </row>
    <row r="2885" spans="1:23" x14ac:dyDescent="0.2">
      <c r="A2885" s="1">
        <v>44800</v>
      </c>
      <c r="B2885" s="2">
        <v>0.37677083333333328</v>
      </c>
      <c r="C2885">
        <v>3883</v>
      </c>
      <c r="D2885">
        <v>13002561</v>
      </c>
      <c r="E2885">
        <v>13</v>
      </c>
      <c r="F2885">
        <v>22589</v>
      </c>
      <c r="G2885" t="s">
        <v>23</v>
      </c>
      <c r="H2885">
        <v>18</v>
      </c>
      <c r="I2885">
        <v>63804</v>
      </c>
      <c r="J2885" t="s">
        <v>83</v>
      </c>
      <c r="K2885" t="s">
        <v>28</v>
      </c>
      <c r="L2885" t="s">
        <v>29</v>
      </c>
      <c r="M2885">
        <v>1</v>
      </c>
      <c r="N2885">
        <v>118.99</v>
      </c>
      <c r="O2885">
        <v>164.99</v>
      </c>
      <c r="P2885">
        <v>8.25</v>
      </c>
      <c r="Q2885">
        <v>8.25</v>
      </c>
      <c r="R2885" t="s">
        <v>30</v>
      </c>
      <c r="S2885">
        <v>29</v>
      </c>
      <c r="T2885">
        <v>1</v>
      </c>
      <c r="U2885">
        <v>4</v>
      </c>
      <c r="V2885">
        <v>156.74</v>
      </c>
      <c r="W2885">
        <v>13130002883</v>
      </c>
    </row>
    <row r="2886" spans="1:23" x14ac:dyDescent="0.2">
      <c r="A2886" s="1">
        <v>44777</v>
      </c>
      <c r="B2886" s="2">
        <v>0.73508101851851848</v>
      </c>
      <c r="C2886">
        <v>3884</v>
      </c>
      <c r="D2886">
        <v>13002561</v>
      </c>
      <c r="E2886">
        <v>13</v>
      </c>
      <c r="F2886">
        <v>22589</v>
      </c>
      <c r="G2886" t="s">
        <v>23</v>
      </c>
      <c r="H2886">
        <v>18</v>
      </c>
      <c r="I2886">
        <v>15614</v>
      </c>
      <c r="J2886" t="s">
        <v>100</v>
      </c>
      <c r="K2886" t="s">
        <v>45</v>
      </c>
      <c r="L2886" t="s">
        <v>34</v>
      </c>
      <c r="M2886">
        <v>1</v>
      </c>
      <c r="N2886">
        <v>209.79</v>
      </c>
      <c r="O2886">
        <v>341.18</v>
      </c>
      <c r="P2886">
        <v>34.119999999999997</v>
      </c>
      <c r="Q2886">
        <v>34.119999999999997</v>
      </c>
      <c r="R2886" t="s">
        <v>30</v>
      </c>
      <c r="S2886">
        <v>29</v>
      </c>
      <c r="T2886">
        <v>1</v>
      </c>
      <c r="U2886">
        <v>4</v>
      </c>
      <c r="V2886">
        <v>307.06</v>
      </c>
      <c r="W2886">
        <v>13130002884</v>
      </c>
    </row>
    <row r="2887" spans="1:23" x14ac:dyDescent="0.2">
      <c r="A2887" s="1">
        <v>44795</v>
      </c>
      <c r="B2887" s="2">
        <v>0.58638888888888885</v>
      </c>
      <c r="C2887">
        <v>3885</v>
      </c>
      <c r="D2887">
        <v>13002561</v>
      </c>
      <c r="E2887">
        <v>13</v>
      </c>
      <c r="F2887">
        <v>22589</v>
      </c>
      <c r="G2887" t="s">
        <v>23</v>
      </c>
      <c r="H2887">
        <v>18</v>
      </c>
      <c r="I2887">
        <v>46786</v>
      </c>
      <c r="J2887" t="s">
        <v>89</v>
      </c>
      <c r="K2887" t="s">
        <v>25</v>
      </c>
      <c r="L2887" t="s">
        <v>39</v>
      </c>
      <c r="M2887">
        <v>2</v>
      </c>
      <c r="N2887">
        <v>138.29</v>
      </c>
      <c r="O2887">
        <v>222.07</v>
      </c>
      <c r="P2887">
        <v>11.1</v>
      </c>
      <c r="Q2887">
        <v>11.1</v>
      </c>
      <c r="R2887" t="s">
        <v>30</v>
      </c>
      <c r="S2887">
        <v>29</v>
      </c>
      <c r="T2887">
        <v>1</v>
      </c>
      <c r="U2887">
        <v>6</v>
      </c>
      <c r="V2887">
        <v>210.97</v>
      </c>
      <c r="W2887">
        <v>13130002885</v>
      </c>
    </row>
    <row r="2888" spans="1:23" x14ac:dyDescent="0.2">
      <c r="A2888" s="1">
        <v>44776</v>
      </c>
      <c r="B2888" s="2">
        <v>0.41182870370370372</v>
      </c>
      <c r="C2888">
        <v>3886</v>
      </c>
      <c r="D2888">
        <v>13002561</v>
      </c>
      <c r="E2888">
        <v>13</v>
      </c>
      <c r="F2888">
        <v>22589</v>
      </c>
      <c r="G2888" t="s">
        <v>23</v>
      </c>
      <c r="H2888">
        <v>15</v>
      </c>
      <c r="I2888">
        <v>68043</v>
      </c>
      <c r="J2888" t="s">
        <v>66</v>
      </c>
      <c r="K2888" t="s">
        <v>60</v>
      </c>
      <c r="L2888" t="s">
        <v>34</v>
      </c>
      <c r="M2888">
        <v>3</v>
      </c>
      <c r="N2888">
        <v>66.53</v>
      </c>
      <c r="O2888">
        <v>105.86</v>
      </c>
      <c r="P2888">
        <v>10.59</v>
      </c>
      <c r="Q2888">
        <v>10.59</v>
      </c>
      <c r="R2888" t="s">
        <v>30</v>
      </c>
      <c r="S2888">
        <v>29</v>
      </c>
      <c r="T2888">
        <v>1</v>
      </c>
      <c r="U2888">
        <v>1</v>
      </c>
      <c r="V2888">
        <v>95.27</v>
      </c>
      <c r="W2888">
        <v>13130002886</v>
      </c>
    </row>
    <row r="2889" spans="1:23" x14ac:dyDescent="0.2">
      <c r="A2889" s="1">
        <v>44793</v>
      </c>
      <c r="B2889" s="2">
        <v>0.5084953703703704</v>
      </c>
      <c r="C2889">
        <v>3887</v>
      </c>
      <c r="D2889">
        <v>13002561</v>
      </c>
      <c r="E2889">
        <v>13</v>
      </c>
      <c r="F2889">
        <v>22589</v>
      </c>
      <c r="G2889" t="s">
        <v>23</v>
      </c>
      <c r="H2889">
        <v>15</v>
      </c>
      <c r="I2889">
        <v>69390</v>
      </c>
      <c r="J2889" t="s">
        <v>73</v>
      </c>
      <c r="K2889" t="s">
        <v>44</v>
      </c>
      <c r="L2889" t="s">
        <v>36</v>
      </c>
      <c r="M2889">
        <v>1</v>
      </c>
      <c r="N2889">
        <v>274.5</v>
      </c>
      <c r="O2889">
        <v>360.67</v>
      </c>
      <c r="P2889">
        <v>18.03</v>
      </c>
      <c r="Q2889">
        <v>18.03</v>
      </c>
      <c r="R2889" t="s">
        <v>30</v>
      </c>
      <c r="S2889">
        <v>29</v>
      </c>
      <c r="T2889">
        <v>1</v>
      </c>
      <c r="U2889">
        <v>2</v>
      </c>
      <c r="V2889">
        <v>342.64</v>
      </c>
      <c r="W2889">
        <v>13130002887</v>
      </c>
    </row>
    <row r="2890" spans="1:23" x14ac:dyDescent="0.2">
      <c r="A2890" s="1">
        <v>44783</v>
      </c>
      <c r="B2890" s="2">
        <v>0.37890046296296298</v>
      </c>
      <c r="C2890">
        <v>3888</v>
      </c>
      <c r="D2890">
        <v>13002561</v>
      </c>
      <c r="E2890">
        <v>13</v>
      </c>
      <c r="F2890">
        <v>22589</v>
      </c>
      <c r="G2890" t="s">
        <v>23</v>
      </c>
      <c r="H2890">
        <v>15</v>
      </c>
      <c r="I2890">
        <v>99444</v>
      </c>
      <c r="J2890" t="s">
        <v>83</v>
      </c>
      <c r="K2890" t="s">
        <v>45</v>
      </c>
      <c r="L2890" t="s">
        <v>39</v>
      </c>
      <c r="M2890">
        <v>2</v>
      </c>
      <c r="N2890">
        <v>327.64</v>
      </c>
      <c r="O2890">
        <v>489.65</v>
      </c>
      <c r="P2890">
        <v>48.97</v>
      </c>
      <c r="Q2890">
        <v>48.97</v>
      </c>
      <c r="R2890" t="s">
        <v>30</v>
      </c>
      <c r="S2890">
        <v>29</v>
      </c>
      <c r="T2890">
        <v>1</v>
      </c>
      <c r="U2890">
        <v>4</v>
      </c>
      <c r="V2890">
        <v>440.68</v>
      </c>
      <c r="W2890">
        <v>13130002888</v>
      </c>
    </row>
    <row r="2891" spans="1:23" x14ac:dyDescent="0.2">
      <c r="A2891" s="1">
        <v>44777</v>
      </c>
      <c r="B2891" s="2">
        <v>0.36685185185185187</v>
      </c>
      <c r="C2891">
        <v>3889</v>
      </c>
      <c r="D2891">
        <v>13002561</v>
      </c>
      <c r="E2891">
        <v>13</v>
      </c>
      <c r="F2891">
        <v>22589</v>
      </c>
      <c r="G2891" t="s">
        <v>23</v>
      </c>
      <c r="H2891">
        <v>15</v>
      </c>
      <c r="I2891">
        <v>31214</v>
      </c>
      <c r="J2891" t="s">
        <v>68</v>
      </c>
      <c r="K2891" t="s">
        <v>38</v>
      </c>
      <c r="L2891" t="s">
        <v>26</v>
      </c>
      <c r="M2891">
        <v>2</v>
      </c>
      <c r="N2891">
        <v>53.11</v>
      </c>
      <c r="O2891">
        <v>69.010000000000005</v>
      </c>
      <c r="P2891">
        <v>0</v>
      </c>
      <c r="Q2891">
        <v>0</v>
      </c>
      <c r="S2891">
        <v>29</v>
      </c>
      <c r="T2891">
        <v>1</v>
      </c>
      <c r="U2891">
        <v>2</v>
      </c>
      <c r="V2891">
        <v>69.010000000000005</v>
      </c>
      <c r="W2891">
        <v>13130002889</v>
      </c>
    </row>
    <row r="2892" spans="1:23" x14ac:dyDescent="0.2">
      <c r="A2892" s="1">
        <v>44797</v>
      </c>
      <c r="B2892" s="2">
        <v>0.38798611111111109</v>
      </c>
      <c r="C2892">
        <v>3890</v>
      </c>
      <c r="D2892">
        <v>13002561</v>
      </c>
      <c r="E2892">
        <v>13</v>
      </c>
      <c r="F2892">
        <v>22589</v>
      </c>
      <c r="G2892" t="s">
        <v>23</v>
      </c>
      <c r="H2892">
        <v>18</v>
      </c>
      <c r="I2892">
        <v>93413</v>
      </c>
      <c r="J2892" t="s">
        <v>61</v>
      </c>
      <c r="K2892" t="s">
        <v>60</v>
      </c>
      <c r="L2892" t="s">
        <v>51</v>
      </c>
      <c r="M2892">
        <v>3</v>
      </c>
      <c r="N2892">
        <v>552.77</v>
      </c>
      <c r="O2892">
        <v>715.15</v>
      </c>
      <c r="P2892">
        <v>71.52</v>
      </c>
      <c r="Q2892">
        <v>71.52</v>
      </c>
      <c r="R2892" t="s">
        <v>30</v>
      </c>
      <c r="S2892">
        <v>29</v>
      </c>
      <c r="T2892">
        <v>1</v>
      </c>
      <c r="U2892">
        <v>3</v>
      </c>
      <c r="V2892">
        <v>643.63</v>
      </c>
      <c r="W2892">
        <v>13130002890</v>
      </c>
    </row>
    <row r="2893" spans="1:23" x14ac:dyDescent="0.2">
      <c r="A2893" s="1">
        <v>44803</v>
      </c>
      <c r="B2893" s="2">
        <v>0.9536458333333333</v>
      </c>
      <c r="C2893">
        <v>3891</v>
      </c>
      <c r="D2893">
        <v>13002561</v>
      </c>
      <c r="E2893">
        <v>13</v>
      </c>
      <c r="F2893">
        <v>22589</v>
      </c>
      <c r="G2893" t="s">
        <v>23</v>
      </c>
      <c r="H2893">
        <v>15</v>
      </c>
      <c r="I2893">
        <v>13096</v>
      </c>
      <c r="J2893" t="s">
        <v>110</v>
      </c>
      <c r="K2893" t="s">
        <v>45</v>
      </c>
      <c r="L2893" t="s">
        <v>26</v>
      </c>
      <c r="M2893">
        <v>3</v>
      </c>
      <c r="N2893">
        <v>220.6</v>
      </c>
      <c r="O2893">
        <v>318.05</v>
      </c>
      <c r="P2893">
        <v>0</v>
      </c>
      <c r="Q2893">
        <v>0</v>
      </c>
      <c r="S2893">
        <v>29</v>
      </c>
      <c r="T2893">
        <v>1</v>
      </c>
      <c r="U2893">
        <v>3</v>
      </c>
      <c r="V2893">
        <v>318.05</v>
      </c>
      <c r="W2893">
        <v>13130002891</v>
      </c>
    </row>
    <row r="2894" spans="1:23" x14ac:dyDescent="0.2">
      <c r="A2894" s="1">
        <v>44799</v>
      </c>
      <c r="B2894" s="2">
        <v>0.6610300925925926</v>
      </c>
      <c r="C2894">
        <v>3892</v>
      </c>
      <c r="D2894">
        <v>13002561</v>
      </c>
      <c r="E2894">
        <v>13</v>
      </c>
      <c r="F2894">
        <v>22589</v>
      </c>
      <c r="G2894" t="s">
        <v>23</v>
      </c>
      <c r="H2894">
        <v>15</v>
      </c>
      <c r="I2894">
        <v>83306</v>
      </c>
      <c r="J2894" t="s">
        <v>77</v>
      </c>
      <c r="K2894" t="s">
        <v>45</v>
      </c>
      <c r="L2894" t="s">
        <v>34</v>
      </c>
      <c r="M2894">
        <v>1</v>
      </c>
      <c r="N2894">
        <v>241.54</v>
      </c>
      <c r="O2894">
        <v>396.71</v>
      </c>
      <c r="P2894">
        <v>0</v>
      </c>
      <c r="Q2894">
        <v>0</v>
      </c>
      <c r="S2894">
        <v>29</v>
      </c>
      <c r="T2894">
        <v>1</v>
      </c>
      <c r="U2894">
        <v>6</v>
      </c>
      <c r="V2894">
        <v>396.71</v>
      </c>
      <c r="W2894">
        <v>13130002892</v>
      </c>
    </row>
    <row r="2895" spans="1:23" x14ac:dyDescent="0.2">
      <c r="A2895" s="1">
        <v>44783</v>
      </c>
      <c r="B2895" s="2">
        <v>0.6060416666666667</v>
      </c>
      <c r="C2895">
        <v>3893</v>
      </c>
      <c r="D2895">
        <v>13002561</v>
      </c>
      <c r="E2895">
        <v>13</v>
      </c>
      <c r="F2895">
        <v>22589</v>
      </c>
      <c r="G2895" t="s">
        <v>23</v>
      </c>
      <c r="H2895">
        <v>18</v>
      </c>
      <c r="I2895">
        <v>88046</v>
      </c>
      <c r="J2895" t="s">
        <v>70</v>
      </c>
      <c r="K2895" t="s">
        <v>45</v>
      </c>
      <c r="L2895" t="s">
        <v>39</v>
      </c>
      <c r="M2895">
        <v>1</v>
      </c>
      <c r="N2895">
        <v>334.1</v>
      </c>
      <c r="O2895">
        <v>495.82</v>
      </c>
      <c r="P2895">
        <v>24.79</v>
      </c>
      <c r="Q2895">
        <v>24.79</v>
      </c>
      <c r="R2895" t="s">
        <v>30</v>
      </c>
      <c r="S2895">
        <v>29</v>
      </c>
      <c r="T2895">
        <v>1</v>
      </c>
      <c r="U2895">
        <v>4</v>
      </c>
      <c r="V2895">
        <v>471.03</v>
      </c>
      <c r="W2895">
        <v>13130002893</v>
      </c>
    </row>
    <row r="2896" spans="1:23" x14ac:dyDescent="0.2">
      <c r="A2896" s="1">
        <v>44783</v>
      </c>
      <c r="B2896" s="2">
        <v>0.57109953703703709</v>
      </c>
      <c r="C2896">
        <v>3894</v>
      </c>
      <c r="D2896">
        <v>13002561</v>
      </c>
      <c r="E2896">
        <v>13</v>
      </c>
      <c r="F2896">
        <v>22589</v>
      </c>
      <c r="G2896" t="s">
        <v>23</v>
      </c>
      <c r="H2896">
        <v>18</v>
      </c>
      <c r="I2896">
        <v>92571</v>
      </c>
      <c r="J2896" t="s">
        <v>107</v>
      </c>
      <c r="K2896" t="s">
        <v>45</v>
      </c>
      <c r="L2896" t="s">
        <v>29</v>
      </c>
      <c r="M2896">
        <v>3</v>
      </c>
      <c r="N2896">
        <v>265.39999999999998</v>
      </c>
      <c r="O2896">
        <v>440.19</v>
      </c>
      <c r="P2896">
        <v>44.02</v>
      </c>
      <c r="Q2896">
        <v>44.02</v>
      </c>
      <c r="R2896" t="s">
        <v>30</v>
      </c>
      <c r="S2896">
        <v>29</v>
      </c>
      <c r="T2896">
        <v>1</v>
      </c>
      <c r="U2896">
        <v>2</v>
      </c>
      <c r="V2896">
        <v>396.17</v>
      </c>
      <c r="W2896">
        <v>13130002894</v>
      </c>
    </row>
    <row r="2897" spans="1:23" x14ac:dyDescent="0.2">
      <c r="A2897" s="1">
        <v>44790</v>
      </c>
      <c r="B2897" s="2">
        <v>0.84114583333333337</v>
      </c>
      <c r="C2897">
        <v>3895</v>
      </c>
      <c r="D2897">
        <v>13002561</v>
      </c>
      <c r="E2897">
        <v>13</v>
      </c>
      <c r="F2897">
        <v>22589</v>
      </c>
      <c r="G2897" t="s">
        <v>23</v>
      </c>
      <c r="H2897">
        <v>18</v>
      </c>
      <c r="I2897">
        <v>50475</v>
      </c>
      <c r="J2897" t="s">
        <v>71</v>
      </c>
      <c r="K2897" t="s">
        <v>25</v>
      </c>
      <c r="L2897" t="s">
        <v>36</v>
      </c>
      <c r="M2897">
        <v>1</v>
      </c>
      <c r="N2897">
        <v>154.29</v>
      </c>
      <c r="O2897">
        <v>204.59</v>
      </c>
      <c r="P2897">
        <v>20.46</v>
      </c>
      <c r="Q2897">
        <v>20.46</v>
      </c>
      <c r="R2897" t="s">
        <v>30</v>
      </c>
      <c r="S2897">
        <v>29</v>
      </c>
      <c r="T2897">
        <v>1</v>
      </c>
      <c r="U2897">
        <v>5</v>
      </c>
      <c r="V2897">
        <v>184.13</v>
      </c>
      <c r="W2897">
        <v>13130002895</v>
      </c>
    </row>
    <row r="2898" spans="1:23" x14ac:dyDescent="0.2">
      <c r="A2898" s="1">
        <v>44774</v>
      </c>
      <c r="B2898" s="2">
        <v>0.65329861111111109</v>
      </c>
      <c r="C2898">
        <v>3896</v>
      </c>
      <c r="D2898">
        <v>13002561</v>
      </c>
      <c r="E2898">
        <v>13</v>
      </c>
      <c r="F2898">
        <v>22589</v>
      </c>
      <c r="G2898" t="s">
        <v>23</v>
      </c>
      <c r="H2898">
        <v>18</v>
      </c>
      <c r="I2898">
        <v>50364</v>
      </c>
      <c r="J2898" t="s">
        <v>53</v>
      </c>
      <c r="K2898" t="s">
        <v>60</v>
      </c>
      <c r="L2898" t="s">
        <v>32</v>
      </c>
      <c r="M2898">
        <v>3</v>
      </c>
      <c r="N2898">
        <v>282.83999999999997</v>
      </c>
      <c r="O2898">
        <v>438.89</v>
      </c>
      <c r="P2898">
        <v>21.94</v>
      </c>
      <c r="Q2898">
        <v>21.94</v>
      </c>
      <c r="R2898" t="s">
        <v>30</v>
      </c>
      <c r="S2898">
        <v>29</v>
      </c>
      <c r="T2898">
        <v>1</v>
      </c>
      <c r="U2898">
        <v>2</v>
      </c>
      <c r="V2898">
        <v>416.95</v>
      </c>
      <c r="W2898">
        <v>13130002896</v>
      </c>
    </row>
    <row r="2899" spans="1:23" x14ac:dyDescent="0.2">
      <c r="A2899" s="1">
        <v>44794</v>
      </c>
      <c r="B2899" s="2">
        <v>0.44590277777777781</v>
      </c>
      <c r="C2899">
        <v>3897</v>
      </c>
      <c r="D2899">
        <v>13002561</v>
      </c>
      <c r="E2899">
        <v>13</v>
      </c>
      <c r="F2899">
        <v>22589</v>
      </c>
      <c r="G2899" t="s">
        <v>23</v>
      </c>
      <c r="H2899">
        <v>15</v>
      </c>
      <c r="I2899">
        <v>55758</v>
      </c>
      <c r="J2899" t="s">
        <v>43</v>
      </c>
      <c r="K2899" t="s">
        <v>28</v>
      </c>
      <c r="L2899" t="s">
        <v>32</v>
      </c>
      <c r="M2899">
        <v>1</v>
      </c>
      <c r="N2899">
        <v>293.52</v>
      </c>
      <c r="O2899">
        <v>385.39</v>
      </c>
      <c r="P2899">
        <v>19.27</v>
      </c>
      <c r="Q2899">
        <v>19.27</v>
      </c>
      <c r="R2899" t="s">
        <v>30</v>
      </c>
      <c r="S2899">
        <v>29</v>
      </c>
      <c r="T2899">
        <v>1</v>
      </c>
      <c r="U2899">
        <v>1</v>
      </c>
      <c r="V2899">
        <v>366.12</v>
      </c>
      <c r="W2899">
        <v>13130002897</v>
      </c>
    </row>
    <row r="2900" spans="1:23" x14ac:dyDescent="0.2">
      <c r="A2900" s="1">
        <v>44785</v>
      </c>
      <c r="B2900" s="2">
        <v>0.38108796296296299</v>
      </c>
      <c r="C2900">
        <v>3898</v>
      </c>
      <c r="D2900">
        <v>13002561</v>
      </c>
      <c r="E2900">
        <v>13</v>
      </c>
      <c r="F2900">
        <v>22589</v>
      </c>
      <c r="G2900" t="s">
        <v>23</v>
      </c>
      <c r="H2900">
        <v>15</v>
      </c>
      <c r="I2900">
        <v>39779</v>
      </c>
      <c r="J2900" t="s">
        <v>63</v>
      </c>
      <c r="K2900" t="s">
        <v>44</v>
      </c>
      <c r="L2900" t="s">
        <v>34</v>
      </c>
      <c r="M2900">
        <v>1</v>
      </c>
      <c r="N2900">
        <v>241.67</v>
      </c>
      <c r="O2900">
        <v>319.39</v>
      </c>
      <c r="P2900">
        <v>0</v>
      </c>
      <c r="Q2900">
        <v>0</v>
      </c>
      <c r="S2900">
        <v>29</v>
      </c>
      <c r="T2900">
        <v>1</v>
      </c>
      <c r="U2900">
        <v>3</v>
      </c>
      <c r="V2900">
        <v>319.39</v>
      </c>
      <c r="W2900">
        <v>13130002898</v>
      </c>
    </row>
    <row r="2901" spans="1:23" x14ac:dyDescent="0.2">
      <c r="A2901" s="1">
        <v>44784</v>
      </c>
      <c r="B2901" s="2">
        <v>0.59599537037037043</v>
      </c>
      <c r="C2901">
        <v>3899</v>
      </c>
      <c r="D2901">
        <v>13002561</v>
      </c>
      <c r="E2901">
        <v>13</v>
      </c>
      <c r="F2901">
        <v>22589</v>
      </c>
      <c r="G2901" t="s">
        <v>23</v>
      </c>
      <c r="H2901">
        <v>18</v>
      </c>
      <c r="I2901">
        <v>17589</v>
      </c>
      <c r="J2901" t="s">
        <v>77</v>
      </c>
      <c r="K2901" t="s">
        <v>45</v>
      </c>
      <c r="L2901" t="s">
        <v>51</v>
      </c>
      <c r="M2901">
        <v>2</v>
      </c>
      <c r="N2901">
        <v>373.91</v>
      </c>
      <c r="O2901">
        <v>488.33</v>
      </c>
      <c r="P2901">
        <v>48.83</v>
      </c>
      <c r="Q2901">
        <v>48.83</v>
      </c>
      <c r="R2901" t="s">
        <v>30</v>
      </c>
      <c r="S2901">
        <v>29</v>
      </c>
      <c r="T2901">
        <v>1</v>
      </c>
      <c r="U2901">
        <v>5</v>
      </c>
      <c r="V2901">
        <v>439.5</v>
      </c>
      <c r="W2901">
        <v>13130002899</v>
      </c>
    </row>
    <row r="2902" spans="1:23" x14ac:dyDescent="0.2">
      <c r="A2902" s="1">
        <v>44784</v>
      </c>
      <c r="B2902" s="2">
        <v>0.93824074074074071</v>
      </c>
      <c r="C2902">
        <v>3900</v>
      </c>
      <c r="D2902">
        <v>13002561</v>
      </c>
      <c r="E2902">
        <v>13</v>
      </c>
      <c r="F2902">
        <v>22589</v>
      </c>
      <c r="G2902" t="s">
        <v>23</v>
      </c>
      <c r="H2902">
        <v>18</v>
      </c>
      <c r="I2902">
        <v>85521</v>
      </c>
      <c r="J2902" t="s">
        <v>33</v>
      </c>
      <c r="K2902" t="s">
        <v>60</v>
      </c>
      <c r="L2902" t="s">
        <v>26</v>
      </c>
      <c r="M2902">
        <v>3</v>
      </c>
      <c r="N2902">
        <v>360.2</v>
      </c>
      <c r="O2902">
        <v>451.4</v>
      </c>
      <c r="P2902">
        <v>45.14</v>
      </c>
      <c r="Q2902">
        <v>45.14</v>
      </c>
      <c r="R2902" t="s">
        <v>30</v>
      </c>
      <c r="S2902">
        <v>29</v>
      </c>
      <c r="T2902">
        <v>1</v>
      </c>
      <c r="U2902">
        <v>6</v>
      </c>
      <c r="V2902">
        <v>406.26</v>
      </c>
      <c r="W2902">
        <v>13130002900</v>
      </c>
    </row>
    <row r="2903" spans="1:23" x14ac:dyDescent="0.2">
      <c r="A2903" s="1">
        <v>44788</v>
      </c>
      <c r="B2903" s="2">
        <v>0.4299189814814815</v>
      </c>
      <c r="C2903">
        <v>3901</v>
      </c>
      <c r="D2903">
        <v>13002561</v>
      </c>
      <c r="E2903">
        <v>13</v>
      </c>
      <c r="F2903">
        <v>22589</v>
      </c>
      <c r="G2903" t="s">
        <v>23</v>
      </c>
      <c r="H2903">
        <v>15</v>
      </c>
      <c r="I2903">
        <v>62937</v>
      </c>
      <c r="J2903" t="s">
        <v>85</v>
      </c>
      <c r="K2903" t="s">
        <v>28</v>
      </c>
      <c r="L2903" t="s">
        <v>34</v>
      </c>
      <c r="M2903">
        <v>3</v>
      </c>
      <c r="N2903">
        <v>170.4</v>
      </c>
      <c r="O2903">
        <v>236.22</v>
      </c>
      <c r="P2903">
        <v>0</v>
      </c>
      <c r="Q2903">
        <v>0</v>
      </c>
      <c r="S2903">
        <v>29</v>
      </c>
      <c r="T2903">
        <v>1</v>
      </c>
      <c r="U2903">
        <v>1</v>
      </c>
      <c r="V2903">
        <v>236.22</v>
      </c>
      <c r="W2903">
        <v>13130002901</v>
      </c>
    </row>
    <row r="2904" spans="1:23" x14ac:dyDescent="0.2">
      <c r="A2904" s="1">
        <v>44775</v>
      </c>
      <c r="B2904" s="2">
        <v>0.37770833333333331</v>
      </c>
      <c r="C2904">
        <v>3902</v>
      </c>
      <c r="D2904">
        <v>13002561</v>
      </c>
      <c r="E2904">
        <v>13</v>
      </c>
      <c r="F2904">
        <v>22589</v>
      </c>
      <c r="G2904" t="s">
        <v>23</v>
      </c>
      <c r="H2904">
        <v>15</v>
      </c>
      <c r="I2904">
        <v>61966</v>
      </c>
      <c r="J2904" t="s">
        <v>74</v>
      </c>
      <c r="K2904" t="s">
        <v>45</v>
      </c>
      <c r="L2904" t="s">
        <v>51</v>
      </c>
      <c r="M2904">
        <v>2</v>
      </c>
      <c r="N2904">
        <v>40.42</v>
      </c>
      <c r="O2904">
        <v>54.77</v>
      </c>
      <c r="P2904">
        <v>5.48</v>
      </c>
      <c r="Q2904">
        <v>5.48</v>
      </c>
      <c r="R2904" t="s">
        <v>30</v>
      </c>
      <c r="S2904">
        <v>29</v>
      </c>
      <c r="T2904">
        <v>1</v>
      </c>
      <c r="U2904">
        <v>2</v>
      </c>
      <c r="V2904">
        <v>49.29</v>
      </c>
      <c r="W2904">
        <v>13130002902</v>
      </c>
    </row>
    <row r="2905" spans="1:23" x14ac:dyDescent="0.2">
      <c r="A2905" s="1">
        <v>44783</v>
      </c>
      <c r="B2905" s="2">
        <v>0.75017361111111114</v>
      </c>
      <c r="C2905">
        <v>3903</v>
      </c>
      <c r="D2905">
        <v>13002561</v>
      </c>
      <c r="E2905">
        <v>13</v>
      </c>
      <c r="F2905">
        <v>22589</v>
      </c>
      <c r="G2905" t="s">
        <v>23</v>
      </c>
      <c r="H2905">
        <v>18</v>
      </c>
      <c r="I2905">
        <v>97298</v>
      </c>
      <c r="J2905" t="s">
        <v>89</v>
      </c>
      <c r="K2905" t="s">
        <v>28</v>
      </c>
      <c r="L2905" t="s">
        <v>29</v>
      </c>
      <c r="M2905">
        <v>1</v>
      </c>
      <c r="N2905">
        <v>400.24</v>
      </c>
      <c r="O2905">
        <v>514.24</v>
      </c>
      <c r="P2905">
        <v>51.42</v>
      </c>
      <c r="Q2905">
        <v>51.42</v>
      </c>
      <c r="R2905" t="s">
        <v>30</v>
      </c>
      <c r="S2905">
        <v>29</v>
      </c>
      <c r="T2905">
        <v>1</v>
      </c>
      <c r="U2905">
        <v>3</v>
      </c>
      <c r="V2905">
        <v>462.82</v>
      </c>
      <c r="W2905">
        <v>13130002903</v>
      </c>
    </row>
    <row r="2906" spans="1:23" x14ac:dyDescent="0.2">
      <c r="A2906" s="1">
        <v>44788</v>
      </c>
      <c r="B2906" s="2">
        <v>0.5892708333333333</v>
      </c>
      <c r="C2906">
        <v>3904</v>
      </c>
      <c r="D2906">
        <v>13002561</v>
      </c>
      <c r="E2906">
        <v>13</v>
      </c>
      <c r="F2906">
        <v>22589</v>
      </c>
      <c r="G2906" t="s">
        <v>23</v>
      </c>
      <c r="H2906">
        <v>18</v>
      </c>
      <c r="I2906">
        <v>28845</v>
      </c>
      <c r="J2906" t="s">
        <v>67</v>
      </c>
      <c r="K2906" t="s">
        <v>25</v>
      </c>
      <c r="L2906" t="s">
        <v>51</v>
      </c>
      <c r="M2906">
        <v>1</v>
      </c>
      <c r="N2906">
        <v>15.6</v>
      </c>
      <c r="O2906">
        <v>22.94</v>
      </c>
      <c r="P2906">
        <v>1.1499999999999999</v>
      </c>
      <c r="Q2906">
        <v>1.1499999999999999</v>
      </c>
      <c r="R2906" t="s">
        <v>30</v>
      </c>
      <c r="S2906">
        <v>29</v>
      </c>
      <c r="T2906">
        <v>1</v>
      </c>
      <c r="U2906">
        <v>4</v>
      </c>
      <c r="V2906">
        <v>21.79</v>
      </c>
      <c r="W2906">
        <v>13130002904</v>
      </c>
    </row>
    <row r="2907" spans="1:23" x14ac:dyDescent="0.2">
      <c r="A2907" s="1">
        <v>44788</v>
      </c>
      <c r="B2907" s="2">
        <v>0.82487268518518519</v>
      </c>
      <c r="C2907">
        <v>3905</v>
      </c>
      <c r="D2907">
        <v>13002561</v>
      </c>
      <c r="E2907">
        <v>13</v>
      </c>
      <c r="F2907">
        <v>22589</v>
      </c>
      <c r="G2907" t="s">
        <v>23</v>
      </c>
      <c r="H2907">
        <v>15</v>
      </c>
      <c r="I2907">
        <v>72462</v>
      </c>
      <c r="J2907" t="s">
        <v>109</v>
      </c>
      <c r="K2907" t="s">
        <v>60</v>
      </c>
      <c r="L2907" t="s">
        <v>39</v>
      </c>
      <c r="M2907">
        <v>1</v>
      </c>
      <c r="N2907">
        <v>293.36</v>
      </c>
      <c r="O2907">
        <v>442.43</v>
      </c>
      <c r="P2907">
        <v>0</v>
      </c>
      <c r="Q2907">
        <v>0</v>
      </c>
      <c r="S2907">
        <v>29</v>
      </c>
      <c r="T2907">
        <v>1</v>
      </c>
      <c r="U2907">
        <v>3</v>
      </c>
      <c r="V2907">
        <v>442.43</v>
      </c>
      <c r="W2907">
        <v>13130002905</v>
      </c>
    </row>
    <row r="2908" spans="1:23" x14ac:dyDescent="0.2">
      <c r="A2908" s="1">
        <v>44780</v>
      </c>
      <c r="B2908" s="2">
        <v>0.42749999999999999</v>
      </c>
      <c r="C2908">
        <v>3906</v>
      </c>
      <c r="D2908">
        <v>13002561</v>
      </c>
      <c r="E2908">
        <v>13</v>
      </c>
      <c r="F2908">
        <v>22589</v>
      </c>
      <c r="G2908" t="s">
        <v>23</v>
      </c>
      <c r="H2908">
        <v>18</v>
      </c>
      <c r="I2908">
        <v>75382</v>
      </c>
      <c r="J2908" t="s">
        <v>89</v>
      </c>
      <c r="K2908" t="s">
        <v>28</v>
      </c>
      <c r="L2908" t="s">
        <v>36</v>
      </c>
      <c r="M2908">
        <v>1</v>
      </c>
      <c r="N2908">
        <v>309.36</v>
      </c>
      <c r="O2908">
        <v>427.99</v>
      </c>
      <c r="P2908">
        <v>0</v>
      </c>
      <c r="Q2908">
        <v>0</v>
      </c>
      <c r="S2908">
        <v>29</v>
      </c>
      <c r="T2908">
        <v>1</v>
      </c>
      <c r="U2908">
        <v>1</v>
      </c>
      <c r="V2908">
        <v>427.99</v>
      </c>
      <c r="W2908">
        <v>13130002906</v>
      </c>
    </row>
    <row r="2909" spans="1:23" x14ac:dyDescent="0.2">
      <c r="A2909" s="1">
        <v>44788</v>
      </c>
      <c r="B2909" s="2">
        <v>0.34582175925925918</v>
      </c>
      <c r="C2909">
        <v>3907</v>
      </c>
      <c r="D2909">
        <v>13002561</v>
      </c>
      <c r="E2909">
        <v>13</v>
      </c>
      <c r="F2909">
        <v>22589</v>
      </c>
      <c r="G2909" t="s">
        <v>23</v>
      </c>
      <c r="H2909">
        <v>18</v>
      </c>
      <c r="I2909">
        <v>65404</v>
      </c>
      <c r="J2909" t="s">
        <v>67</v>
      </c>
      <c r="K2909" t="s">
        <v>44</v>
      </c>
      <c r="L2909" t="s">
        <v>29</v>
      </c>
      <c r="M2909">
        <v>2</v>
      </c>
      <c r="N2909">
        <v>95.83</v>
      </c>
      <c r="O2909">
        <v>143.97</v>
      </c>
      <c r="P2909">
        <v>14.4</v>
      </c>
      <c r="Q2909">
        <v>14.4</v>
      </c>
      <c r="R2909" t="s">
        <v>30</v>
      </c>
      <c r="S2909">
        <v>29</v>
      </c>
      <c r="T2909">
        <v>1</v>
      </c>
      <c r="U2909">
        <v>6</v>
      </c>
      <c r="V2909">
        <v>129.57</v>
      </c>
      <c r="W2909">
        <v>13130002907</v>
      </c>
    </row>
    <row r="2910" spans="1:23" x14ac:dyDescent="0.2">
      <c r="A2910" s="1">
        <v>44775</v>
      </c>
      <c r="B2910" s="2">
        <v>0.73747685185185186</v>
      </c>
      <c r="C2910">
        <v>3908</v>
      </c>
      <c r="D2910">
        <v>13002561</v>
      </c>
      <c r="E2910">
        <v>13</v>
      </c>
      <c r="F2910">
        <v>22589</v>
      </c>
      <c r="G2910" t="s">
        <v>23</v>
      </c>
      <c r="H2910">
        <v>18</v>
      </c>
      <c r="I2910">
        <v>54567</v>
      </c>
      <c r="J2910" t="s">
        <v>77</v>
      </c>
      <c r="K2910" t="s">
        <v>60</v>
      </c>
      <c r="L2910" t="s">
        <v>29</v>
      </c>
      <c r="M2910">
        <v>2</v>
      </c>
      <c r="N2910">
        <v>175.83</v>
      </c>
      <c r="O2910">
        <v>272.58</v>
      </c>
      <c r="P2910">
        <v>13.63</v>
      </c>
      <c r="Q2910">
        <v>13.63</v>
      </c>
      <c r="R2910" t="s">
        <v>30</v>
      </c>
      <c r="S2910">
        <v>29</v>
      </c>
      <c r="T2910">
        <v>1</v>
      </c>
      <c r="U2910">
        <v>1</v>
      </c>
      <c r="V2910">
        <v>258.95</v>
      </c>
      <c r="W2910">
        <v>13130002908</v>
      </c>
    </row>
    <row r="2911" spans="1:23" x14ac:dyDescent="0.2">
      <c r="A2911" s="1">
        <v>44792</v>
      </c>
      <c r="B2911" s="2">
        <v>0.39089120370370373</v>
      </c>
      <c r="C2911">
        <v>3909</v>
      </c>
      <c r="D2911">
        <v>13002561</v>
      </c>
      <c r="E2911">
        <v>13</v>
      </c>
      <c r="F2911">
        <v>22589</v>
      </c>
      <c r="G2911" t="s">
        <v>23</v>
      </c>
      <c r="H2911">
        <v>15</v>
      </c>
      <c r="I2911">
        <v>76480</v>
      </c>
      <c r="J2911" t="s">
        <v>94</v>
      </c>
      <c r="K2911" t="s">
        <v>25</v>
      </c>
      <c r="L2911" t="s">
        <v>34</v>
      </c>
      <c r="M2911">
        <v>2</v>
      </c>
      <c r="N2911">
        <v>546.35</v>
      </c>
      <c r="O2911">
        <v>855.78</v>
      </c>
      <c r="P2911">
        <v>0</v>
      </c>
      <c r="Q2911">
        <v>0</v>
      </c>
      <c r="S2911">
        <v>29</v>
      </c>
      <c r="T2911">
        <v>1</v>
      </c>
      <c r="U2911">
        <v>4</v>
      </c>
      <c r="V2911">
        <v>855.78</v>
      </c>
      <c r="W2911">
        <v>13130002909</v>
      </c>
    </row>
    <row r="2912" spans="1:23" x14ac:dyDescent="0.2">
      <c r="A2912" s="1">
        <v>44784</v>
      </c>
      <c r="B2912" s="2">
        <v>0.85177083333333337</v>
      </c>
      <c r="C2912">
        <v>3910</v>
      </c>
      <c r="D2912">
        <v>13002561</v>
      </c>
      <c r="E2912">
        <v>13</v>
      </c>
      <c r="F2912">
        <v>22589</v>
      </c>
      <c r="G2912" t="s">
        <v>23</v>
      </c>
      <c r="H2912">
        <v>15</v>
      </c>
      <c r="I2912">
        <v>25761</v>
      </c>
      <c r="J2912" t="s">
        <v>59</v>
      </c>
      <c r="K2912" t="s">
        <v>60</v>
      </c>
      <c r="L2912" t="s">
        <v>51</v>
      </c>
      <c r="M2912">
        <v>3</v>
      </c>
      <c r="N2912">
        <v>136.74</v>
      </c>
      <c r="O2912">
        <v>184.81</v>
      </c>
      <c r="P2912">
        <v>9.24</v>
      </c>
      <c r="Q2912">
        <v>9.24</v>
      </c>
      <c r="R2912" t="s">
        <v>30</v>
      </c>
      <c r="S2912">
        <v>29</v>
      </c>
      <c r="T2912">
        <v>1</v>
      </c>
      <c r="U2912">
        <v>3</v>
      </c>
      <c r="V2912">
        <v>175.57</v>
      </c>
      <c r="W2912">
        <v>13130002910</v>
      </c>
    </row>
    <row r="2913" spans="1:23" x14ac:dyDescent="0.2">
      <c r="A2913" s="1">
        <v>44795</v>
      </c>
      <c r="B2913" s="2">
        <v>0.54766203703703709</v>
      </c>
      <c r="C2913">
        <v>3911</v>
      </c>
      <c r="D2913">
        <v>13002561</v>
      </c>
      <c r="E2913">
        <v>13</v>
      </c>
      <c r="F2913">
        <v>22589</v>
      </c>
      <c r="G2913" t="s">
        <v>23</v>
      </c>
      <c r="H2913">
        <v>18</v>
      </c>
      <c r="I2913">
        <v>47189</v>
      </c>
      <c r="J2913" t="s">
        <v>83</v>
      </c>
      <c r="K2913" t="s">
        <v>45</v>
      </c>
      <c r="L2913" t="s">
        <v>36</v>
      </c>
      <c r="M2913">
        <v>3</v>
      </c>
      <c r="N2913">
        <v>450.46</v>
      </c>
      <c r="O2913">
        <v>705.56</v>
      </c>
      <c r="P2913">
        <v>70.56</v>
      </c>
      <c r="Q2913">
        <v>70.56</v>
      </c>
      <c r="R2913" t="s">
        <v>30</v>
      </c>
      <c r="S2913">
        <v>29</v>
      </c>
      <c r="T2913">
        <v>1</v>
      </c>
      <c r="U2913">
        <v>2</v>
      </c>
      <c r="V2913">
        <v>635</v>
      </c>
      <c r="W2913">
        <v>13130002911</v>
      </c>
    </row>
    <row r="2914" spans="1:23" x14ac:dyDescent="0.2">
      <c r="A2914" s="1">
        <v>44801</v>
      </c>
      <c r="B2914" s="2">
        <v>0.57516203703703705</v>
      </c>
      <c r="C2914">
        <v>3912</v>
      </c>
      <c r="D2914">
        <v>13002561</v>
      </c>
      <c r="E2914">
        <v>13</v>
      </c>
      <c r="F2914">
        <v>22589</v>
      </c>
      <c r="G2914" t="s">
        <v>23</v>
      </c>
      <c r="H2914">
        <v>18</v>
      </c>
      <c r="I2914">
        <v>19939</v>
      </c>
      <c r="J2914" t="s">
        <v>67</v>
      </c>
      <c r="K2914" t="s">
        <v>45</v>
      </c>
      <c r="L2914" t="s">
        <v>26</v>
      </c>
      <c r="M2914">
        <v>2</v>
      </c>
      <c r="N2914">
        <v>432.39</v>
      </c>
      <c r="O2914">
        <v>541.83000000000004</v>
      </c>
      <c r="P2914">
        <v>54.18</v>
      </c>
      <c r="Q2914">
        <v>54.18</v>
      </c>
      <c r="R2914" t="s">
        <v>30</v>
      </c>
      <c r="S2914">
        <v>29</v>
      </c>
      <c r="T2914">
        <v>1</v>
      </c>
      <c r="U2914">
        <v>6</v>
      </c>
      <c r="V2914">
        <v>487.65</v>
      </c>
      <c r="W2914">
        <v>13130002912</v>
      </c>
    </row>
    <row r="2915" spans="1:23" x14ac:dyDescent="0.2">
      <c r="A2915" s="1">
        <v>44781</v>
      </c>
      <c r="B2915" s="2">
        <v>0.47567129629629629</v>
      </c>
      <c r="C2915">
        <v>3913</v>
      </c>
      <c r="D2915">
        <v>13002561</v>
      </c>
      <c r="E2915">
        <v>13</v>
      </c>
      <c r="F2915">
        <v>22589</v>
      </c>
      <c r="G2915" t="s">
        <v>23</v>
      </c>
      <c r="H2915">
        <v>15</v>
      </c>
      <c r="I2915">
        <v>28501</v>
      </c>
      <c r="J2915" t="s">
        <v>126</v>
      </c>
      <c r="K2915" t="s">
        <v>28</v>
      </c>
      <c r="L2915" t="s">
        <v>51</v>
      </c>
      <c r="M2915">
        <v>1</v>
      </c>
      <c r="N2915">
        <v>139.21</v>
      </c>
      <c r="O2915">
        <v>221.85</v>
      </c>
      <c r="P2915">
        <v>11.09</v>
      </c>
      <c r="Q2915">
        <v>11.09</v>
      </c>
      <c r="R2915" t="s">
        <v>30</v>
      </c>
      <c r="S2915">
        <v>29</v>
      </c>
      <c r="T2915">
        <v>1</v>
      </c>
      <c r="U2915">
        <v>4</v>
      </c>
      <c r="V2915">
        <v>210.76</v>
      </c>
      <c r="W2915">
        <v>13130002913</v>
      </c>
    </row>
    <row r="2916" spans="1:23" x14ac:dyDescent="0.2">
      <c r="A2916" s="1">
        <v>44776</v>
      </c>
      <c r="B2916" s="2">
        <v>0.67483796296296295</v>
      </c>
      <c r="C2916">
        <v>3914</v>
      </c>
      <c r="D2916">
        <v>13002561</v>
      </c>
      <c r="E2916">
        <v>13</v>
      </c>
      <c r="F2916">
        <v>22589</v>
      </c>
      <c r="G2916" t="s">
        <v>23</v>
      </c>
      <c r="H2916">
        <v>15</v>
      </c>
      <c r="I2916">
        <v>85607</v>
      </c>
      <c r="J2916" t="s">
        <v>71</v>
      </c>
      <c r="K2916" t="s">
        <v>25</v>
      </c>
      <c r="L2916" t="s">
        <v>39</v>
      </c>
      <c r="M2916">
        <v>3</v>
      </c>
      <c r="N2916">
        <v>551.25</v>
      </c>
      <c r="O2916">
        <v>748.19</v>
      </c>
      <c r="P2916">
        <v>74.819999999999993</v>
      </c>
      <c r="Q2916">
        <v>74.819999999999993</v>
      </c>
      <c r="R2916" t="s">
        <v>30</v>
      </c>
      <c r="S2916">
        <v>29</v>
      </c>
      <c r="T2916">
        <v>1</v>
      </c>
      <c r="U2916">
        <v>6</v>
      </c>
      <c r="V2916">
        <v>673.37</v>
      </c>
      <c r="W2916">
        <v>13130002914</v>
      </c>
    </row>
    <row r="2917" spans="1:23" x14ac:dyDescent="0.2">
      <c r="A2917" s="1">
        <v>44788</v>
      </c>
      <c r="B2917" s="2">
        <v>0.78285879629629629</v>
      </c>
      <c r="C2917">
        <v>3915</v>
      </c>
      <c r="D2917">
        <v>13002561</v>
      </c>
      <c r="E2917">
        <v>13</v>
      </c>
      <c r="F2917">
        <v>22589</v>
      </c>
      <c r="G2917" t="s">
        <v>23</v>
      </c>
      <c r="H2917">
        <v>15</v>
      </c>
      <c r="I2917">
        <v>76849</v>
      </c>
      <c r="J2917" t="s">
        <v>64</v>
      </c>
      <c r="K2917" t="s">
        <v>38</v>
      </c>
      <c r="L2917" t="s">
        <v>47</v>
      </c>
      <c r="M2917">
        <v>3</v>
      </c>
      <c r="N2917">
        <v>178.01</v>
      </c>
      <c r="O2917">
        <v>256.32</v>
      </c>
      <c r="P2917">
        <v>12.82</v>
      </c>
      <c r="Q2917">
        <v>12.82</v>
      </c>
      <c r="R2917" t="s">
        <v>30</v>
      </c>
      <c r="S2917">
        <v>29</v>
      </c>
      <c r="T2917">
        <v>1</v>
      </c>
      <c r="U2917">
        <v>3</v>
      </c>
      <c r="V2917">
        <v>243.5</v>
      </c>
      <c r="W2917">
        <v>13130002915</v>
      </c>
    </row>
    <row r="2918" spans="1:23" x14ac:dyDescent="0.2">
      <c r="A2918" s="1">
        <v>44801</v>
      </c>
      <c r="B2918" s="2">
        <v>0.87769675925925927</v>
      </c>
      <c r="C2918">
        <v>3916</v>
      </c>
      <c r="D2918">
        <v>13002561</v>
      </c>
      <c r="E2918">
        <v>13</v>
      </c>
      <c r="F2918">
        <v>22589</v>
      </c>
      <c r="G2918" t="s">
        <v>23</v>
      </c>
      <c r="H2918">
        <v>15</v>
      </c>
      <c r="I2918">
        <v>38872</v>
      </c>
      <c r="J2918" t="s">
        <v>48</v>
      </c>
      <c r="K2918" t="s">
        <v>60</v>
      </c>
      <c r="L2918" t="s">
        <v>39</v>
      </c>
      <c r="M2918">
        <v>2</v>
      </c>
      <c r="N2918">
        <v>392.91</v>
      </c>
      <c r="O2918">
        <v>638.67999999999995</v>
      </c>
      <c r="P2918">
        <v>0</v>
      </c>
      <c r="Q2918">
        <v>0</v>
      </c>
      <c r="S2918">
        <v>29</v>
      </c>
      <c r="T2918">
        <v>1</v>
      </c>
      <c r="U2918">
        <v>1</v>
      </c>
      <c r="V2918">
        <v>638.67999999999995</v>
      </c>
      <c r="W2918">
        <v>13130002916</v>
      </c>
    </row>
    <row r="2919" spans="1:23" x14ac:dyDescent="0.2">
      <c r="A2919" s="1">
        <v>44788</v>
      </c>
      <c r="B2919" s="2">
        <v>0.91894675925925928</v>
      </c>
      <c r="C2919">
        <v>3917</v>
      </c>
      <c r="D2919">
        <v>13002561</v>
      </c>
      <c r="E2919">
        <v>13</v>
      </c>
      <c r="F2919">
        <v>22589</v>
      </c>
      <c r="G2919" t="s">
        <v>23</v>
      </c>
      <c r="H2919">
        <v>15</v>
      </c>
      <c r="I2919">
        <v>46423</v>
      </c>
      <c r="J2919" t="s">
        <v>102</v>
      </c>
      <c r="K2919" t="s">
        <v>45</v>
      </c>
      <c r="L2919" t="s">
        <v>36</v>
      </c>
      <c r="M2919">
        <v>3</v>
      </c>
      <c r="N2919">
        <v>62.86</v>
      </c>
      <c r="O2919">
        <v>87.98</v>
      </c>
      <c r="P2919">
        <v>0</v>
      </c>
      <c r="Q2919">
        <v>0</v>
      </c>
      <c r="S2919">
        <v>29</v>
      </c>
      <c r="T2919">
        <v>1</v>
      </c>
      <c r="U2919">
        <v>2</v>
      </c>
      <c r="V2919">
        <v>87.98</v>
      </c>
      <c r="W2919">
        <v>13130002917</v>
      </c>
    </row>
    <row r="2920" spans="1:23" x14ac:dyDescent="0.2">
      <c r="A2920" s="1">
        <v>44796</v>
      </c>
      <c r="B2920" s="2">
        <v>0.33660879629629631</v>
      </c>
      <c r="C2920">
        <v>3918</v>
      </c>
      <c r="D2920">
        <v>13002561</v>
      </c>
      <c r="E2920">
        <v>13</v>
      </c>
      <c r="F2920">
        <v>22589</v>
      </c>
      <c r="G2920" t="s">
        <v>23</v>
      </c>
      <c r="H2920">
        <v>18</v>
      </c>
      <c r="I2920">
        <v>24136</v>
      </c>
      <c r="J2920" t="s">
        <v>72</v>
      </c>
      <c r="K2920" t="s">
        <v>60</v>
      </c>
      <c r="L2920" t="s">
        <v>26</v>
      </c>
      <c r="M2920">
        <v>2</v>
      </c>
      <c r="N2920">
        <v>495.04</v>
      </c>
      <c r="O2920">
        <v>727.91</v>
      </c>
      <c r="P2920">
        <v>72.790000000000006</v>
      </c>
      <c r="Q2920">
        <v>72.790000000000006</v>
      </c>
      <c r="R2920" t="s">
        <v>30</v>
      </c>
      <c r="S2920">
        <v>29</v>
      </c>
      <c r="T2920">
        <v>1</v>
      </c>
      <c r="U2920">
        <v>1</v>
      </c>
      <c r="V2920">
        <v>655.12</v>
      </c>
      <c r="W2920">
        <v>13130002918</v>
      </c>
    </row>
    <row r="2921" spans="1:23" x14ac:dyDescent="0.2">
      <c r="A2921" s="1">
        <v>44795</v>
      </c>
      <c r="B2921" s="2">
        <v>0.49869212962962961</v>
      </c>
      <c r="C2921">
        <v>3919</v>
      </c>
      <c r="D2921">
        <v>13002561</v>
      </c>
      <c r="E2921">
        <v>13</v>
      </c>
      <c r="F2921">
        <v>22589</v>
      </c>
      <c r="G2921" t="s">
        <v>23</v>
      </c>
      <c r="H2921">
        <v>15</v>
      </c>
      <c r="I2921">
        <v>76818</v>
      </c>
      <c r="J2921" t="s">
        <v>107</v>
      </c>
      <c r="K2921" t="s">
        <v>44</v>
      </c>
      <c r="L2921" t="s">
        <v>34</v>
      </c>
      <c r="M2921">
        <v>1</v>
      </c>
      <c r="N2921">
        <v>267.51</v>
      </c>
      <c r="O2921">
        <v>344.55</v>
      </c>
      <c r="P2921">
        <v>17.23</v>
      </c>
      <c r="Q2921">
        <v>17.23</v>
      </c>
      <c r="R2921" t="s">
        <v>30</v>
      </c>
      <c r="S2921">
        <v>29</v>
      </c>
      <c r="T2921">
        <v>1</v>
      </c>
      <c r="U2921">
        <v>1</v>
      </c>
      <c r="V2921">
        <v>327.32</v>
      </c>
      <c r="W2921">
        <v>13130002919</v>
      </c>
    </row>
    <row r="2922" spans="1:23" x14ac:dyDescent="0.2">
      <c r="A2922" s="1">
        <v>44803</v>
      </c>
      <c r="B2922" s="2">
        <v>0.67215277777777782</v>
      </c>
      <c r="C2922">
        <v>3920</v>
      </c>
      <c r="D2922">
        <v>13002561</v>
      </c>
      <c r="E2922">
        <v>13</v>
      </c>
      <c r="F2922">
        <v>22589</v>
      </c>
      <c r="G2922" t="s">
        <v>23</v>
      </c>
      <c r="H2922">
        <v>15</v>
      </c>
      <c r="I2922">
        <v>64668</v>
      </c>
      <c r="J2922" t="s">
        <v>79</v>
      </c>
      <c r="K2922" t="s">
        <v>28</v>
      </c>
      <c r="L2922" t="s">
        <v>47</v>
      </c>
      <c r="M2922">
        <v>2</v>
      </c>
      <c r="N2922">
        <v>217.46</v>
      </c>
      <c r="O2922">
        <v>317.27</v>
      </c>
      <c r="P2922">
        <v>31.73</v>
      </c>
      <c r="Q2922">
        <v>31.73</v>
      </c>
      <c r="R2922" t="s">
        <v>30</v>
      </c>
      <c r="S2922">
        <v>29</v>
      </c>
      <c r="T2922">
        <v>1</v>
      </c>
      <c r="U2922">
        <v>6</v>
      </c>
      <c r="V2922">
        <v>285.54000000000002</v>
      </c>
      <c r="W2922">
        <v>13130002920</v>
      </c>
    </row>
    <row r="2923" spans="1:23" x14ac:dyDescent="0.2">
      <c r="A2923" s="1">
        <v>44775</v>
      </c>
      <c r="B2923" s="2">
        <v>0.70984953703703701</v>
      </c>
      <c r="C2923">
        <v>3921</v>
      </c>
      <c r="D2923">
        <v>13002561</v>
      </c>
      <c r="E2923">
        <v>13</v>
      </c>
      <c r="F2923">
        <v>22589</v>
      </c>
      <c r="G2923" t="s">
        <v>23</v>
      </c>
      <c r="H2923">
        <v>18</v>
      </c>
      <c r="I2923">
        <v>39178</v>
      </c>
      <c r="J2923" t="s">
        <v>68</v>
      </c>
      <c r="K2923" t="s">
        <v>25</v>
      </c>
      <c r="L2923" t="s">
        <v>34</v>
      </c>
      <c r="M2923">
        <v>2</v>
      </c>
      <c r="N2923">
        <v>342.52</v>
      </c>
      <c r="O2923">
        <v>489.09</v>
      </c>
      <c r="P2923">
        <v>0</v>
      </c>
      <c r="Q2923">
        <v>0</v>
      </c>
      <c r="S2923">
        <v>29</v>
      </c>
      <c r="T2923">
        <v>1</v>
      </c>
      <c r="U2923">
        <v>3</v>
      </c>
      <c r="V2923">
        <v>489.09</v>
      </c>
      <c r="W2923">
        <v>13130002921</v>
      </c>
    </row>
    <row r="2924" spans="1:23" x14ac:dyDescent="0.2">
      <c r="A2924" s="1">
        <v>44797</v>
      </c>
      <c r="B2924" s="2">
        <v>0.56526620370370373</v>
      </c>
      <c r="C2924">
        <v>3922</v>
      </c>
      <c r="D2924">
        <v>13002561</v>
      </c>
      <c r="E2924">
        <v>13</v>
      </c>
      <c r="F2924">
        <v>22589</v>
      </c>
      <c r="G2924" t="s">
        <v>23</v>
      </c>
      <c r="H2924">
        <v>15</v>
      </c>
      <c r="I2924">
        <v>66688</v>
      </c>
      <c r="J2924" t="s">
        <v>125</v>
      </c>
      <c r="K2924" t="s">
        <v>25</v>
      </c>
      <c r="L2924" t="s">
        <v>34</v>
      </c>
      <c r="M2924">
        <v>1</v>
      </c>
      <c r="N2924">
        <v>454.12</v>
      </c>
      <c r="O2924">
        <v>707.25</v>
      </c>
      <c r="P2924">
        <v>0</v>
      </c>
      <c r="Q2924">
        <v>0</v>
      </c>
      <c r="S2924">
        <v>29</v>
      </c>
      <c r="T2924">
        <v>1</v>
      </c>
      <c r="U2924">
        <v>4</v>
      </c>
      <c r="V2924">
        <v>707.25</v>
      </c>
      <c r="W2924">
        <v>13130002922</v>
      </c>
    </row>
    <row r="2925" spans="1:23" x14ac:dyDescent="0.2">
      <c r="A2925" s="1">
        <v>44776</v>
      </c>
      <c r="B2925" s="2">
        <v>0.71399305555555559</v>
      </c>
      <c r="C2925">
        <v>3923</v>
      </c>
      <c r="D2925">
        <v>13002561</v>
      </c>
      <c r="E2925">
        <v>13</v>
      </c>
      <c r="F2925">
        <v>22589</v>
      </c>
      <c r="G2925" t="s">
        <v>23</v>
      </c>
      <c r="H2925">
        <v>15</v>
      </c>
      <c r="I2925">
        <v>75243</v>
      </c>
      <c r="J2925" t="s">
        <v>123</v>
      </c>
      <c r="K2925" t="s">
        <v>28</v>
      </c>
      <c r="L2925" t="s">
        <v>36</v>
      </c>
      <c r="M2925">
        <v>3</v>
      </c>
      <c r="N2925">
        <v>39.83</v>
      </c>
      <c r="O2925">
        <v>55.62</v>
      </c>
      <c r="P2925">
        <v>0</v>
      </c>
      <c r="Q2925">
        <v>0</v>
      </c>
      <c r="S2925">
        <v>29</v>
      </c>
      <c r="T2925">
        <v>1</v>
      </c>
      <c r="U2925">
        <v>3</v>
      </c>
      <c r="V2925">
        <v>55.62</v>
      </c>
      <c r="W2925">
        <v>13130002923</v>
      </c>
    </row>
    <row r="2926" spans="1:23" x14ac:dyDescent="0.2">
      <c r="A2926" s="1">
        <v>44793</v>
      </c>
      <c r="B2926" s="2">
        <v>0.54613425925925929</v>
      </c>
      <c r="C2926">
        <v>3924</v>
      </c>
      <c r="D2926">
        <v>13002561</v>
      </c>
      <c r="E2926">
        <v>13</v>
      </c>
      <c r="F2926">
        <v>22589</v>
      </c>
      <c r="G2926" t="s">
        <v>23</v>
      </c>
      <c r="H2926">
        <v>15</v>
      </c>
      <c r="I2926">
        <v>58534</v>
      </c>
      <c r="J2926" t="s">
        <v>78</v>
      </c>
      <c r="K2926" t="s">
        <v>28</v>
      </c>
      <c r="L2926" t="s">
        <v>29</v>
      </c>
      <c r="M2926">
        <v>2</v>
      </c>
      <c r="N2926">
        <v>38.89</v>
      </c>
      <c r="O2926">
        <v>53.44</v>
      </c>
      <c r="P2926">
        <v>0</v>
      </c>
      <c r="Q2926">
        <v>0</v>
      </c>
      <c r="S2926">
        <v>29</v>
      </c>
      <c r="T2926">
        <v>1</v>
      </c>
      <c r="U2926">
        <v>4</v>
      </c>
      <c r="V2926">
        <v>53.44</v>
      </c>
      <c r="W2926">
        <v>13130002924</v>
      </c>
    </row>
    <row r="2927" spans="1:23" x14ac:dyDescent="0.2">
      <c r="A2927" s="1">
        <v>44774</v>
      </c>
      <c r="B2927" s="2">
        <v>0.60609953703703701</v>
      </c>
      <c r="C2927">
        <v>3925</v>
      </c>
      <c r="D2927">
        <v>13002561</v>
      </c>
      <c r="E2927">
        <v>13</v>
      </c>
      <c r="F2927">
        <v>22589</v>
      </c>
      <c r="G2927" t="s">
        <v>23</v>
      </c>
      <c r="H2927">
        <v>18</v>
      </c>
      <c r="I2927">
        <v>92142</v>
      </c>
      <c r="J2927" t="s">
        <v>98</v>
      </c>
      <c r="K2927" t="s">
        <v>60</v>
      </c>
      <c r="L2927" t="s">
        <v>47</v>
      </c>
      <c r="M2927">
        <v>3</v>
      </c>
      <c r="N2927">
        <v>392.67</v>
      </c>
      <c r="O2927">
        <v>622.99</v>
      </c>
      <c r="P2927">
        <v>31.15</v>
      </c>
      <c r="Q2927">
        <v>31.15</v>
      </c>
      <c r="R2927" t="s">
        <v>30</v>
      </c>
      <c r="S2927">
        <v>29</v>
      </c>
      <c r="T2927">
        <v>1</v>
      </c>
      <c r="U2927">
        <v>4</v>
      </c>
      <c r="V2927">
        <v>591.84</v>
      </c>
      <c r="W2927">
        <v>13130002925</v>
      </c>
    </row>
    <row r="2928" spans="1:23" x14ac:dyDescent="0.2">
      <c r="A2928" s="1">
        <v>44791</v>
      </c>
      <c r="B2928" s="2">
        <v>0.47601851851851851</v>
      </c>
      <c r="C2928">
        <v>3926</v>
      </c>
      <c r="D2928">
        <v>13002561</v>
      </c>
      <c r="E2928">
        <v>13</v>
      </c>
      <c r="F2928">
        <v>22589</v>
      </c>
      <c r="G2928" t="s">
        <v>23</v>
      </c>
      <c r="H2928">
        <v>15</v>
      </c>
      <c r="I2928">
        <v>52472</v>
      </c>
      <c r="J2928" t="s">
        <v>107</v>
      </c>
      <c r="K2928" t="s">
        <v>45</v>
      </c>
      <c r="L2928" t="s">
        <v>36</v>
      </c>
      <c r="M2928">
        <v>2</v>
      </c>
      <c r="N2928">
        <v>322.56</v>
      </c>
      <c r="O2928">
        <v>492.15</v>
      </c>
      <c r="P2928">
        <v>0</v>
      </c>
      <c r="Q2928">
        <v>0</v>
      </c>
      <c r="S2928">
        <v>29</v>
      </c>
      <c r="T2928">
        <v>1</v>
      </c>
      <c r="U2928">
        <v>6</v>
      </c>
      <c r="V2928">
        <v>492.15</v>
      </c>
      <c r="W2928">
        <v>13130002926</v>
      </c>
    </row>
    <row r="2929" spans="1:23" x14ac:dyDescent="0.2">
      <c r="A2929" s="1">
        <v>44802</v>
      </c>
      <c r="B2929" s="2">
        <v>0.6479166666666667</v>
      </c>
      <c r="C2929">
        <v>3927</v>
      </c>
      <c r="D2929">
        <v>13002561</v>
      </c>
      <c r="E2929">
        <v>13</v>
      </c>
      <c r="F2929">
        <v>22589</v>
      </c>
      <c r="G2929" t="s">
        <v>23</v>
      </c>
      <c r="H2929">
        <v>18</v>
      </c>
      <c r="I2929">
        <v>10300</v>
      </c>
      <c r="J2929" t="s">
        <v>72</v>
      </c>
      <c r="K2929" t="s">
        <v>38</v>
      </c>
      <c r="L2929" t="s">
        <v>32</v>
      </c>
      <c r="M2929">
        <v>1</v>
      </c>
      <c r="N2929">
        <v>571.29</v>
      </c>
      <c r="O2929">
        <v>800.32</v>
      </c>
      <c r="P2929">
        <v>40.020000000000003</v>
      </c>
      <c r="Q2929">
        <v>40.020000000000003</v>
      </c>
      <c r="R2929" t="s">
        <v>30</v>
      </c>
      <c r="S2929">
        <v>29</v>
      </c>
      <c r="T2929">
        <v>1</v>
      </c>
      <c r="U2929">
        <v>6</v>
      </c>
      <c r="V2929">
        <v>760.3</v>
      </c>
      <c r="W2929">
        <v>13130002927</v>
      </c>
    </row>
    <row r="2930" spans="1:23" x14ac:dyDescent="0.2">
      <c r="A2930" s="1">
        <v>44791</v>
      </c>
      <c r="B2930" s="2">
        <v>0.91281250000000003</v>
      </c>
      <c r="C2930">
        <v>3928</v>
      </c>
      <c r="D2930">
        <v>13002561</v>
      </c>
      <c r="E2930">
        <v>13</v>
      </c>
      <c r="F2930">
        <v>22589</v>
      </c>
      <c r="G2930" t="s">
        <v>23</v>
      </c>
      <c r="H2930">
        <v>18</v>
      </c>
      <c r="I2930">
        <v>24683</v>
      </c>
      <c r="J2930" t="s">
        <v>31</v>
      </c>
      <c r="K2930" t="s">
        <v>45</v>
      </c>
      <c r="L2930" t="s">
        <v>36</v>
      </c>
      <c r="M2930">
        <v>3</v>
      </c>
      <c r="N2930">
        <v>15.26</v>
      </c>
      <c r="O2930">
        <v>20.100000000000001</v>
      </c>
      <c r="P2930">
        <v>1.01</v>
      </c>
      <c r="Q2930">
        <v>1.01</v>
      </c>
      <c r="R2930" t="s">
        <v>30</v>
      </c>
      <c r="S2930">
        <v>29</v>
      </c>
      <c r="T2930">
        <v>1</v>
      </c>
      <c r="U2930">
        <v>3</v>
      </c>
      <c r="V2930">
        <v>19.09</v>
      </c>
      <c r="W2930">
        <v>13130002928</v>
      </c>
    </row>
    <row r="2931" spans="1:23" x14ac:dyDescent="0.2">
      <c r="A2931" s="1">
        <v>44781</v>
      </c>
      <c r="B2931" s="2">
        <v>0.59886574074074073</v>
      </c>
      <c r="C2931">
        <v>3929</v>
      </c>
      <c r="D2931">
        <v>13002561</v>
      </c>
      <c r="E2931">
        <v>13</v>
      </c>
      <c r="F2931">
        <v>22589</v>
      </c>
      <c r="G2931" t="s">
        <v>23</v>
      </c>
      <c r="H2931">
        <v>18</v>
      </c>
      <c r="I2931">
        <v>16405</v>
      </c>
      <c r="J2931" t="s">
        <v>85</v>
      </c>
      <c r="K2931" t="s">
        <v>38</v>
      </c>
      <c r="L2931" t="s">
        <v>34</v>
      </c>
      <c r="M2931">
        <v>1</v>
      </c>
      <c r="N2931">
        <v>20.83</v>
      </c>
      <c r="O2931">
        <v>26.26</v>
      </c>
      <c r="P2931">
        <v>1.31</v>
      </c>
      <c r="Q2931">
        <v>1.31</v>
      </c>
      <c r="R2931" t="s">
        <v>30</v>
      </c>
      <c r="S2931">
        <v>29</v>
      </c>
      <c r="T2931">
        <v>1</v>
      </c>
      <c r="U2931">
        <v>6</v>
      </c>
      <c r="V2931">
        <v>24.95</v>
      </c>
      <c r="W2931">
        <v>13130002929</v>
      </c>
    </row>
    <row r="2932" spans="1:23" x14ac:dyDescent="0.2">
      <c r="A2932" s="1">
        <v>44784</v>
      </c>
      <c r="B2932" s="2">
        <v>0.6540393518518518</v>
      </c>
      <c r="C2932">
        <v>3930</v>
      </c>
      <c r="D2932">
        <v>13002561</v>
      </c>
      <c r="E2932">
        <v>13</v>
      </c>
      <c r="F2932">
        <v>22589</v>
      </c>
      <c r="G2932" t="s">
        <v>23</v>
      </c>
      <c r="H2932">
        <v>18</v>
      </c>
      <c r="I2932">
        <v>73761</v>
      </c>
      <c r="J2932" t="s">
        <v>77</v>
      </c>
      <c r="K2932" t="s">
        <v>25</v>
      </c>
      <c r="L2932" t="s">
        <v>26</v>
      </c>
      <c r="M2932">
        <v>2</v>
      </c>
      <c r="N2932">
        <v>408.54</v>
      </c>
      <c r="O2932">
        <v>612.48</v>
      </c>
      <c r="P2932">
        <v>0</v>
      </c>
      <c r="Q2932">
        <v>0</v>
      </c>
      <c r="S2932">
        <v>29</v>
      </c>
      <c r="T2932">
        <v>1</v>
      </c>
      <c r="U2932">
        <v>5</v>
      </c>
      <c r="V2932">
        <v>612.48</v>
      </c>
      <c r="W2932">
        <v>13130002930</v>
      </c>
    </row>
    <row r="2933" spans="1:23" x14ac:dyDescent="0.2">
      <c r="A2933" s="1">
        <v>44783</v>
      </c>
      <c r="B2933" s="2">
        <v>0.54451388888888885</v>
      </c>
      <c r="C2933">
        <v>3931</v>
      </c>
      <c r="D2933">
        <v>13002561</v>
      </c>
      <c r="E2933">
        <v>13</v>
      </c>
      <c r="F2933">
        <v>22589</v>
      </c>
      <c r="G2933" t="s">
        <v>23</v>
      </c>
      <c r="H2933">
        <v>15</v>
      </c>
      <c r="I2933">
        <v>16753</v>
      </c>
      <c r="J2933" t="s">
        <v>37</v>
      </c>
      <c r="K2933" t="s">
        <v>44</v>
      </c>
      <c r="L2933" t="s">
        <v>51</v>
      </c>
      <c r="M2933">
        <v>3</v>
      </c>
      <c r="N2933">
        <v>79.13</v>
      </c>
      <c r="O2933">
        <v>130.19999999999999</v>
      </c>
      <c r="P2933">
        <v>13.02</v>
      </c>
      <c r="Q2933">
        <v>13.02</v>
      </c>
      <c r="R2933" t="s">
        <v>30</v>
      </c>
      <c r="S2933">
        <v>29</v>
      </c>
      <c r="T2933">
        <v>1</v>
      </c>
      <c r="U2933">
        <v>6</v>
      </c>
      <c r="V2933">
        <v>117.18</v>
      </c>
      <c r="W2933">
        <v>13130002931</v>
      </c>
    </row>
    <row r="2934" spans="1:23" x14ac:dyDescent="0.2">
      <c r="A2934" s="1">
        <v>44796</v>
      </c>
      <c r="B2934" s="2">
        <v>0.92546296296296293</v>
      </c>
      <c r="C2934">
        <v>3932</v>
      </c>
      <c r="D2934">
        <v>13002561</v>
      </c>
      <c r="E2934">
        <v>13</v>
      </c>
      <c r="F2934">
        <v>22589</v>
      </c>
      <c r="G2934" t="s">
        <v>23</v>
      </c>
      <c r="H2934">
        <v>15</v>
      </c>
      <c r="I2934">
        <v>99192</v>
      </c>
      <c r="J2934" t="s">
        <v>123</v>
      </c>
      <c r="K2934" t="s">
        <v>60</v>
      </c>
      <c r="L2934" t="s">
        <v>32</v>
      </c>
      <c r="M2934">
        <v>3</v>
      </c>
      <c r="N2934">
        <v>456.14</v>
      </c>
      <c r="O2934">
        <v>592.4</v>
      </c>
      <c r="P2934">
        <v>29.62</v>
      </c>
      <c r="Q2934">
        <v>29.62</v>
      </c>
      <c r="R2934" t="s">
        <v>30</v>
      </c>
      <c r="S2934">
        <v>29</v>
      </c>
      <c r="T2934">
        <v>1</v>
      </c>
      <c r="U2934">
        <v>4</v>
      </c>
      <c r="V2934">
        <v>562.78</v>
      </c>
      <c r="W2934">
        <v>13130002932</v>
      </c>
    </row>
    <row r="2935" spans="1:23" x14ac:dyDescent="0.2">
      <c r="A2935" s="1">
        <v>44784</v>
      </c>
      <c r="B2935" s="2">
        <v>0.94075231481481481</v>
      </c>
      <c r="C2935">
        <v>3933</v>
      </c>
      <c r="D2935">
        <v>13002561</v>
      </c>
      <c r="E2935">
        <v>13</v>
      </c>
      <c r="F2935">
        <v>22589</v>
      </c>
      <c r="G2935" t="s">
        <v>23</v>
      </c>
      <c r="H2935">
        <v>18</v>
      </c>
      <c r="I2935">
        <v>16823</v>
      </c>
      <c r="J2935" t="s">
        <v>56</v>
      </c>
      <c r="K2935" t="s">
        <v>25</v>
      </c>
      <c r="L2935" t="s">
        <v>29</v>
      </c>
      <c r="M2935">
        <v>3</v>
      </c>
      <c r="N2935">
        <v>249.01</v>
      </c>
      <c r="O2935">
        <v>328.34</v>
      </c>
      <c r="P2935">
        <v>32.83</v>
      </c>
      <c r="Q2935">
        <v>32.83</v>
      </c>
      <c r="R2935" t="s">
        <v>30</v>
      </c>
      <c r="S2935">
        <v>29</v>
      </c>
      <c r="T2935">
        <v>1</v>
      </c>
      <c r="U2935">
        <v>6</v>
      </c>
      <c r="V2935">
        <v>295.51</v>
      </c>
      <c r="W2935">
        <v>13130002933</v>
      </c>
    </row>
    <row r="2936" spans="1:23" x14ac:dyDescent="0.2">
      <c r="A2936" s="1">
        <v>44786</v>
      </c>
      <c r="B2936" s="2">
        <v>0.92133101851851851</v>
      </c>
      <c r="C2936">
        <v>3934</v>
      </c>
      <c r="D2936">
        <v>13002561</v>
      </c>
      <c r="E2936">
        <v>13</v>
      </c>
      <c r="F2936">
        <v>22589</v>
      </c>
      <c r="G2936" t="s">
        <v>23</v>
      </c>
      <c r="H2936">
        <v>18</v>
      </c>
      <c r="I2936">
        <v>64529</v>
      </c>
      <c r="J2936" t="s">
        <v>82</v>
      </c>
      <c r="K2936" t="s">
        <v>60</v>
      </c>
      <c r="L2936" t="s">
        <v>32</v>
      </c>
      <c r="M2936">
        <v>3</v>
      </c>
      <c r="N2936">
        <v>323.75</v>
      </c>
      <c r="O2936">
        <v>459.51</v>
      </c>
      <c r="P2936">
        <v>45.95</v>
      </c>
      <c r="Q2936">
        <v>45.95</v>
      </c>
      <c r="R2936" t="s">
        <v>30</v>
      </c>
      <c r="S2936">
        <v>29</v>
      </c>
      <c r="T2936">
        <v>1</v>
      </c>
      <c r="U2936">
        <v>2</v>
      </c>
      <c r="V2936">
        <v>413.56</v>
      </c>
      <c r="W2936">
        <v>13130002934</v>
      </c>
    </row>
    <row r="2937" spans="1:23" x14ac:dyDescent="0.2">
      <c r="A2937" s="1">
        <v>44781</v>
      </c>
      <c r="B2937" s="2">
        <v>0.59548611111111116</v>
      </c>
      <c r="C2937">
        <v>3935</v>
      </c>
      <c r="D2937">
        <v>13002561</v>
      </c>
      <c r="E2937">
        <v>13</v>
      </c>
      <c r="F2937">
        <v>22589</v>
      </c>
      <c r="G2937" t="s">
        <v>23</v>
      </c>
      <c r="H2937">
        <v>15</v>
      </c>
      <c r="I2937">
        <v>76001</v>
      </c>
      <c r="J2937" t="s">
        <v>63</v>
      </c>
      <c r="K2937" t="s">
        <v>60</v>
      </c>
      <c r="L2937" t="s">
        <v>32</v>
      </c>
      <c r="M2937">
        <v>3</v>
      </c>
      <c r="N2937">
        <v>139.09</v>
      </c>
      <c r="O2937">
        <v>198.4</v>
      </c>
      <c r="P2937">
        <v>19.84</v>
      </c>
      <c r="Q2937">
        <v>19.84</v>
      </c>
      <c r="R2937" t="s">
        <v>30</v>
      </c>
      <c r="S2937">
        <v>29</v>
      </c>
      <c r="T2937">
        <v>1</v>
      </c>
      <c r="U2937">
        <v>2</v>
      </c>
      <c r="V2937">
        <v>178.56</v>
      </c>
      <c r="W2937">
        <v>13130002935</v>
      </c>
    </row>
    <row r="2938" spans="1:23" x14ac:dyDescent="0.2">
      <c r="A2938" s="1">
        <v>44798</v>
      </c>
      <c r="B2938" s="2">
        <v>0.59027777777777779</v>
      </c>
      <c r="C2938">
        <v>3936</v>
      </c>
      <c r="D2938">
        <v>13002561</v>
      </c>
      <c r="E2938">
        <v>13</v>
      </c>
      <c r="F2938">
        <v>22589</v>
      </c>
      <c r="G2938" t="s">
        <v>23</v>
      </c>
      <c r="H2938">
        <v>15</v>
      </c>
      <c r="I2938">
        <v>79040</v>
      </c>
      <c r="J2938" t="s">
        <v>101</v>
      </c>
      <c r="K2938" t="s">
        <v>28</v>
      </c>
      <c r="L2938" t="s">
        <v>34</v>
      </c>
      <c r="M2938">
        <v>2</v>
      </c>
      <c r="N2938">
        <v>280.02999999999997</v>
      </c>
      <c r="O2938">
        <v>417.57</v>
      </c>
      <c r="P2938">
        <v>41.76</v>
      </c>
      <c r="Q2938">
        <v>41.76</v>
      </c>
      <c r="R2938" t="s">
        <v>30</v>
      </c>
      <c r="S2938">
        <v>29</v>
      </c>
      <c r="T2938">
        <v>1</v>
      </c>
      <c r="U2938">
        <v>4</v>
      </c>
      <c r="V2938">
        <v>375.81</v>
      </c>
      <c r="W2938">
        <v>13130002936</v>
      </c>
    </row>
    <row r="2939" spans="1:23" x14ac:dyDescent="0.2">
      <c r="A2939" s="1">
        <v>44778</v>
      </c>
      <c r="B2939" s="2">
        <v>0.84842592592592592</v>
      </c>
      <c r="C2939">
        <v>3937</v>
      </c>
      <c r="D2939">
        <v>13002561</v>
      </c>
      <c r="E2939">
        <v>13</v>
      </c>
      <c r="F2939">
        <v>22589</v>
      </c>
      <c r="G2939" t="s">
        <v>23</v>
      </c>
      <c r="H2939">
        <v>15</v>
      </c>
      <c r="I2939">
        <v>39249</v>
      </c>
      <c r="J2939" t="s">
        <v>119</v>
      </c>
      <c r="K2939" t="s">
        <v>38</v>
      </c>
      <c r="L2939" t="s">
        <v>34</v>
      </c>
      <c r="M2939">
        <v>2</v>
      </c>
      <c r="N2939">
        <v>70.150000000000006</v>
      </c>
      <c r="O2939">
        <v>114.58</v>
      </c>
      <c r="P2939">
        <v>11.46</v>
      </c>
      <c r="Q2939">
        <v>11.46</v>
      </c>
      <c r="R2939" t="s">
        <v>30</v>
      </c>
      <c r="S2939">
        <v>29</v>
      </c>
      <c r="T2939">
        <v>1</v>
      </c>
      <c r="U2939">
        <v>1</v>
      </c>
      <c r="V2939">
        <v>103.12</v>
      </c>
      <c r="W2939">
        <v>13130002937</v>
      </c>
    </row>
    <row r="2940" spans="1:23" x14ac:dyDescent="0.2">
      <c r="A2940" s="1">
        <v>44800</v>
      </c>
      <c r="B2940" s="2">
        <v>0.48215277777777782</v>
      </c>
      <c r="C2940">
        <v>3938</v>
      </c>
      <c r="D2940">
        <v>13002561</v>
      </c>
      <c r="E2940">
        <v>13</v>
      </c>
      <c r="F2940">
        <v>22589</v>
      </c>
      <c r="G2940" t="s">
        <v>23</v>
      </c>
      <c r="H2940">
        <v>18</v>
      </c>
      <c r="I2940">
        <v>25169</v>
      </c>
      <c r="J2940" t="s">
        <v>90</v>
      </c>
      <c r="K2940" t="s">
        <v>60</v>
      </c>
      <c r="L2940" t="s">
        <v>34</v>
      </c>
      <c r="M2940">
        <v>3</v>
      </c>
      <c r="N2940">
        <v>525.87</v>
      </c>
      <c r="O2940">
        <v>669.85</v>
      </c>
      <c r="P2940">
        <v>33.49</v>
      </c>
      <c r="Q2940">
        <v>33.49</v>
      </c>
      <c r="R2940" t="s">
        <v>30</v>
      </c>
      <c r="S2940">
        <v>29</v>
      </c>
      <c r="T2940">
        <v>1</v>
      </c>
      <c r="U2940">
        <v>5</v>
      </c>
      <c r="V2940">
        <v>636.36</v>
      </c>
      <c r="W2940">
        <v>13130002938</v>
      </c>
    </row>
    <row r="2941" spans="1:23" x14ac:dyDescent="0.2">
      <c r="A2941" s="1">
        <v>44800</v>
      </c>
      <c r="B2941" s="2">
        <v>0.34138888888888891</v>
      </c>
      <c r="C2941">
        <v>3939</v>
      </c>
      <c r="D2941">
        <v>13002561</v>
      </c>
      <c r="E2941">
        <v>13</v>
      </c>
      <c r="F2941">
        <v>22589</v>
      </c>
      <c r="G2941" t="s">
        <v>23</v>
      </c>
      <c r="H2941">
        <v>18</v>
      </c>
      <c r="I2941">
        <v>75573</v>
      </c>
      <c r="J2941" t="s">
        <v>74</v>
      </c>
      <c r="K2941" t="s">
        <v>45</v>
      </c>
      <c r="L2941" t="s">
        <v>26</v>
      </c>
      <c r="M2941">
        <v>3</v>
      </c>
      <c r="N2941">
        <v>166.51</v>
      </c>
      <c r="O2941">
        <v>281.81</v>
      </c>
      <c r="P2941">
        <v>28.18</v>
      </c>
      <c r="Q2941">
        <v>28.18</v>
      </c>
      <c r="R2941" t="s">
        <v>30</v>
      </c>
      <c r="S2941">
        <v>29</v>
      </c>
      <c r="T2941">
        <v>1</v>
      </c>
      <c r="U2941">
        <v>2</v>
      </c>
      <c r="V2941">
        <v>253.63</v>
      </c>
      <c r="W2941">
        <v>13130002939</v>
      </c>
    </row>
    <row r="2942" spans="1:23" x14ac:dyDescent="0.2">
      <c r="A2942" s="1">
        <v>44784</v>
      </c>
      <c r="B2942" s="2">
        <v>0.40581018518518519</v>
      </c>
      <c r="C2942">
        <v>3940</v>
      </c>
      <c r="D2942">
        <v>13002561</v>
      </c>
      <c r="E2942">
        <v>13</v>
      </c>
      <c r="F2942">
        <v>22589</v>
      </c>
      <c r="G2942" t="s">
        <v>23</v>
      </c>
      <c r="H2942">
        <v>15</v>
      </c>
      <c r="I2942">
        <v>18140</v>
      </c>
      <c r="J2942" t="s">
        <v>73</v>
      </c>
      <c r="K2942" t="s">
        <v>45</v>
      </c>
      <c r="L2942" t="s">
        <v>26</v>
      </c>
      <c r="M2942">
        <v>1</v>
      </c>
      <c r="N2942">
        <v>243.49</v>
      </c>
      <c r="O2942">
        <v>326.02</v>
      </c>
      <c r="P2942">
        <v>32.6</v>
      </c>
      <c r="Q2942">
        <v>32.6</v>
      </c>
      <c r="R2942" t="s">
        <v>30</v>
      </c>
      <c r="S2942">
        <v>29</v>
      </c>
      <c r="T2942">
        <v>1</v>
      </c>
      <c r="U2942">
        <v>5</v>
      </c>
      <c r="V2942">
        <v>293.42</v>
      </c>
      <c r="W2942">
        <v>13130002940</v>
      </c>
    </row>
    <row r="2943" spans="1:23" x14ac:dyDescent="0.2">
      <c r="A2943" s="1">
        <v>44777</v>
      </c>
      <c r="B2943" s="2">
        <v>0.8053703703703704</v>
      </c>
      <c r="C2943">
        <v>3941</v>
      </c>
      <c r="D2943">
        <v>13002561</v>
      </c>
      <c r="E2943">
        <v>13</v>
      </c>
      <c r="F2943">
        <v>22589</v>
      </c>
      <c r="G2943" t="s">
        <v>23</v>
      </c>
      <c r="H2943">
        <v>15</v>
      </c>
      <c r="I2943">
        <v>31468</v>
      </c>
      <c r="J2943" t="s">
        <v>104</v>
      </c>
      <c r="K2943" t="s">
        <v>25</v>
      </c>
      <c r="L2943" t="s">
        <v>47</v>
      </c>
      <c r="M2943">
        <v>3</v>
      </c>
      <c r="N2943">
        <v>343.97</v>
      </c>
      <c r="O2943">
        <v>567.84</v>
      </c>
      <c r="P2943">
        <v>28.39</v>
      </c>
      <c r="Q2943">
        <v>28.39</v>
      </c>
      <c r="R2943" t="s">
        <v>30</v>
      </c>
      <c r="S2943">
        <v>29</v>
      </c>
      <c r="T2943">
        <v>1</v>
      </c>
      <c r="U2943">
        <v>3</v>
      </c>
      <c r="V2943">
        <v>539.45000000000005</v>
      </c>
      <c r="W2943">
        <v>13130002941</v>
      </c>
    </row>
    <row r="2944" spans="1:23" x14ac:dyDescent="0.2">
      <c r="A2944" s="1">
        <v>44798</v>
      </c>
      <c r="B2944" s="2">
        <v>0.88954861111111116</v>
      </c>
      <c r="C2944">
        <v>3942</v>
      </c>
      <c r="D2944">
        <v>13002561</v>
      </c>
      <c r="E2944">
        <v>13</v>
      </c>
      <c r="F2944">
        <v>22589</v>
      </c>
      <c r="G2944" t="s">
        <v>23</v>
      </c>
      <c r="H2944">
        <v>18</v>
      </c>
      <c r="I2944">
        <v>11151</v>
      </c>
      <c r="J2944" t="s">
        <v>53</v>
      </c>
      <c r="K2944" t="s">
        <v>28</v>
      </c>
      <c r="L2944" t="s">
        <v>39</v>
      </c>
      <c r="M2944">
        <v>3</v>
      </c>
      <c r="N2944">
        <v>328.26</v>
      </c>
      <c r="O2944">
        <v>480.04</v>
      </c>
      <c r="P2944">
        <v>0</v>
      </c>
      <c r="Q2944">
        <v>0</v>
      </c>
      <c r="S2944">
        <v>29</v>
      </c>
      <c r="T2944">
        <v>1</v>
      </c>
      <c r="U2944">
        <v>2</v>
      </c>
      <c r="V2944">
        <v>480.04</v>
      </c>
      <c r="W2944">
        <v>13130002942</v>
      </c>
    </row>
    <row r="2945" spans="1:23" x14ac:dyDescent="0.2">
      <c r="A2945" s="1">
        <v>44784</v>
      </c>
      <c r="B2945" s="2">
        <v>0.9221759259259259</v>
      </c>
      <c r="C2945">
        <v>3943</v>
      </c>
      <c r="D2945">
        <v>13002561</v>
      </c>
      <c r="E2945">
        <v>13</v>
      </c>
      <c r="F2945">
        <v>22589</v>
      </c>
      <c r="G2945" t="s">
        <v>23</v>
      </c>
      <c r="H2945">
        <v>18</v>
      </c>
      <c r="I2945">
        <v>11149</v>
      </c>
      <c r="J2945" t="s">
        <v>69</v>
      </c>
      <c r="K2945" t="s">
        <v>60</v>
      </c>
      <c r="L2945" t="s">
        <v>39</v>
      </c>
      <c r="M2945">
        <v>2</v>
      </c>
      <c r="N2945">
        <v>300.13</v>
      </c>
      <c r="O2945">
        <v>445.94</v>
      </c>
      <c r="P2945">
        <v>22.3</v>
      </c>
      <c r="Q2945">
        <v>22.3</v>
      </c>
      <c r="R2945" t="s">
        <v>30</v>
      </c>
      <c r="S2945">
        <v>29</v>
      </c>
      <c r="T2945">
        <v>1</v>
      </c>
      <c r="U2945">
        <v>2</v>
      </c>
      <c r="V2945">
        <v>423.64</v>
      </c>
      <c r="W2945">
        <v>13130002943</v>
      </c>
    </row>
    <row r="2946" spans="1:23" x14ac:dyDescent="0.2">
      <c r="A2946" s="1">
        <v>44804</v>
      </c>
      <c r="B2946" s="2">
        <v>0.95109953703703709</v>
      </c>
      <c r="C2946">
        <v>3944</v>
      </c>
      <c r="D2946">
        <v>13002561</v>
      </c>
      <c r="E2946">
        <v>13</v>
      </c>
      <c r="F2946">
        <v>22589</v>
      </c>
      <c r="G2946" t="s">
        <v>23</v>
      </c>
      <c r="H2946">
        <v>15</v>
      </c>
      <c r="I2946">
        <v>23506</v>
      </c>
      <c r="J2946" t="s">
        <v>81</v>
      </c>
      <c r="K2946" t="s">
        <v>44</v>
      </c>
      <c r="L2946" t="s">
        <v>34</v>
      </c>
      <c r="M2946">
        <v>1</v>
      </c>
      <c r="N2946">
        <v>592.6</v>
      </c>
      <c r="O2946">
        <v>852.41</v>
      </c>
      <c r="P2946">
        <v>42.62</v>
      </c>
      <c r="Q2946">
        <v>42.62</v>
      </c>
      <c r="R2946" t="s">
        <v>30</v>
      </c>
      <c r="S2946">
        <v>29</v>
      </c>
      <c r="T2946">
        <v>1</v>
      </c>
      <c r="U2946">
        <v>2</v>
      </c>
      <c r="V2946">
        <v>809.79</v>
      </c>
      <c r="W2946">
        <v>13130002944</v>
      </c>
    </row>
    <row r="2947" spans="1:23" x14ac:dyDescent="0.2">
      <c r="A2947" s="1">
        <v>44779</v>
      </c>
      <c r="B2947" s="2">
        <v>0.48910879629629628</v>
      </c>
      <c r="C2947">
        <v>3945</v>
      </c>
      <c r="D2947">
        <v>13002561</v>
      </c>
      <c r="E2947">
        <v>13</v>
      </c>
      <c r="F2947">
        <v>22589</v>
      </c>
      <c r="G2947" t="s">
        <v>23</v>
      </c>
      <c r="H2947">
        <v>18</v>
      </c>
      <c r="I2947">
        <v>67776</v>
      </c>
      <c r="J2947" t="s">
        <v>79</v>
      </c>
      <c r="K2947" t="s">
        <v>60</v>
      </c>
      <c r="L2947" t="s">
        <v>47</v>
      </c>
      <c r="M2947">
        <v>2</v>
      </c>
      <c r="N2947">
        <v>503.14</v>
      </c>
      <c r="O2947">
        <v>790.07</v>
      </c>
      <c r="P2947">
        <v>0</v>
      </c>
      <c r="Q2947">
        <v>0</v>
      </c>
      <c r="S2947">
        <v>29</v>
      </c>
      <c r="T2947">
        <v>1</v>
      </c>
      <c r="U2947">
        <v>3</v>
      </c>
      <c r="V2947">
        <v>790.07</v>
      </c>
      <c r="W2947">
        <v>13130002945</v>
      </c>
    </row>
    <row r="2948" spans="1:23" x14ac:dyDescent="0.2">
      <c r="A2948" s="1">
        <v>44775</v>
      </c>
      <c r="B2948" s="2">
        <v>0.94634259259259257</v>
      </c>
      <c r="C2948">
        <v>3946</v>
      </c>
      <c r="D2948">
        <v>13002561</v>
      </c>
      <c r="E2948">
        <v>13</v>
      </c>
      <c r="F2948">
        <v>22589</v>
      </c>
      <c r="G2948" t="s">
        <v>23</v>
      </c>
      <c r="H2948">
        <v>18</v>
      </c>
      <c r="I2948">
        <v>65611</v>
      </c>
      <c r="J2948" t="s">
        <v>90</v>
      </c>
      <c r="K2948" t="s">
        <v>60</v>
      </c>
      <c r="L2948" t="s">
        <v>47</v>
      </c>
      <c r="M2948">
        <v>1</v>
      </c>
      <c r="N2948">
        <v>539.91999999999996</v>
      </c>
      <c r="O2948">
        <v>872.65</v>
      </c>
      <c r="P2948">
        <v>0</v>
      </c>
      <c r="Q2948">
        <v>0</v>
      </c>
      <c r="S2948">
        <v>29</v>
      </c>
      <c r="T2948">
        <v>1</v>
      </c>
      <c r="U2948">
        <v>5</v>
      </c>
      <c r="V2948">
        <v>872.65</v>
      </c>
      <c r="W2948">
        <v>13130002946</v>
      </c>
    </row>
    <row r="2949" spans="1:23" x14ac:dyDescent="0.2">
      <c r="A2949" s="1">
        <v>44778</v>
      </c>
      <c r="B2949" s="2">
        <v>0.44658564814814822</v>
      </c>
      <c r="C2949">
        <v>3947</v>
      </c>
      <c r="D2949">
        <v>13002561</v>
      </c>
      <c r="E2949">
        <v>13</v>
      </c>
      <c r="F2949">
        <v>22589</v>
      </c>
      <c r="G2949" t="s">
        <v>23</v>
      </c>
      <c r="H2949">
        <v>15</v>
      </c>
      <c r="I2949">
        <v>42028</v>
      </c>
      <c r="J2949" t="s">
        <v>31</v>
      </c>
      <c r="K2949" t="s">
        <v>28</v>
      </c>
      <c r="L2949" t="s">
        <v>51</v>
      </c>
      <c r="M2949">
        <v>1</v>
      </c>
      <c r="N2949">
        <v>248.22</v>
      </c>
      <c r="O2949">
        <v>336.04</v>
      </c>
      <c r="P2949">
        <v>33.6</v>
      </c>
      <c r="Q2949">
        <v>33.6</v>
      </c>
      <c r="R2949" t="s">
        <v>30</v>
      </c>
      <c r="S2949">
        <v>29</v>
      </c>
      <c r="T2949">
        <v>1</v>
      </c>
      <c r="U2949">
        <v>4</v>
      </c>
      <c r="V2949">
        <v>302.44</v>
      </c>
      <c r="W2949">
        <v>13130002947</v>
      </c>
    </row>
    <row r="2950" spans="1:23" x14ac:dyDescent="0.2">
      <c r="A2950" s="1">
        <v>44775</v>
      </c>
      <c r="B2950" s="2">
        <v>0.61332175925925925</v>
      </c>
      <c r="C2950">
        <v>3948</v>
      </c>
      <c r="D2950">
        <v>13002561</v>
      </c>
      <c r="E2950">
        <v>13</v>
      </c>
      <c r="F2950">
        <v>22589</v>
      </c>
      <c r="G2950" t="s">
        <v>23</v>
      </c>
      <c r="H2950">
        <v>18</v>
      </c>
      <c r="I2950">
        <v>49044</v>
      </c>
      <c r="J2950" t="s">
        <v>63</v>
      </c>
      <c r="K2950" t="s">
        <v>60</v>
      </c>
      <c r="L2950" t="s">
        <v>29</v>
      </c>
      <c r="M2950">
        <v>1</v>
      </c>
      <c r="N2950">
        <v>555.24</v>
      </c>
      <c r="O2950">
        <v>822.93</v>
      </c>
      <c r="P2950">
        <v>82.29</v>
      </c>
      <c r="Q2950">
        <v>82.29</v>
      </c>
      <c r="R2950" t="s">
        <v>30</v>
      </c>
      <c r="S2950">
        <v>29</v>
      </c>
      <c r="T2950">
        <v>1</v>
      </c>
      <c r="U2950">
        <v>1</v>
      </c>
      <c r="V2950">
        <v>740.64</v>
      </c>
      <c r="W2950">
        <v>13130002948</v>
      </c>
    </row>
    <row r="2951" spans="1:23" x14ac:dyDescent="0.2">
      <c r="A2951" s="1">
        <v>44795</v>
      </c>
      <c r="B2951" s="2">
        <v>0.41163194444444451</v>
      </c>
      <c r="C2951">
        <v>3949</v>
      </c>
      <c r="D2951">
        <v>13002561</v>
      </c>
      <c r="E2951">
        <v>13</v>
      </c>
      <c r="F2951">
        <v>22589</v>
      </c>
      <c r="G2951" t="s">
        <v>23</v>
      </c>
      <c r="H2951">
        <v>18</v>
      </c>
      <c r="I2951">
        <v>12018</v>
      </c>
      <c r="J2951" t="s">
        <v>87</v>
      </c>
      <c r="K2951" t="s">
        <v>44</v>
      </c>
      <c r="L2951" t="s">
        <v>32</v>
      </c>
      <c r="M2951">
        <v>1</v>
      </c>
      <c r="N2951">
        <v>581.30999999999995</v>
      </c>
      <c r="O2951">
        <v>770.76</v>
      </c>
      <c r="P2951">
        <v>0</v>
      </c>
      <c r="Q2951">
        <v>0</v>
      </c>
      <c r="S2951">
        <v>29</v>
      </c>
      <c r="T2951">
        <v>1</v>
      </c>
      <c r="U2951">
        <v>4</v>
      </c>
      <c r="V2951">
        <v>770.76</v>
      </c>
      <c r="W2951">
        <v>13130002949</v>
      </c>
    </row>
    <row r="2952" spans="1:23" x14ac:dyDescent="0.2">
      <c r="A2952" s="1">
        <v>44795</v>
      </c>
      <c r="B2952" s="2">
        <v>0.79858796296296297</v>
      </c>
      <c r="C2952">
        <v>3950</v>
      </c>
      <c r="D2952">
        <v>13002561</v>
      </c>
      <c r="E2952">
        <v>13</v>
      </c>
      <c r="F2952">
        <v>22589</v>
      </c>
      <c r="G2952" t="s">
        <v>23</v>
      </c>
      <c r="H2952">
        <v>15</v>
      </c>
      <c r="I2952">
        <v>10616</v>
      </c>
      <c r="J2952" t="s">
        <v>98</v>
      </c>
      <c r="K2952" t="s">
        <v>28</v>
      </c>
      <c r="L2952" t="s">
        <v>51</v>
      </c>
      <c r="M2952">
        <v>3</v>
      </c>
      <c r="N2952">
        <v>385.38</v>
      </c>
      <c r="O2952">
        <v>580.38</v>
      </c>
      <c r="P2952">
        <v>29.02</v>
      </c>
      <c r="Q2952">
        <v>29.02</v>
      </c>
      <c r="R2952" t="s">
        <v>30</v>
      </c>
      <c r="S2952">
        <v>29</v>
      </c>
      <c r="T2952">
        <v>1</v>
      </c>
      <c r="U2952">
        <v>6</v>
      </c>
      <c r="V2952">
        <v>551.36</v>
      </c>
      <c r="W2952">
        <v>13130002950</v>
      </c>
    </row>
    <row r="2953" spans="1:23" x14ac:dyDescent="0.2">
      <c r="A2953" s="1">
        <v>44776</v>
      </c>
      <c r="B2953" s="2">
        <v>0.34206018518518522</v>
      </c>
      <c r="C2953">
        <v>3951</v>
      </c>
      <c r="D2953">
        <v>13002561</v>
      </c>
      <c r="E2953">
        <v>13</v>
      </c>
      <c r="F2953">
        <v>22589</v>
      </c>
      <c r="G2953" t="s">
        <v>23</v>
      </c>
      <c r="H2953">
        <v>15</v>
      </c>
      <c r="I2953">
        <v>94192</v>
      </c>
      <c r="J2953" t="s">
        <v>118</v>
      </c>
      <c r="K2953" t="s">
        <v>45</v>
      </c>
      <c r="L2953" t="s">
        <v>39</v>
      </c>
      <c r="M2953">
        <v>2</v>
      </c>
      <c r="N2953">
        <v>294.02999999999997</v>
      </c>
      <c r="O2953">
        <v>412.52</v>
      </c>
      <c r="P2953">
        <v>41.25</v>
      </c>
      <c r="Q2953">
        <v>41.25</v>
      </c>
      <c r="R2953" t="s">
        <v>30</v>
      </c>
      <c r="S2953">
        <v>29</v>
      </c>
      <c r="T2953">
        <v>1</v>
      </c>
      <c r="U2953">
        <v>5</v>
      </c>
      <c r="V2953">
        <v>371.27</v>
      </c>
      <c r="W2953">
        <v>13130002951</v>
      </c>
    </row>
    <row r="2954" spans="1:23" x14ac:dyDescent="0.2">
      <c r="A2954" s="1">
        <v>44790</v>
      </c>
      <c r="B2954" s="2">
        <v>0.72717592592592595</v>
      </c>
      <c r="C2954">
        <v>3952</v>
      </c>
      <c r="D2954">
        <v>13002561</v>
      </c>
      <c r="E2954">
        <v>13</v>
      </c>
      <c r="F2954">
        <v>22589</v>
      </c>
      <c r="G2954" t="s">
        <v>23</v>
      </c>
      <c r="H2954">
        <v>18</v>
      </c>
      <c r="I2954">
        <v>38100</v>
      </c>
      <c r="J2954" t="s">
        <v>109</v>
      </c>
      <c r="K2954" t="s">
        <v>45</v>
      </c>
      <c r="L2954" t="s">
        <v>39</v>
      </c>
      <c r="M2954">
        <v>3</v>
      </c>
      <c r="N2954">
        <v>518.59</v>
      </c>
      <c r="O2954">
        <v>702.28</v>
      </c>
      <c r="P2954">
        <v>0</v>
      </c>
      <c r="Q2954">
        <v>0</v>
      </c>
      <c r="S2954">
        <v>29</v>
      </c>
      <c r="T2954">
        <v>1</v>
      </c>
      <c r="U2954">
        <v>3</v>
      </c>
      <c r="V2954">
        <v>702.28</v>
      </c>
      <c r="W2954">
        <v>13130002952</v>
      </c>
    </row>
    <row r="2955" spans="1:23" x14ac:dyDescent="0.2">
      <c r="A2955" s="1">
        <v>44803</v>
      </c>
      <c r="B2955" s="2">
        <v>0.74468749999999995</v>
      </c>
      <c r="C2955">
        <v>3953</v>
      </c>
      <c r="D2955">
        <v>13002561</v>
      </c>
      <c r="E2955">
        <v>13</v>
      </c>
      <c r="F2955">
        <v>22589</v>
      </c>
      <c r="G2955" t="s">
        <v>23</v>
      </c>
      <c r="H2955">
        <v>15</v>
      </c>
      <c r="I2955">
        <v>33150</v>
      </c>
      <c r="J2955" t="s">
        <v>97</v>
      </c>
      <c r="K2955" t="s">
        <v>44</v>
      </c>
      <c r="L2955" t="s">
        <v>51</v>
      </c>
      <c r="M2955">
        <v>1</v>
      </c>
      <c r="N2955">
        <v>262.41000000000003</v>
      </c>
      <c r="O2955">
        <v>364.99</v>
      </c>
      <c r="P2955">
        <v>36.5</v>
      </c>
      <c r="Q2955">
        <v>36.5</v>
      </c>
      <c r="R2955" t="s">
        <v>30</v>
      </c>
      <c r="S2955">
        <v>29</v>
      </c>
      <c r="T2955">
        <v>1</v>
      </c>
      <c r="U2955">
        <v>5</v>
      </c>
      <c r="V2955">
        <v>328.49</v>
      </c>
      <c r="W2955">
        <v>13130002953</v>
      </c>
    </row>
    <row r="2956" spans="1:23" x14ac:dyDescent="0.2">
      <c r="A2956" s="1">
        <v>44783</v>
      </c>
      <c r="B2956" s="2">
        <v>0.76928240740740739</v>
      </c>
      <c r="C2956">
        <v>3954</v>
      </c>
      <c r="D2956">
        <v>13002561</v>
      </c>
      <c r="E2956">
        <v>13</v>
      </c>
      <c r="F2956">
        <v>22589</v>
      </c>
      <c r="G2956" t="s">
        <v>23</v>
      </c>
      <c r="H2956">
        <v>15</v>
      </c>
      <c r="I2956">
        <v>36183</v>
      </c>
      <c r="J2956" t="s">
        <v>70</v>
      </c>
      <c r="K2956" t="s">
        <v>45</v>
      </c>
      <c r="L2956" t="s">
        <v>32</v>
      </c>
      <c r="M2956">
        <v>1</v>
      </c>
      <c r="N2956">
        <v>495.18</v>
      </c>
      <c r="O2956">
        <v>766.02</v>
      </c>
      <c r="P2956">
        <v>38.299999999999997</v>
      </c>
      <c r="Q2956">
        <v>38.299999999999997</v>
      </c>
      <c r="R2956" t="s">
        <v>30</v>
      </c>
      <c r="S2956">
        <v>29</v>
      </c>
      <c r="T2956">
        <v>1</v>
      </c>
      <c r="U2956">
        <v>6</v>
      </c>
      <c r="V2956">
        <v>727.72</v>
      </c>
      <c r="W2956">
        <v>13130002954</v>
      </c>
    </row>
    <row r="2957" spans="1:23" x14ac:dyDescent="0.2">
      <c r="A2957" s="1">
        <v>44803</v>
      </c>
      <c r="B2957" s="2">
        <v>0.53320601851851857</v>
      </c>
      <c r="C2957">
        <v>3955</v>
      </c>
      <c r="D2957">
        <v>13002561</v>
      </c>
      <c r="E2957">
        <v>13</v>
      </c>
      <c r="F2957">
        <v>22589</v>
      </c>
      <c r="G2957" t="s">
        <v>23</v>
      </c>
      <c r="H2957">
        <v>15</v>
      </c>
      <c r="I2957">
        <v>34795</v>
      </c>
      <c r="J2957" t="s">
        <v>74</v>
      </c>
      <c r="K2957" t="s">
        <v>44</v>
      </c>
      <c r="L2957" t="s">
        <v>32</v>
      </c>
      <c r="M2957">
        <v>2</v>
      </c>
      <c r="N2957">
        <v>165.48</v>
      </c>
      <c r="O2957">
        <v>231.98</v>
      </c>
      <c r="P2957">
        <v>23.2</v>
      </c>
      <c r="Q2957">
        <v>23.2</v>
      </c>
      <c r="R2957" t="s">
        <v>30</v>
      </c>
      <c r="S2957">
        <v>29</v>
      </c>
      <c r="T2957">
        <v>1</v>
      </c>
      <c r="U2957">
        <v>3</v>
      </c>
      <c r="V2957">
        <v>208.78</v>
      </c>
      <c r="W2957">
        <v>13130002955</v>
      </c>
    </row>
    <row r="2958" spans="1:23" x14ac:dyDescent="0.2">
      <c r="A2958" s="1">
        <v>44797</v>
      </c>
      <c r="B2958" s="2">
        <v>0.53817129629629634</v>
      </c>
      <c r="C2958">
        <v>3956</v>
      </c>
      <c r="D2958">
        <v>13002561</v>
      </c>
      <c r="E2958">
        <v>13</v>
      </c>
      <c r="F2958">
        <v>22589</v>
      </c>
      <c r="G2958" t="s">
        <v>23</v>
      </c>
      <c r="H2958">
        <v>18</v>
      </c>
      <c r="I2958">
        <v>39747</v>
      </c>
      <c r="J2958" t="s">
        <v>97</v>
      </c>
      <c r="K2958" t="s">
        <v>45</v>
      </c>
      <c r="L2958" t="s">
        <v>34</v>
      </c>
      <c r="M2958">
        <v>2</v>
      </c>
      <c r="N2958">
        <v>184.92</v>
      </c>
      <c r="O2958">
        <v>232.34</v>
      </c>
      <c r="P2958">
        <v>0</v>
      </c>
      <c r="Q2958">
        <v>0</v>
      </c>
      <c r="S2958">
        <v>29</v>
      </c>
      <c r="T2958">
        <v>1</v>
      </c>
      <c r="U2958">
        <v>4</v>
      </c>
      <c r="V2958">
        <v>232.34</v>
      </c>
      <c r="W2958">
        <v>13130002956</v>
      </c>
    </row>
    <row r="2959" spans="1:23" x14ac:dyDescent="0.2">
      <c r="A2959" s="1">
        <v>44786</v>
      </c>
      <c r="B2959" s="2">
        <v>0.9193634259259259</v>
      </c>
      <c r="C2959">
        <v>3957</v>
      </c>
      <c r="D2959">
        <v>13002561</v>
      </c>
      <c r="E2959">
        <v>13</v>
      </c>
      <c r="F2959">
        <v>22589</v>
      </c>
      <c r="G2959" t="s">
        <v>23</v>
      </c>
      <c r="H2959">
        <v>18</v>
      </c>
      <c r="I2959">
        <v>68291</v>
      </c>
      <c r="J2959" t="s">
        <v>77</v>
      </c>
      <c r="K2959" t="s">
        <v>44</v>
      </c>
      <c r="L2959" t="s">
        <v>34</v>
      </c>
      <c r="M2959">
        <v>3</v>
      </c>
      <c r="N2959">
        <v>121.48</v>
      </c>
      <c r="O2959">
        <v>182.11</v>
      </c>
      <c r="P2959">
        <v>0</v>
      </c>
      <c r="Q2959">
        <v>0</v>
      </c>
      <c r="S2959">
        <v>29</v>
      </c>
      <c r="T2959">
        <v>1</v>
      </c>
      <c r="U2959">
        <v>4</v>
      </c>
      <c r="V2959">
        <v>182.11</v>
      </c>
      <c r="W2959">
        <v>13130002957</v>
      </c>
    </row>
    <row r="2960" spans="1:23" x14ac:dyDescent="0.2">
      <c r="A2960" s="1">
        <v>44788</v>
      </c>
      <c r="B2960" s="2">
        <v>0.54694444444444446</v>
      </c>
      <c r="C2960">
        <v>3958</v>
      </c>
      <c r="D2960">
        <v>13002561</v>
      </c>
      <c r="E2960">
        <v>13</v>
      </c>
      <c r="F2960">
        <v>22589</v>
      </c>
      <c r="G2960" t="s">
        <v>23</v>
      </c>
      <c r="H2960">
        <v>18</v>
      </c>
      <c r="I2960">
        <v>13168</v>
      </c>
      <c r="J2960" t="s">
        <v>110</v>
      </c>
      <c r="K2960" t="s">
        <v>60</v>
      </c>
      <c r="L2960" t="s">
        <v>29</v>
      </c>
      <c r="M2960">
        <v>2</v>
      </c>
      <c r="N2960">
        <v>225.29</v>
      </c>
      <c r="O2960">
        <v>304.19</v>
      </c>
      <c r="P2960">
        <v>0</v>
      </c>
      <c r="Q2960">
        <v>0</v>
      </c>
      <c r="S2960">
        <v>29</v>
      </c>
      <c r="T2960">
        <v>1</v>
      </c>
      <c r="U2960">
        <v>1</v>
      </c>
      <c r="V2960">
        <v>304.19</v>
      </c>
      <c r="W2960">
        <v>13130002958</v>
      </c>
    </row>
    <row r="2961" spans="1:23" x14ac:dyDescent="0.2">
      <c r="A2961" s="1">
        <v>44788</v>
      </c>
      <c r="B2961" s="2">
        <v>0.84765046296296298</v>
      </c>
      <c r="C2961">
        <v>3959</v>
      </c>
      <c r="D2961">
        <v>13002561</v>
      </c>
      <c r="E2961">
        <v>13</v>
      </c>
      <c r="F2961">
        <v>22589</v>
      </c>
      <c r="G2961" t="s">
        <v>23</v>
      </c>
      <c r="H2961">
        <v>18</v>
      </c>
      <c r="I2961">
        <v>23147</v>
      </c>
      <c r="J2961" t="s">
        <v>101</v>
      </c>
      <c r="K2961" t="s">
        <v>45</v>
      </c>
      <c r="L2961" t="s">
        <v>34</v>
      </c>
      <c r="M2961">
        <v>2</v>
      </c>
      <c r="N2961">
        <v>107.57</v>
      </c>
      <c r="O2961">
        <v>179.76</v>
      </c>
      <c r="P2961">
        <v>0</v>
      </c>
      <c r="Q2961">
        <v>0</v>
      </c>
      <c r="S2961">
        <v>29</v>
      </c>
      <c r="T2961">
        <v>1</v>
      </c>
      <c r="U2961">
        <v>1</v>
      </c>
      <c r="V2961">
        <v>179.76</v>
      </c>
      <c r="W2961">
        <v>13130002959</v>
      </c>
    </row>
    <row r="2962" spans="1:23" x14ac:dyDescent="0.2">
      <c r="A2962" s="1">
        <v>44776</v>
      </c>
      <c r="B2962" s="2">
        <v>0.66260416666666666</v>
      </c>
      <c r="C2962">
        <v>3960</v>
      </c>
      <c r="D2962">
        <v>13002561</v>
      </c>
      <c r="E2962">
        <v>13</v>
      </c>
      <c r="F2962">
        <v>22589</v>
      </c>
      <c r="G2962" t="s">
        <v>23</v>
      </c>
      <c r="H2962">
        <v>15</v>
      </c>
      <c r="I2962">
        <v>20501</v>
      </c>
      <c r="J2962" t="s">
        <v>80</v>
      </c>
      <c r="K2962" t="s">
        <v>45</v>
      </c>
      <c r="L2962" t="s">
        <v>29</v>
      </c>
      <c r="M2962">
        <v>1</v>
      </c>
      <c r="N2962">
        <v>502.89</v>
      </c>
      <c r="O2962">
        <v>766.07</v>
      </c>
      <c r="P2962">
        <v>0</v>
      </c>
      <c r="Q2962">
        <v>0</v>
      </c>
      <c r="S2962">
        <v>29</v>
      </c>
      <c r="T2962">
        <v>1</v>
      </c>
      <c r="U2962">
        <v>1</v>
      </c>
      <c r="V2962">
        <v>766.07</v>
      </c>
      <c r="W2962">
        <v>13130002960</v>
      </c>
    </row>
    <row r="2963" spans="1:23" x14ac:dyDescent="0.2">
      <c r="A2963" s="1">
        <v>44785</v>
      </c>
      <c r="B2963" s="2">
        <v>0.59979166666666661</v>
      </c>
      <c r="C2963">
        <v>3961</v>
      </c>
      <c r="D2963">
        <v>13002561</v>
      </c>
      <c r="E2963">
        <v>13</v>
      </c>
      <c r="F2963">
        <v>22589</v>
      </c>
      <c r="G2963" t="s">
        <v>23</v>
      </c>
      <c r="H2963">
        <v>15</v>
      </c>
      <c r="I2963">
        <v>43094</v>
      </c>
      <c r="J2963" t="s">
        <v>86</v>
      </c>
      <c r="K2963" t="s">
        <v>25</v>
      </c>
      <c r="L2963" t="s">
        <v>32</v>
      </c>
      <c r="M2963">
        <v>1</v>
      </c>
      <c r="N2963">
        <v>47.07</v>
      </c>
      <c r="O2963">
        <v>74.650000000000006</v>
      </c>
      <c r="P2963">
        <v>3.73</v>
      </c>
      <c r="Q2963">
        <v>3.73</v>
      </c>
      <c r="R2963" t="s">
        <v>30</v>
      </c>
      <c r="S2963">
        <v>29</v>
      </c>
      <c r="T2963">
        <v>1</v>
      </c>
      <c r="U2963">
        <v>6</v>
      </c>
      <c r="V2963">
        <v>70.92</v>
      </c>
      <c r="W2963">
        <v>13130002961</v>
      </c>
    </row>
    <row r="2964" spans="1:23" x14ac:dyDescent="0.2">
      <c r="A2964" s="1">
        <v>44789</v>
      </c>
      <c r="B2964" s="2">
        <v>0.41075231481481478</v>
      </c>
      <c r="C2964">
        <v>3962</v>
      </c>
      <c r="D2964">
        <v>13002561</v>
      </c>
      <c r="E2964">
        <v>13</v>
      </c>
      <c r="F2964">
        <v>22589</v>
      </c>
      <c r="G2964" t="s">
        <v>23</v>
      </c>
      <c r="H2964">
        <v>15</v>
      </c>
      <c r="I2964">
        <v>88582</v>
      </c>
      <c r="J2964" t="s">
        <v>73</v>
      </c>
      <c r="K2964" t="s">
        <v>25</v>
      </c>
      <c r="L2964" t="s">
        <v>51</v>
      </c>
      <c r="M2964">
        <v>2</v>
      </c>
      <c r="N2964">
        <v>114.73</v>
      </c>
      <c r="O2964">
        <v>155.75</v>
      </c>
      <c r="P2964">
        <v>15.58</v>
      </c>
      <c r="Q2964">
        <v>15.58</v>
      </c>
      <c r="R2964" t="s">
        <v>30</v>
      </c>
      <c r="S2964">
        <v>29</v>
      </c>
      <c r="T2964">
        <v>1</v>
      </c>
      <c r="U2964">
        <v>1</v>
      </c>
      <c r="V2964">
        <v>140.16999999999999</v>
      </c>
      <c r="W2964">
        <v>13130002962</v>
      </c>
    </row>
    <row r="2965" spans="1:23" x14ac:dyDescent="0.2">
      <c r="A2965" s="1">
        <v>44778</v>
      </c>
      <c r="B2965" s="2">
        <v>0.70880787037037041</v>
      </c>
      <c r="C2965">
        <v>3963</v>
      </c>
      <c r="D2965">
        <v>13002561</v>
      </c>
      <c r="E2965">
        <v>13</v>
      </c>
      <c r="F2965">
        <v>22589</v>
      </c>
      <c r="G2965" t="s">
        <v>23</v>
      </c>
      <c r="H2965">
        <v>15</v>
      </c>
      <c r="I2965">
        <v>95150</v>
      </c>
      <c r="J2965" t="s">
        <v>92</v>
      </c>
      <c r="K2965" t="s">
        <v>28</v>
      </c>
      <c r="L2965" t="s">
        <v>34</v>
      </c>
      <c r="M2965">
        <v>2</v>
      </c>
      <c r="N2965">
        <v>385.97</v>
      </c>
      <c r="O2965">
        <v>652.58000000000004</v>
      </c>
      <c r="P2965">
        <v>0</v>
      </c>
      <c r="Q2965">
        <v>0</v>
      </c>
      <c r="S2965">
        <v>29</v>
      </c>
      <c r="T2965">
        <v>1</v>
      </c>
      <c r="U2965">
        <v>6</v>
      </c>
      <c r="V2965">
        <v>652.58000000000004</v>
      </c>
      <c r="W2965">
        <v>13130002963</v>
      </c>
    </row>
    <row r="2966" spans="1:23" x14ac:dyDescent="0.2">
      <c r="A2966" s="1">
        <v>44786</v>
      </c>
      <c r="B2966" s="2">
        <v>0.77707175925925931</v>
      </c>
      <c r="C2966">
        <v>3964</v>
      </c>
      <c r="D2966">
        <v>13002561</v>
      </c>
      <c r="E2966">
        <v>13</v>
      </c>
      <c r="F2966">
        <v>22589</v>
      </c>
      <c r="G2966" t="s">
        <v>23</v>
      </c>
      <c r="H2966">
        <v>15</v>
      </c>
      <c r="I2966">
        <v>39158</v>
      </c>
      <c r="J2966" t="s">
        <v>102</v>
      </c>
      <c r="K2966" t="s">
        <v>38</v>
      </c>
      <c r="L2966" t="s">
        <v>36</v>
      </c>
      <c r="M2966">
        <v>3</v>
      </c>
      <c r="N2966">
        <v>281.91000000000003</v>
      </c>
      <c r="O2966">
        <v>356.31</v>
      </c>
      <c r="P2966">
        <v>17.82</v>
      </c>
      <c r="Q2966">
        <v>17.82</v>
      </c>
      <c r="R2966" t="s">
        <v>30</v>
      </c>
      <c r="S2966">
        <v>29</v>
      </c>
      <c r="T2966">
        <v>1</v>
      </c>
      <c r="U2966">
        <v>3</v>
      </c>
      <c r="V2966">
        <v>338.49</v>
      </c>
      <c r="W2966">
        <v>13130002964</v>
      </c>
    </row>
    <row r="2967" spans="1:23" x14ac:dyDescent="0.2">
      <c r="A2967" s="1">
        <v>44796</v>
      </c>
      <c r="B2967" s="2">
        <v>0.67633101851851851</v>
      </c>
      <c r="C2967">
        <v>3965</v>
      </c>
      <c r="D2967">
        <v>13002561</v>
      </c>
      <c r="E2967">
        <v>13</v>
      </c>
      <c r="F2967">
        <v>22589</v>
      </c>
      <c r="G2967" t="s">
        <v>23</v>
      </c>
      <c r="H2967">
        <v>15</v>
      </c>
      <c r="I2967">
        <v>66267</v>
      </c>
      <c r="J2967" t="s">
        <v>121</v>
      </c>
      <c r="K2967" t="s">
        <v>38</v>
      </c>
      <c r="L2967" t="s">
        <v>29</v>
      </c>
      <c r="M2967">
        <v>1</v>
      </c>
      <c r="N2967">
        <v>182.11</v>
      </c>
      <c r="O2967">
        <v>303.64999999999998</v>
      </c>
      <c r="P2967">
        <v>30.36</v>
      </c>
      <c r="Q2967">
        <v>30.36</v>
      </c>
      <c r="R2967" t="s">
        <v>30</v>
      </c>
      <c r="S2967">
        <v>29</v>
      </c>
      <c r="T2967">
        <v>1</v>
      </c>
      <c r="U2967">
        <v>3</v>
      </c>
      <c r="V2967">
        <v>273.29000000000002</v>
      </c>
      <c r="W2967">
        <v>13130002965</v>
      </c>
    </row>
    <row r="2968" spans="1:23" x14ac:dyDescent="0.2">
      <c r="A2968" s="1">
        <v>44803</v>
      </c>
      <c r="B2968" s="2">
        <v>0.58795138888888887</v>
      </c>
      <c r="C2968">
        <v>3966</v>
      </c>
      <c r="D2968">
        <v>13002561</v>
      </c>
      <c r="E2968">
        <v>13</v>
      </c>
      <c r="F2968">
        <v>22589</v>
      </c>
      <c r="G2968" t="s">
        <v>23</v>
      </c>
      <c r="H2968">
        <v>18</v>
      </c>
      <c r="I2968">
        <v>32858</v>
      </c>
      <c r="J2968" t="s">
        <v>97</v>
      </c>
      <c r="K2968" t="s">
        <v>45</v>
      </c>
      <c r="L2968" t="s">
        <v>47</v>
      </c>
      <c r="M2968">
        <v>3</v>
      </c>
      <c r="N2968">
        <v>26.52</v>
      </c>
      <c r="O2968">
        <v>43.18</v>
      </c>
      <c r="P2968">
        <v>4.32</v>
      </c>
      <c r="Q2968">
        <v>4.32</v>
      </c>
      <c r="R2968" t="s">
        <v>30</v>
      </c>
      <c r="S2968">
        <v>29</v>
      </c>
      <c r="T2968">
        <v>1</v>
      </c>
      <c r="U2968">
        <v>1</v>
      </c>
      <c r="V2968">
        <v>38.86</v>
      </c>
      <c r="W2968">
        <v>13130002966</v>
      </c>
    </row>
    <row r="2969" spans="1:23" x14ac:dyDescent="0.2">
      <c r="A2969" s="1">
        <v>44778</v>
      </c>
      <c r="B2969" s="2">
        <v>0.4775462962962963</v>
      </c>
      <c r="C2969">
        <v>3967</v>
      </c>
      <c r="D2969">
        <v>13002561</v>
      </c>
      <c r="E2969">
        <v>13</v>
      </c>
      <c r="F2969">
        <v>22589</v>
      </c>
      <c r="G2969" t="s">
        <v>23</v>
      </c>
      <c r="H2969">
        <v>18</v>
      </c>
      <c r="I2969">
        <v>25067</v>
      </c>
      <c r="J2969" t="s">
        <v>103</v>
      </c>
      <c r="K2969" t="s">
        <v>44</v>
      </c>
      <c r="L2969" t="s">
        <v>36</v>
      </c>
      <c r="M2969">
        <v>3</v>
      </c>
      <c r="N2969">
        <v>83.66</v>
      </c>
      <c r="O2969">
        <v>113.09</v>
      </c>
      <c r="P2969">
        <v>11.31</v>
      </c>
      <c r="Q2969">
        <v>11.31</v>
      </c>
      <c r="R2969" t="s">
        <v>30</v>
      </c>
      <c r="S2969">
        <v>29</v>
      </c>
      <c r="T2969">
        <v>1</v>
      </c>
      <c r="U2969">
        <v>6</v>
      </c>
      <c r="V2969">
        <v>101.78</v>
      </c>
      <c r="W2969">
        <v>13130002967</v>
      </c>
    </row>
    <row r="2970" spans="1:23" x14ac:dyDescent="0.2">
      <c r="A2970" s="1">
        <v>44782</v>
      </c>
      <c r="B2970" s="2">
        <v>0.6322106481481482</v>
      </c>
      <c r="C2970">
        <v>3968</v>
      </c>
      <c r="D2970">
        <v>13002561</v>
      </c>
      <c r="E2970">
        <v>13</v>
      </c>
      <c r="F2970">
        <v>22589</v>
      </c>
      <c r="G2970" t="s">
        <v>23</v>
      </c>
      <c r="H2970">
        <v>15</v>
      </c>
      <c r="I2970">
        <v>65683</v>
      </c>
      <c r="J2970" t="s">
        <v>97</v>
      </c>
      <c r="K2970" t="s">
        <v>45</v>
      </c>
      <c r="L2970" t="s">
        <v>29</v>
      </c>
      <c r="M2970">
        <v>1</v>
      </c>
      <c r="N2970">
        <v>282.08</v>
      </c>
      <c r="O2970">
        <v>424.56</v>
      </c>
      <c r="P2970">
        <v>21.23</v>
      </c>
      <c r="Q2970">
        <v>21.23</v>
      </c>
      <c r="R2970" t="s">
        <v>30</v>
      </c>
      <c r="S2970">
        <v>29</v>
      </c>
      <c r="T2970">
        <v>1</v>
      </c>
      <c r="U2970">
        <v>6</v>
      </c>
      <c r="V2970">
        <v>403.33</v>
      </c>
      <c r="W2970">
        <v>13130002968</v>
      </c>
    </row>
    <row r="2971" spans="1:23" x14ac:dyDescent="0.2">
      <c r="A2971" s="1">
        <v>44785</v>
      </c>
      <c r="B2971" s="2">
        <v>0.81163194444444442</v>
      </c>
      <c r="C2971">
        <v>3969</v>
      </c>
      <c r="D2971">
        <v>13002561</v>
      </c>
      <c r="E2971">
        <v>13</v>
      </c>
      <c r="F2971">
        <v>22589</v>
      </c>
      <c r="G2971" t="s">
        <v>23</v>
      </c>
      <c r="H2971">
        <v>15</v>
      </c>
      <c r="I2971">
        <v>54571</v>
      </c>
      <c r="J2971" t="s">
        <v>111</v>
      </c>
      <c r="K2971" t="s">
        <v>44</v>
      </c>
      <c r="L2971" t="s">
        <v>36</v>
      </c>
      <c r="M2971">
        <v>3</v>
      </c>
      <c r="N2971">
        <v>514.12</v>
      </c>
      <c r="O2971">
        <v>697.49</v>
      </c>
      <c r="P2971">
        <v>69.75</v>
      </c>
      <c r="Q2971">
        <v>69.75</v>
      </c>
      <c r="R2971" t="s">
        <v>30</v>
      </c>
      <c r="S2971">
        <v>29</v>
      </c>
      <c r="T2971">
        <v>1</v>
      </c>
      <c r="U2971">
        <v>5</v>
      </c>
      <c r="V2971">
        <v>627.74</v>
      </c>
      <c r="W2971">
        <v>13130002969</v>
      </c>
    </row>
    <row r="2972" spans="1:23" x14ac:dyDescent="0.2">
      <c r="A2972" s="1">
        <v>44789</v>
      </c>
      <c r="B2972" s="2">
        <v>0.51722222222222225</v>
      </c>
      <c r="C2972">
        <v>3970</v>
      </c>
      <c r="D2972">
        <v>13002561</v>
      </c>
      <c r="E2972">
        <v>13</v>
      </c>
      <c r="F2972">
        <v>22589</v>
      </c>
      <c r="G2972" t="s">
        <v>23</v>
      </c>
      <c r="H2972">
        <v>15</v>
      </c>
      <c r="I2972">
        <v>99010</v>
      </c>
      <c r="J2972" t="s">
        <v>128</v>
      </c>
      <c r="K2972" t="s">
        <v>38</v>
      </c>
      <c r="L2972" t="s">
        <v>39</v>
      </c>
      <c r="M2972">
        <v>1</v>
      </c>
      <c r="N2972">
        <v>254.64</v>
      </c>
      <c r="O2972">
        <v>418.39</v>
      </c>
      <c r="P2972">
        <v>20.92</v>
      </c>
      <c r="Q2972">
        <v>20.92</v>
      </c>
      <c r="R2972" t="s">
        <v>30</v>
      </c>
      <c r="S2972">
        <v>29</v>
      </c>
      <c r="T2972">
        <v>1</v>
      </c>
      <c r="U2972">
        <v>2</v>
      </c>
      <c r="V2972">
        <v>397.47</v>
      </c>
      <c r="W2972">
        <v>13130002970</v>
      </c>
    </row>
    <row r="2973" spans="1:23" x14ac:dyDescent="0.2">
      <c r="A2973" s="1">
        <v>44801</v>
      </c>
      <c r="B2973" s="2">
        <v>0.53935185185185186</v>
      </c>
      <c r="C2973">
        <v>3971</v>
      </c>
      <c r="D2973">
        <v>13002561</v>
      </c>
      <c r="E2973">
        <v>13</v>
      </c>
      <c r="F2973">
        <v>22589</v>
      </c>
      <c r="G2973" t="s">
        <v>23</v>
      </c>
      <c r="H2973">
        <v>18</v>
      </c>
      <c r="I2973">
        <v>94477</v>
      </c>
      <c r="J2973" t="s">
        <v>108</v>
      </c>
      <c r="K2973" t="s">
        <v>38</v>
      </c>
      <c r="L2973" t="s">
        <v>29</v>
      </c>
      <c r="M2973">
        <v>2</v>
      </c>
      <c r="N2973">
        <v>257.69</v>
      </c>
      <c r="O2973">
        <v>347.75</v>
      </c>
      <c r="P2973">
        <v>17.39</v>
      </c>
      <c r="Q2973">
        <v>17.39</v>
      </c>
      <c r="R2973" t="s">
        <v>30</v>
      </c>
      <c r="S2973">
        <v>29</v>
      </c>
      <c r="T2973">
        <v>1</v>
      </c>
      <c r="U2973">
        <v>6</v>
      </c>
      <c r="V2973">
        <v>330.36</v>
      </c>
      <c r="W2973">
        <v>13130002971</v>
      </c>
    </row>
    <row r="2974" spans="1:23" x14ac:dyDescent="0.2">
      <c r="A2974" s="1">
        <v>44787</v>
      </c>
      <c r="B2974" s="2">
        <v>0.54888888888888887</v>
      </c>
      <c r="C2974">
        <v>3972</v>
      </c>
      <c r="D2974">
        <v>13002561</v>
      </c>
      <c r="E2974">
        <v>13</v>
      </c>
      <c r="F2974">
        <v>22589</v>
      </c>
      <c r="G2974" t="s">
        <v>23</v>
      </c>
      <c r="H2974">
        <v>18</v>
      </c>
      <c r="I2974">
        <v>93801</v>
      </c>
      <c r="J2974" t="s">
        <v>98</v>
      </c>
      <c r="K2974" t="s">
        <v>25</v>
      </c>
      <c r="L2974" t="s">
        <v>32</v>
      </c>
      <c r="M2974">
        <v>2</v>
      </c>
      <c r="N2974">
        <v>86.5</v>
      </c>
      <c r="O2974">
        <v>115.25</v>
      </c>
      <c r="P2974">
        <v>5.76</v>
      </c>
      <c r="Q2974">
        <v>5.76</v>
      </c>
      <c r="R2974" t="s">
        <v>30</v>
      </c>
      <c r="S2974">
        <v>29</v>
      </c>
      <c r="T2974">
        <v>1</v>
      </c>
      <c r="U2974">
        <v>5</v>
      </c>
      <c r="V2974">
        <v>109.49</v>
      </c>
      <c r="W2974">
        <v>13130002972</v>
      </c>
    </row>
    <row r="2975" spans="1:23" x14ac:dyDescent="0.2">
      <c r="A2975" s="1">
        <v>44794</v>
      </c>
      <c r="B2975" s="2">
        <v>0.43777777777777782</v>
      </c>
      <c r="C2975">
        <v>3973</v>
      </c>
      <c r="D2975">
        <v>13002561</v>
      </c>
      <c r="E2975">
        <v>13</v>
      </c>
      <c r="F2975">
        <v>22589</v>
      </c>
      <c r="G2975" t="s">
        <v>23</v>
      </c>
      <c r="H2975">
        <v>18</v>
      </c>
      <c r="I2975">
        <v>22220</v>
      </c>
      <c r="J2975" t="s">
        <v>33</v>
      </c>
      <c r="K2975" t="s">
        <v>25</v>
      </c>
      <c r="L2975" t="s">
        <v>51</v>
      </c>
      <c r="M2975">
        <v>3</v>
      </c>
      <c r="N2975">
        <v>558.66</v>
      </c>
      <c r="O2975">
        <v>781.64</v>
      </c>
      <c r="P2975">
        <v>78.16</v>
      </c>
      <c r="Q2975">
        <v>78.16</v>
      </c>
      <c r="R2975" t="s">
        <v>30</v>
      </c>
      <c r="S2975">
        <v>29</v>
      </c>
      <c r="T2975">
        <v>1</v>
      </c>
      <c r="U2975">
        <v>1</v>
      </c>
      <c r="V2975">
        <v>703.48</v>
      </c>
      <c r="W2975">
        <v>13130002973</v>
      </c>
    </row>
    <row r="2976" spans="1:23" x14ac:dyDescent="0.2">
      <c r="A2976" s="1">
        <v>44777</v>
      </c>
      <c r="B2976" s="2">
        <v>0.69293981481481481</v>
      </c>
      <c r="C2976">
        <v>3974</v>
      </c>
      <c r="D2976">
        <v>13002561</v>
      </c>
      <c r="E2976">
        <v>13</v>
      </c>
      <c r="F2976">
        <v>22589</v>
      </c>
      <c r="G2976" t="s">
        <v>23</v>
      </c>
      <c r="H2976">
        <v>15</v>
      </c>
      <c r="I2976">
        <v>92022</v>
      </c>
      <c r="J2976" t="s">
        <v>57</v>
      </c>
      <c r="K2976" t="s">
        <v>45</v>
      </c>
      <c r="L2976" t="s">
        <v>47</v>
      </c>
      <c r="M2976">
        <v>1</v>
      </c>
      <c r="N2976">
        <v>492.9</v>
      </c>
      <c r="O2976">
        <v>823.61</v>
      </c>
      <c r="P2976">
        <v>41.18</v>
      </c>
      <c r="Q2976">
        <v>41.18</v>
      </c>
      <c r="R2976" t="s">
        <v>30</v>
      </c>
      <c r="S2976">
        <v>29</v>
      </c>
      <c r="T2976">
        <v>1</v>
      </c>
      <c r="U2976">
        <v>4</v>
      </c>
      <c r="V2976">
        <v>782.43</v>
      </c>
      <c r="W2976">
        <v>13130002974</v>
      </c>
    </row>
    <row r="2977" spans="1:23" x14ac:dyDescent="0.2">
      <c r="A2977" s="1">
        <v>44802</v>
      </c>
      <c r="B2977" s="2">
        <v>0.5364930555555556</v>
      </c>
      <c r="C2977">
        <v>3975</v>
      </c>
      <c r="D2977">
        <v>13002561</v>
      </c>
      <c r="E2977">
        <v>13</v>
      </c>
      <c r="F2977">
        <v>22589</v>
      </c>
      <c r="G2977" t="s">
        <v>23</v>
      </c>
      <c r="H2977">
        <v>18</v>
      </c>
      <c r="I2977">
        <v>82390</v>
      </c>
      <c r="J2977" t="s">
        <v>24</v>
      </c>
      <c r="K2977" t="s">
        <v>28</v>
      </c>
      <c r="L2977" t="s">
        <v>29</v>
      </c>
      <c r="M2977">
        <v>1</v>
      </c>
      <c r="N2977">
        <v>66.91</v>
      </c>
      <c r="O2977">
        <v>102.76</v>
      </c>
      <c r="P2977">
        <v>0</v>
      </c>
      <c r="Q2977">
        <v>0</v>
      </c>
      <c r="S2977">
        <v>29</v>
      </c>
      <c r="T2977">
        <v>1</v>
      </c>
      <c r="U2977">
        <v>6</v>
      </c>
      <c r="V2977">
        <v>102.76</v>
      </c>
      <c r="W2977">
        <v>13130002975</v>
      </c>
    </row>
    <row r="2978" spans="1:23" x14ac:dyDescent="0.2">
      <c r="A2978" s="1">
        <v>44803</v>
      </c>
      <c r="B2978" s="2">
        <v>0.62049768518518522</v>
      </c>
      <c r="C2978">
        <v>3976</v>
      </c>
      <c r="D2978">
        <v>13002561</v>
      </c>
      <c r="E2978">
        <v>13</v>
      </c>
      <c r="F2978">
        <v>22589</v>
      </c>
      <c r="G2978" t="s">
        <v>23</v>
      </c>
      <c r="H2978">
        <v>15</v>
      </c>
      <c r="I2978">
        <v>17738</v>
      </c>
      <c r="J2978" t="s">
        <v>69</v>
      </c>
      <c r="K2978" t="s">
        <v>38</v>
      </c>
      <c r="L2978" t="s">
        <v>32</v>
      </c>
      <c r="M2978">
        <v>2</v>
      </c>
      <c r="N2978">
        <v>581.57000000000005</v>
      </c>
      <c r="O2978">
        <v>730.35</v>
      </c>
      <c r="P2978">
        <v>0</v>
      </c>
      <c r="Q2978">
        <v>0</v>
      </c>
      <c r="S2978">
        <v>29</v>
      </c>
      <c r="T2978">
        <v>1</v>
      </c>
      <c r="U2978">
        <v>3</v>
      </c>
      <c r="V2978">
        <v>730.35</v>
      </c>
      <c r="W2978">
        <v>13130002976</v>
      </c>
    </row>
    <row r="2979" spans="1:23" x14ac:dyDescent="0.2">
      <c r="A2979" s="1">
        <v>44779</v>
      </c>
      <c r="B2979" s="2">
        <v>0.87438657407407405</v>
      </c>
      <c r="C2979">
        <v>3977</v>
      </c>
      <c r="D2979">
        <v>13002561</v>
      </c>
      <c r="E2979">
        <v>13</v>
      </c>
      <c r="F2979">
        <v>22589</v>
      </c>
      <c r="G2979" t="s">
        <v>23</v>
      </c>
      <c r="H2979">
        <v>15</v>
      </c>
      <c r="I2979">
        <v>49949</v>
      </c>
      <c r="J2979" t="s">
        <v>100</v>
      </c>
      <c r="K2979" t="s">
        <v>28</v>
      </c>
      <c r="L2979" t="s">
        <v>29</v>
      </c>
      <c r="M2979">
        <v>3</v>
      </c>
      <c r="N2979">
        <v>384.35</v>
      </c>
      <c r="O2979">
        <v>568.91</v>
      </c>
      <c r="P2979">
        <v>56.89</v>
      </c>
      <c r="Q2979">
        <v>56.89</v>
      </c>
      <c r="R2979" t="s">
        <v>30</v>
      </c>
      <c r="S2979">
        <v>29</v>
      </c>
      <c r="T2979">
        <v>1</v>
      </c>
      <c r="U2979">
        <v>5</v>
      </c>
      <c r="V2979">
        <v>512.02</v>
      </c>
      <c r="W2979">
        <v>13130002977</v>
      </c>
    </row>
    <row r="2980" spans="1:23" x14ac:dyDescent="0.2">
      <c r="A2980" s="1">
        <v>44804</v>
      </c>
      <c r="B2980" s="2">
        <v>0.33892361111111108</v>
      </c>
      <c r="C2980">
        <v>3978</v>
      </c>
      <c r="D2980">
        <v>13002561</v>
      </c>
      <c r="E2980">
        <v>13</v>
      </c>
      <c r="F2980">
        <v>22589</v>
      </c>
      <c r="G2980" t="s">
        <v>23</v>
      </c>
      <c r="H2980">
        <v>18</v>
      </c>
      <c r="I2980">
        <v>78104</v>
      </c>
      <c r="J2980" t="s">
        <v>84</v>
      </c>
      <c r="K2980" t="s">
        <v>45</v>
      </c>
      <c r="L2980" t="s">
        <v>29</v>
      </c>
      <c r="M2980">
        <v>1</v>
      </c>
      <c r="N2980">
        <v>168.39</v>
      </c>
      <c r="O2980">
        <v>266.87</v>
      </c>
      <c r="P2980">
        <v>0</v>
      </c>
      <c r="Q2980">
        <v>0</v>
      </c>
      <c r="S2980">
        <v>29</v>
      </c>
      <c r="T2980">
        <v>1</v>
      </c>
      <c r="U2980">
        <v>4</v>
      </c>
      <c r="V2980">
        <v>266.87</v>
      </c>
      <c r="W2980">
        <v>13130002978</v>
      </c>
    </row>
    <row r="2981" spans="1:23" x14ac:dyDescent="0.2">
      <c r="A2981" s="1">
        <v>44776</v>
      </c>
      <c r="B2981" s="2">
        <v>0.94937499999999997</v>
      </c>
      <c r="C2981">
        <v>3979</v>
      </c>
      <c r="D2981">
        <v>13002561</v>
      </c>
      <c r="E2981">
        <v>13</v>
      </c>
      <c r="F2981">
        <v>22589</v>
      </c>
      <c r="G2981" t="s">
        <v>23</v>
      </c>
      <c r="H2981">
        <v>15</v>
      </c>
      <c r="I2981">
        <v>34192</v>
      </c>
      <c r="J2981" t="s">
        <v>80</v>
      </c>
      <c r="K2981" t="s">
        <v>45</v>
      </c>
      <c r="L2981" t="s">
        <v>26</v>
      </c>
      <c r="M2981">
        <v>3</v>
      </c>
      <c r="N2981">
        <v>132.01</v>
      </c>
      <c r="O2981">
        <v>196.43</v>
      </c>
      <c r="P2981">
        <v>0</v>
      </c>
      <c r="Q2981">
        <v>0</v>
      </c>
      <c r="S2981">
        <v>29</v>
      </c>
      <c r="T2981">
        <v>1</v>
      </c>
      <c r="U2981">
        <v>3</v>
      </c>
      <c r="V2981">
        <v>196.43</v>
      </c>
      <c r="W2981">
        <v>13130002979</v>
      </c>
    </row>
    <row r="2982" spans="1:23" x14ac:dyDescent="0.2">
      <c r="A2982" s="1">
        <v>44779</v>
      </c>
      <c r="B2982" s="2">
        <v>0.34195601851851848</v>
      </c>
      <c r="C2982">
        <v>3980</v>
      </c>
      <c r="D2982">
        <v>13002561</v>
      </c>
      <c r="E2982">
        <v>13</v>
      </c>
      <c r="F2982">
        <v>22589</v>
      </c>
      <c r="G2982" t="s">
        <v>23</v>
      </c>
      <c r="H2982">
        <v>15</v>
      </c>
      <c r="I2982">
        <v>54666</v>
      </c>
      <c r="J2982" t="s">
        <v>122</v>
      </c>
      <c r="K2982" t="s">
        <v>25</v>
      </c>
      <c r="L2982" t="s">
        <v>51</v>
      </c>
      <c r="M2982">
        <v>2</v>
      </c>
      <c r="N2982">
        <v>182.27</v>
      </c>
      <c r="O2982">
        <v>245.61</v>
      </c>
      <c r="P2982">
        <v>12.28</v>
      </c>
      <c r="Q2982">
        <v>12.28</v>
      </c>
      <c r="R2982" t="s">
        <v>30</v>
      </c>
      <c r="S2982">
        <v>29</v>
      </c>
      <c r="T2982">
        <v>1</v>
      </c>
      <c r="U2982">
        <v>2</v>
      </c>
      <c r="V2982">
        <v>233.33</v>
      </c>
      <c r="W2982">
        <v>13130002980</v>
      </c>
    </row>
    <row r="2983" spans="1:23" x14ac:dyDescent="0.2">
      <c r="A2983" s="1">
        <v>44785</v>
      </c>
      <c r="B2983" s="2">
        <v>0.80005787037037035</v>
      </c>
      <c r="C2983">
        <v>3981</v>
      </c>
      <c r="D2983">
        <v>13002561</v>
      </c>
      <c r="E2983">
        <v>13</v>
      </c>
      <c r="F2983">
        <v>22589</v>
      </c>
      <c r="G2983" t="s">
        <v>23</v>
      </c>
      <c r="H2983">
        <v>18</v>
      </c>
      <c r="I2983">
        <v>48144</v>
      </c>
      <c r="J2983" t="s">
        <v>55</v>
      </c>
      <c r="K2983" t="s">
        <v>44</v>
      </c>
      <c r="L2983" t="s">
        <v>39</v>
      </c>
      <c r="M2983">
        <v>3</v>
      </c>
      <c r="N2983">
        <v>150.66999999999999</v>
      </c>
      <c r="O2983">
        <v>213.24</v>
      </c>
      <c r="P2983">
        <v>10.66</v>
      </c>
      <c r="Q2983">
        <v>10.66</v>
      </c>
      <c r="R2983" t="s">
        <v>30</v>
      </c>
      <c r="S2983">
        <v>29</v>
      </c>
      <c r="T2983">
        <v>1</v>
      </c>
      <c r="U2983">
        <v>6</v>
      </c>
      <c r="V2983">
        <v>202.58</v>
      </c>
      <c r="W2983">
        <v>13130002981</v>
      </c>
    </row>
    <row r="2984" spans="1:23" x14ac:dyDescent="0.2">
      <c r="A2984" s="1">
        <v>44776</v>
      </c>
      <c r="B2984" s="2">
        <v>0.59012731481481484</v>
      </c>
      <c r="C2984">
        <v>3982</v>
      </c>
      <c r="D2984">
        <v>13002561</v>
      </c>
      <c r="E2984">
        <v>13</v>
      </c>
      <c r="F2984">
        <v>22589</v>
      </c>
      <c r="G2984" t="s">
        <v>23</v>
      </c>
      <c r="H2984">
        <v>18</v>
      </c>
      <c r="I2984">
        <v>90787</v>
      </c>
      <c r="J2984" t="s">
        <v>85</v>
      </c>
      <c r="K2984" t="s">
        <v>25</v>
      </c>
      <c r="L2984" t="s">
        <v>39</v>
      </c>
      <c r="M2984">
        <v>1</v>
      </c>
      <c r="N2984">
        <v>12.17</v>
      </c>
      <c r="O2984">
        <v>19.079999999999998</v>
      </c>
      <c r="P2984">
        <v>0.95</v>
      </c>
      <c r="Q2984">
        <v>0.95</v>
      </c>
      <c r="R2984" t="s">
        <v>30</v>
      </c>
      <c r="S2984">
        <v>29</v>
      </c>
      <c r="T2984">
        <v>1</v>
      </c>
      <c r="U2984">
        <v>1</v>
      </c>
      <c r="V2984">
        <v>18.13</v>
      </c>
      <c r="W2984">
        <v>13130002982</v>
      </c>
    </row>
    <row r="2985" spans="1:23" x14ac:dyDescent="0.2">
      <c r="A2985" s="1">
        <v>44803</v>
      </c>
      <c r="B2985" s="2">
        <v>0.67195601851851849</v>
      </c>
      <c r="C2985">
        <v>3983</v>
      </c>
      <c r="D2985">
        <v>13002561</v>
      </c>
      <c r="E2985">
        <v>13</v>
      </c>
      <c r="F2985">
        <v>22589</v>
      </c>
      <c r="G2985" t="s">
        <v>23</v>
      </c>
      <c r="H2985">
        <v>15</v>
      </c>
      <c r="I2985">
        <v>34295</v>
      </c>
      <c r="J2985" t="s">
        <v>57</v>
      </c>
      <c r="K2985" t="s">
        <v>25</v>
      </c>
      <c r="L2985" t="s">
        <v>51</v>
      </c>
      <c r="M2985">
        <v>2</v>
      </c>
      <c r="N2985">
        <v>490.44</v>
      </c>
      <c r="O2985">
        <v>656.1</v>
      </c>
      <c r="P2985">
        <v>32.799999999999997</v>
      </c>
      <c r="Q2985">
        <v>32.799999999999997</v>
      </c>
      <c r="R2985" t="s">
        <v>30</v>
      </c>
      <c r="S2985">
        <v>29</v>
      </c>
      <c r="T2985">
        <v>1</v>
      </c>
      <c r="U2985">
        <v>3</v>
      </c>
      <c r="V2985">
        <v>623.29999999999995</v>
      </c>
      <c r="W2985">
        <v>13130002983</v>
      </c>
    </row>
    <row r="2986" spans="1:23" x14ac:dyDescent="0.2">
      <c r="A2986" s="1">
        <v>44779</v>
      </c>
      <c r="B2986" s="2">
        <v>0.83199074074074075</v>
      </c>
      <c r="C2986">
        <v>3984</v>
      </c>
      <c r="D2986">
        <v>13002561</v>
      </c>
      <c r="E2986">
        <v>13</v>
      </c>
      <c r="F2986">
        <v>22589</v>
      </c>
      <c r="G2986" t="s">
        <v>23</v>
      </c>
      <c r="H2986">
        <v>15</v>
      </c>
      <c r="I2986">
        <v>64118</v>
      </c>
      <c r="J2986" t="s">
        <v>62</v>
      </c>
      <c r="K2986" t="s">
        <v>45</v>
      </c>
      <c r="L2986" t="s">
        <v>47</v>
      </c>
      <c r="M2986">
        <v>3</v>
      </c>
      <c r="N2986">
        <v>46.42</v>
      </c>
      <c r="O2986">
        <v>73.14</v>
      </c>
      <c r="P2986">
        <v>7.31</v>
      </c>
      <c r="Q2986">
        <v>7.31</v>
      </c>
      <c r="R2986" t="s">
        <v>30</v>
      </c>
      <c r="S2986">
        <v>29</v>
      </c>
      <c r="T2986">
        <v>1</v>
      </c>
      <c r="U2986">
        <v>3</v>
      </c>
      <c r="V2986">
        <v>65.83</v>
      </c>
      <c r="W2986">
        <v>13130002984</v>
      </c>
    </row>
    <row r="2987" spans="1:23" x14ac:dyDescent="0.2">
      <c r="A2987" s="1">
        <v>44795</v>
      </c>
      <c r="B2987" s="2">
        <v>0.92381944444444442</v>
      </c>
      <c r="C2987">
        <v>3985</v>
      </c>
      <c r="D2987">
        <v>13002561</v>
      </c>
      <c r="E2987">
        <v>13</v>
      </c>
      <c r="F2987">
        <v>22589</v>
      </c>
      <c r="G2987" t="s">
        <v>23</v>
      </c>
      <c r="H2987">
        <v>18</v>
      </c>
      <c r="I2987">
        <v>97238</v>
      </c>
      <c r="J2987" t="s">
        <v>58</v>
      </c>
      <c r="K2987" t="s">
        <v>38</v>
      </c>
      <c r="L2987" t="s">
        <v>39</v>
      </c>
      <c r="M2987">
        <v>2</v>
      </c>
      <c r="N2987">
        <v>478.71</v>
      </c>
      <c r="O2987">
        <v>768.54</v>
      </c>
      <c r="P2987">
        <v>0</v>
      </c>
      <c r="Q2987">
        <v>0</v>
      </c>
      <c r="S2987">
        <v>29</v>
      </c>
      <c r="T2987">
        <v>1</v>
      </c>
      <c r="U2987">
        <v>3</v>
      </c>
      <c r="V2987">
        <v>768.54</v>
      </c>
      <c r="W2987">
        <v>13130002985</v>
      </c>
    </row>
    <row r="2988" spans="1:23" x14ac:dyDescent="0.2">
      <c r="A2988" s="1">
        <v>44777</v>
      </c>
      <c r="B2988" s="2">
        <v>0.52186342592592594</v>
      </c>
      <c r="C2988">
        <v>3986</v>
      </c>
      <c r="D2988">
        <v>13002561</v>
      </c>
      <c r="E2988">
        <v>13</v>
      </c>
      <c r="F2988">
        <v>22589</v>
      </c>
      <c r="G2988" t="s">
        <v>23</v>
      </c>
      <c r="H2988">
        <v>18</v>
      </c>
      <c r="I2988">
        <v>90033</v>
      </c>
      <c r="J2988" t="s">
        <v>48</v>
      </c>
      <c r="K2988" t="s">
        <v>60</v>
      </c>
      <c r="L2988" t="s">
        <v>47</v>
      </c>
      <c r="M2988">
        <v>3</v>
      </c>
      <c r="N2988">
        <v>82.07</v>
      </c>
      <c r="O2988">
        <v>108.01</v>
      </c>
      <c r="P2988">
        <v>10.8</v>
      </c>
      <c r="Q2988">
        <v>10.8</v>
      </c>
      <c r="R2988" t="s">
        <v>30</v>
      </c>
      <c r="S2988">
        <v>29</v>
      </c>
      <c r="T2988">
        <v>1</v>
      </c>
      <c r="U2988">
        <v>6</v>
      </c>
      <c r="V2988">
        <v>97.21</v>
      </c>
      <c r="W2988">
        <v>13130002986</v>
      </c>
    </row>
    <row r="2989" spans="1:23" x14ac:dyDescent="0.2">
      <c r="A2989" s="1">
        <v>44803</v>
      </c>
      <c r="B2989" s="2">
        <v>0.39560185185185193</v>
      </c>
      <c r="C2989">
        <v>3987</v>
      </c>
      <c r="D2989">
        <v>13002561</v>
      </c>
      <c r="E2989">
        <v>13</v>
      </c>
      <c r="F2989">
        <v>22589</v>
      </c>
      <c r="G2989" t="s">
        <v>23</v>
      </c>
      <c r="H2989">
        <v>18</v>
      </c>
      <c r="I2989">
        <v>57284</v>
      </c>
      <c r="J2989" t="s">
        <v>41</v>
      </c>
      <c r="K2989" t="s">
        <v>28</v>
      </c>
      <c r="L2989" t="s">
        <v>29</v>
      </c>
      <c r="M2989">
        <v>2</v>
      </c>
      <c r="N2989">
        <v>9.27</v>
      </c>
      <c r="O2989">
        <v>12.3</v>
      </c>
      <c r="P2989">
        <v>0.62</v>
      </c>
      <c r="Q2989">
        <v>0.62</v>
      </c>
      <c r="R2989" t="s">
        <v>30</v>
      </c>
      <c r="S2989">
        <v>29</v>
      </c>
      <c r="T2989">
        <v>1</v>
      </c>
      <c r="U2989">
        <v>1</v>
      </c>
      <c r="V2989">
        <v>11.68</v>
      </c>
      <c r="W2989">
        <v>13130002987</v>
      </c>
    </row>
    <row r="2990" spans="1:23" x14ac:dyDescent="0.2">
      <c r="A2990" s="1">
        <v>44780</v>
      </c>
      <c r="B2990" s="2">
        <v>0.7814699074074074</v>
      </c>
      <c r="C2990">
        <v>3988</v>
      </c>
      <c r="D2990">
        <v>13002561</v>
      </c>
      <c r="E2990">
        <v>13</v>
      </c>
      <c r="F2990">
        <v>22589</v>
      </c>
      <c r="G2990" t="s">
        <v>23</v>
      </c>
      <c r="H2990">
        <v>18</v>
      </c>
      <c r="I2990">
        <v>95020</v>
      </c>
      <c r="J2990" t="s">
        <v>50</v>
      </c>
      <c r="K2990" t="s">
        <v>38</v>
      </c>
      <c r="L2990" t="s">
        <v>32</v>
      </c>
      <c r="M2990">
        <v>1</v>
      </c>
      <c r="N2990">
        <v>513.17999999999995</v>
      </c>
      <c r="O2990">
        <v>699.76</v>
      </c>
      <c r="P2990">
        <v>0</v>
      </c>
      <c r="Q2990">
        <v>0</v>
      </c>
      <c r="S2990">
        <v>29</v>
      </c>
      <c r="T2990">
        <v>1</v>
      </c>
      <c r="U2990">
        <v>6</v>
      </c>
      <c r="V2990">
        <v>699.76</v>
      </c>
      <c r="W2990">
        <v>13130002988</v>
      </c>
    </row>
    <row r="2991" spans="1:23" x14ac:dyDescent="0.2">
      <c r="A2991" s="1">
        <v>44791</v>
      </c>
      <c r="B2991" s="2">
        <v>0.94931712962962966</v>
      </c>
      <c r="C2991">
        <v>3989</v>
      </c>
      <c r="D2991">
        <v>13002561</v>
      </c>
      <c r="E2991">
        <v>13</v>
      </c>
      <c r="F2991">
        <v>22589</v>
      </c>
      <c r="G2991" t="s">
        <v>23</v>
      </c>
      <c r="H2991">
        <v>15</v>
      </c>
      <c r="I2991">
        <v>34253</v>
      </c>
      <c r="J2991" t="s">
        <v>66</v>
      </c>
      <c r="K2991" t="s">
        <v>28</v>
      </c>
      <c r="L2991" t="s">
        <v>51</v>
      </c>
      <c r="M2991">
        <v>3</v>
      </c>
      <c r="N2991">
        <v>530.30999999999995</v>
      </c>
      <c r="O2991">
        <v>712.49</v>
      </c>
      <c r="P2991">
        <v>0</v>
      </c>
      <c r="Q2991">
        <v>0</v>
      </c>
      <c r="S2991">
        <v>29</v>
      </c>
      <c r="T2991">
        <v>1</v>
      </c>
      <c r="U2991">
        <v>3</v>
      </c>
      <c r="V2991">
        <v>712.49</v>
      </c>
      <c r="W2991">
        <v>13130002989</v>
      </c>
    </row>
    <row r="2992" spans="1:23" x14ac:dyDescent="0.2">
      <c r="A2992" s="1">
        <v>44790</v>
      </c>
      <c r="B2992" s="2">
        <v>0.62276620370370372</v>
      </c>
      <c r="C2992">
        <v>3990</v>
      </c>
      <c r="D2992">
        <v>13002561</v>
      </c>
      <c r="E2992">
        <v>13</v>
      </c>
      <c r="F2992">
        <v>22589</v>
      </c>
      <c r="G2992" t="s">
        <v>23</v>
      </c>
      <c r="H2992">
        <v>18</v>
      </c>
      <c r="I2992">
        <v>76827</v>
      </c>
      <c r="J2992" t="s">
        <v>62</v>
      </c>
      <c r="K2992" t="s">
        <v>38</v>
      </c>
      <c r="L2992" t="s">
        <v>39</v>
      </c>
      <c r="M2992">
        <v>2</v>
      </c>
      <c r="N2992">
        <v>53.9</v>
      </c>
      <c r="O2992">
        <v>86.49</v>
      </c>
      <c r="P2992">
        <v>4.32</v>
      </c>
      <c r="Q2992">
        <v>4.32</v>
      </c>
      <c r="R2992" t="s">
        <v>30</v>
      </c>
      <c r="S2992">
        <v>29</v>
      </c>
      <c r="T2992">
        <v>1</v>
      </c>
      <c r="U2992">
        <v>4</v>
      </c>
      <c r="V2992">
        <v>82.17</v>
      </c>
      <c r="W2992">
        <v>13130002990</v>
      </c>
    </row>
    <row r="2993" spans="1:23" x14ac:dyDescent="0.2">
      <c r="A2993" s="1">
        <v>44796</v>
      </c>
      <c r="B2993" s="2">
        <v>0.46576388888888892</v>
      </c>
      <c r="C2993">
        <v>3991</v>
      </c>
      <c r="D2993">
        <v>13002561</v>
      </c>
      <c r="E2993">
        <v>13</v>
      </c>
      <c r="F2993">
        <v>22589</v>
      </c>
      <c r="G2993" t="s">
        <v>23</v>
      </c>
      <c r="H2993">
        <v>18</v>
      </c>
      <c r="I2993">
        <v>16901</v>
      </c>
      <c r="J2993" t="s">
        <v>128</v>
      </c>
      <c r="K2993" t="s">
        <v>45</v>
      </c>
      <c r="L2993" t="s">
        <v>32</v>
      </c>
      <c r="M2993">
        <v>2</v>
      </c>
      <c r="N2993">
        <v>472.49</v>
      </c>
      <c r="O2993">
        <v>798.9</v>
      </c>
      <c r="P2993">
        <v>79.89</v>
      </c>
      <c r="Q2993">
        <v>79.89</v>
      </c>
      <c r="R2993" t="s">
        <v>30</v>
      </c>
      <c r="S2993">
        <v>29</v>
      </c>
      <c r="T2993">
        <v>1</v>
      </c>
      <c r="U2993">
        <v>5</v>
      </c>
      <c r="V2993">
        <v>719.01</v>
      </c>
      <c r="W2993">
        <v>13130002991</v>
      </c>
    </row>
    <row r="2994" spans="1:23" x14ac:dyDescent="0.2">
      <c r="A2994" s="1">
        <v>44775</v>
      </c>
      <c r="B2994" s="2">
        <v>0.89722222222222225</v>
      </c>
      <c r="C2994">
        <v>3992</v>
      </c>
      <c r="D2994">
        <v>13002561</v>
      </c>
      <c r="E2994">
        <v>13</v>
      </c>
      <c r="F2994">
        <v>22589</v>
      </c>
      <c r="G2994" t="s">
        <v>23</v>
      </c>
      <c r="H2994">
        <v>18</v>
      </c>
      <c r="I2994">
        <v>23293</v>
      </c>
      <c r="J2994" t="s">
        <v>95</v>
      </c>
      <c r="K2994" t="s">
        <v>38</v>
      </c>
      <c r="L2994" t="s">
        <v>26</v>
      </c>
      <c r="M2994">
        <v>3</v>
      </c>
      <c r="N2994">
        <v>466.89</v>
      </c>
      <c r="O2994">
        <v>780.21</v>
      </c>
      <c r="P2994">
        <v>0</v>
      </c>
      <c r="Q2994">
        <v>0</v>
      </c>
      <c r="S2994">
        <v>29</v>
      </c>
      <c r="T2994">
        <v>1</v>
      </c>
      <c r="U2994">
        <v>2</v>
      </c>
      <c r="V2994">
        <v>780.21</v>
      </c>
      <c r="W2994">
        <v>13130002992</v>
      </c>
    </row>
    <row r="2995" spans="1:23" x14ac:dyDescent="0.2">
      <c r="A2995" s="1">
        <v>44788</v>
      </c>
      <c r="B2995" s="2">
        <v>0.43584490740740739</v>
      </c>
      <c r="C2995">
        <v>3993</v>
      </c>
      <c r="D2995">
        <v>13002561</v>
      </c>
      <c r="E2995">
        <v>13</v>
      </c>
      <c r="F2995">
        <v>22589</v>
      </c>
      <c r="G2995" t="s">
        <v>23</v>
      </c>
      <c r="H2995">
        <v>15</v>
      </c>
      <c r="I2995">
        <v>35898</v>
      </c>
      <c r="J2995" t="s">
        <v>124</v>
      </c>
      <c r="K2995" t="s">
        <v>60</v>
      </c>
      <c r="L2995" t="s">
        <v>36</v>
      </c>
      <c r="M2995">
        <v>2</v>
      </c>
      <c r="N2995">
        <v>291.02999999999997</v>
      </c>
      <c r="O2995">
        <v>455.61</v>
      </c>
      <c r="P2995">
        <v>45.56</v>
      </c>
      <c r="Q2995">
        <v>45.56</v>
      </c>
      <c r="R2995" t="s">
        <v>30</v>
      </c>
      <c r="S2995">
        <v>29</v>
      </c>
      <c r="T2995">
        <v>1</v>
      </c>
      <c r="U2995">
        <v>5</v>
      </c>
      <c r="V2995">
        <v>410.05</v>
      </c>
      <c r="W2995">
        <v>13130002993</v>
      </c>
    </row>
    <row r="2996" spans="1:23" x14ac:dyDescent="0.2">
      <c r="A2996" s="1">
        <v>44786</v>
      </c>
      <c r="B2996" s="2">
        <v>0.49186342592592591</v>
      </c>
      <c r="C2996">
        <v>3994</v>
      </c>
      <c r="D2996">
        <v>13002561</v>
      </c>
      <c r="E2996">
        <v>13</v>
      </c>
      <c r="F2996">
        <v>22589</v>
      </c>
      <c r="G2996" t="s">
        <v>23</v>
      </c>
      <c r="H2996">
        <v>18</v>
      </c>
      <c r="I2996">
        <v>62524</v>
      </c>
      <c r="J2996" t="s">
        <v>62</v>
      </c>
      <c r="K2996" t="s">
        <v>44</v>
      </c>
      <c r="L2996" t="s">
        <v>32</v>
      </c>
      <c r="M2996">
        <v>3</v>
      </c>
      <c r="N2996">
        <v>410.82</v>
      </c>
      <c r="O2996">
        <v>675.73</v>
      </c>
      <c r="P2996">
        <v>67.569999999999993</v>
      </c>
      <c r="Q2996">
        <v>67.569999999999993</v>
      </c>
      <c r="R2996" t="s">
        <v>30</v>
      </c>
      <c r="S2996">
        <v>29</v>
      </c>
      <c r="T2996">
        <v>1</v>
      </c>
      <c r="U2996">
        <v>3</v>
      </c>
      <c r="V2996">
        <v>608.16</v>
      </c>
      <c r="W2996">
        <v>13130002994</v>
      </c>
    </row>
    <row r="2997" spans="1:23" x14ac:dyDescent="0.2">
      <c r="A2997" s="1">
        <v>44785</v>
      </c>
      <c r="B2997" s="2">
        <v>0.7439930555555555</v>
      </c>
      <c r="C2997">
        <v>3995</v>
      </c>
      <c r="D2997">
        <v>13002561</v>
      </c>
      <c r="E2997">
        <v>13</v>
      </c>
      <c r="F2997">
        <v>22589</v>
      </c>
      <c r="G2997" t="s">
        <v>23</v>
      </c>
      <c r="H2997">
        <v>18</v>
      </c>
      <c r="I2997">
        <v>14484</v>
      </c>
      <c r="J2997" t="s">
        <v>101</v>
      </c>
      <c r="K2997" t="s">
        <v>28</v>
      </c>
      <c r="L2997" t="s">
        <v>34</v>
      </c>
      <c r="M2997">
        <v>3</v>
      </c>
      <c r="N2997">
        <v>482.87</v>
      </c>
      <c r="O2997">
        <v>674.1</v>
      </c>
      <c r="P2997">
        <v>67.41</v>
      </c>
      <c r="Q2997">
        <v>67.41</v>
      </c>
      <c r="R2997" t="s">
        <v>30</v>
      </c>
      <c r="S2997">
        <v>29</v>
      </c>
      <c r="T2997">
        <v>1</v>
      </c>
      <c r="U2997">
        <v>3</v>
      </c>
      <c r="V2997">
        <v>606.69000000000005</v>
      </c>
      <c r="W2997">
        <v>13130002995</v>
      </c>
    </row>
    <row r="2998" spans="1:23" x14ac:dyDescent="0.2">
      <c r="A2998" s="1">
        <v>44787</v>
      </c>
      <c r="B2998" s="2">
        <v>0.41469907407407408</v>
      </c>
      <c r="C2998">
        <v>3996</v>
      </c>
      <c r="D2998">
        <v>13002561</v>
      </c>
      <c r="E2998">
        <v>13</v>
      </c>
      <c r="F2998">
        <v>22589</v>
      </c>
      <c r="G2998" t="s">
        <v>23</v>
      </c>
      <c r="H2998">
        <v>15</v>
      </c>
      <c r="I2998">
        <v>51638</v>
      </c>
      <c r="J2998" t="s">
        <v>93</v>
      </c>
      <c r="K2998" t="s">
        <v>44</v>
      </c>
      <c r="L2998" t="s">
        <v>26</v>
      </c>
      <c r="M2998">
        <v>2</v>
      </c>
      <c r="N2998">
        <v>295.61</v>
      </c>
      <c r="O2998">
        <v>422.49</v>
      </c>
      <c r="P2998">
        <v>0</v>
      </c>
      <c r="Q2998">
        <v>0</v>
      </c>
      <c r="S2998">
        <v>29</v>
      </c>
      <c r="T2998">
        <v>1</v>
      </c>
      <c r="U2998">
        <v>4</v>
      </c>
      <c r="V2998">
        <v>422.49</v>
      </c>
      <c r="W2998">
        <v>13130002996</v>
      </c>
    </row>
    <row r="2999" spans="1:23" x14ac:dyDescent="0.2">
      <c r="A2999" s="1">
        <v>44798</v>
      </c>
      <c r="B2999" s="2">
        <v>0.90200231481481485</v>
      </c>
      <c r="C2999">
        <v>3997</v>
      </c>
      <c r="D2999">
        <v>13002561</v>
      </c>
      <c r="E2999">
        <v>13</v>
      </c>
      <c r="F2999">
        <v>22589</v>
      </c>
      <c r="G2999" t="s">
        <v>23</v>
      </c>
      <c r="H2999">
        <v>18</v>
      </c>
      <c r="I2999">
        <v>52295</v>
      </c>
      <c r="J2999" t="s">
        <v>114</v>
      </c>
      <c r="K2999" t="s">
        <v>38</v>
      </c>
      <c r="L2999" t="s">
        <v>34</v>
      </c>
      <c r="M2999">
        <v>3</v>
      </c>
      <c r="N2999">
        <v>506.72</v>
      </c>
      <c r="O2999">
        <v>815.66</v>
      </c>
      <c r="P2999">
        <v>81.569999999999993</v>
      </c>
      <c r="Q2999">
        <v>81.569999999999993</v>
      </c>
      <c r="R2999" t="s">
        <v>30</v>
      </c>
      <c r="S2999">
        <v>29</v>
      </c>
      <c r="T2999">
        <v>1</v>
      </c>
      <c r="U2999">
        <v>2</v>
      </c>
      <c r="V2999">
        <v>734.09</v>
      </c>
      <c r="W2999">
        <v>13130002997</v>
      </c>
    </row>
    <row r="3000" spans="1:23" x14ac:dyDescent="0.2">
      <c r="A3000" s="1">
        <v>44789</v>
      </c>
      <c r="B3000" s="2">
        <v>0.7155555555555555</v>
      </c>
      <c r="C3000">
        <v>3998</v>
      </c>
      <c r="D3000">
        <v>13002561</v>
      </c>
      <c r="E3000">
        <v>13</v>
      </c>
      <c r="F3000">
        <v>22589</v>
      </c>
      <c r="G3000" t="s">
        <v>23</v>
      </c>
      <c r="H3000">
        <v>18</v>
      </c>
      <c r="I3000">
        <v>69325</v>
      </c>
      <c r="J3000" t="s">
        <v>40</v>
      </c>
      <c r="K3000" t="s">
        <v>44</v>
      </c>
      <c r="L3000" t="s">
        <v>26</v>
      </c>
      <c r="M3000">
        <v>1</v>
      </c>
      <c r="N3000">
        <v>258.94</v>
      </c>
      <c r="O3000">
        <v>364.96</v>
      </c>
      <c r="P3000">
        <v>0</v>
      </c>
      <c r="Q3000">
        <v>0</v>
      </c>
      <c r="S3000">
        <v>29</v>
      </c>
      <c r="T3000">
        <v>1</v>
      </c>
      <c r="U3000">
        <v>6</v>
      </c>
      <c r="V3000">
        <v>364.96</v>
      </c>
      <c r="W3000">
        <v>13130002998</v>
      </c>
    </row>
    <row r="3001" spans="1:23" x14ac:dyDescent="0.2">
      <c r="A3001" s="1">
        <v>44782</v>
      </c>
      <c r="B3001" s="2">
        <v>0.72526620370370365</v>
      </c>
      <c r="C3001">
        <v>3999</v>
      </c>
      <c r="D3001">
        <v>13002561</v>
      </c>
      <c r="E3001">
        <v>13</v>
      </c>
      <c r="F3001">
        <v>22589</v>
      </c>
      <c r="G3001" t="s">
        <v>23</v>
      </c>
      <c r="H3001">
        <v>15</v>
      </c>
      <c r="I3001">
        <v>67472</v>
      </c>
      <c r="J3001" t="s">
        <v>108</v>
      </c>
      <c r="K3001" t="s">
        <v>38</v>
      </c>
      <c r="L3001" t="s">
        <v>29</v>
      </c>
      <c r="M3001">
        <v>1</v>
      </c>
      <c r="N3001">
        <v>538.12</v>
      </c>
      <c r="O3001">
        <v>803.64</v>
      </c>
      <c r="P3001">
        <v>0</v>
      </c>
      <c r="Q3001">
        <v>0</v>
      </c>
      <c r="S3001">
        <v>29</v>
      </c>
      <c r="T3001">
        <v>1</v>
      </c>
      <c r="U3001">
        <v>1</v>
      </c>
      <c r="V3001">
        <v>803.64</v>
      </c>
      <c r="W3001">
        <v>13130002999</v>
      </c>
    </row>
    <row r="3002" spans="1:23" x14ac:dyDescent="0.2">
      <c r="A3002" s="1">
        <v>44774</v>
      </c>
      <c r="B3002" s="2">
        <v>0.46412037037037029</v>
      </c>
      <c r="C3002">
        <v>4000</v>
      </c>
      <c r="D3002">
        <v>13002561</v>
      </c>
      <c r="E3002">
        <v>13</v>
      </c>
      <c r="F3002">
        <v>22589</v>
      </c>
      <c r="G3002" t="s">
        <v>23</v>
      </c>
      <c r="H3002">
        <v>15</v>
      </c>
      <c r="I3002">
        <v>92291</v>
      </c>
      <c r="J3002" t="s">
        <v>40</v>
      </c>
      <c r="K3002" t="s">
        <v>45</v>
      </c>
      <c r="L3002" t="s">
        <v>36</v>
      </c>
      <c r="M3002">
        <v>1</v>
      </c>
      <c r="N3002">
        <v>470.87</v>
      </c>
      <c r="O3002">
        <v>796.55</v>
      </c>
      <c r="P3002">
        <v>0</v>
      </c>
      <c r="Q3002">
        <v>0</v>
      </c>
      <c r="S3002">
        <v>29</v>
      </c>
      <c r="T3002">
        <v>1</v>
      </c>
      <c r="U3002">
        <v>3</v>
      </c>
      <c r="V3002">
        <v>796.55</v>
      </c>
      <c r="W3002">
        <v>13130003000</v>
      </c>
    </row>
    <row r="3003" spans="1:23" x14ac:dyDescent="0.2">
      <c r="A3003" s="1">
        <v>44795</v>
      </c>
      <c r="B3003" s="2">
        <v>0.72670138888888891</v>
      </c>
      <c r="C3003">
        <v>4001</v>
      </c>
      <c r="D3003">
        <v>13002561</v>
      </c>
      <c r="E3003">
        <v>13</v>
      </c>
      <c r="F3003">
        <v>22589</v>
      </c>
      <c r="G3003" t="s">
        <v>23</v>
      </c>
      <c r="H3003">
        <v>15</v>
      </c>
      <c r="I3003">
        <v>21657</v>
      </c>
      <c r="J3003" t="s">
        <v>87</v>
      </c>
      <c r="K3003" t="s">
        <v>38</v>
      </c>
      <c r="L3003" t="s">
        <v>26</v>
      </c>
      <c r="M3003">
        <v>1</v>
      </c>
      <c r="N3003">
        <v>410.61</v>
      </c>
      <c r="O3003">
        <v>671.53</v>
      </c>
      <c r="P3003">
        <v>0</v>
      </c>
      <c r="Q3003">
        <v>0</v>
      </c>
      <c r="S3003">
        <v>29</v>
      </c>
      <c r="T3003">
        <v>1</v>
      </c>
      <c r="U3003">
        <v>3</v>
      </c>
      <c r="V3003">
        <v>671.53</v>
      </c>
      <c r="W3003">
        <v>13130003001</v>
      </c>
    </row>
    <row r="3004" spans="1:23" x14ac:dyDescent="0.2">
      <c r="A3004" s="1">
        <v>44800</v>
      </c>
      <c r="B3004" s="2">
        <v>0.74177083333333338</v>
      </c>
      <c r="C3004">
        <v>4002</v>
      </c>
      <c r="D3004">
        <v>13002561</v>
      </c>
      <c r="E3004">
        <v>13</v>
      </c>
      <c r="F3004">
        <v>22589</v>
      </c>
      <c r="G3004" t="s">
        <v>23</v>
      </c>
      <c r="H3004">
        <v>15</v>
      </c>
      <c r="I3004">
        <v>56460</v>
      </c>
      <c r="J3004" t="s">
        <v>120</v>
      </c>
      <c r="K3004" t="s">
        <v>44</v>
      </c>
      <c r="L3004" t="s">
        <v>39</v>
      </c>
      <c r="M3004">
        <v>3</v>
      </c>
      <c r="N3004">
        <v>127.77</v>
      </c>
      <c r="O3004">
        <v>188.62</v>
      </c>
      <c r="P3004">
        <v>9.43</v>
      </c>
      <c r="Q3004">
        <v>9.43</v>
      </c>
      <c r="R3004" t="s">
        <v>30</v>
      </c>
      <c r="S3004">
        <v>29</v>
      </c>
      <c r="T3004">
        <v>1</v>
      </c>
      <c r="U3004">
        <v>3</v>
      </c>
      <c r="V3004">
        <v>179.19</v>
      </c>
      <c r="W3004">
        <v>13130003002</v>
      </c>
    </row>
    <row r="3005" spans="1:23" x14ac:dyDescent="0.2">
      <c r="A3005" s="1">
        <v>44788</v>
      </c>
      <c r="B3005" s="2">
        <v>0.72590277777777779</v>
      </c>
      <c r="C3005">
        <v>4003</v>
      </c>
      <c r="D3005">
        <v>13002561</v>
      </c>
      <c r="E3005">
        <v>13</v>
      </c>
      <c r="F3005">
        <v>22589</v>
      </c>
      <c r="G3005" t="s">
        <v>23</v>
      </c>
      <c r="H3005">
        <v>18</v>
      </c>
      <c r="I3005">
        <v>89490</v>
      </c>
      <c r="J3005" t="s">
        <v>63</v>
      </c>
      <c r="K3005" t="s">
        <v>45</v>
      </c>
      <c r="L3005" t="s">
        <v>32</v>
      </c>
      <c r="M3005">
        <v>3</v>
      </c>
      <c r="N3005">
        <v>246.41</v>
      </c>
      <c r="O3005">
        <v>418.41</v>
      </c>
      <c r="P3005">
        <v>0</v>
      </c>
      <c r="Q3005">
        <v>0</v>
      </c>
      <c r="S3005">
        <v>29</v>
      </c>
      <c r="T3005">
        <v>1</v>
      </c>
      <c r="U3005">
        <v>1</v>
      </c>
      <c r="V3005">
        <v>418.41</v>
      </c>
      <c r="W3005">
        <v>13130003003</v>
      </c>
    </row>
    <row r="3006" spans="1:23" x14ac:dyDescent="0.2">
      <c r="A3006" s="1">
        <v>44780</v>
      </c>
      <c r="B3006" s="2">
        <v>0.73928240740740736</v>
      </c>
      <c r="C3006">
        <v>4004</v>
      </c>
      <c r="D3006">
        <v>13002561</v>
      </c>
      <c r="E3006">
        <v>13</v>
      </c>
      <c r="F3006">
        <v>22589</v>
      </c>
      <c r="G3006" t="s">
        <v>23</v>
      </c>
      <c r="H3006">
        <v>15</v>
      </c>
      <c r="I3006">
        <v>81343</v>
      </c>
      <c r="J3006" t="s">
        <v>105</v>
      </c>
      <c r="K3006" t="s">
        <v>45</v>
      </c>
      <c r="L3006" t="s">
        <v>32</v>
      </c>
      <c r="M3006">
        <v>2</v>
      </c>
      <c r="N3006">
        <v>28.41</v>
      </c>
      <c r="O3006">
        <v>43.54</v>
      </c>
      <c r="P3006">
        <v>4.3499999999999996</v>
      </c>
      <c r="Q3006">
        <v>4.3499999999999996</v>
      </c>
      <c r="R3006" t="s">
        <v>30</v>
      </c>
      <c r="S3006">
        <v>29</v>
      </c>
      <c r="T3006">
        <v>1</v>
      </c>
      <c r="U3006">
        <v>5</v>
      </c>
      <c r="V3006">
        <v>39.19</v>
      </c>
      <c r="W3006">
        <v>13130003004</v>
      </c>
    </row>
    <row r="3007" spans="1:23" x14ac:dyDescent="0.2">
      <c r="A3007" s="1">
        <v>44801</v>
      </c>
      <c r="B3007" s="2">
        <v>0.85810185185185184</v>
      </c>
      <c r="C3007">
        <v>4005</v>
      </c>
      <c r="D3007">
        <v>13002561</v>
      </c>
      <c r="E3007">
        <v>13</v>
      </c>
      <c r="F3007">
        <v>22589</v>
      </c>
      <c r="G3007" t="s">
        <v>23</v>
      </c>
      <c r="H3007">
        <v>18</v>
      </c>
      <c r="I3007">
        <v>67713</v>
      </c>
      <c r="J3007" t="s">
        <v>83</v>
      </c>
      <c r="K3007" t="s">
        <v>38</v>
      </c>
      <c r="L3007" t="s">
        <v>26</v>
      </c>
      <c r="M3007">
        <v>3</v>
      </c>
      <c r="N3007">
        <v>234.53</v>
      </c>
      <c r="O3007">
        <v>351.66</v>
      </c>
      <c r="P3007">
        <v>35.17</v>
      </c>
      <c r="Q3007">
        <v>35.17</v>
      </c>
      <c r="R3007" t="s">
        <v>30</v>
      </c>
      <c r="S3007">
        <v>29</v>
      </c>
      <c r="T3007">
        <v>1</v>
      </c>
      <c r="U3007">
        <v>5</v>
      </c>
      <c r="V3007">
        <v>316.49</v>
      </c>
      <c r="W3007">
        <v>13130003005</v>
      </c>
    </row>
    <row r="3008" spans="1:23" x14ac:dyDescent="0.2">
      <c r="A3008" s="1">
        <v>44781</v>
      </c>
      <c r="B3008" s="2">
        <v>0.84212962962962967</v>
      </c>
      <c r="C3008">
        <v>4006</v>
      </c>
      <c r="D3008">
        <v>13002561</v>
      </c>
      <c r="E3008">
        <v>13</v>
      </c>
      <c r="F3008">
        <v>22589</v>
      </c>
      <c r="G3008" t="s">
        <v>23</v>
      </c>
      <c r="H3008">
        <v>15</v>
      </c>
      <c r="I3008">
        <v>28366</v>
      </c>
      <c r="J3008" t="s">
        <v>93</v>
      </c>
      <c r="K3008" t="s">
        <v>25</v>
      </c>
      <c r="L3008" t="s">
        <v>51</v>
      </c>
      <c r="M3008">
        <v>2</v>
      </c>
      <c r="N3008">
        <v>398</v>
      </c>
      <c r="O3008">
        <v>661.34</v>
      </c>
      <c r="P3008">
        <v>66.13</v>
      </c>
      <c r="Q3008">
        <v>66.13</v>
      </c>
      <c r="R3008" t="s">
        <v>30</v>
      </c>
      <c r="S3008">
        <v>29</v>
      </c>
      <c r="T3008">
        <v>1</v>
      </c>
      <c r="U3008">
        <v>6</v>
      </c>
      <c r="V3008">
        <v>595.21</v>
      </c>
      <c r="W3008">
        <v>13130003006</v>
      </c>
    </row>
    <row r="3009" spans="1:23" x14ac:dyDescent="0.2">
      <c r="A3009" s="1">
        <v>44787</v>
      </c>
      <c r="B3009" s="2">
        <v>0.72318287037037032</v>
      </c>
      <c r="C3009">
        <v>4007</v>
      </c>
      <c r="D3009">
        <v>13002561</v>
      </c>
      <c r="E3009">
        <v>13</v>
      </c>
      <c r="F3009">
        <v>22589</v>
      </c>
      <c r="G3009" t="s">
        <v>23</v>
      </c>
      <c r="H3009">
        <v>15</v>
      </c>
      <c r="I3009">
        <v>48143</v>
      </c>
      <c r="J3009" t="s">
        <v>61</v>
      </c>
      <c r="K3009" t="s">
        <v>44</v>
      </c>
      <c r="L3009" t="s">
        <v>51</v>
      </c>
      <c r="M3009">
        <v>2</v>
      </c>
      <c r="N3009">
        <v>382.75</v>
      </c>
      <c r="O3009">
        <v>636.9</v>
      </c>
      <c r="P3009">
        <v>0</v>
      </c>
      <c r="Q3009">
        <v>0</v>
      </c>
      <c r="S3009">
        <v>29</v>
      </c>
      <c r="T3009">
        <v>1</v>
      </c>
      <c r="U3009">
        <v>4</v>
      </c>
      <c r="V3009">
        <v>636.9</v>
      </c>
      <c r="W3009">
        <v>13130003007</v>
      </c>
    </row>
    <row r="3010" spans="1:23" x14ac:dyDescent="0.2">
      <c r="A3010" s="1">
        <v>44778</v>
      </c>
      <c r="B3010" s="2">
        <v>0.71759259259259256</v>
      </c>
      <c r="C3010">
        <v>4008</v>
      </c>
      <c r="D3010">
        <v>13002561</v>
      </c>
      <c r="E3010">
        <v>13</v>
      </c>
      <c r="F3010">
        <v>22589</v>
      </c>
      <c r="G3010" t="s">
        <v>23</v>
      </c>
      <c r="H3010">
        <v>18</v>
      </c>
      <c r="I3010">
        <v>47698</v>
      </c>
      <c r="J3010" t="s">
        <v>98</v>
      </c>
      <c r="K3010" t="s">
        <v>60</v>
      </c>
      <c r="L3010" t="s">
        <v>36</v>
      </c>
      <c r="M3010">
        <v>2</v>
      </c>
      <c r="N3010">
        <v>77.14</v>
      </c>
      <c r="O3010">
        <v>129.72</v>
      </c>
      <c r="P3010">
        <v>12.97</v>
      </c>
      <c r="Q3010">
        <v>12.97</v>
      </c>
      <c r="R3010" t="s">
        <v>30</v>
      </c>
      <c r="S3010">
        <v>29</v>
      </c>
      <c r="T3010">
        <v>1</v>
      </c>
      <c r="U3010">
        <v>5</v>
      </c>
      <c r="V3010">
        <v>116.75</v>
      </c>
      <c r="W3010">
        <v>13130003008</v>
      </c>
    </row>
    <row r="3011" spans="1:23" x14ac:dyDescent="0.2">
      <c r="A3011" s="1">
        <v>44774</v>
      </c>
      <c r="B3011" s="2">
        <v>0.74714120370370374</v>
      </c>
      <c r="C3011">
        <v>4009</v>
      </c>
      <c r="D3011">
        <v>13002561</v>
      </c>
      <c r="E3011">
        <v>13</v>
      </c>
      <c r="F3011">
        <v>22589</v>
      </c>
      <c r="G3011" t="s">
        <v>23</v>
      </c>
      <c r="H3011">
        <v>15</v>
      </c>
      <c r="I3011">
        <v>95910</v>
      </c>
      <c r="J3011" t="s">
        <v>54</v>
      </c>
      <c r="K3011" t="s">
        <v>44</v>
      </c>
      <c r="L3011" t="s">
        <v>39</v>
      </c>
      <c r="M3011">
        <v>1</v>
      </c>
      <c r="N3011">
        <v>59.25</v>
      </c>
      <c r="O3011">
        <v>86.03</v>
      </c>
      <c r="P3011">
        <v>8.6</v>
      </c>
      <c r="Q3011">
        <v>8.6</v>
      </c>
      <c r="R3011" t="s">
        <v>30</v>
      </c>
      <c r="S3011">
        <v>29</v>
      </c>
      <c r="T3011">
        <v>1</v>
      </c>
      <c r="U3011">
        <v>4</v>
      </c>
      <c r="V3011">
        <v>77.430000000000007</v>
      </c>
      <c r="W3011">
        <v>13130003009</v>
      </c>
    </row>
    <row r="3012" spans="1:23" x14ac:dyDescent="0.2">
      <c r="A3012" s="1">
        <v>44800</v>
      </c>
      <c r="B3012" s="2">
        <v>0.54334490740740737</v>
      </c>
      <c r="C3012">
        <v>4010</v>
      </c>
      <c r="D3012">
        <v>13002561</v>
      </c>
      <c r="E3012">
        <v>13</v>
      </c>
      <c r="F3012">
        <v>22589</v>
      </c>
      <c r="G3012" t="s">
        <v>23</v>
      </c>
      <c r="H3012">
        <v>18</v>
      </c>
      <c r="I3012">
        <v>86248</v>
      </c>
      <c r="J3012" t="s">
        <v>86</v>
      </c>
      <c r="K3012" t="s">
        <v>25</v>
      </c>
      <c r="L3012" t="s">
        <v>26</v>
      </c>
      <c r="M3012">
        <v>1</v>
      </c>
      <c r="N3012">
        <v>591.78</v>
      </c>
      <c r="O3012">
        <v>881.97</v>
      </c>
      <c r="P3012">
        <v>44.1</v>
      </c>
      <c r="Q3012">
        <v>44.1</v>
      </c>
      <c r="R3012" t="s">
        <v>30</v>
      </c>
      <c r="S3012">
        <v>29</v>
      </c>
      <c r="T3012">
        <v>1</v>
      </c>
      <c r="U3012">
        <v>1</v>
      </c>
      <c r="V3012">
        <v>837.87</v>
      </c>
      <c r="W3012">
        <v>13130003010</v>
      </c>
    </row>
    <row r="3013" spans="1:23" x14ac:dyDescent="0.2">
      <c r="A3013" s="1">
        <v>44797</v>
      </c>
      <c r="B3013" s="2">
        <v>0.76559027777777777</v>
      </c>
      <c r="C3013">
        <v>4011</v>
      </c>
      <c r="D3013">
        <v>13002561</v>
      </c>
      <c r="E3013">
        <v>13</v>
      </c>
      <c r="F3013">
        <v>22589</v>
      </c>
      <c r="G3013" t="s">
        <v>23</v>
      </c>
      <c r="H3013">
        <v>18</v>
      </c>
      <c r="I3013">
        <v>94178</v>
      </c>
      <c r="J3013" t="s">
        <v>118</v>
      </c>
      <c r="K3013" t="s">
        <v>45</v>
      </c>
      <c r="L3013" t="s">
        <v>51</v>
      </c>
      <c r="M3013">
        <v>1</v>
      </c>
      <c r="N3013">
        <v>364.28</v>
      </c>
      <c r="O3013">
        <v>586.58000000000004</v>
      </c>
      <c r="P3013">
        <v>29.33</v>
      </c>
      <c r="Q3013">
        <v>29.33</v>
      </c>
      <c r="R3013" t="s">
        <v>30</v>
      </c>
      <c r="S3013">
        <v>29</v>
      </c>
      <c r="T3013">
        <v>1</v>
      </c>
      <c r="U3013">
        <v>3</v>
      </c>
      <c r="V3013">
        <v>557.25</v>
      </c>
      <c r="W3013">
        <v>13130003011</v>
      </c>
    </row>
    <row r="3014" spans="1:23" x14ac:dyDescent="0.2">
      <c r="A3014" s="1">
        <v>44804</v>
      </c>
      <c r="B3014" s="2">
        <v>0.54865740740740743</v>
      </c>
      <c r="C3014">
        <v>4012</v>
      </c>
      <c r="D3014">
        <v>13002561</v>
      </c>
      <c r="E3014">
        <v>13</v>
      </c>
      <c r="F3014">
        <v>22589</v>
      </c>
      <c r="G3014" t="s">
        <v>23</v>
      </c>
      <c r="H3014">
        <v>15</v>
      </c>
      <c r="I3014">
        <v>33638</v>
      </c>
      <c r="J3014" t="s">
        <v>115</v>
      </c>
      <c r="K3014" t="s">
        <v>38</v>
      </c>
      <c r="L3014" t="s">
        <v>36</v>
      </c>
      <c r="M3014">
        <v>3</v>
      </c>
      <c r="N3014">
        <v>277.13</v>
      </c>
      <c r="O3014">
        <v>471.08</v>
      </c>
      <c r="P3014">
        <v>23.55</v>
      </c>
      <c r="Q3014">
        <v>23.55</v>
      </c>
      <c r="R3014" t="s">
        <v>30</v>
      </c>
      <c r="S3014">
        <v>29</v>
      </c>
      <c r="T3014">
        <v>1</v>
      </c>
      <c r="U3014">
        <v>6</v>
      </c>
      <c r="V3014">
        <v>447.53</v>
      </c>
      <c r="W3014">
        <v>13130003012</v>
      </c>
    </row>
    <row r="3015" spans="1:23" x14ac:dyDescent="0.2">
      <c r="A3015" s="1">
        <v>44775</v>
      </c>
      <c r="B3015" s="2">
        <v>0.71629629629629632</v>
      </c>
      <c r="C3015">
        <v>4013</v>
      </c>
      <c r="D3015">
        <v>13002561</v>
      </c>
      <c r="E3015">
        <v>13</v>
      </c>
      <c r="F3015">
        <v>22589</v>
      </c>
      <c r="G3015" t="s">
        <v>23</v>
      </c>
      <c r="H3015">
        <v>18</v>
      </c>
      <c r="I3015">
        <v>46692</v>
      </c>
      <c r="J3015" t="s">
        <v>100</v>
      </c>
      <c r="K3015" t="s">
        <v>38</v>
      </c>
      <c r="L3015" t="s">
        <v>26</v>
      </c>
      <c r="M3015">
        <v>2</v>
      </c>
      <c r="N3015">
        <v>421.69</v>
      </c>
      <c r="O3015">
        <v>700.35</v>
      </c>
      <c r="P3015">
        <v>35.020000000000003</v>
      </c>
      <c r="Q3015">
        <v>35.020000000000003</v>
      </c>
      <c r="R3015" t="s">
        <v>30</v>
      </c>
      <c r="S3015">
        <v>29</v>
      </c>
      <c r="T3015">
        <v>1</v>
      </c>
      <c r="U3015">
        <v>3</v>
      </c>
      <c r="V3015">
        <v>665.33</v>
      </c>
      <c r="W3015">
        <v>13130003013</v>
      </c>
    </row>
    <row r="3016" spans="1:23" x14ac:dyDescent="0.2">
      <c r="A3016" s="1">
        <v>44799</v>
      </c>
      <c r="B3016" s="2">
        <v>0.39960648148148148</v>
      </c>
      <c r="C3016">
        <v>4014</v>
      </c>
      <c r="D3016">
        <v>13002561</v>
      </c>
      <c r="E3016">
        <v>13</v>
      </c>
      <c r="F3016">
        <v>22589</v>
      </c>
      <c r="G3016" t="s">
        <v>23</v>
      </c>
      <c r="H3016">
        <v>18</v>
      </c>
      <c r="I3016">
        <v>28009</v>
      </c>
      <c r="J3016" t="s">
        <v>59</v>
      </c>
      <c r="K3016" t="s">
        <v>45</v>
      </c>
      <c r="L3016" t="s">
        <v>34</v>
      </c>
      <c r="M3016">
        <v>1</v>
      </c>
      <c r="N3016">
        <v>190.56</v>
      </c>
      <c r="O3016">
        <v>247.08</v>
      </c>
      <c r="P3016">
        <v>24.71</v>
      </c>
      <c r="Q3016">
        <v>24.71</v>
      </c>
      <c r="R3016" t="s">
        <v>30</v>
      </c>
      <c r="S3016">
        <v>29</v>
      </c>
      <c r="T3016">
        <v>1</v>
      </c>
      <c r="U3016">
        <v>5</v>
      </c>
      <c r="V3016">
        <v>222.37</v>
      </c>
      <c r="W3016">
        <v>13130003014</v>
      </c>
    </row>
    <row r="3017" spans="1:23" x14ac:dyDescent="0.2">
      <c r="A3017" s="1">
        <v>44799</v>
      </c>
      <c r="B3017" s="2">
        <v>0.37142361111111111</v>
      </c>
      <c r="C3017">
        <v>4015</v>
      </c>
      <c r="D3017">
        <v>13002561</v>
      </c>
      <c r="E3017">
        <v>13</v>
      </c>
      <c r="F3017">
        <v>22589</v>
      </c>
      <c r="G3017" t="s">
        <v>23</v>
      </c>
      <c r="H3017">
        <v>15</v>
      </c>
      <c r="I3017">
        <v>93775</v>
      </c>
      <c r="J3017" t="s">
        <v>82</v>
      </c>
      <c r="K3017" t="s">
        <v>28</v>
      </c>
      <c r="L3017" t="s">
        <v>26</v>
      </c>
      <c r="M3017">
        <v>1</v>
      </c>
      <c r="N3017">
        <v>141.29</v>
      </c>
      <c r="O3017">
        <v>191.66</v>
      </c>
      <c r="P3017">
        <v>9.58</v>
      </c>
      <c r="Q3017">
        <v>9.58</v>
      </c>
      <c r="R3017" t="s">
        <v>30</v>
      </c>
      <c r="S3017">
        <v>29</v>
      </c>
      <c r="T3017">
        <v>1</v>
      </c>
      <c r="U3017">
        <v>6</v>
      </c>
      <c r="V3017">
        <v>182.08</v>
      </c>
      <c r="W3017">
        <v>13130003015</v>
      </c>
    </row>
    <row r="3018" spans="1:23" x14ac:dyDescent="0.2">
      <c r="A3018" s="1">
        <v>44779</v>
      </c>
      <c r="B3018" s="2">
        <v>0.69658564814814816</v>
      </c>
      <c r="C3018">
        <v>4016</v>
      </c>
      <c r="D3018">
        <v>13002561</v>
      </c>
      <c r="E3018">
        <v>13</v>
      </c>
      <c r="F3018">
        <v>22589</v>
      </c>
      <c r="G3018" t="s">
        <v>23</v>
      </c>
      <c r="H3018">
        <v>18</v>
      </c>
      <c r="I3018">
        <v>58391</v>
      </c>
      <c r="J3018" t="s">
        <v>87</v>
      </c>
      <c r="K3018" t="s">
        <v>45</v>
      </c>
      <c r="L3018" t="s">
        <v>51</v>
      </c>
      <c r="M3018">
        <v>2</v>
      </c>
      <c r="N3018">
        <v>25.78</v>
      </c>
      <c r="O3018">
        <v>40.76</v>
      </c>
      <c r="P3018">
        <v>2.04</v>
      </c>
      <c r="Q3018">
        <v>2.04</v>
      </c>
      <c r="R3018" t="s">
        <v>30</v>
      </c>
      <c r="S3018">
        <v>29</v>
      </c>
      <c r="T3018">
        <v>1</v>
      </c>
      <c r="U3018">
        <v>5</v>
      </c>
      <c r="V3018">
        <v>38.72</v>
      </c>
      <c r="W3018">
        <v>13130003016</v>
      </c>
    </row>
    <row r="3019" spans="1:23" x14ac:dyDescent="0.2">
      <c r="A3019" s="1">
        <v>44792</v>
      </c>
      <c r="B3019" s="2">
        <v>0.4321990740740741</v>
      </c>
      <c r="C3019">
        <v>4017</v>
      </c>
      <c r="D3019">
        <v>13002561</v>
      </c>
      <c r="E3019">
        <v>13</v>
      </c>
      <c r="F3019">
        <v>22589</v>
      </c>
      <c r="G3019" t="s">
        <v>23</v>
      </c>
      <c r="H3019">
        <v>18</v>
      </c>
      <c r="I3019">
        <v>16639</v>
      </c>
      <c r="J3019" t="s">
        <v>115</v>
      </c>
      <c r="K3019" t="s">
        <v>25</v>
      </c>
      <c r="L3019" t="s">
        <v>47</v>
      </c>
      <c r="M3019">
        <v>3</v>
      </c>
      <c r="N3019">
        <v>175.73</v>
      </c>
      <c r="O3019">
        <v>225.91</v>
      </c>
      <c r="P3019">
        <v>0</v>
      </c>
      <c r="Q3019">
        <v>0</v>
      </c>
      <c r="S3019">
        <v>29</v>
      </c>
      <c r="T3019">
        <v>1</v>
      </c>
      <c r="U3019">
        <v>1</v>
      </c>
      <c r="V3019">
        <v>225.91</v>
      </c>
      <c r="W3019">
        <v>13130003017</v>
      </c>
    </row>
    <row r="3020" spans="1:23" x14ac:dyDescent="0.2">
      <c r="A3020" s="1">
        <v>44777</v>
      </c>
      <c r="B3020" s="2">
        <v>0.85274305555555552</v>
      </c>
      <c r="C3020">
        <v>4018</v>
      </c>
      <c r="D3020">
        <v>13002561</v>
      </c>
      <c r="E3020">
        <v>13</v>
      </c>
      <c r="F3020">
        <v>22589</v>
      </c>
      <c r="G3020" t="s">
        <v>23</v>
      </c>
      <c r="H3020">
        <v>18</v>
      </c>
      <c r="I3020">
        <v>20975</v>
      </c>
      <c r="J3020" t="s">
        <v>115</v>
      </c>
      <c r="K3020" t="s">
        <v>38</v>
      </c>
      <c r="L3020" t="s">
        <v>26</v>
      </c>
      <c r="M3020">
        <v>2</v>
      </c>
      <c r="N3020">
        <v>176.25</v>
      </c>
      <c r="O3020">
        <v>296.07</v>
      </c>
      <c r="P3020">
        <v>29.61</v>
      </c>
      <c r="Q3020">
        <v>29.61</v>
      </c>
      <c r="R3020" t="s">
        <v>30</v>
      </c>
      <c r="S3020">
        <v>29</v>
      </c>
      <c r="T3020">
        <v>1</v>
      </c>
      <c r="U3020">
        <v>1</v>
      </c>
      <c r="V3020">
        <v>266.45999999999998</v>
      </c>
      <c r="W3020">
        <v>13130003018</v>
      </c>
    </row>
    <row r="3021" spans="1:23" x14ac:dyDescent="0.2">
      <c r="A3021" s="1">
        <v>44802</v>
      </c>
      <c r="B3021" s="2">
        <v>0.45900462962962962</v>
      </c>
      <c r="C3021">
        <v>4019</v>
      </c>
      <c r="D3021">
        <v>13002561</v>
      </c>
      <c r="E3021">
        <v>13</v>
      </c>
      <c r="F3021">
        <v>22589</v>
      </c>
      <c r="G3021" t="s">
        <v>23</v>
      </c>
      <c r="H3021">
        <v>18</v>
      </c>
      <c r="I3021">
        <v>29389</v>
      </c>
      <c r="J3021" t="s">
        <v>88</v>
      </c>
      <c r="K3021" t="s">
        <v>28</v>
      </c>
      <c r="L3021" t="s">
        <v>29</v>
      </c>
      <c r="M3021">
        <v>3</v>
      </c>
      <c r="N3021">
        <v>134.28</v>
      </c>
      <c r="O3021">
        <v>168.08</v>
      </c>
      <c r="P3021">
        <v>16.809999999999999</v>
      </c>
      <c r="Q3021">
        <v>16.809999999999999</v>
      </c>
      <c r="R3021" t="s">
        <v>30</v>
      </c>
      <c r="S3021">
        <v>29</v>
      </c>
      <c r="T3021">
        <v>1</v>
      </c>
      <c r="U3021">
        <v>3</v>
      </c>
      <c r="V3021">
        <v>151.27000000000001</v>
      </c>
      <c r="W3021">
        <v>13130003019</v>
      </c>
    </row>
    <row r="3022" spans="1:23" x14ac:dyDescent="0.2">
      <c r="A3022" s="1">
        <v>44779</v>
      </c>
      <c r="B3022" s="2">
        <v>0.85819444444444448</v>
      </c>
      <c r="C3022">
        <v>4020</v>
      </c>
      <c r="D3022">
        <v>13002561</v>
      </c>
      <c r="E3022">
        <v>13</v>
      </c>
      <c r="F3022">
        <v>22589</v>
      </c>
      <c r="G3022" t="s">
        <v>23</v>
      </c>
      <c r="H3022">
        <v>18</v>
      </c>
      <c r="I3022">
        <v>88256</v>
      </c>
      <c r="J3022" t="s">
        <v>88</v>
      </c>
      <c r="K3022" t="s">
        <v>60</v>
      </c>
      <c r="L3022" t="s">
        <v>32</v>
      </c>
      <c r="M3022">
        <v>3</v>
      </c>
      <c r="N3022">
        <v>393.22</v>
      </c>
      <c r="O3022">
        <v>664.6</v>
      </c>
      <c r="P3022">
        <v>0</v>
      </c>
      <c r="Q3022">
        <v>0</v>
      </c>
      <c r="S3022">
        <v>29</v>
      </c>
      <c r="T3022">
        <v>1</v>
      </c>
      <c r="U3022">
        <v>6</v>
      </c>
      <c r="V3022">
        <v>664.6</v>
      </c>
      <c r="W3022">
        <v>13130003020</v>
      </c>
    </row>
    <row r="3023" spans="1:23" x14ac:dyDescent="0.2">
      <c r="A3023" s="1">
        <v>44804</v>
      </c>
      <c r="B3023" s="2">
        <v>0.85832175925925924</v>
      </c>
      <c r="C3023">
        <v>4021</v>
      </c>
      <c r="D3023">
        <v>13002561</v>
      </c>
      <c r="E3023">
        <v>13</v>
      </c>
      <c r="F3023">
        <v>22589</v>
      </c>
      <c r="G3023" t="s">
        <v>23</v>
      </c>
      <c r="H3023">
        <v>15</v>
      </c>
      <c r="I3023">
        <v>13510</v>
      </c>
      <c r="J3023" t="s">
        <v>127</v>
      </c>
      <c r="K3023" t="s">
        <v>45</v>
      </c>
      <c r="L3023" t="s">
        <v>39</v>
      </c>
      <c r="M3023">
        <v>2</v>
      </c>
      <c r="N3023">
        <v>488.94</v>
      </c>
      <c r="O3023">
        <v>765.97</v>
      </c>
      <c r="P3023">
        <v>38.299999999999997</v>
      </c>
      <c r="Q3023">
        <v>38.299999999999997</v>
      </c>
      <c r="R3023" t="s">
        <v>30</v>
      </c>
      <c r="S3023">
        <v>29</v>
      </c>
      <c r="T3023">
        <v>1</v>
      </c>
      <c r="U3023">
        <v>2</v>
      </c>
      <c r="V3023">
        <v>727.67</v>
      </c>
      <c r="W3023">
        <v>13130003021</v>
      </c>
    </row>
    <row r="3024" spans="1:23" x14ac:dyDescent="0.2">
      <c r="A3024" s="1">
        <v>44785</v>
      </c>
      <c r="B3024" s="2">
        <v>0.42704861111111109</v>
      </c>
      <c r="C3024">
        <v>4022</v>
      </c>
      <c r="D3024">
        <v>13002561</v>
      </c>
      <c r="E3024">
        <v>13</v>
      </c>
      <c r="F3024">
        <v>22589</v>
      </c>
      <c r="G3024" t="s">
        <v>23</v>
      </c>
      <c r="H3024">
        <v>15</v>
      </c>
      <c r="I3024">
        <v>80355</v>
      </c>
      <c r="J3024" t="s">
        <v>35</v>
      </c>
      <c r="K3024" t="s">
        <v>38</v>
      </c>
      <c r="L3024" t="s">
        <v>32</v>
      </c>
      <c r="M3024">
        <v>2</v>
      </c>
      <c r="N3024">
        <v>581.05999999999995</v>
      </c>
      <c r="O3024">
        <v>858.46</v>
      </c>
      <c r="P3024">
        <v>0</v>
      </c>
      <c r="Q3024">
        <v>0</v>
      </c>
      <c r="S3024">
        <v>29</v>
      </c>
      <c r="T3024">
        <v>1</v>
      </c>
      <c r="U3024">
        <v>2</v>
      </c>
      <c r="V3024">
        <v>858.46</v>
      </c>
      <c r="W3024">
        <v>13130003022</v>
      </c>
    </row>
    <row r="3025" spans="1:23" x14ac:dyDescent="0.2">
      <c r="A3025" s="1">
        <v>44795</v>
      </c>
      <c r="B3025" s="2">
        <v>0.37574074074074082</v>
      </c>
      <c r="C3025">
        <v>4023</v>
      </c>
      <c r="D3025">
        <v>13002561</v>
      </c>
      <c r="E3025">
        <v>13</v>
      </c>
      <c r="F3025">
        <v>22589</v>
      </c>
      <c r="G3025" t="s">
        <v>23</v>
      </c>
      <c r="H3025">
        <v>15</v>
      </c>
      <c r="I3025">
        <v>74069</v>
      </c>
      <c r="J3025" t="s">
        <v>120</v>
      </c>
      <c r="K3025" t="s">
        <v>44</v>
      </c>
      <c r="L3025" t="s">
        <v>39</v>
      </c>
      <c r="M3025">
        <v>3</v>
      </c>
      <c r="N3025">
        <v>16.899999999999999</v>
      </c>
      <c r="O3025">
        <v>23.01</v>
      </c>
      <c r="P3025">
        <v>0</v>
      </c>
      <c r="Q3025">
        <v>0</v>
      </c>
      <c r="S3025">
        <v>29</v>
      </c>
      <c r="T3025">
        <v>1</v>
      </c>
      <c r="U3025">
        <v>6</v>
      </c>
      <c r="V3025">
        <v>23.01</v>
      </c>
      <c r="W3025">
        <v>13130003023</v>
      </c>
    </row>
    <row r="3026" spans="1:23" x14ac:dyDescent="0.2">
      <c r="A3026" s="1">
        <v>44785</v>
      </c>
      <c r="B3026" s="2">
        <v>0.50932870370370376</v>
      </c>
      <c r="C3026">
        <v>4024</v>
      </c>
      <c r="D3026">
        <v>13002561</v>
      </c>
      <c r="E3026">
        <v>13</v>
      </c>
      <c r="F3026">
        <v>22589</v>
      </c>
      <c r="G3026" t="s">
        <v>23</v>
      </c>
      <c r="H3026">
        <v>18</v>
      </c>
      <c r="I3026">
        <v>75337</v>
      </c>
      <c r="J3026" t="s">
        <v>41</v>
      </c>
      <c r="K3026" t="s">
        <v>25</v>
      </c>
      <c r="L3026" t="s">
        <v>39</v>
      </c>
      <c r="M3026">
        <v>3</v>
      </c>
      <c r="N3026">
        <v>94</v>
      </c>
      <c r="O3026">
        <v>140.28</v>
      </c>
      <c r="P3026">
        <v>7.01</v>
      </c>
      <c r="Q3026">
        <v>7.01</v>
      </c>
      <c r="R3026" t="s">
        <v>30</v>
      </c>
      <c r="S3026">
        <v>29</v>
      </c>
      <c r="T3026">
        <v>1</v>
      </c>
      <c r="U3026">
        <v>4</v>
      </c>
      <c r="V3026">
        <v>133.27000000000001</v>
      </c>
      <c r="W3026">
        <v>13130003024</v>
      </c>
    </row>
    <row r="3027" spans="1:23" x14ac:dyDescent="0.2">
      <c r="A3027" s="1">
        <v>44774</v>
      </c>
      <c r="B3027" s="2">
        <v>0.85962962962962963</v>
      </c>
      <c r="C3027">
        <v>4025</v>
      </c>
      <c r="D3027">
        <v>13002561</v>
      </c>
      <c r="E3027">
        <v>13</v>
      </c>
      <c r="F3027">
        <v>22589</v>
      </c>
      <c r="G3027" t="s">
        <v>23</v>
      </c>
      <c r="H3027">
        <v>15</v>
      </c>
      <c r="I3027">
        <v>16676</v>
      </c>
      <c r="J3027" t="s">
        <v>106</v>
      </c>
      <c r="K3027" t="s">
        <v>45</v>
      </c>
      <c r="L3027" t="s">
        <v>51</v>
      </c>
      <c r="M3027">
        <v>1</v>
      </c>
      <c r="N3027">
        <v>353.88</v>
      </c>
      <c r="O3027">
        <v>453.01</v>
      </c>
      <c r="P3027">
        <v>45.3</v>
      </c>
      <c r="Q3027">
        <v>45.3</v>
      </c>
      <c r="R3027" t="s">
        <v>30</v>
      </c>
      <c r="S3027">
        <v>29</v>
      </c>
      <c r="T3027">
        <v>1</v>
      </c>
      <c r="U3027">
        <v>4</v>
      </c>
      <c r="V3027">
        <v>407.71</v>
      </c>
      <c r="W3027">
        <v>13130003025</v>
      </c>
    </row>
    <row r="3028" spans="1:23" x14ac:dyDescent="0.2">
      <c r="A3028" s="1">
        <v>44779</v>
      </c>
      <c r="B3028" s="2">
        <v>0.58591435185185181</v>
      </c>
      <c r="C3028">
        <v>4026</v>
      </c>
      <c r="D3028">
        <v>13002561</v>
      </c>
      <c r="E3028">
        <v>13</v>
      </c>
      <c r="F3028">
        <v>22589</v>
      </c>
      <c r="G3028" t="s">
        <v>23</v>
      </c>
      <c r="H3028">
        <v>18</v>
      </c>
      <c r="I3028">
        <v>85398</v>
      </c>
      <c r="J3028" t="s">
        <v>90</v>
      </c>
      <c r="K3028" t="s">
        <v>28</v>
      </c>
      <c r="L3028" t="s">
        <v>29</v>
      </c>
      <c r="M3028">
        <v>3</v>
      </c>
      <c r="N3028">
        <v>420.45</v>
      </c>
      <c r="O3028">
        <v>675.16</v>
      </c>
      <c r="P3028">
        <v>33.76</v>
      </c>
      <c r="Q3028">
        <v>33.76</v>
      </c>
      <c r="R3028" t="s">
        <v>30</v>
      </c>
      <c r="S3028">
        <v>29</v>
      </c>
      <c r="T3028">
        <v>1</v>
      </c>
      <c r="U3028">
        <v>2</v>
      </c>
      <c r="V3028">
        <v>641.4</v>
      </c>
      <c r="W3028">
        <v>13130003026</v>
      </c>
    </row>
    <row r="3029" spans="1:23" x14ac:dyDescent="0.2">
      <c r="A3029" s="1">
        <v>44791</v>
      </c>
      <c r="B3029" s="2">
        <v>0.38238425925925928</v>
      </c>
      <c r="C3029">
        <v>4027</v>
      </c>
      <c r="D3029">
        <v>13002561</v>
      </c>
      <c r="E3029">
        <v>13</v>
      </c>
      <c r="F3029">
        <v>22589</v>
      </c>
      <c r="G3029" t="s">
        <v>23</v>
      </c>
      <c r="H3029">
        <v>18</v>
      </c>
      <c r="I3029">
        <v>33105</v>
      </c>
      <c r="J3029" t="s">
        <v>73</v>
      </c>
      <c r="K3029" t="s">
        <v>45</v>
      </c>
      <c r="L3029" t="s">
        <v>51</v>
      </c>
      <c r="M3029">
        <v>1</v>
      </c>
      <c r="N3029">
        <v>204.31</v>
      </c>
      <c r="O3029">
        <v>279.8</v>
      </c>
      <c r="P3029">
        <v>13.99</v>
      </c>
      <c r="Q3029">
        <v>13.99</v>
      </c>
      <c r="R3029" t="s">
        <v>30</v>
      </c>
      <c r="S3029">
        <v>29</v>
      </c>
      <c r="T3029">
        <v>1</v>
      </c>
      <c r="U3029">
        <v>2</v>
      </c>
      <c r="V3029">
        <v>265.81</v>
      </c>
      <c r="W3029">
        <v>13130003027</v>
      </c>
    </row>
    <row r="3030" spans="1:23" x14ac:dyDescent="0.2">
      <c r="A3030" s="1">
        <v>44790</v>
      </c>
      <c r="B3030" s="2">
        <v>0.50231481481481477</v>
      </c>
      <c r="C3030">
        <v>4028</v>
      </c>
      <c r="D3030">
        <v>13002561</v>
      </c>
      <c r="E3030">
        <v>13</v>
      </c>
      <c r="F3030">
        <v>22589</v>
      </c>
      <c r="G3030" t="s">
        <v>23</v>
      </c>
      <c r="H3030">
        <v>18</v>
      </c>
      <c r="I3030">
        <v>93605</v>
      </c>
      <c r="J3030" t="s">
        <v>55</v>
      </c>
      <c r="K3030" t="s">
        <v>45</v>
      </c>
      <c r="L3030" t="s">
        <v>26</v>
      </c>
      <c r="M3030">
        <v>1</v>
      </c>
      <c r="N3030">
        <v>386.93</v>
      </c>
      <c r="O3030">
        <v>538.14</v>
      </c>
      <c r="P3030">
        <v>53.81</v>
      </c>
      <c r="Q3030">
        <v>53.81</v>
      </c>
      <c r="R3030" t="s">
        <v>30</v>
      </c>
      <c r="S3030">
        <v>29</v>
      </c>
      <c r="T3030">
        <v>1</v>
      </c>
      <c r="U3030">
        <v>4</v>
      </c>
      <c r="V3030">
        <v>484.33</v>
      </c>
      <c r="W3030">
        <v>13130003028</v>
      </c>
    </row>
    <row r="3031" spans="1:23" x14ac:dyDescent="0.2">
      <c r="A3031" s="1">
        <v>44790</v>
      </c>
      <c r="B3031" s="2">
        <v>0.56607638888888889</v>
      </c>
      <c r="C3031">
        <v>4029</v>
      </c>
      <c r="D3031">
        <v>13002561</v>
      </c>
      <c r="E3031">
        <v>13</v>
      </c>
      <c r="F3031">
        <v>22589</v>
      </c>
      <c r="G3031" t="s">
        <v>23</v>
      </c>
      <c r="H3031">
        <v>18</v>
      </c>
      <c r="I3031">
        <v>38013</v>
      </c>
      <c r="J3031" t="s">
        <v>96</v>
      </c>
      <c r="K3031" t="s">
        <v>28</v>
      </c>
      <c r="L3031" t="s">
        <v>32</v>
      </c>
      <c r="M3031">
        <v>3</v>
      </c>
      <c r="N3031">
        <v>518.04999999999995</v>
      </c>
      <c r="O3031">
        <v>712.82</v>
      </c>
      <c r="P3031">
        <v>35.64</v>
      </c>
      <c r="Q3031">
        <v>35.64</v>
      </c>
      <c r="R3031" t="s">
        <v>30</v>
      </c>
      <c r="S3031">
        <v>29</v>
      </c>
      <c r="T3031">
        <v>1</v>
      </c>
      <c r="U3031">
        <v>5</v>
      </c>
      <c r="V3031">
        <v>677.18</v>
      </c>
      <c r="W3031">
        <v>13130003029</v>
      </c>
    </row>
    <row r="3032" spans="1:23" x14ac:dyDescent="0.2">
      <c r="A3032" s="1">
        <v>44776</v>
      </c>
      <c r="B3032" s="2">
        <v>0.76333333333333331</v>
      </c>
      <c r="C3032">
        <v>4030</v>
      </c>
      <c r="D3032">
        <v>13002561</v>
      </c>
      <c r="E3032">
        <v>13</v>
      </c>
      <c r="F3032">
        <v>22589</v>
      </c>
      <c r="G3032" t="s">
        <v>23</v>
      </c>
      <c r="H3032">
        <v>15</v>
      </c>
      <c r="I3032">
        <v>87817</v>
      </c>
      <c r="J3032" t="s">
        <v>83</v>
      </c>
      <c r="K3032" t="s">
        <v>28</v>
      </c>
      <c r="L3032" t="s">
        <v>39</v>
      </c>
      <c r="M3032">
        <v>1</v>
      </c>
      <c r="N3032">
        <v>580.07000000000005</v>
      </c>
      <c r="O3032">
        <v>761.02</v>
      </c>
      <c r="P3032">
        <v>76.099999999999994</v>
      </c>
      <c r="Q3032">
        <v>76.099999999999994</v>
      </c>
      <c r="R3032" t="s">
        <v>30</v>
      </c>
      <c r="S3032">
        <v>29</v>
      </c>
      <c r="T3032">
        <v>1</v>
      </c>
      <c r="U3032">
        <v>4</v>
      </c>
      <c r="V3032">
        <v>684.92</v>
      </c>
      <c r="W3032">
        <v>13130003030</v>
      </c>
    </row>
    <row r="3033" spans="1:23" x14ac:dyDescent="0.2">
      <c r="A3033" s="1">
        <v>44790</v>
      </c>
      <c r="B3033" s="2">
        <v>0.85434027777777777</v>
      </c>
      <c r="C3033">
        <v>4031</v>
      </c>
      <c r="D3033">
        <v>13002561</v>
      </c>
      <c r="E3033">
        <v>13</v>
      </c>
      <c r="F3033">
        <v>22589</v>
      </c>
      <c r="G3033" t="s">
        <v>23</v>
      </c>
      <c r="H3033">
        <v>15</v>
      </c>
      <c r="I3033">
        <v>95989</v>
      </c>
      <c r="J3033" t="s">
        <v>75</v>
      </c>
      <c r="K3033" t="s">
        <v>28</v>
      </c>
      <c r="L3033" t="s">
        <v>26</v>
      </c>
      <c r="M3033">
        <v>2</v>
      </c>
      <c r="N3033">
        <v>431.38</v>
      </c>
      <c r="O3033">
        <v>628.51</v>
      </c>
      <c r="P3033">
        <v>31.43</v>
      </c>
      <c r="Q3033">
        <v>31.43</v>
      </c>
      <c r="R3033" t="s">
        <v>30</v>
      </c>
      <c r="S3033">
        <v>29</v>
      </c>
      <c r="T3033">
        <v>1</v>
      </c>
      <c r="U3033">
        <v>6</v>
      </c>
      <c r="V3033">
        <v>597.08000000000004</v>
      </c>
      <c r="W3033">
        <v>13130003031</v>
      </c>
    </row>
    <row r="3034" spans="1:23" x14ac:dyDescent="0.2">
      <c r="A3034" s="1">
        <v>44781</v>
      </c>
      <c r="B3034" s="2">
        <v>0.54934027777777783</v>
      </c>
      <c r="C3034">
        <v>4032</v>
      </c>
      <c r="D3034">
        <v>13002561</v>
      </c>
      <c r="E3034">
        <v>13</v>
      </c>
      <c r="F3034">
        <v>22589</v>
      </c>
      <c r="G3034" t="s">
        <v>23</v>
      </c>
      <c r="H3034">
        <v>15</v>
      </c>
      <c r="I3034">
        <v>33487</v>
      </c>
      <c r="J3034" t="s">
        <v>117</v>
      </c>
      <c r="K3034" t="s">
        <v>44</v>
      </c>
      <c r="L3034" t="s">
        <v>34</v>
      </c>
      <c r="M3034">
        <v>2</v>
      </c>
      <c r="N3034">
        <v>338.04</v>
      </c>
      <c r="O3034">
        <v>558.73</v>
      </c>
      <c r="P3034">
        <v>0</v>
      </c>
      <c r="Q3034">
        <v>0</v>
      </c>
      <c r="S3034">
        <v>29</v>
      </c>
      <c r="T3034">
        <v>1</v>
      </c>
      <c r="U3034">
        <v>5</v>
      </c>
      <c r="V3034">
        <v>558.73</v>
      </c>
      <c r="W3034">
        <v>13130003032</v>
      </c>
    </row>
    <row r="3035" spans="1:23" x14ac:dyDescent="0.2">
      <c r="A3035" s="1">
        <v>44794</v>
      </c>
      <c r="B3035" s="2">
        <v>0.76476851851851857</v>
      </c>
      <c r="C3035">
        <v>4033</v>
      </c>
      <c r="D3035">
        <v>13002561</v>
      </c>
      <c r="E3035">
        <v>13</v>
      </c>
      <c r="F3035">
        <v>22589</v>
      </c>
      <c r="G3035" t="s">
        <v>23</v>
      </c>
      <c r="H3035">
        <v>15</v>
      </c>
      <c r="I3035">
        <v>22193</v>
      </c>
      <c r="J3035" t="s">
        <v>113</v>
      </c>
      <c r="K3035" t="s">
        <v>28</v>
      </c>
      <c r="L3035" t="s">
        <v>51</v>
      </c>
      <c r="M3035">
        <v>1</v>
      </c>
      <c r="N3035">
        <v>567.24</v>
      </c>
      <c r="O3035">
        <v>962.4</v>
      </c>
      <c r="P3035">
        <v>48.12</v>
      </c>
      <c r="Q3035">
        <v>48.12</v>
      </c>
      <c r="R3035" t="s">
        <v>30</v>
      </c>
      <c r="S3035">
        <v>29</v>
      </c>
      <c r="T3035">
        <v>1</v>
      </c>
      <c r="U3035">
        <v>3</v>
      </c>
      <c r="V3035">
        <v>914.28</v>
      </c>
      <c r="W3035">
        <v>13130003033</v>
      </c>
    </row>
    <row r="3036" spans="1:23" x14ac:dyDescent="0.2">
      <c r="A3036" s="1">
        <v>44777</v>
      </c>
      <c r="B3036" s="2">
        <v>0.5115277777777778</v>
      </c>
      <c r="C3036">
        <v>4034</v>
      </c>
      <c r="D3036">
        <v>13002561</v>
      </c>
      <c r="E3036">
        <v>13</v>
      </c>
      <c r="F3036">
        <v>22589</v>
      </c>
      <c r="G3036" t="s">
        <v>23</v>
      </c>
      <c r="H3036">
        <v>18</v>
      </c>
      <c r="I3036">
        <v>37372</v>
      </c>
      <c r="J3036" t="s">
        <v>94</v>
      </c>
      <c r="K3036" t="s">
        <v>38</v>
      </c>
      <c r="L3036" t="s">
        <v>39</v>
      </c>
      <c r="M3036">
        <v>2</v>
      </c>
      <c r="N3036">
        <v>168.59</v>
      </c>
      <c r="O3036">
        <v>252.09</v>
      </c>
      <c r="P3036">
        <v>12.6</v>
      </c>
      <c r="Q3036">
        <v>12.6</v>
      </c>
      <c r="R3036" t="s">
        <v>30</v>
      </c>
      <c r="S3036">
        <v>29</v>
      </c>
      <c r="T3036">
        <v>1</v>
      </c>
      <c r="U3036">
        <v>2</v>
      </c>
      <c r="V3036">
        <v>239.49</v>
      </c>
      <c r="W3036">
        <v>13130003034</v>
      </c>
    </row>
    <row r="3037" spans="1:23" x14ac:dyDescent="0.2">
      <c r="A3037" s="1">
        <v>44785</v>
      </c>
      <c r="B3037" s="2">
        <v>0.93229166666666663</v>
      </c>
      <c r="C3037">
        <v>4035</v>
      </c>
      <c r="D3037">
        <v>13002561</v>
      </c>
      <c r="E3037">
        <v>13</v>
      </c>
      <c r="F3037">
        <v>22589</v>
      </c>
      <c r="G3037" t="s">
        <v>23</v>
      </c>
      <c r="H3037">
        <v>15</v>
      </c>
      <c r="I3037">
        <v>35295</v>
      </c>
      <c r="J3037" t="s">
        <v>123</v>
      </c>
      <c r="K3037" t="s">
        <v>44</v>
      </c>
      <c r="L3037" t="s">
        <v>32</v>
      </c>
      <c r="M3037">
        <v>3</v>
      </c>
      <c r="N3037">
        <v>442.81</v>
      </c>
      <c r="O3037">
        <v>573.88</v>
      </c>
      <c r="P3037">
        <v>0</v>
      </c>
      <c r="Q3037">
        <v>0</v>
      </c>
      <c r="S3037">
        <v>29</v>
      </c>
      <c r="T3037">
        <v>1</v>
      </c>
      <c r="U3037">
        <v>5</v>
      </c>
      <c r="V3037">
        <v>573.88</v>
      </c>
      <c r="W3037">
        <v>13130003035</v>
      </c>
    </row>
    <row r="3038" spans="1:23" x14ac:dyDescent="0.2">
      <c r="A3038" s="1">
        <v>44785</v>
      </c>
      <c r="B3038" s="2">
        <v>0.7378703703703704</v>
      </c>
      <c r="C3038">
        <v>4036</v>
      </c>
      <c r="D3038">
        <v>13002561</v>
      </c>
      <c r="E3038">
        <v>13</v>
      </c>
      <c r="F3038">
        <v>22589</v>
      </c>
      <c r="G3038" t="s">
        <v>23</v>
      </c>
      <c r="H3038">
        <v>15</v>
      </c>
      <c r="I3038">
        <v>90547</v>
      </c>
      <c r="J3038" t="s">
        <v>127</v>
      </c>
      <c r="K3038" t="s">
        <v>60</v>
      </c>
      <c r="L3038" t="s">
        <v>34</v>
      </c>
      <c r="M3038">
        <v>3</v>
      </c>
      <c r="N3038">
        <v>453.52</v>
      </c>
      <c r="O3038">
        <v>637.49</v>
      </c>
      <c r="P3038">
        <v>31.87</v>
      </c>
      <c r="Q3038">
        <v>31.87</v>
      </c>
      <c r="R3038" t="s">
        <v>30</v>
      </c>
      <c r="S3038">
        <v>29</v>
      </c>
      <c r="T3038">
        <v>1</v>
      </c>
      <c r="U3038">
        <v>1</v>
      </c>
      <c r="V3038">
        <v>605.62</v>
      </c>
      <c r="W3038">
        <v>13130003036</v>
      </c>
    </row>
    <row r="3039" spans="1:23" x14ac:dyDescent="0.2">
      <c r="A3039" s="1">
        <v>44793</v>
      </c>
      <c r="B3039" s="2">
        <v>0.89839120370370373</v>
      </c>
      <c r="C3039">
        <v>4037</v>
      </c>
      <c r="D3039">
        <v>13002561</v>
      </c>
      <c r="E3039">
        <v>13</v>
      </c>
      <c r="F3039">
        <v>22589</v>
      </c>
      <c r="G3039" t="s">
        <v>23</v>
      </c>
      <c r="H3039">
        <v>15</v>
      </c>
      <c r="I3039">
        <v>27440</v>
      </c>
      <c r="J3039" t="s">
        <v>103</v>
      </c>
      <c r="K3039" t="s">
        <v>25</v>
      </c>
      <c r="L3039" t="s">
        <v>36</v>
      </c>
      <c r="M3039">
        <v>2</v>
      </c>
      <c r="N3039">
        <v>279.77999999999997</v>
      </c>
      <c r="O3039">
        <v>408.43</v>
      </c>
      <c r="P3039">
        <v>40.840000000000003</v>
      </c>
      <c r="Q3039">
        <v>40.840000000000003</v>
      </c>
      <c r="R3039" t="s">
        <v>30</v>
      </c>
      <c r="S3039">
        <v>29</v>
      </c>
      <c r="T3039">
        <v>1</v>
      </c>
      <c r="U3039">
        <v>2</v>
      </c>
      <c r="V3039">
        <v>367.59</v>
      </c>
      <c r="W3039">
        <v>13130003037</v>
      </c>
    </row>
    <row r="3040" spans="1:23" x14ac:dyDescent="0.2">
      <c r="A3040" s="1">
        <v>44779</v>
      </c>
      <c r="B3040" s="2">
        <v>0.4586574074074074</v>
      </c>
      <c r="C3040">
        <v>4038</v>
      </c>
      <c r="D3040">
        <v>13002561</v>
      </c>
      <c r="E3040">
        <v>13</v>
      </c>
      <c r="F3040">
        <v>22589</v>
      </c>
      <c r="G3040" t="s">
        <v>23</v>
      </c>
      <c r="H3040">
        <v>15</v>
      </c>
      <c r="I3040">
        <v>68171</v>
      </c>
      <c r="J3040" t="s">
        <v>63</v>
      </c>
      <c r="K3040" t="s">
        <v>25</v>
      </c>
      <c r="L3040" t="s">
        <v>26</v>
      </c>
      <c r="M3040">
        <v>2</v>
      </c>
      <c r="N3040">
        <v>355.02</v>
      </c>
      <c r="O3040">
        <v>544.33000000000004</v>
      </c>
      <c r="P3040">
        <v>0</v>
      </c>
      <c r="Q3040">
        <v>0</v>
      </c>
      <c r="S3040">
        <v>29</v>
      </c>
      <c r="T3040">
        <v>1</v>
      </c>
      <c r="U3040">
        <v>6</v>
      </c>
      <c r="V3040">
        <v>544.33000000000004</v>
      </c>
      <c r="W3040">
        <v>13130003038</v>
      </c>
    </row>
    <row r="3041" spans="1:23" x14ac:dyDescent="0.2">
      <c r="A3041" s="1">
        <v>44794</v>
      </c>
      <c r="B3041" s="2">
        <v>0.35324074074074069</v>
      </c>
      <c r="C3041">
        <v>4039</v>
      </c>
      <c r="D3041">
        <v>13002561</v>
      </c>
      <c r="E3041">
        <v>13</v>
      </c>
      <c r="F3041">
        <v>22589</v>
      </c>
      <c r="G3041" t="s">
        <v>23</v>
      </c>
      <c r="H3041">
        <v>15</v>
      </c>
      <c r="I3041">
        <v>52776</v>
      </c>
      <c r="J3041" t="s">
        <v>123</v>
      </c>
      <c r="K3041" t="s">
        <v>25</v>
      </c>
      <c r="L3041" t="s">
        <v>39</v>
      </c>
      <c r="M3041">
        <v>2</v>
      </c>
      <c r="N3041">
        <v>495.19</v>
      </c>
      <c r="O3041">
        <v>626.88</v>
      </c>
      <c r="P3041">
        <v>0</v>
      </c>
      <c r="Q3041">
        <v>0</v>
      </c>
      <c r="S3041">
        <v>29</v>
      </c>
      <c r="T3041">
        <v>1</v>
      </c>
      <c r="U3041">
        <v>1</v>
      </c>
      <c r="V3041">
        <v>626.88</v>
      </c>
      <c r="W3041">
        <v>13130003039</v>
      </c>
    </row>
    <row r="3042" spans="1:23" x14ac:dyDescent="0.2">
      <c r="A3042" s="1">
        <v>44786</v>
      </c>
      <c r="B3042" s="2">
        <v>0.77847222222222223</v>
      </c>
      <c r="C3042">
        <v>4040</v>
      </c>
      <c r="D3042">
        <v>13002561</v>
      </c>
      <c r="E3042">
        <v>13</v>
      </c>
      <c r="F3042">
        <v>22589</v>
      </c>
      <c r="G3042" t="s">
        <v>23</v>
      </c>
      <c r="H3042">
        <v>18</v>
      </c>
      <c r="I3042">
        <v>86095</v>
      </c>
      <c r="J3042" t="s">
        <v>86</v>
      </c>
      <c r="K3042" t="s">
        <v>44</v>
      </c>
      <c r="L3042" t="s">
        <v>36</v>
      </c>
      <c r="M3042">
        <v>1</v>
      </c>
      <c r="N3042">
        <v>555.5</v>
      </c>
      <c r="O3042">
        <v>751</v>
      </c>
      <c r="P3042">
        <v>0</v>
      </c>
      <c r="Q3042">
        <v>0</v>
      </c>
      <c r="S3042">
        <v>29</v>
      </c>
      <c r="T3042">
        <v>1</v>
      </c>
      <c r="U3042">
        <v>3</v>
      </c>
      <c r="V3042">
        <v>751</v>
      </c>
      <c r="W3042">
        <v>13130003040</v>
      </c>
    </row>
    <row r="3043" spans="1:23" x14ac:dyDescent="0.2">
      <c r="A3043" s="1">
        <v>44804</v>
      </c>
      <c r="B3043" s="2">
        <v>0.46197916666666672</v>
      </c>
      <c r="C3043">
        <v>4041</v>
      </c>
      <c r="D3043">
        <v>13002561</v>
      </c>
      <c r="E3043">
        <v>13</v>
      </c>
      <c r="F3043">
        <v>22589</v>
      </c>
      <c r="G3043" t="s">
        <v>23</v>
      </c>
      <c r="H3043">
        <v>18</v>
      </c>
      <c r="I3043">
        <v>99884</v>
      </c>
      <c r="J3043" t="s">
        <v>108</v>
      </c>
      <c r="K3043" t="s">
        <v>38</v>
      </c>
      <c r="L3043" t="s">
        <v>39</v>
      </c>
      <c r="M3043">
        <v>2</v>
      </c>
      <c r="N3043">
        <v>530.23</v>
      </c>
      <c r="O3043">
        <v>870.55</v>
      </c>
      <c r="P3043">
        <v>0</v>
      </c>
      <c r="Q3043">
        <v>0</v>
      </c>
      <c r="S3043">
        <v>29</v>
      </c>
      <c r="T3043">
        <v>1</v>
      </c>
      <c r="U3043">
        <v>2</v>
      </c>
      <c r="V3043">
        <v>870.55</v>
      </c>
      <c r="W3043">
        <v>13130003041</v>
      </c>
    </row>
    <row r="3044" spans="1:23" x14ac:dyDescent="0.2">
      <c r="A3044" s="1">
        <v>44777</v>
      </c>
      <c r="B3044" s="2">
        <v>0.45998842592592593</v>
      </c>
      <c r="C3044">
        <v>4042</v>
      </c>
      <c r="D3044">
        <v>13002561</v>
      </c>
      <c r="E3044">
        <v>13</v>
      </c>
      <c r="F3044">
        <v>22589</v>
      </c>
      <c r="G3044" t="s">
        <v>23</v>
      </c>
      <c r="H3044">
        <v>18</v>
      </c>
      <c r="I3044">
        <v>69768</v>
      </c>
      <c r="J3044" t="s">
        <v>55</v>
      </c>
      <c r="K3044" t="s">
        <v>44</v>
      </c>
      <c r="L3044" t="s">
        <v>32</v>
      </c>
      <c r="M3044">
        <v>2</v>
      </c>
      <c r="N3044">
        <v>464.68</v>
      </c>
      <c r="O3044">
        <v>680.12</v>
      </c>
      <c r="P3044">
        <v>34.01</v>
      </c>
      <c r="Q3044">
        <v>34.01</v>
      </c>
      <c r="R3044" t="s">
        <v>30</v>
      </c>
      <c r="S3044">
        <v>29</v>
      </c>
      <c r="T3044">
        <v>1</v>
      </c>
      <c r="U3044">
        <v>2</v>
      </c>
      <c r="V3044">
        <v>646.11</v>
      </c>
      <c r="W3044">
        <v>13130003042</v>
      </c>
    </row>
    <row r="3045" spans="1:23" x14ac:dyDescent="0.2">
      <c r="A3045" s="1">
        <v>44784</v>
      </c>
      <c r="B3045" s="2">
        <v>0.72619212962962965</v>
      </c>
      <c r="C3045">
        <v>4043</v>
      </c>
      <c r="D3045">
        <v>13002561</v>
      </c>
      <c r="E3045">
        <v>13</v>
      </c>
      <c r="F3045">
        <v>22589</v>
      </c>
      <c r="G3045" t="s">
        <v>23</v>
      </c>
      <c r="H3045">
        <v>18</v>
      </c>
      <c r="I3045">
        <v>81237</v>
      </c>
      <c r="J3045" t="s">
        <v>116</v>
      </c>
      <c r="K3045" t="s">
        <v>60</v>
      </c>
      <c r="L3045" t="s">
        <v>47</v>
      </c>
      <c r="M3045">
        <v>1</v>
      </c>
      <c r="N3045">
        <v>108.39</v>
      </c>
      <c r="O3045">
        <v>161.96</v>
      </c>
      <c r="P3045">
        <v>8.1</v>
      </c>
      <c r="Q3045">
        <v>8.1</v>
      </c>
      <c r="R3045" t="s">
        <v>30</v>
      </c>
      <c r="S3045">
        <v>29</v>
      </c>
      <c r="T3045">
        <v>1</v>
      </c>
      <c r="U3045">
        <v>6</v>
      </c>
      <c r="V3045">
        <v>153.86000000000001</v>
      </c>
      <c r="W3045">
        <v>13130003043</v>
      </c>
    </row>
    <row r="3046" spans="1:23" x14ac:dyDescent="0.2">
      <c r="A3046" s="1">
        <v>44787</v>
      </c>
      <c r="B3046" s="2">
        <v>0.43625000000000003</v>
      </c>
      <c r="C3046">
        <v>4044</v>
      </c>
      <c r="D3046">
        <v>13002561</v>
      </c>
      <c r="E3046">
        <v>13</v>
      </c>
      <c r="F3046">
        <v>22589</v>
      </c>
      <c r="G3046" t="s">
        <v>23</v>
      </c>
      <c r="H3046">
        <v>18</v>
      </c>
      <c r="I3046">
        <v>74166</v>
      </c>
      <c r="J3046" t="s">
        <v>94</v>
      </c>
      <c r="K3046" t="s">
        <v>44</v>
      </c>
      <c r="L3046" t="s">
        <v>47</v>
      </c>
      <c r="M3046">
        <v>3</v>
      </c>
      <c r="N3046">
        <v>173.69</v>
      </c>
      <c r="O3046">
        <v>219.88</v>
      </c>
      <c r="P3046">
        <v>0</v>
      </c>
      <c r="Q3046">
        <v>0</v>
      </c>
      <c r="S3046">
        <v>29</v>
      </c>
      <c r="T3046">
        <v>1</v>
      </c>
      <c r="U3046">
        <v>1</v>
      </c>
      <c r="V3046">
        <v>219.88</v>
      </c>
      <c r="W3046">
        <v>13130003044</v>
      </c>
    </row>
    <row r="3047" spans="1:23" x14ac:dyDescent="0.2">
      <c r="A3047" s="1">
        <v>44775</v>
      </c>
      <c r="B3047" s="2">
        <v>0.41771990740740739</v>
      </c>
      <c r="C3047">
        <v>4045</v>
      </c>
      <c r="D3047">
        <v>13002561</v>
      </c>
      <c r="E3047">
        <v>13</v>
      </c>
      <c r="F3047">
        <v>22589</v>
      </c>
      <c r="G3047" t="s">
        <v>23</v>
      </c>
      <c r="H3047">
        <v>18</v>
      </c>
      <c r="I3047">
        <v>53412</v>
      </c>
      <c r="J3047" t="s">
        <v>72</v>
      </c>
      <c r="K3047" t="s">
        <v>28</v>
      </c>
      <c r="L3047" t="s">
        <v>26</v>
      </c>
      <c r="M3047">
        <v>3</v>
      </c>
      <c r="N3047">
        <v>160.47999999999999</v>
      </c>
      <c r="O3047">
        <v>218.8</v>
      </c>
      <c r="P3047">
        <v>10.94</v>
      </c>
      <c r="Q3047">
        <v>10.94</v>
      </c>
      <c r="R3047" t="s">
        <v>30</v>
      </c>
      <c r="S3047">
        <v>29</v>
      </c>
      <c r="T3047">
        <v>1</v>
      </c>
      <c r="U3047">
        <v>1</v>
      </c>
      <c r="V3047">
        <v>207.86</v>
      </c>
      <c r="W3047">
        <v>13130003045</v>
      </c>
    </row>
    <row r="3048" spans="1:23" x14ac:dyDescent="0.2">
      <c r="A3048" s="1">
        <v>44797</v>
      </c>
      <c r="B3048" s="2">
        <v>0.77681712962962968</v>
      </c>
      <c r="C3048">
        <v>4046</v>
      </c>
      <c r="D3048">
        <v>13002561</v>
      </c>
      <c r="E3048">
        <v>13</v>
      </c>
      <c r="F3048">
        <v>22589</v>
      </c>
      <c r="G3048" t="s">
        <v>23</v>
      </c>
      <c r="H3048">
        <v>18</v>
      </c>
      <c r="I3048">
        <v>44821</v>
      </c>
      <c r="J3048" t="s">
        <v>110</v>
      </c>
      <c r="K3048" t="s">
        <v>25</v>
      </c>
      <c r="L3048" t="s">
        <v>36</v>
      </c>
      <c r="M3048">
        <v>2</v>
      </c>
      <c r="N3048">
        <v>107.03</v>
      </c>
      <c r="O3048">
        <v>140.9</v>
      </c>
      <c r="P3048">
        <v>7.05</v>
      </c>
      <c r="Q3048">
        <v>7.05</v>
      </c>
      <c r="R3048" t="s">
        <v>30</v>
      </c>
      <c r="S3048">
        <v>29</v>
      </c>
      <c r="T3048">
        <v>1</v>
      </c>
      <c r="U3048">
        <v>1</v>
      </c>
      <c r="V3048">
        <v>133.85</v>
      </c>
      <c r="W3048">
        <v>13130003046</v>
      </c>
    </row>
    <row r="3049" spans="1:23" x14ac:dyDescent="0.2">
      <c r="A3049" s="1">
        <v>44789</v>
      </c>
      <c r="B3049" s="2">
        <v>0.49373842592592587</v>
      </c>
      <c r="C3049">
        <v>4047</v>
      </c>
      <c r="D3049">
        <v>13002561</v>
      </c>
      <c r="E3049">
        <v>13</v>
      </c>
      <c r="F3049">
        <v>22589</v>
      </c>
      <c r="G3049" t="s">
        <v>23</v>
      </c>
      <c r="H3049">
        <v>15</v>
      </c>
      <c r="I3049">
        <v>99794</v>
      </c>
      <c r="J3049" t="s">
        <v>108</v>
      </c>
      <c r="K3049" t="s">
        <v>44</v>
      </c>
      <c r="L3049" t="s">
        <v>32</v>
      </c>
      <c r="M3049">
        <v>2</v>
      </c>
      <c r="N3049">
        <v>197.21</v>
      </c>
      <c r="O3049">
        <v>268.60000000000002</v>
      </c>
      <c r="P3049">
        <v>26.86</v>
      </c>
      <c r="Q3049">
        <v>26.86</v>
      </c>
      <c r="R3049" t="s">
        <v>30</v>
      </c>
      <c r="S3049">
        <v>29</v>
      </c>
      <c r="T3049">
        <v>1</v>
      </c>
      <c r="U3049">
        <v>3</v>
      </c>
      <c r="V3049">
        <v>241.74</v>
      </c>
      <c r="W3049">
        <v>13130003047</v>
      </c>
    </row>
    <row r="3050" spans="1:23" x14ac:dyDescent="0.2">
      <c r="A3050" s="1">
        <v>44796</v>
      </c>
      <c r="B3050" s="2">
        <v>0.93420138888888893</v>
      </c>
      <c r="C3050">
        <v>4048</v>
      </c>
      <c r="D3050">
        <v>13002561</v>
      </c>
      <c r="E3050">
        <v>13</v>
      </c>
      <c r="F3050">
        <v>22589</v>
      </c>
      <c r="G3050" t="s">
        <v>23</v>
      </c>
      <c r="H3050">
        <v>15</v>
      </c>
      <c r="I3050">
        <v>37672</v>
      </c>
      <c r="J3050" t="s">
        <v>84</v>
      </c>
      <c r="K3050" t="s">
        <v>25</v>
      </c>
      <c r="L3050" t="s">
        <v>32</v>
      </c>
      <c r="M3050">
        <v>2</v>
      </c>
      <c r="N3050">
        <v>424.22</v>
      </c>
      <c r="O3050">
        <v>645.44000000000005</v>
      </c>
      <c r="P3050">
        <v>32.270000000000003</v>
      </c>
      <c r="Q3050">
        <v>32.270000000000003</v>
      </c>
      <c r="R3050" t="s">
        <v>30</v>
      </c>
      <c r="S3050">
        <v>29</v>
      </c>
      <c r="T3050">
        <v>1</v>
      </c>
      <c r="U3050">
        <v>6</v>
      </c>
      <c r="V3050">
        <v>613.16999999999996</v>
      </c>
      <c r="W3050">
        <v>13130003048</v>
      </c>
    </row>
    <row r="3051" spans="1:23" x14ac:dyDescent="0.2">
      <c r="A3051" s="1">
        <v>44785</v>
      </c>
      <c r="B3051" s="2">
        <v>0.83821759259259254</v>
      </c>
      <c r="C3051">
        <v>4049</v>
      </c>
      <c r="D3051">
        <v>13002561</v>
      </c>
      <c r="E3051">
        <v>13</v>
      </c>
      <c r="F3051">
        <v>22589</v>
      </c>
      <c r="G3051" t="s">
        <v>23</v>
      </c>
      <c r="H3051">
        <v>15</v>
      </c>
      <c r="I3051">
        <v>96255</v>
      </c>
      <c r="J3051" t="s">
        <v>27</v>
      </c>
      <c r="K3051" t="s">
        <v>38</v>
      </c>
      <c r="L3051" t="s">
        <v>34</v>
      </c>
      <c r="M3051">
        <v>2</v>
      </c>
      <c r="N3051">
        <v>99.06</v>
      </c>
      <c r="O3051">
        <v>149.58000000000001</v>
      </c>
      <c r="P3051">
        <v>14.96</v>
      </c>
      <c r="Q3051">
        <v>14.96</v>
      </c>
      <c r="R3051" t="s">
        <v>30</v>
      </c>
      <c r="S3051">
        <v>29</v>
      </c>
      <c r="T3051">
        <v>1</v>
      </c>
      <c r="U3051">
        <v>6</v>
      </c>
      <c r="V3051">
        <v>134.62</v>
      </c>
      <c r="W3051">
        <v>13130003049</v>
      </c>
    </row>
    <row r="3052" spans="1:23" x14ac:dyDescent="0.2">
      <c r="A3052" s="1">
        <v>44784</v>
      </c>
      <c r="B3052" s="2">
        <v>0.9059490740740741</v>
      </c>
      <c r="C3052">
        <v>4050</v>
      </c>
      <c r="D3052">
        <v>13002561</v>
      </c>
      <c r="E3052">
        <v>13</v>
      </c>
      <c r="F3052">
        <v>22589</v>
      </c>
      <c r="G3052" t="s">
        <v>23</v>
      </c>
      <c r="H3052">
        <v>18</v>
      </c>
      <c r="I3052">
        <v>56166</v>
      </c>
      <c r="J3052" t="s">
        <v>127</v>
      </c>
      <c r="K3052" t="s">
        <v>44</v>
      </c>
      <c r="L3052" t="s">
        <v>29</v>
      </c>
      <c r="M3052">
        <v>2</v>
      </c>
      <c r="N3052">
        <v>261.14</v>
      </c>
      <c r="O3052">
        <v>443</v>
      </c>
      <c r="P3052">
        <v>44.3</v>
      </c>
      <c r="Q3052">
        <v>44.3</v>
      </c>
      <c r="R3052" t="s">
        <v>30</v>
      </c>
      <c r="S3052">
        <v>29</v>
      </c>
      <c r="T3052">
        <v>1</v>
      </c>
      <c r="U3052">
        <v>3</v>
      </c>
      <c r="V3052">
        <v>398.7</v>
      </c>
      <c r="W3052">
        <v>13130003050</v>
      </c>
    </row>
    <row r="3053" spans="1:23" x14ac:dyDescent="0.2">
      <c r="A3053" s="1">
        <v>44789</v>
      </c>
      <c r="B3053" s="2">
        <v>0.78704861111111113</v>
      </c>
      <c r="C3053">
        <v>4051</v>
      </c>
      <c r="D3053">
        <v>13002561</v>
      </c>
      <c r="E3053">
        <v>13</v>
      </c>
      <c r="F3053">
        <v>22589</v>
      </c>
      <c r="G3053" t="s">
        <v>23</v>
      </c>
      <c r="H3053">
        <v>15</v>
      </c>
      <c r="I3053">
        <v>74778</v>
      </c>
      <c r="J3053" t="s">
        <v>113</v>
      </c>
      <c r="K3053" t="s">
        <v>44</v>
      </c>
      <c r="L3053" t="s">
        <v>39</v>
      </c>
      <c r="M3053">
        <v>3</v>
      </c>
      <c r="N3053">
        <v>60.79</v>
      </c>
      <c r="O3053">
        <v>98.86</v>
      </c>
      <c r="P3053">
        <v>4.9400000000000004</v>
      </c>
      <c r="Q3053">
        <v>4.9400000000000004</v>
      </c>
      <c r="R3053" t="s">
        <v>30</v>
      </c>
      <c r="S3053">
        <v>29</v>
      </c>
      <c r="T3053">
        <v>1</v>
      </c>
      <c r="U3053">
        <v>1</v>
      </c>
      <c r="V3053">
        <v>93.92</v>
      </c>
      <c r="W3053">
        <v>13130003051</v>
      </c>
    </row>
    <row r="3054" spans="1:23" x14ac:dyDescent="0.2">
      <c r="A3054" s="1">
        <v>44793</v>
      </c>
      <c r="B3054" s="2">
        <v>0.37304398148148149</v>
      </c>
      <c r="C3054">
        <v>4052</v>
      </c>
      <c r="D3054">
        <v>13002561</v>
      </c>
      <c r="E3054">
        <v>13</v>
      </c>
      <c r="F3054">
        <v>22589</v>
      </c>
      <c r="G3054" t="s">
        <v>23</v>
      </c>
      <c r="H3054">
        <v>15</v>
      </c>
      <c r="I3054">
        <v>29749</v>
      </c>
      <c r="J3054" t="s">
        <v>33</v>
      </c>
      <c r="K3054" t="s">
        <v>60</v>
      </c>
      <c r="L3054" t="s">
        <v>34</v>
      </c>
      <c r="M3054">
        <v>2</v>
      </c>
      <c r="N3054">
        <v>226.45</v>
      </c>
      <c r="O3054">
        <v>377.99</v>
      </c>
      <c r="P3054">
        <v>0</v>
      </c>
      <c r="Q3054">
        <v>0</v>
      </c>
      <c r="S3054">
        <v>29</v>
      </c>
      <c r="T3054">
        <v>1</v>
      </c>
      <c r="U3054">
        <v>5</v>
      </c>
      <c r="V3054">
        <v>377.99</v>
      </c>
      <c r="W3054">
        <v>13130003052</v>
      </c>
    </row>
    <row r="3055" spans="1:23" x14ac:dyDescent="0.2">
      <c r="A3055" s="1">
        <v>44778</v>
      </c>
      <c r="B3055" s="2">
        <v>0.83005787037037038</v>
      </c>
      <c r="C3055">
        <v>4053</v>
      </c>
      <c r="D3055">
        <v>13002561</v>
      </c>
      <c r="E3055">
        <v>13</v>
      </c>
      <c r="F3055">
        <v>22589</v>
      </c>
      <c r="G3055" t="s">
        <v>23</v>
      </c>
      <c r="H3055">
        <v>18</v>
      </c>
      <c r="I3055">
        <v>23701</v>
      </c>
      <c r="J3055" t="s">
        <v>123</v>
      </c>
      <c r="K3055" t="s">
        <v>25</v>
      </c>
      <c r="L3055" t="s">
        <v>47</v>
      </c>
      <c r="M3055">
        <v>1</v>
      </c>
      <c r="N3055">
        <v>597.57000000000005</v>
      </c>
      <c r="O3055">
        <v>996.83</v>
      </c>
      <c r="P3055">
        <v>49.84</v>
      </c>
      <c r="Q3055">
        <v>49.84</v>
      </c>
      <c r="R3055" t="s">
        <v>30</v>
      </c>
      <c r="S3055">
        <v>29</v>
      </c>
      <c r="T3055">
        <v>1</v>
      </c>
      <c r="U3055">
        <v>3</v>
      </c>
      <c r="V3055">
        <v>946.99</v>
      </c>
      <c r="W3055">
        <v>13130003053</v>
      </c>
    </row>
    <row r="3056" spans="1:23" x14ac:dyDescent="0.2">
      <c r="A3056" s="1">
        <v>44785</v>
      </c>
      <c r="B3056" s="2">
        <v>0.71156249999999999</v>
      </c>
      <c r="C3056">
        <v>4054</v>
      </c>
      <c r="D3056">
        <v>13002561</v>
      </c>
      <c r="E3056">
        <v>13</v>
      </c>
      <c r="F3056">
        <v>22589</v>
      </c>
      <c r="G3056" t="s">
        <v>23</v>
      </c>
      <c r="H3056">
        <v>18</v>
      </c>
      <c r="I3056">
        <v>57674</v>
      </c>
      <c r="J3056" t="s">
        <v>98</v>
      </c>
      <c r="K3056" t="s">
        <v>45</v>
      </c>
      <c r="L3056" t="s">
        <v>39</v>
      </c>
      <c r="M3056">
        <v>3</v>
      </c>
      <c r="N3056">
        <v>313.58</v>
      </c>
      <c r="O3056">
        <v>513.54999999999995</v>
      </c>
      <c r="P3056">
        <v>51.35</v>
      </c>
      <c r="Q3056">
        <v>51.35</v>
      </c>
      <c r="R3056" t="s">
        <v>30</v>
      </c>
      <c r="S3056">
        <v>29</v>
      </c>
      <c r="T3056">
        <v>1</v>
      </c>
      <c r="U3056">
        <v>3</v>
      </c>
      <c r="V3056">
        <v>462.2</v>
      </c>
      <c r="W3056">
        <v>13130003054</v>
      </c>
    </row>
    <row r="3057" spans="1:23" x14ac:dyDescent="0.2">
      <c r="A3057" s="1">
        <v>44797</v>
      </c>
      <c r="B3057" s="2">
        <v>0.78021990740740743</v>
      </c>
      <c r="C3057">
        <v>4055</v>
      </c>
      <c r="D3057">
        <v>13002561</v>
      </c>
      <c r="E3057">
        <v>13</v>
      </c>
      <c r="F3057">
        <v>22589</v>
      </c>
      <c r="G3057" t="s">
        <v>23</v>
      </c>
      <c r="H3057">
        <v>15</v>
      </c>
      <c r="I3057">
        <v>45197</v>
      </c>
      <c r="J3057" t="s">
        <v>120</v>
      </c>
      <c r="K3057" t="s">
        <v>38</v>
      </c>
      <c r="L3057" t="s">
        <v>36</v>
      </c>
      <c r="M3057">
        <v>3</v>
      </c>
      <c r="N3057">
        <v>316.06</v>
      </c>
      <c r="O3057">
        <v>437.71</v>
      </c>
      <c r="P3057">
        <v>21.89</v>
      </c>
      <c r="Q3057">
        <v>21.89</v>
      </c>
      <c r="R3057" t="s">
        <v>30</v>
      </c>
      <c r="S3057">
        <v>29</v>
      </c>
      <c r="T3057">
        <v>1</v>
      </c>
      <c r="U3057">
        <v>3</v>
      </c>
      <c r="V3057">
        <v>415.82</v>
      </c>
      <c r="W3057">
        <v>13130003055</v>
      </c>
    </row>
    <row r="3058" spans="1:23" x14ac:dyDescent="0.2">
      <c r="A3058" s="1">
        <v>44785</v>
      </c>
      <c r="B3058" s="2">
        <v>0.79762731481481486</v>
      </c>
      <c r="C3058">
        <v>4056</v>
      </c>
      <c r="D3058">
        <v>13002561</v>
      </c>
      <c r="E3058">
        <v>13</v>
      </c>
      <c r="F3058">
        <v>22589</v>
      </c>
      <c r="G3058" t="s">
        <v>23</v>
      </c>
      <c r="H3058">
        <v>18</v>
      </c>
      <c r="I3058">
        <v>46034</v>
      </c>
      <c r="J3058" t="s">
        <v>50</v>
      </c>
      <c r="K3058" t="s">
        <v>28</v>
      </c>
      <c r="L3058" t="s">
        <v>39</v>
      </c>
      <c r="M3058">
        <v>2</v>
      </c>
      <c r="N3058">
        <v>480.84</v>
      </c>
      <c r="O3058">
        <v>623.44000000000005</v>
      </c>
      <c r="P3058">
        <v>0</v>
      </c>
      <c r="Q3058">
        <v>0</v>
      </c>
      <c r="S3058">
        <v>29</v>
      </c>
      <c r="T3058">
        <v>1</v>
      </c>
      <c r="U3058">
        <v>3</v>
      </c>
      <c r="V3058">
        <v>623.44000000000005</v>
      </c>
      <c r="W3058">
        <v>13130003056</v>
      </c>
    </row>
    <row r="3059" spans="1:23" x14ac:dyDescent="0.2">
      <c r="A3059" s="1">
        <v>44798</v>
      </c>
      <c r="B3059" s="2">
        <v>0.37862268518518521</v>
      </c>
      <c r="C3059">
        <v>4057</v>
      </c>
      <c r="D3059">
        <v>13002561</v>
      </c>
      <c r="E3059">
        <v>13</v>
      </c>
      <c r="F3059">
        <v>22589</v>
      </c>
      <c r="G3059" t="s">
        <v>23</v>
      </c>
      <c r="H3059">
        <v>18</v>
      </c>
      <c r="I3059">
        <v>50675</v>
      </c>
      <c r="J3059" t="s">
        <v>64</v>
      </c>
      <c r="K3059" t="s">
        <v>38</v>
      </c>
      <c r="L3059" t="s">
        <v>47</v>
      </c>
      <c r="M3059">
        <v>2</v>
      </c>
      <c r="N3059">
        <v>276.77999999999997</v>
      </c>
      <c r="O3059">
        <v>440.38</v>
      </c>
      <c r="P3059">
        <v>22.02</v>
      </c>
      <c r="Q3059">
        <v>22.02</v>
      </c>
      <c r="R3059" t="s">
        <v>30</v>
      </c>
      <c r="S3059">
        <v>29</v>
      </c>
      <c r="T3059">
        <v>1</v>
      </c>
      <c r="U3059">
        <v>1</v>
      </c>
      <c r="V3059">
        <v>418.36</v>
      </c>
      <c r="W3059">
        <v>13130003057</v>
      </c>
    </row>
    <row r="3060" spans="1:23" x14ac:dyDescent="0.2">
      <c r="A3060" s="1">
        <v>44801</v>
      </c>
      <c r="B3060" s="2">
        <v>0.59302083333333333</v>
      </c>
      <c r="C3060">
        <v>4058</v>
      </c>
      <c r="D3060">
        <v>13002561</v>
      </c>
      <c r="E3060">
        <v>13</v>
      </c>
      <c r="F3060">
        <v>22589</v>
      </c>
      <c r="G3060" t="s">
        <v>23</v>
      </c>
      <c r="H3060">
        <v>15</v>
      </c>
      <c r="I3060">
        <v>97444</v>
      </c>
      <c r="J3060" t="s">
        <v>77</v>
      </c>
      <c r="K3060" t="s">
        <v>25</v>
      </c>
      <c r="L3060" t="s">
        <v>47</v>
      </c>
      <c r="M3060">
        <v>1</v>
      </c>
      <c r="N3060">
        <v>186.81</v>
      </c>
      <c r="O3060">
        <v>257.14</v>
      </c>
      <c r="P3060">
        <v>25.71</v>
      </c>
      <c r="Q3060">
        <v>25.71</v>
      </c>
      <c r="R3060" t="s">
        <v>30</v>
      </c>
      <c r="S3060">
        <v>29</v>
      </c>
      <c r="T3060">
        <v>1</v>
      </c>
      <c r="U3060">
        <v>4</v>
      </c>
      <c r="V3060">
        <v>231.43</v>
      </c>
      <c r="W3060">
        <v>13130003058</v>
      </c>
    </row>
    <row r="3061" spans="1:23" x14ac:dyDescent="0.2">
      <c r="A3061" s="1">
        <v>44794</v>
      </c>
      <c r="B3061" s="2">
        <v>0.57874999999999999</v>
      </c>
      <c r="C3061">
        <v>4059</v>
      </c>
      <c r="D3061">
        <v>13002561</v>
      </c>
      <c r="E3061">
        <v>13</v>
      </c>
      <c r="F3061">
        <v>22589</v>
      </c>
      <c r="G3061" t="s">
        <v>23</v>
      </c>
      <c r="H3061">
        <v>15</v>
      </c>
      <c r="I3061">
        <v>71787</v>
      </c>
      <c r="J3061" t="s">
        <v>72</v>
      </c>
      <c r="K3061" t="s">
        <v>28</v>
      </c>
      <c r="L3061" t="s">
        <v>36</v>
      </c>
      <c r="M3061">
        <v>2</v>
      </c>
      <c r="N3061">
        <v>448.41</v>
      </c>
      <c r="O3061">
        <v>655.5</v>
      </c>
      <c r="P3061">
        <v>32.770000000000003</v>
      </c>
      <c r="Q3061">
        <v>32.770000000000003</v>
      </c>
      <c r="R3061" t="s">
        <v>30</v>
      </c>
      <c r="S3061">
        <v>29</v>
      </c>
      <c r="T3061">
        <v>1</v>
      </c>
      <c r="U3061">
        <v>2</v>
      </c>
      <c r="V3061">
        <v>622.73</v>
      </c>
      <c r="W3061">
        <v>13130003059</v>
      </c>
    </row>
    <row r="3062" spans="1:23" x14ac:dyDescent="0.2">
      <c r="A3062" s="1">
        <v>44793</v>
      </c>
      <c r="B3062" s="2">
        <v>0.64789351851851851</v>
      </c>
      <c r="C3062">
        <v>4060</v>
      </c>
      <c r="D3062">
        <v>13002561</v>
      </c>
      <c r="E3062">
        <v>13</v>
      </c>
      <c r="F3062">
        <v>22589</v>
      </c>
      <c r="G3062" t="s">
        <v>23</v>
      </c>
      <c r="H3062">
        <v>18</v>
      </c>
      <c r="I3062">
        <v>24467</v>
      </c>
      <c r="J3062" t="s">
        <v>108</v>
      </c>
      <c r="K3062" t="s">
        <v>28</v>
      </c>
      <c r="L3062" t="s">
        <v>47</v>
      </c>
      <c r="M3062">
        <v>3</v>
      </c>
      <c r="N3062">
        <v>598.05999999999995</v>
      </c>
      <c r="O3062">
        <v>813.66</v>
      </c>
      <c r="P3062">
        <v>40.68</v>
      </c>
      <c r="Q3062">
        <v>40.68</v>
      </c>
      <c r="R3062" t="s">
        <v>30</v>
      </c>
      <c r="S3062">
        <v>29</v>
      </c>
      <c r="T3062">
        <v>1</v>
      </c>
      <c r="U3062">
        <v>1</v>
      </c>
      <c r="V3062">
        <v>772.98</v>
      </c>
      <c r="W3062">
        <v>13130003060</v>
      </c>
    </row>
    <row r="3063" spans="1:23" x14ac:dyDescent="0.2">
      <c r="A3063" s="1">
        <v>44791</v>
      </c>
      <c r="B3063" s="2">
        <v>0.61226851851851849</v>
      </c>
      <c r="C3063">
        <v>4061</v>
      </c>
      <c r="D3063">
        <v>13002561</v>
      </c>
      <c r="E3063">
        <v>13</v>
      </c>
      <c r="F3063">
        <v>22589</v>
      </c>
      <c r="G3063" t="s">
        <v>23</v>
      </c>
      <c r="H3063">
        <v>15</v>
      </c>
      <c r="I3063">
        <v>66098</v>
      </c>
      <c r="J3063" t="s">
        <v>111</v>
      </c>
      <c r="K3063" t="s">
        <v>45</v>
      </c>
      <c r="L3063" t="s">
        <v>51</v>
      </c>
      <c r="M3063">
        <v>1</v>
      </c>
      <c r="N3063">
        <v>563.34</v>
      </c>
      <c r="O3063">
        <v>884.51</v>
      </c>
      <c r="P3063">
        <v>0</v>
      </c>
      <c r="Q3063">
        <v>0</v>
      </c>
      <c r="S3063">
        <v>29</v>
      </c>
      <c r="T3063">
        <v>1</v>
      </c>
      <c r="U3063">
        <v>2</v>
      </c>
      <c r="V3063">
        <v>884.51</v>
      </c>
      <c r="W3063">
        <v>13130003061</v>
      </c>
    </row>
    <row r="3064" spans="1:23" x14ac:dyDescent="0.2">
      <c r="A3064" s="1">
        <v>44798</v>
      </c>
      <c r="B3064" s="2">
        <v>0.76042824074074078</v>
      </c>
      <c r="C3064">
        <v>4062</v>
      </c>
      <c r="D3064">
        <v>13002561</v>
      </c>
      <c r="E3064">
        <v>13</v>
      </c>
      <c r="F3064">
        <v>22589</v>
      </c>
      <c r="G3064" t="s">
        <v>23</v>
      </c>
      <c r="H3064">
        <v>15</v>
      </c>
      <c r="I3064">
        <v>70410</v>
      </c>
      <c r="J3064" t="s">
        <v>124</v>
      </c>
      <c r="K3064" t="s">
        <v>45</v>
      </c>
      <c r="L3064" t="s">
        <v>34</v>
      </c>
      <c r="M3064">
        <v>1</v>
      </c>
      <c r="N3064">
        <v>494.56</v>
      </c>
      <c r="O3064">
        <v>831</v>
      </c>
      <c r="P3064">
        <v>83.1</v>
      </c>
      <c r="Q3064">
        <v>83.1</v>
      </c>
      <c r="R3064" t="s">
        <v>30</v>
      </c>
      <c r="S3064">
        <v>29</v>
      </c>
      <c r="T3064">
        <v>1</v>
      </c>
      <c r="U3064">
        <v>4</v>
      </c>
      <c r="V3064">
        <v>747.9</v>
      </c>
      <c r="W3064">
        <v>13130003062</v>
      </c>
    </row>
    <row r="3065" spans="1:23" x14ac:dyDescent="0.2">
      <c r="A3065" s="1">
        <v>44774</v>
      </c>
      <c r="B3065" s="2">
        <v>0.91958333333333331</v>
      </c>
      <c r="C3065">
        <v>4063</v>
      </c>
      <c r="D3065">
        <v>13002561</v>
      </c>
      <c r="E3065">
        <v>13</v>
      </c>
      <c r="F3065">
        <v>22589</v>
      </c>
      <c r="G3065" t="s">
        <v>23</v>
      </c>
      <c r="H3065">
        <v>18</v>
      </c>
      <c r="I3065">
        <v>75203</v>
      </c>
      <c r="J3065" t="s">
        <v>126</v>
      </c>
      <c r="K3065" t="s">
        <v>44</v>
      </c>
      <c r="L3065" t="s">
        <v>36</v>
      </c>
      <c r="M3065">
        <v>1</v>
      </c>
      <c r="N3065">
        <v>386.57</v>
      </c>
      <c r="O3065">
        <v>567.91</v>
      </c>
      <c r="P3065">
        <v>56.79</v>
      </c>
      <c r="Q3065">
        <v>56.79</v>
      </c>
      <c r="R3065" t="s">
        <v>30</v>
      </c>
      <c r="S3065">
        <v>29</v>
      </c>
      <c r="T3065">
        <v>1</v>
      </c>
      <c r="U3065">
        <v>3</v>
      </c>
      <c r="V3065">
        <v>511.12</v>
      </c>
      <c r="W3065">
        <v>13130003063</v>
      </c>
    </row>
    <row r="3066" spans="1:23" x14ac:dyDescent="0.2">
      <c r="A3066" s="1">
        <v>44800</v>
      </c>
      <c r="B3066" s="2">
        <v>0.82582175925925927</v>
      </c>
      <c r="C3066">
        <v>4064</v>
      </c>
      <c r="D3066">
        <v>13002561</v>
      </c>
      <c r="E3066">
        <v>13</v>
      </c>
      <c r="F3066">
        <v>22589</v>
      </c>
      <c r="G3066" t="s">
        <v>23</v>
      </c>
      <c r="H3066">
        <v>18</v>
      </c>
      <c r="I3066">
        <v>25940</v>
      </c>
      <c r="J3066" t="s">
        <v>120</v>
      </c>
      <c r="K3066" t="s">
        <v>25</v>
      </c>
      <c r="L3066" t="s">
        <v>36</v>
      </c>
      <c r="M3066">
        <v>3</v>
      </c>
      <c r="N3066">
        <v>491.55</v>
      </c>
      <c r="O3066">
        <v>773.32</v>
      </c>
      <c r="P3066">
        <v>77.33</v>
      </c>
      <c r="Q3066">
        <v>77.33</v>
      </c>
      <c r="R3066" t="s">
        <v>30</v>
      </c>
      <c r="S3066">
        <v>29</v>
      </c>
      <c r="T3066">
        <v>1</v>
      </c>
      <c r="U3066">
        <v>1</v>
      </c>
      <c r="V3066">
        <v>695.99</v>
      </c>
      <c r="W3066">
        <v>13130003064</v>
      </c>
    </row>
    <row r="3067" spans="1:23" x14ac:dyDescent="0.2">
      <c r="A3067" s="1">
        <v>44803</v>
      </c>
      <c r="B3067" s="2">
        <v>0.66490740740740739</v>
      </c>
      <c r="C3067">
        <v>4065</v>
      </c>
      <c r="D3067">
        <v>13002561</v>
      </c>
      <c r="E3067">
        <v>13</v>
      </c>
      <c r="F3067">
        <v>22589</v>
      </c>
      <c r="G3067" t="s">
        <v>23</v>
      </c>
      <c r="H3067">
        <v>18</v>
      </c>
      <c r="I3067">
        <v>39089</v>
      </c>
      <c r="J3067" t="s">
        <v>67</v>
      </c>
      <c r="K3067" t="s">
        <v>60</v>
      </c>
      <c r="L3067" t="s">
        <v>47</v>
      </c>
      <c r="M3067">
        <v>3</v>
      </c>
      <c r="N3067">
        <v>71.12</v>
      </c>
      <c r="O3067">
        <v>119.58</v>
      </c>
      <c r="P3067">
        <v>5.98</v>
      </c>
      <c r="Q3067">
        <v>5.98</v>
      </c>
      <c r="R3067" t="s">
        <v>30</v>
      </c>
      <c r="S3067">
        <v>29</v>
      </c>
      <c r="T3067">
        <v>1</v>
      </c>
      <c r="U3067">
        <v>4</v>
      </c>
      <c r="V3067">
        <v>113.6</v>
      </c>
      <c r="W3067">
        <v>13130003065</v>
      </c>
    </row>
    <row r="3068" spans="1:23" x14ac:dyDescent="0.2">
      <c r="A3068" s="1">
        <v>44803</v>
      </c>
      <c r="B3068" s="2">
        <v>0.71452546296296293</v>
      </c>
      <c r="C3068">
        <v>4066</v>
      </c>
      <c r="D3068">
        <v>13002561</v>
      </c>
      <c r="E3068">
        <v>13</v>
      </c>
      <c r="F3068">
        <v>22589</v>
      </c>
      <c r="G3068" t="s">
        <v>23</v>
      </c>
      <c r="H3068">
        <v>15</v>
      </c>
      <c r="I3068">
        <v>71417</v>
      </c>
      <c r="J3068" t="s">
        <v>98</v>
      </c>
      <c r="K3068" t="s">
        <v>25</v>
      </c>
      <c r="L3068" t="s">
        <v>39</v>
      </c>
      <c r="M3068">
        <v>2</v>
      </c>
      <c r="N3068">
        <v>273.86</v>
      </c>
      <c r="O3068">
        <v>428.66</v>
      </c>
      <c r="P3068">
        <v>21.43</v>
      </c>
      <c r="Q3068">
        <v>21.43</v>
      </c>
      <c r="R3068" t="s">
        <v>30</v>
      </c>
      <c r="S3068">
        <v>29</v>
      </c>
      <c r="T3068">
        <v>1</v>
      </c>
      <c r="U3068">
        <v>1</v>
      </c>
      <c r="V3068">
        <v>407.23</v>
      </c>
      <c r="W3068">
        <v>13130003066</v>
      </c>
    </row>
    <row r="3069" spans="1:23" x14ac:dyDescent="0.2">
      <c r="A3069" s="1">
        <v>44804</v>
      </c>
      <c r="B3069" s="2">
        <v>0.54945601851851855</v>
      </c>
      <c r="C3069">
        <v>4067</v>
      </c>
      <c r="D3069">
        <v>13002561</v>
      </c>
      <c r="E3069">
        <v>13</v>
      </c>
      <c r="F3069">
        <v>22589</v>
      </c>
      <c r="G3069" t="s">
        <v>23</v>
      </c>
      <c r="H3069">
        <v>15</v>
      </c>
      <c r="I3069">
        <v>70171</v>
      </c>
      <c r="J3069" t="s">
        <v>52</v>
      </c>
      <c r="K3069" t="s">
        <v>45</v>
      </c>
      <c r="L3069" t="s">
        <v>26</v>
      </c>
      <c r="M3069">
        <v>3</v>
      </c>
      <c r="N3069">
        <v>389.29</v>
      </c>
      <c r="O3069">
        <v>512.75</v>
      </c>
      <c r="P3069">
        <v>0</v>
      </c>
      <c r="Q3069">
        <v>0</v>
      </c>
      <c r="S3069">
        <v>29</v>
      </c>
      <c r="T3069">
        <v>1</v>
      </c>
      <c r="U3069">
        <v>1</v>
      </c>
      <c r="V3069">
        <v>512.75</v>
      </c>
      <c r="W3069">
        <v>13130003067</v>
      </c>
    </row>
    <row r="3070" spans="1:23" x14ac:dyDescent="0.2">
      <c r="A3070" s="1">
        <v>44777</v>
      </c>
      <c r="B3070" s="2">
        <v>0.40375</v>
      </c>
      <c r="C3070">
        <v>4068</v>
      </c>
      <c r="D3070">
        <v>13002561</v>
      </c>
      <c r="E3070">
        <v>13</v>
      </c>
      <c r="F3070">
        <v>22589</v>
      </c>
      <c r="G3070" t="s">
        <v>23</v>
      </c>
      <c r="H3070">
        <v>15</v>
      </c>
      <c r="I3070">
        <v>54156</v>
      </c>
      <c r="J3070" t="s">
        <v>72</v>
      </c>
      <c r="K3070" t="s">
        <v>60</v>
      </c>
      <c r="L3070" t="s">
        <v>34</v>
      </c>
      <c r="M3070">
        <v>3</v>
      </c>
      <c r="N3070">
        <v>158.59</v>
      </c>
      <c r="O3070">
        <v>223.12</v>
      </c>
      <c r="P3070">
        <v>22.31</v>
      </c>
      <c r="Q3070">
        <v>22.31</v>
      </c>
      <c r="R3070" t="s">
        <v>30</v>
      </c>
      <c r="S3070">
        <v>29</v>
      </c>
      <c r="T3070">
        <v>1</v>
      </c>
      <c r="U3070">
        <v>5</v>
      </c>
      <c r="V3070">
        <v>200.81</v>
      </c>
      <c r="W3070">
        <v>13130003068</v>
      </c>
    </row>
    <row r="3071" spans="1:23" x14ac:dyDescent="0.2">
      <c r="A3071" s="1">
        <v>44799</v>
      </c>
      <c r="B3071" s="2">
        <v>0.87133101851851846</v>
      </c>
      <c r="C3071">
        <v>4069</v>
      </c>
      <c r="D3071">
        <v>13002561</v>
      </c>
      <c r="E3071">
        <v>13</v>
      </c>
      <c r="F3071">
        <v>22589</v>
      </c>
      <c r="G3071" t="s">
        <v>23</v>
      </c>
      <c r="H3071">
        <v>18</v>
      </c>
      <c r="I3071">
        <v>41445</v>
      </c>
      <c r="J3071" t="s">
        <v>81</v>
      </c>
      <c r="K3071" t="s">
        <v>25</v>
      </c>
      <c r="L3071" t="s">
        <v>32</v>
      </c>
      <c r="M3071">
        <v>3</v>
      </c>
      <c r="N3071">
        <v>567.23</v>
      </c>
      <c r="O3071">
        <v>786.15</v>
      </c>
      <c r="P3071">
        <v>0</v>
      </c>
      <c r="Q3071">
        <v>0</v>
      </c>
      <c r="S3071">
        <v>29</v>
      </c>
      <c r="T3071">
        <v>1</v>
      </c>
      <c r="U3071">
        <v>6</v>
      </c>
      <c r="V3071">
        <v>786.15</v>
      </c>
      <c r="W3071">
        <v>13130003069</v>
      </c>
    </row>
    <row r="3072" spans="1:23" x14ac:dyDescent="0.2">
      <c r="A3072" s="1">
        <v>44799</v>
      </c>
      <c r="B3072" s="2">
        <v>0.50259259259259259</v>
      </c>
      <c r="C3072">
        <v>4070</v>
      </c>
      <c r="D3072">
        <v>13002561</v>
      </c>
      <c r="E3072">
        <v>13</v>
      </c>
      <c r="F3072">
        <v>22589</v>
      </c>
      <c r="G3072" t="s">
        <v>23</v>
      </c>
      <c r="H3072">
        <v>15</v>
      </c>
      <c r="I3072">
        <v>92309</v>
      </c>
      <c r="J3072" t="s">
        <v>85</v>
      </c>
      <c r="K3072" t="s">
        <v>38</v>
      </c>
      <c r="L3072" t="s">
        <v>39</v>
      </c>
      <c r="M3072">
        <v>3</v>
      </c>
      <c r="N3072">
        <v>406.07</v>
      </c>
      <c r="O3072">
        <v>593.73</v>
      </c>
      <c r="P3072">
        <v>0</v>
      </c>
      <c r="Q3072">
        <v>0</v>
      </c>
      <c r="S3072">
        <v>29</v>
      </c>
      <c r="T3072">
        <v>1</v>
      </c>
      <c r="U3072">
        <v>5</v>
      </c>
      <c r="V3072">
        <v>593.73</v>
      </c>
      <c r="W3072">
        <v>13130003070</v>
      </c>
    </row>
    <row r="3073" spans="1:23" x14ac:dyDescent="0.2">
      <c r="A3073" s="1">
        <v>44793</v>
      </c>
      <c r="B3073" s="2">
        <v>0.56777777777777783</v>
      </c>
      <c r="C3073">
        <v>4071</v>
      </c>
      <c r="D3073">
        <v>13002561</v>
      </c>
      <c r="E3073">
        <v>13</v>
      </c>
      <c r="F3073">
        <v>22589</v>
      </c>
      <c r="G3073" t="s">
        <v>23</v>
      </c>
      <c r="H3073">
        <v>18</v>
      </c>
      <c r="I3073">
        <v>50914</v>
      </c>
      <c r="J3073" t="s">
        <v>113</v>
      </c>
      <c r="K3073" t="s">
        <v>45</v>
      </c>
      <c r="L3073" t="s">
        <v>34</v>
      </c>
      <c r="M3073">
        <v>2</v>
      </c>
      <c r="N3073">
        <v>313.5</v>
      </c>
      <c r="O3073">
        <v>419.38</v>
      </c>
      <c r="P3073">
        <v>20.97</v>
      </c>
      <c r="Q3073">
        <v>20.97</v>
      </c>
      <c r="R3073" t="s">
        <v>30</v>
      </c>
      <c r="S3073">
        <v>29</v>
      </c>
      <c r="T3073">
        <v>1</v>
      </c>
      <c r="U3073">
        <v>1</v>
      </c>
      <c r="V3073">
        <v>398.41</v>
      </c>
      <c r="W3073">
        <v>13130003071</v>
      </c>
    </row>
    <row r="3074" spans="1:23" x14ac:dyDescent="0.2">
      <c r="A3074" s="1">
        <v>44787</v>
      </c>
      <c r="B3074" s="2">
        <v>0.67037037037037039</v>
      </c>
      <c r="C3074">
        <v>4072</v>
      </c>
      <c r="D3074">
        <v>13002561</v>
      </c>
      <c r="E3074">
        <v>13</v>
      </c>
      <c r="F3074">
        <v>22589</v>
      </c>
      <c r="G3074" t="s">
        <v>23</v>
      </c>
      <c r="H3074">
        <v>15</v>
      </c>
      <c r="I3074">
        <v>64417</v>
      </c>
      <c r="J3074" t="s">
        <v>94</v>
      </c>
      <c r="K3074" t="s">
        <v>38</v>
      </c>
      <c r="L3074" t="s">
        <v>51</v>
      </c>
      <c r="M3074">
        <v>2</v>
      </c>
      <c r="N3074">
        <v>512.05999999999995</v>
      </c>
      <c r="O3074">
        <v>722.9</v>
      </c>
      <c r="P3074">
        <v>36.15</v>
      </c>
      <c r="Q3074">
        <v>36.15</v>
      </c>
      <c r="R3074" t="s">
        <v>30</v>
      </c>
      <c r="S3074">
        <v>29</v>
      </c>
      <c r="T3074">
        <v>1</v>
      </c>
      <c r="U3074">
        <v>5</v>
      </c>
      <c r="V3074">
        <v>686.75</v>
      </c>
      <c r="W3074">
        <v>13130003072</v>
      </c>
    </row>
    <row r="3075" spans="1:23" x14ac:dyDescent="0.2">
      <c r="A3075" s="1">
        <v>44784</v>
      </c>
      <c r="B3075" s="2">
        <v>0.36197916666666669</v>
      </c>
      <c r="C3075">
        <v>4073</v>
      </c>
      <c r="D3075">
        <v>13002561</v>
      </c>
      <c r="E3075">
        <v>13</v>
      </c>
      <c r="F3075">
        <v>22589</v>
      </c>
      <c r="G3075" t="s">
        <v>23</v>
      </c>
      <c r="H3075">
        <v>18</v>
      </c>
      <c r="I3075">
        <v>98177</v>
      </c>
      <c r="J3075" t="s">
        <v>56</v>
      </c>
      <c r="K3075" t="s">
        <v>25</v>
      </c>
      <c r="L3075" t="s">
        <v>32</v>
      </c>
      <c r="M3075">
        <v>1</v>
      </c>
      <c r="N3075">
        <v>485.67</v>
      </c>
      <c r="O3075">
        <v>620.24</v>
      </c>
      <c r="P3075">
        <v>62.02</v>
      </c>
      <c r="Q3075">
        <v>62.02</v>
      </c>
      <c r="R3075" t="s">
        <v>30</v>
      </c>
      <c r="S3075">
        <v>29</v>
      </c>
      <c r="T3075">
        <v>1</v>
      </c>
      <c r="U3075">
        <v>6</v>
      </c>
      <c r="V3075">
        <v>558.22</v>
      </c>
      <c r="W3075">
        <v>13130003073</v>
      </c>
    </row>
    <row r="3076" spans="1:23" x14ac:dyDescent="0.2">
      <c r="A3076" s="1">
        <v>44788</v>
      </c>
      <c r="B3076" s="2">
        <v>0.91340277777777779</v>
      </c>
      <c r="C3076">
        <v>4074</v>
      </c>
      <c r="D3076">
        <v>13002561</v>
      </c>
      <c r="E3076">
        <v>13</v>
      </c>
      <c r="F3076">
        <v>22589</v>
      </c>
      <c r="G3076" t="s">
        <v>23</v>
      </c>
      <c r="H3076">
        <v>15</v>
      </c>
      <c r="I3076">
        <v>35902</v>
      </c>
      <c r="J3076" t="s">
        <v>100</v>
      </c>
      <c r="K3076" t="s">
        <v>28</v>
      </c>
      <c r="L3076" t="s">
        <v>39</v>
      </c>
      <c r="M3076">
        <v>2</v>
      </c>
      <c r="N3076">
        <v>90.27</v>
      </c>
      <c r="O3076">
        <v>150.4</v>
      </c>
      <c r="P3076">
        <v>0</v>
      </c>
      <c r="Q3076">
        <v>0</v>
      </c>
      <c r="S3076">
        <v>29</v>
      </c>
      <c r="T3076">
        <v>1</v>
      </c>
      <c r="U3076">
        <v>3</v>
      </c>
      <c r="V3076">
        <v>150.4</v>
      </c>
      <c r="W3076">
        <v>13130003074</v>
      </c>
    </row>
    <row r="3077" spans="1:23" x14ac:dyDescent="0.2">
      <c r="A3077" s="1">
        <v>44802</v>
      </c>
      <c r="B3077" s="2">
        <v>0.36749999999999999</v>
      </c>
      <c r="C3077">
        <v>4075</v>
      </c>
      <c r="D3077">
        <v>13002561</v>
      </c>
      <c r="E3077">
        <v>13</v>
      </c>
      <c r="F3077">
        <v>22589</v>
      </c>
      <c r="G3077" t="s">
        <v>23</v>
      </c>
      <c r="H3077">
        <v>15</v>
      </c>
      <c r="I3077">
        <v>36005</v>
      </c>
      <c r="J3077" t="s">
        <v>65</v>
      </c>
      <c r="K3077" t="s">
        <v>25</v>
      </c>
      <c r="L3077" t="s">
        <v>29</v>
      </c>
      <c r="M3077">
        <v>3</v>
      </c>
      <c r="N3077">
        <v>349.73</v>
      </c>
      <c r="O3077">
        <v>444.15</v>
      </c>
      <c r="P3077">
        <v>22.21</v>
      </c>
      <c r="Q3077">
        <v>22.21</v>
      </c>
      <c r="R3077" t="s">
        <v>30</v>
      </c>
      <c r="S3077">
        <v>29</v>
      </c>
      <c r="T3077">
        <v>1</v>
      </c>
      <c r="U3077">
        <v>3</v>
      </c>
      <c r="V3077">
        <v>421.94</v>
      </c>
      <c r="W3077">
        <v>13130003075</v>
      </c>
    </row>
    <row r="3078" spans="1:23" x14ac:dyDescent="0.2">
      <c r="A3078" s="1">
        <v>44796</v>
      </c>
      <c r="B3078" s="2">
        <v>0.81787037037037036</v>
      </c>
      <c r="C3078">
        <v>4076</v>
      </c>
      <c r="D3078">
        <v>13002561</v>
      </c>
      <c r="E3078">
        <v>13</v>
      </c>
      <c r="F3078">
        <v>22589</v>
      </c>
      <c r="G3078" t="s">
        <v>23</v>
      </c>
      <c r="H3078">
        <v>18</v>
      </c>
      <c r="I3078">
        <v>71438</v>
      </c>
      <c r="J3078" t="s">
        <v>101</v>
      </c>
      <c r="K3078" t="s">
        <v>38</v>
      </c>
      <c r="L3078" t="s">
        <v>47</v>
      </c>
      <c r="M3078">
        <v>3</v>
      </c>
      <c r="N3078">
        <v>197.86</v>
      </c>
      <c r="O3078">
        <v>273.45</v>
      </c>
      <c r="P3078">
        <v>0</v>
      </c>
      <c r="Q3078">
        <v>0</v>
      </c>
      <c r="S3078">
        <v>29</v>
      </c>
      <c r="T3078">
        <v>1</v>
      </c>
      <c r="U3078">
        <v>5</v>
      </c>
      <c r="V3078">
        <v>273.45</v>
      </c>
      <c r="W3078">
        <v>13130003076</v>
      </c>
    </row>
    <row r="3079" spans="1:23" x14ac:dyDescent="0.2">
      <c r="A3079" s="1">
        <v>44775</v>
      </c>
      <c r="B3079" s="2">
        <v>0.82648148148148148</v>
      </c>
      <c r="C3079">
        <v>4077</v>
      </c>
      <c r="D3079">
        <v>13002561</v>
      </c>
      <c r="E3079">
        <v>13</v>
      </c>
      <c r="F3079">
        <v>22589</v>
      </c>
      <c r="G3079" t="s">
        <v>23</v>
      </c>
      <c r="H3079">
        <v>18</v>
      </c>
      <c r="I3079">
        <v>17697</v>
      </c>
      <c r="J3079" t="s">
        <v>81</v>
      </c>
      <c r="K3079" t="s">
        <v>25</v>
      </c>
      <c r="L3079" t="s">
        <v>47</v>
      </c>
      <c r="M3079">
        <v>1</v>
      </c>
      <c r="N3079">
        <v>194.28</v>
      </c>
      <c r="O3079">
        <v>271.35000000000002</v>
      </c>
      <c r="P3079">
        <v>27.14</v>
      </c>
      <c r="Q3079">
        <v>27.14</v>
      </c>
      <c r="R3079" t="s">
        <v>30</v>
      </c>
      <c r="S3079">
        <v>29</v>
      </c>
      <c r="T3079">
        <v>1</v>
      </c>
      <c r="U3079">
        <v>3</v>
      </c>
      <c r="V3079">
        <v>244.21</v>
      </c>
      <c r="W3079">
        <v>13130003077</v>
      </c>
    </row>
    <row r="3080" spans="1:23" x14ac:dyDescent="0.2">
      <c r="A3080" s="1">
        <v>44776</v>
      </c>
      <c r="B3080" s="2">
        <v>0.75339120370370372</v>
      </c>
      <c r="C3080">
        <v>4078</v>
      </c>
      <c r="D3080">
        <v>13002561</v>
      </c>
      <c r="E3080">
        <v>13</v>
      </c>
      <c r="F3080">
        <v>22589</v>
      </c>
      <c r="G3080" t="s">
        <v>23</v>
      </c>
      <c r="H3080">
        <v>15</v>
      </c>
      <c r="I3080">
        <v>72262</v>
      </c>
      <c r="J3080" t="s">
        <v>95</v>
      </c>
      <c r="K3080" t="s">
        <v>38</v>
      </c>
      <c r="L3080" t="s">
        <v>51</v>
      </c>
      <c r="M3080">
        <v>2</v>
      </c>
      <c r="N3080">
        <v>475.68</v>
      </c>
      <c r="O3080">
        <v>738.57</v>
      </c>
      <c r="P3080">
        <v>73.86</v>
      </c>
      <c r="Q3080">
        <v>73.86</v>
      </c>
      <c r="R3080" t="s">
        <v>30</v>
      </c>
      <c r="S3080">
        <v>29</v>
      </c>
      <c r="T3080">
        <v>1</v>
      </c>
      <c r="U3080">
        <v>1</v>
      </c>
      <c r="V3080">
        <v>664.71</v>
      </c>
      <c r="W3080">
        <v>13130003078</v>
      </c>
    </row>
    <row r="3081" spans="1:23" x14ac:dyDescent="0.2">
      <c r="A3081" s="1">
        <v>44790</v>
      </c>
      <c r="B3081" s="2">
        <v>0.4909027777777778</v>
      </c>
      <c r="C3081">
        <v>4079</v>
      </c>
      <c r="D3081">
        <v>13002561</v>
      </c>
      <c r="E3081">
        <v>13</v>
      </c>
      <c r="F3081">
        <v>22589</v>
      </c>
      <c r="G3081" t="s">
        <v>23</v>
      </c>
      <c r="H3081">
        <v>18</v>
      </c>
      <c r="I3081">
        <v>81333</v>
      </c>
      <c r="J3081" t="s">
        <v>105</v>
      </c>
      <c r="K3081" t="s">
        <v>28</v>
      </c>
      <c r="L3081" t="s">
        <v>29</v>
      </c>
      <c r="M3081">
        <v>1</v>
      </c>
      <c r="N3081">
        <v>251.58</v>
      </c>
      <c r="O3081">
        <v>362.58</v>
      </c>
      <c r="P3081">
        <v>0</v>
      </c>
      <c r="Q3081">
        <v>0</v>
      </c>
      <c r="S3081">
        <v>29</v>
      </c>
      <c r="T3081">
        <v>1</v>
      </c>
      <c r="U3081">
        <v>1</v>
      </c>
      <c r="V3081">
        <v>362.58</v>
      </c>
      <c r="W3081">
        <v>13130003079</v>
      </c>
    </row>
    <row r="3082" spans="1:23" x14ac:dyDescent="0.2">
      <c r="A3082" s="1">
        <v>44774</v>
      </c>
      <c r="B3082" s="2">
        <v>0.44112268518518521</v>
      </c>
      <c r="C3082">
        <v>4080</v>
      </c>
      <c r="D3082">
        <v>13002561</v>
      </c>
      <c r="E3082">
        <v>13</v>
      </c>
      <c r="F3082">
        <v>22589</v>
      </c>
      <c r="G3082" t="s">
        <v>23</v>
      </c>
      <c r="H3082">
        <v>18</v>
      </c>
      <c r="I3082">
        <v>27925</v>
      </c>
      <c r="J3082" t="s">
        <v>72</v>
      </c>
      <c r="K3082" t="s">
        <v>45</v>
      </c>
      <c r="L3082" t="s">
        <v>32</v>
      </c>
      <c r="M3082">
        <v>1</v>
      </c>
      <c r="N3082">
        <v>432.81</v>
      </c>
      <c r="O3082">
        <v>565.88</v>
      </c>
      <c r="P3082">
        <v>28.29</v>
      </c>
      <c r="Q3082">
        <v>28.29</v>
      </c>
      <c r="R3082" t="s">
        <v>30</v>
      </c>
      <c r="S3082">
        <v>29</v>
      </c>
      <c r="T3082">
        <v>1</v>
      </c>
      <c r="U3082">
        <v>2</v>
      </c>
      <c r="V3082">
        <v>537.59</v>
      </c>
      <c r="W3082">
        <v>13130003080</v>
      </c>
    </row>
    <row r="3083" spans="1:23" x14ac:dyDescent="0.2">
      <c r="A3083" s="1">
        <v>44781</v>
      </c>
      <c r="B3083" s="2">
        <v>0.3520138888888889</v>
      </c>
      <c r="C3083">
        <v>4081</v>
      </c>
      <c r="D3083">
        <v>13002561</v>
      </c>
      <c r="E3083">
        <v>13</v>
      </c>
      <c r="F3083">
        <v>22589</v>
      </c>
      <c r="G3083" t="s">
        <v>23</v>
      </c>
      <c r="H3083">
        <v>15</v>
      </c>
      <c r="I3083">
        <v>76341</v>
      </c>
      <c r="J3083" t="s">
        <v>112</v>
      </c>
      <c r="K3083" t="s">
        <v>44</v>
      </c>
      <c r="L3083" t="s">
        <v>26</v>
      </c>
      <c r="M3083">
        <v>3</v>
      </c>
      <c r="N3083">
        <v>266.04000000000002</v>
      </c>
      <c r="O3083">
        <v>339.72</v>
      </c>
      <c r="P3083">
        <v>33.97</v>
      </c>
      <c r="Q3083">
        <v>33.97</v>
      </c>
      <c r="R3083" t="s">
        <v>30</v>
      </c>
      <c r="S3083">
        <v>29</v>
      </c>
      <c r="T3083">
        <v>1</v>
      </c>
      <c r="U3083">
        <v>1</v>
      </c>
      <c r="V3083">
        <v>305.75</v>
      </c>
      <c r="W3083">
        <v>13130003081</v>
      </c>
    </row>
    <row r="3084" spans="1:23" x14ac:dyDescent="0.2">
      <c r="A3084" s="1">
        <v>44786</v>
      </c>
      <c r="B3084" s="2">
        <v>0.85043981481481479</v>
      </c>
      <c r="C3084">
        <v>4082</v>
      </c>
      <c r="D3084">
        <v>13002561</v>
      </c>
      <c r="E3084">
        <v>13</v>
      </c>
      <c r="F3084">
        <v>22589</v>
      </c>
      <c r="G3084" t="s">
        <v>23</v>
      </c>
      <c r="H3084">
        <v>15</v>
      </c>
      <c r="I3084">
        <v>56211</v>
      </c>
      <c r="J3084" t="s">
        <v>110</v>
      </c>
      <c r="K3084" t="s">
        <v>38</v>
      </c>
      <c r="L3084" t="s">
        <v>32</v>
      </c>
      <c r="M3084">
        <v>2</v>
      </c>
      <c r="N3084">
        <v>336.82</v>
      </c>
      <c r="O3084">
        <v>554.17999999999995</v>
      </c>
      <c r="P3084">
        <v>27.71</v>
      </c>
      <c r="Q3084">
        <v>27.71</v>
      </c>
      <c r="R3084" t="s">
        <v>30</v>
      </c>
      <c r="S3084">
        <v>29</v>
      </c>
      <c r="T3084">
        <v>1</v>
      </c>
      <c r="U3084">
        <v>3</v>
      </c>
      <c r="V3084">
        <v>526.47</v>
      </c>
      <c r="W3084">
        <v>13130003082</v>
      </c>
    </row>
    <row r="3085" spans="1:23" x14ac:dyDescent="0.2">
      <c r="A3085" s="1">
        <v>44786</v>
      </c>
      <c r="B3085" s="2">
        <v>0.43362268518518521</v>
      </c>
      <c r="C3085">
        <v>4083</v>
      </c>
      <c r="D3085">
        <v>13002561</v>
      </c>
      <c r="E3085">
        <v>13</v>
      </c>
      <c r="F3085">
        <v>22589</v>
      </c>
      <c r="G3085" t="s">
        <v>23</v>
      </c>
      <c r="H3085">
        <v>18</v>
      </c>
      <c r="I3085">
        <v>20275</v>
      </c>
      <c r="J3085" t="s">
        <v>69</v>
      </c>
      <c r="K3085" t="s">
        <v>28</v>
      </c>
      <c r="L3085" t="s">
        <v>36</v>
      </c>
      <c r="M3085">
        <v>3</v>
      </c>
      <c r="N3085">
        <v>443.54</v>
      </c>
      <c r="O3085">
        <v>640.71</v>
      </c>
      <c r="P3085">
        <v>32.04</v>
      </c>
      <c r="Q3085">
        <v>32.04</v>
      </c>
      <c r="R3085" t="s">
        <v>30</v>
      </c>
      <c r="S3085">
        <v>29</v>
      </c>
      <c r="T3085">
        <v>1</v>
      </c>
      <c r="U3085">
        <v>4</v>
      </c>
      <c r="V3085">
        <v>608.66999999999996</v>
      </c>
      <c r="W3085">
        <v>13130003083</v>
      </c>
    </row>
    <row r="3086" spans="1:23" x14ac:dyDescent="0.2">
      <c r="A3086" s="1">
        <v>44797</v>
      </c>
      <c r="B3086" s="2">
        <v>0.41538194444444437</v>
      </c>
      <c r="C3086">
        <v>4084</v>
      </c>
      <c r="D3086">
        <v>13002561</v>
      </c>
      <c r="E3086">
        <v>13</v>
      </c>
      <c r="F3086">
        <v>22589</v>
      </c>
      <c r="G3086" t="s">
        <v>23</v>
      </c>
      <c r="H3086">
        <v>18</v>
      </c>
      <c r="I3086">
        <v>33317</v>
      </c>
      <c r="J3086" t="s">
        <v>126</v>
      </c>
      <c r="K3086" t="s">
        <v>60</v>
      </c>
      <c r="L3086" t="s">
        <v>51</v>
      </c>
      <c r="M3086">
        <v>2</v>
      </c>
      <c r="N3086">
        <v>335.5</v>
      </c>
      <c r="O3086">
        <v>474.44</v>
      </c>
      <c r="P3086">
        <v>23.72</v>
      </c>
      <c r="Q3086">
        <v>23.72</v>
      </c>
      <c r="R3086" t="s">
        <v>30</v>
      </c>
      <c r="S3086">
        <v>29</v>
      </c>
      <c r="T3086">
        <v>1</v>
      </c>
      <c r="U3086">
        <v>3</v>
      </c>
      <c r="V3086">
        <v>450.72</v>
      </c>
      <c r="W3086">
        <v>13130003084</v>
      </c>
    </row>
    <row r="3087" spans="1:23" x14ac:dyDescent="0.2">
      <c r="A3087" s="1">
        <v>44799</v>
      </c>
      <c r="B3087" s="2">
        <v>0.5681018518518518</v>
      </c>
      <c r="C3087">
        <v>4085</v>
      </c>
      <c r="D3087">
        <v>13002561</v>
      </c>
      <c r="E3087">
        <v>13</v>
      </c>
      <c r="F3087">
        <v>22589</v>
      </c>
      <c r="G3087" t="s">
        <v>23</v>
      </c>
      <c r="H3087">
        <v>15</v>
      </c>
      <c r="I3087">
        <v>77336</v>
      </c>
      <c r="J3087" t="s">
        <v>82</v>
      </c>
      <c r="K3087" t="s">
        <v>25</v>
      </c>
      <c r="L3087" t="s">
        <v>32</v>
      </c>
      <c r="M3087">
        <v>1</v>
      </c>
      <c r="N3087">
        <v>97.77</v>
      </c>
      <c r="O3087">
        <v>151.56</v>
      </c>
      <c r="P3087">
        <v>15.16</v>
      </c>
      <c r="Q3087">
        <v>15.16</v>
      </c>
      <c r="R3087" t="s">
        <v>30</v>
      </c>
      <c r="S3087">
        <v>29</v>
      </c>
      <c r="T3087">
        <v>1</v>
      </c>
      <c r="U3087">
        <v>5</v>
      </c>
      <c r="V3087">
        <v>136.4</v>
      </c>
      <c r="W3087">
        <v>13130003085</v>
      </c>
    </row>
    <row r="3088" spans="1:23" x14ac:dyDescent="0.2">
      <c r="A3088" s="1">
        <v>44802</v>
      </c>
      <c r="B3088" s="2">
        <v>0.6466319444444445</v>
      </c>
      <c r="C3088">
        <v>4086</v>
      </c>
      <c r="D3088">
        <v>13002561</v>
      </c>
      <c r="E3088">
        <v>13</v>
      </c>
      <c r="F3088">
        <v>22589</v>
      </c>
      <c r="G3088" t="s">
        <v>23</v>
      </c>
      <c r="H3088">
        <v>15</v>
      </c>
      <c r="I3088">
        <v>78220</v>
      </c>
      <c r="J3088" t="s">
        <v>80</v>
      </c>
      <c r="K3088" t="s">
        <v>60</v>
      </c>
      <c r="L3088" t="s">
        <v>26</v>
      </c>
      <c r="M3088">
        <v>1</v>
      </c>
      <c r="N3088">
        <v>179.18</v>
      </c>
      <c r="O3088">
        <v>236.59</v>
      </c>
      <c r="P3088">
        <v>0</v>
      </c>
      <c r="Q3088">
        <v>0</v>
      </c>
      <c r="S3088">
        <v>29</v>
      </c>
      <c r="T3088">
        <v>1</v>
      </c>
      <c r="U3088">
        <v>6</v>
      </c>
      <c r="V3088">
        <v>236.59</v>
      </c>
      <c r="W3088">
        <v>13130003086</v>
      </c>
    </row>
    <row r="3089" spans="1:23" x14ac:dyDescent="0.2">
      <c r="A3089" s="1">
        <v>44793</v>
      </c>
      <c r="B3089" s="2">
        <v>0.38436342592592587</v>
      </c>
      <c r="C3089">
        <v>4087</v>
      </c>
      <c r="D3089">
        <v>13002561</v>
      </c>
      <c r="E3089">
        <v>13</v>
      </c>
      <c r="F3089">
        <v>22589</v>
      </c>
      <c r="G3089" t="s">
        <v>23</v>
      </c>
      <c r="H3089">
        <v>18</v>
      </c>
      <c r="I3089">
        <v>30148</v>
      </c>
      <c r="J3089" t="s">
        <v>110</v>
      </c>
      <c r="K3089" t="s">
        <v>60</v>
      </c>
      <c r="L3089" t="s">
        <v>34</v>
      </c>
      <c r="M3089">
        <v>1</v>
      </c>
      <c r="N3089">
        <v>477.8</v>
      </c>
      <c r="O3089">
        <v>773.16</v>
      </c>
      <c r="P3089">
        <v>0</v>
      </c>
      <c r="Q3089">
        <v>0</v>
      </c>
      <c r="S3089">
        <v>29</v>
      </c>
      <c r="T3089">
        <v>1</v>
      </c>
      <c r="U3089">
        <v>2</v>
      </c>
      <c r="V3089">
        <v>773.16</v>
      </c>
      <c r="W3089">
        <v>13130003087</v>
      </c>
    </row>
    <row r="3090" spans="1:23" x14ac:dyDescent="0.2">
      <c r="A3090" s="1">
        <v>44775</v>
      </c>
      <c r="B3090" s="2">
        <v>0.90744212962962967</v>
      </c>
      <c r="C3090">
        <v>4088</v>
      </c>
      <c r="D3090">
        <v>13002561</v>
      </c>
      <c r="E3090">
        <v>13</v>
      </c>
      <c r="F3090">
        <v>22589</v>
      </c>
      <c r="G3090" t="s">
        <v>23</v>
      </c>
      <c r="H3090">
        <v>18</v>
      </c>
      <c r="I3090">
        <v>66934</v>
      </c>
      <c r="J3090" t="s">
        <v>62</v>
      </c>
      <c r="K3090" t="s">
        <v>45</v>
      </c>
      <c r="L3090" t="s">
        <v>39</v>
      </c>
      <c r="M3090">
        <v>2</v>
      </c>
      <c r="N3090">
        <v>205.42</v>
      </c>
      <c r="O3090">
        <v>334.97</v>
      </c>
      <c r="P3090">
        <v>0</v>
      </c>
      <c r="Q3090">
        <v>0</v>
      </c>
      <c r="S3090">
        <v>29</v>
      </c>
      <c r="T3090">
        <v>1</v>
      </c>
      <c r="U3090">
        <v>2</v>
      </c>
      <c r="V3090">
        <v>334.97</v>
      </c>
      <c r="W3090">
        <v>13130003088</v>
      </c>
    </row>
    <row r="3091" spans="1:23" x14ac:dyDescent="0.2">
      <c r="A3091" s="1">
        <v>44776</v>
      </c>
      <c r="B3091" s="2">
        <v>0.85506944444444444</v>
      </c>
      <c r="C3091">
        <v>4089</v>
      </c>
      <c r="D3091">
        <v>13002561</v>
      </c>
      <c r="E3091">
        <v>13</v>
      </c>
      <c r="F3091">
        <v>22589</v>
      </c>
      <c r="G3091" t="s">
        <v>23</v>
      </c>
      <c r="H3091">
        <v>15</v>
      </c>
      <c r="I3091">
        <v>11511</v>
      </c>
      <c r="J3091" t="s">
        <v>43</v>
      </c>
      <c r="K3091" t="s">
        <v>44</v>
      </c>
      <c r="L3091" t="s">
        <v>34</v>
      </c>
      <c r="M3091">
        <v>2</v>
      </c>
      <c r="N3091">
        <v>211.13</v>
      </c>
      <c r="O3091">
        <v>313.08999999999997</v>
      </c>
      <c r="P3091">
        <v>0</v>
      </c>
      <c r="Q3091">
        <v>0</v>
      </c>
      <c r="S3091">
        <v>29</v>
      </c>
      <c r="T3091">
        <v>1</v>
      </c>
      <c r="U3091">
        <v>3</v>
      </c>
      <c r="V3091">
        <v>313.08999999999997</v>
      </c>
      <c r="W3091">
        <v>13130003089</v>
      </c>
    </row>
    <row r="3092" spans="1:23" x14ac:dyDescent="0.2">
      <c r="A3092" s="1">
        <v>44784</v>
      </c>
      <c r="B3092" s="2">
        <v>0.3860763888888889</v>
      </c>
      <c r="C3092">
        <v>4090</v>
      </c>
      <c r="D3092">
        <v>13002561</v>
      </c>
      <c r="E3092">
        <v>13</v>
      </c>
      <c r="F3092">
        <v>22589</v>
      </c>
      <c r="G3092" t="s">
        <v>23</v>
      </c>
      <c r="H3092">
        <v>15</v>
      </c>
      <c r="I3092">
        <v>17290</v>
      </c>
      <c r="J3092" t="s">
        <v>84</v>
      </c>
      <c r="K3092" t="s">
        <v>45</v>
      </c>
      <c r="L3092" t="s">
        <v>39</v>
      </c>
      <c r="M3092">
        <v>2</v>
      </c>
      <c r="N3092">
        <v>250.33</v>
      </c>
      <c r="O3092">
        <v>423.59</v>
      </c>
      <c r="P3092">
        <v>0</v>
      </c>
      <c r="Q3092">
        <v>0</v>
      </c>
      <c r="S3092">
        <v>29</v>
      </c>
      <c r="T3092">
        <v>1</v>
      </c>
      <c r="U3092">
        <v>2</v>
      </c>
      <c r="V3092">
        <v>423.59</v>
      </c>
      <c r="W3092">
        <v>13130003090</v>
      </c>
    </row>
    <row r="3093" spans="1:23" x14ac:dyDescent="0.2">
      <c r="A3093" s="1">
        <v>44785</v>
      </c>
      <c r="B3093" s="2">
        <v>0.63195601851851857</v>
      </c>
      <c r="C3093">
        <v>4091</v>
      </c>
      <c r="D3093">
        <v>13002561</v>
      </c>
      <c r="E3093">
        <v>13</v>
      </c>
      <c r="F3093">
        <v>22589</v>
      </c>
      <c r="G3093" t="s">
        <v>23</v>
      </c>
      <c r="H3093">
        <v>15</v>
      </c>
      <c r="I3093">
        <v>50456</v>
      </c>
      <c r="J3093" t="s">
        <v>86</v>
      </c>
      <c r="K3093" t="s">
        <v>60</v>
      </c>
      <c r="L3093" t="s">
        <v>39</v>
      </c>
      <c r="M3093">
        <v>3</v>
      </c>
      <c r="N3093">
        <v>414.65</v>
      </c>
      <c r="O3093">
        <v>566.26</v>
      </c>
      <c r="P3093">
        <v>56.63</v>
      </c>
      <c r="Q3093">
        <v>56.63</v>
      </c>
      <c r="R3093" t="s">
        <v>30</v>
      </c>
      <c r="S3093">
        <v>29</v>
      </c>
      <c r="T3093">
        <v>1</v>
      </c>
      <c r="U3093">
        <v>4</v>
      </c>
      <c r="V3093">
        <v>509.63</v>
      </c>
      <c r="W3093">
        <v>13130003091</v>
      </c>
    </row>
    <row r="3094" spans="1:23" x14ac:dyDescent="0.2">
      <c r="A3094" s="1">
        <v>44803</v>
      </c>
      <c r="B3094" s="2">
        <v>0.57458333333333333</v>
      </c>
      <c r="C3094">
        <v>4092</v>
      </c>
      <c r="D3094">
        <v>13002561</v>
      </c>
      <c r="E3094">
        <v>13</v>
      </c>
      <c r="F3094">
        <v>22589</v>
      </c>
      <c r="G3094" t="s">
        <v>23</v>
      </c>
      <c r="H3094">
        <v>15</v>
      </c>
      <c r="I3094">
        <v>34891</v>
      </c>
      <c r="J3094" t="s">
        <v>72</v>
      </c>
      <c r="K3094" t="s">
        <v>38</v>
      </c>
      <c r="L3094" t="s">
        <v>51</v>
      </c>
      <c r="M3094">
        <v>3</v>
      </c>
      <c r="N3094">
        <v>133.19999999999999</v>
      </c>
      <c r="O3094">
        <v>216.13</v>
      </c>
      <c r="P3094">
        <v>10.81</v>
      </c>
      <c r="Q3094">
        <v>10.81</v>
      </c>
      <c r="R3094" t="s">
        <v>30</v>
      </c>
      <c r="S3094">
        <v>29</v>
      </c>
      <c r="T3094">
        <v>1</v>
      </c>
      <c r="U3094">
        <v>6</v>
      </c>
      <c r="V3094">
        <v>205.32</v>
      </c>
      <c r="W3094">
        <v>13130003092</v>
      </c>
    </row>
    <row r="3095" spans="1:23" x14ac:dyDescent="0.2">
      <c r="A3095" s="1">
        <v>44774</v>
      </c>
      <c r="B3095" s="2">
        <v>0.77398148148148149</v>
      </c>
      <c r="C3095">
        <v>4093</v>
      </c>
      <c r="D3095">
        <v>13002561</v>
      </c>
      <c r="E3095">
        <v>13</v>
      </c>
      <c r="F3095">
        <v>22589</v>
      </c>
      <c r="G3095" t="s">
        <v>23</v>
      </c>
      <c r="H3095">
        <v>18</v>
      </c>
      <c r="I3095">
        <v>86583</v>
      </c>
      <c r="J3095" t="s">
        <v>79</v>
      </c>
      <c r="K3095" t="s">
        <v>44</v>
      </c>
      <c r="L3095" t="s">
        <v>26</v>
      </c>
      <c r="M3095">
        <v>1</v>
      </c>
      <c r="N3095">
        <v>90.62</v>
      </c>
      <c r="O3095">
        <v>153.41</v>
      </c>
      <c r="P3095">
        <v>15.34</v>
      </c>
      <c r="Q3095">
        <v>15.34</v>
      </c>
      <c r="R3095" t="s">
        <v>30</v>
      </c>
      <c r="S3095">
        <v>29</v>
      </c>
      <c r="T3095">
        <v>1</v>
      </c>
      <c r="U3095">
        <v>2</v>
      </c>
      <c r="V3095">
        <v>138.07</v>
      </c>
      <c r="W3095">
        <v>13130003093</v>
      </c>
    </row>
    <row r="3096" spans="1:23" x14ac:dyDescent="0.2">
      <c r="A3096" s="1">
        <v>44796</v>
      </c>
      <c r="B3096" s="2">
        <v>0.58001157407407411</v>
      </c>
      <c r="C3096">
        <v>4094</v>
      </c>
      <c r="D3096">
        <v>13002561</v>
      </c>
      <c r="E3096">
        <v>13</v>
      </c>
      <c r="F3096">
        <v>22589</v>
      </c>
      <c r="G3096" t="s">
        <v>23</v>
      </c>
      <c r="H3096">
        <v>15</v>
      </c>
      <c r="I3096">
        <v>49454</v>
      </c>
      <c r="J3096" t="s">
        <v>93</v>
      </c>
      <c r="K3096" t="s">
        <v>44</v>
      </c>
      <c r="L3096" t="s">
        <v>47</v>
      </c>
      <c r="M3096">
        <v>2</v>
      </c>
      <c r="N3096">
        <v>146.09</v>
      </c>
      <c r="O3096">
        <v>202.23</v>
      </c>
      <c r="P3096">
        <v>0</v>
      </c>
      <c r="Q3096">
        <v>0</v>
      </c>
      <c r="S3096">
        <v>29</v>
      </c>
      <c r="T3096">
        <v>1</v>
      </c>
      <c r="U3096">
        <v>4</v>
      </c>
      <c r="V3096">
        <v>202.23</v>
      </c>
      <c r="W3096">
        <v>13130003094</v>
      </c>
    </row>
    <row r="3097" spans="1:23" x14ac:dyDescent="0.2">
      <c r="A3097" s="1">
        <v>44792</v>
      </c>
      <c r="B3097" s="2">
        <v>0.33496527777777779</v>
      </c>
      <c r="C3097">
        <v>4095</v>
      </c>
      <c r="D3097">
        <v>13002561</v>
      </c>
      <c r="E3097">
        <v>13</v>
      </c>
      <c r="F3097">
        <v>22589</v>
      </c>
      <c r="G3097" t="s">
        <v>23</v>
      </c>
      <c r="H3097">
        <v>15</v>
      </c>
      <c r="I3097">
        <v>63262</v>
      </c>
      <c r="J3097" t="s">
        <v>101</v>
      </c>
      <c r="K3097" t="s">
        <v>25</v>
      </c>
      <c r="L3097" t="s">
        <v>39</v>
      </c>
      <c r="M3097">
        <v>2</v>
      </c>
      <c r="N3097">
        <v>247.03</v>
      </c>
      <c r="O3097">
        <v>415.05</v>
      </c>
      <c r="P3097">
        <v>41.51</v>
      </c>
      <c r="Q3097">
        <v>41.51</v>
      </c>
      <c r="R3097" t="s">
        <v>30</v>
      </c>
      <c r="S3097">
        <v>29</v>
      </c>
      <c r="T3097">
        <v>1</v>
      </c>
      <c r="U3097">
        <v>5</v>
      </c>
      <c r="V3097">
        <v>373.54</v>
      </c>
      <c r="W3097">
        <v>13130003095</v>
      </c>
    </row>
    <row r="3098" spans="1:23" x14ac:dyDescent="0.2">
      <c r="A3098" s="1">
        <v>44795</v>
      </c>
      <c r="B3098" s="2">
        <v>0.67391203703703706</v>
      </c>
      <c r="C3098">
        <v>4096</v>
      </c>
      <c r="D3098">
        <v>13002561</v>
      </c>
      <c r="E3098">
        <v>13</v>
      </c>
      <c r="F3098">
        <v>22589</v>
      </c>
      <c r="G3098" t="s">
        <v>23</v>
      </c>
      <c r="H3098">
        <v>18</v>
      </c>
      <c r="I3098">
        <v>32918</v>
      </c>
      <c r="J3098" t="s">
        <v>50</v>
      </c>
      <c r="K3098" t="s">
        <v>28</v>
      </c>
      <c r="L3098" t="s">
        <v>26</v>
      </c>
      <c r="M3098">
        <v>3</v>
      </c>
      <c r="N3098">
        <v>537.04999999999995</v>
      </c>
      <c r="O3098">
        <v>903.27</v>
      </c>
      <c r="P3098">
        <v>0</v>
      </c>
      <c r="Q3098">
        <v>0</v>
      </c>
      <c r="S3098">
        <v>29</v>
      </c>
      <c r="T3098">
        <v>1</v>
      </c>
      <c r="U3098">
        <v>4</v>
      </c>
      <c r="V3098">
        <v>903.27</v>
      </c>
      <c r="W3098">
        <v>13130003096</v>
      </c>
    </row>
    <row r="3099" spans="1:23" x14ac:dyDescent="0.2">
      <c r="A3099" s="1">
        <v>44785</v>
      </c>
      <c r="B3099" s="2">
        <v>0.46418981481481481</v>
      </c>
      <c r="C3099">
        <v>4097</v>
      </c>
      <c r="D3099">
        <v>13002561</v>
      </c>
      <c r="E3099">
        <v>13</v>
      </c>
      <c r="F3099">
        <v>22589</v>
      </c>
      <c r="G3099" t="s">
        <v>23</v>
      </c>
      <c r="H3099">
        <v>18</v>
      </c>
      <c r="I3099">
        <v>44668</v>
      </c>
      <c r="J3099" t="s">
        <v>127</v>
      </c>
      <c r="K3099" t="s">
        <v>25</v>
      </c>
      <c r="L3099" t="s">
        <v>51</v>
      </c>
      <c r="M3099">
        <v>1</v>
      </c>
      <c r="N3099">
        <v>81.98</v>
      </c>
      <c r="O3099">
        <v>125.86</v>
      </c>
      <c r="P3099">
        <v>0</v>
      </c>
      <c r="Q3099">
        <v>0</v>
      </c>
      <c r="S3099">
        <v>29</v>
      </c>
      <c r="T3099">
        <v>1</v>
      </c>
      <c r="U3099">
        <v>2</v>
      </c>
      <c r="V3099">
        <v>125.86</v>
      </c>
      <c r="W3099">
        <v>13130003097</v>
      </c>
    </row>
    <row r="3100" spans="1:23" x14ac:dyDescent="0.2">
      <c r="A3100" s="1">
        <v>44788</v>
      </c>
      <c r="B3100" s="2">
        <v>0.68881944444444443</v>
      </c>
      <c r="C3100">
        <v>4098</v>
      </c>
      <c r="D3100">
        <v>13002561</v>
      </c>
      <c r="E3100">
        <v>13</v>
      </c>
      <c r="F3100">
        <v>22589</v>
      </c>
      <c r="G3100" t="s">
        <v>23</v>
      </c>
      <c r="H3100">
        <v>15</v>
      </c>
      <c r="I3100">
        <v>92109</v>
      </c>
      <c r="J3100" t="s">
        <v>116</v>
      </c>
      <c r="K3100" t="s">
        <v>44</v>
      </c>
      <c r="L3100" t="s">
        <v>47</v>
      </c>
      <c r="M3100">
        <v>1</v>
      </c>
      <c r="N3100">
        <v>297.41000000000003</v>
      </c>
      <c r="O3100">
        <v>373.35</v>
      </c>
      <c r="P3100">
        <v>0</v>
      </c>
      <c r="Q3100">
        <v>0</v>
      </c>
      <c r="S3100">
        <v>29</v>
      </c>
      <c r="T3100">
        <v>1</v>
      </c>
      <c r="U3100">
        <v>6</v>
      </c>
      <c r="V3100">
        <v>373.35</v>
      </c>
      <c r="W3100">
        <v>13130003098</v>
      </c>
    </row>
    <row r="3101" spans="1:23" x14ac:dyDescent="0.2">
      <c r="A3101" s="1">
        <v>44783</v>
      </c>
      <c r="B3101" s="2">
        <v>0.78350694444444446</v>
      </c>
      <c r="C3101">
        <v>4099</v>
      </c>
      <c r="D3101">
        <v>13002561</v>
      </c>
      <c r="E3101">
        <v>13</v>
      </c>
      <c r="F3101">
        <v>22589</v>
      </c>
      <c r="G3101" t="s">
        <v>23</v>
      </c>
      <c r="H3101">
        <v>15</v>
      </c>
      <c r="I3101">
        <v>62769</v>
      </c>
      <c r="J3101" t="s">
        <v>50</v>
      </c>
      <c r="K3101" t="s">
        <v>28</v>
      </c>
      <c r="L3101" t="s">
        <v>36</v>
      </c>
      <c r="M3101">
        <v>2</v>
      </c>
      <c r="N3101">
        <v>587.08000000000004</v>
      </c>
      <c r="O3101">
        <v>944.57</v>
      </c>
      <c r="P3101">
        <v>47.23</v>
      </c>
      <c r="Q3101">
        <v>47.23</v>
      </c>
      <c r="R3101" t="s">
        <v>30</v>
      </c>
      <c r="S3101">
        <v>29</v>
      </c>
      <c r="T3101">
        <v>1</v>
      </c>
      <c r="U3101">
        <v>5</v>
      </c>
      <c r="V3101">
        <v>897.34</v>
      </c>
      <c r="W3101">
        <v>13130003099</v>
      </c>
    </row>
    <row r="3102" spans="1:23" x14ac:dyDescent="0.2">
      <c r="A3102" s="1">
        <v>44785</v>
      </c>
      <c r="B3102" s="2">
        <v>0.78554398148148152</v>
      </c>
      <c r="C3102">
        <v>4100</v>
      </c>
      <c r="D3102">
        <v>13002561</v>
      </c>
      <c r="E3102">
        <v>13</v>
      </c>
      <c r="F3102">
        <v>22589</v>
      </c>
      <c r="G3102" t="s">
        <v>23</v>
      </c>
      <c r="H3102">
        <v>18</v>
      </c>
      <c r="I3102">
        <v>70967</v>
      </c>
      <c r="J3102" t="s">
        <v>71</v>
      </c>
      <c r="K3102" t="s">
        <v>28</v>
      </c>
      <c r="L3102" t="s">
        <v>34</v>
      </c>
      <c r="M3102">
        <v>2</v>
      </c>
      <c r="N3102">
        <v>84.87</v>
      </c>
      <c r="O3102">
        <v>137.94</v>
      </c>
      <c r="P3102">
        <v>6.9</v>
      </c>
      <c r="Q3102">
        <v>6.9</v>
      </c>
      <c r="R3102" t="s">
        <v>30</v>
      </c>
      <c r="S3102">
        <v>29</v>
      </c>
      <c r="T3102">
        <v>1</v>
      </c>
      <c r="U3102">
        <v>3</v>
      </c>
      <c r="V3102">
        <v>131.04</v>
      </c>
      <c r="W3102">
        <v>13130003100</v>
      </c>
    </row>
    <row r="3103" spans="1:23" x14ac:dyDescent="0.2">
      <c r="A3103" s="1">
        <v>44798</v>
      </c>
      <c r="B3103" s="2">
        <v>0.56869212962962967</v>
      </c>
      <c r="C3103">
        <v>4101</v>
      </c>
      <c r="D3103">
        <v>13002561</v>
      </c>
      <c r="E3103">
        <v>13</v>
      </c>
      <c r="F3103">
        <v>22589</v>
      </c>
      <c r="G3103" t="s">
        <v>23</v>
      </c>
      <c r="H3103">
        <v>15</v>
      </c>
      <c r="I3103">
        <v>66263</v>
      </c>
      <c r="J3103" t="s">
        <v>70</v>
      </c>
      <c r="K3103" t="s">
        <v>25</v>
      </c>
      <c r="L3103" t="s">
        <v>47</v>
      </c>
      <c r="M3103">
        <v>1</v>
      </c>
      <c r="N3103">
        <v>130.1</v>
      </c>
      <c r="O3103">
        <v>181.59</v>
      </c>
      <c r="P3103">
        <v>18.16</v>
      </c>
      <c r="Q3103">
        <v>18.16</v>
      </c>
      <c r="R3103" t="s">
        <v>30</v>
      </c>
      <c r="S3103">
        <v>29</v>
      </c>
      <c r="T3103">
        <v>1</v>
      </c>
      <c r="U3103">
        <v>3</v>
      </c>
      <c r="V3103">
        <v>163.43</v>
      </c>
      <c r="W3103">
        <v>13130003101</v>
      </c>
    </row>
    <row r="3104" spans="1:23" x14ac:dyDescent="0.2">
      <c r="A3104" s="1">
        <v>44785</v>
      </c>
      <c r="B3104" s="2">
        <v>0.6203819444444445</v>
      </c>
      <c r="C3104">
        <v>4102</v>
      </c>
      <c r="D3104">
        <v>13002561</v>
      </c>
      <c r="E3104">
        <v>13</v>
      </c>
      <c r="F3104">
        <v>22589</v>
      </c>
      <c r="G3104" t="s">
        <v>23</v>
      </c>
      <c r="H3104">
        <v>15</v>
      </c>
      <c r="I3104">
        <v>63689</v>
      </c>
      <c r="J3104" t="s">
        <v>70</v>
      </c>
      <c r="K3104" t="s">
        <v>60</v>
      </c>
      <c r="L3104" t="s">
        <v>34</v>
      </c>
      <c r="M3104">
        <v>3</v>
      </c>
      <c r="N3104">
        <v>183.98</v>
      </c>
      <c r="O3104">
        <v>239.74</v>
      </c>
      <c r="P3104">
        <v>11.99</v>
      </c>
      <c r="Q3104">
        <v>11.99</v>
      </c>
      <c r="R3104" t="s">
        <v>30</v>
      </c>
      <c r="S3104">
        <v>29</v>
      </c>
      <c r="T3104">
        <v>1</v>
      </c>
      <c r="U3104">
        <v>6</v>
      </c>
      <c r="V3104">
        <v>227.75</v>
      </c>
      <c r="W3104">
        <v>13130003102</v>
      </c>
    </row>
    <row r="3105" spans="1:23" x14ac:dyDescent="0.2">
      <c r="A3105" s="1">
        <v>44792</v>
      </c>
      <c r="B3105" s="2">
        <v>0.54881944444444442</v>
      </c>
      <c r="C3105">
        <v>4103</v>
      </c>
      <c r="D3105">
        <v>13002561</v>
      </c>
      <c r="E3105">
        <v>13</v>
      </c>
      <c r="F3105">
        <v>22589</v>
      </c>
      <c r="G3105" t="s">
        <v>23</v>
      </c>
      <c r="H3105">
        <v>15</v>
      </c>
      <c r="I3105">
        <v>88385</v>
      </c>
      <c r="J3105" t="s">
        <v>72</v>
      </c>
      <c r="K3105" t="s">
        <v>38</v>
      </c>
      <c r="L3105" t="s">
        <v>26</v>
      </c>
      <c r="M3105">
        <v>2</v>
      </c>
      <c r="N3105">
        <v>97.99</v>
      </c>
      <c r="O3105">
        <v>126.76</v>
      </c>
      <c r="P3105">
        <v>0</v>
      </c>
      <c r="Q3105">
        <v>0</v>
      </c>
      <c r="S3105">
        <v>29</v>
      </c>
      <c r="T3105">
        <v>1</v>
      </c>
      <c r="U3105">
        <v>1</v>
      </c>
      <c r="V3105">
        <v>126.76</v>
      </c>
      <c r="W3105">
        <v>13130003103</v>
      </c>
    </row>
    <row r="3106" spans="1:23" x14ac:dyDescent="0.2">
      <c r="A3106" s="1">
        <v>44793</v>
      </c>
      <c r="B3106" s="2">
        <v>0.71218749999999997</v>
      </c>
      <c r="C3106">
        <v>4104</v>
      </c>
      <c r="D3106">
        <v>13002561</v>
      </c>
      <c r="E3106">
        <v>13</v>
      </c>
      <c r="F3106">
        <v>22589</v>
      </c>
      <c r="G3106" t="s">
        <v>23</v>
      </c>
      <c r="H3106">
        <v>15</v>
      </c>
      <c r="I3106">
        <v>82496</v>
      </c>
      <c r="J3106" t="s">
        <v>74</v>
      </c>
      <c r="K3106" t="s">
        <v>45</v>
      </c>
      <c r="L3106" t="s">
        <v>51</v>
      </c>
      <c r="M3106">
        <v>2</v>
      </c>
      <c r="N3106">
        <v>10.61</v>
      </c>
      <c r="O3106">
        <v>16.28</v>
      </c>
      <c r="P3106">
        <v>0.81</v>
      </c>
      <c r="Q3106">
        <v>0.81</v>
      </c>
      <c r="R3106" t="s">
        <v>30</v>
      </c>
      <c r="S3106">
        <v>29</v>
      </c>
      <c r="T3106">
        <v>1</v>
      </c>
      <c r="U3106">
        <v>3</v>
      </c>
      <c r="V3106">
        <v>15.47</v>
      </c>
      <c r="W3106">
        <v>13130003104</v>
      </c>
    </row>
    <row r="3107" spans="1:23" x14ac:dyDescent="0.2">
      <c r="A3107" s="1">
        <v>44791</v>
      </c>
      <c r="B3107" s="2">
        <v>0.55182870370370374</v>
      </c>
      <c r="C3107">
        <v>4105</v>
      </c>
      <c r="D3107">
        <v>13002561</v>
      </c>
      <c r="E3107">
        <v>13</v>
      </c>
      <c r="F3107">
        <v>22589</v>
      </c>
      <c r="G3107" t="s">
        <v>23</v>
      </c>
      <c r="H3107">
        <v>15</v>
      </c>
      <c r="I3107">
        <v>18827</v>
      </c>
      <c r="J3107" t="s">
        <v>94</v>
      </c>
      <c r="K3107" t="s">
        <v>28</v>
      </c>
      <c r="L3107" t="s">
        <v>34</v>
      </c>
      <c r="M3107">
        <v>2</v>
      </c>
      <c r="N3107">
        <v>165.15</v>
      </c>
      <c r="O3107">
        <v>228.11</v>
      </c>
      <c r="P3107">
        <v>0</v>
      </c>
      <c r="Q3107">
        <v>0</v>
      </c>
      <c r="S3107">
        <v>29</v>
      </c>
      <c r="T3107">
        <v>1</v>
      </c>
      <c r="U3107">
        <v>1</v>
      </c>
      <c r="V3107">
        <v>228.11</v>
      </c>
      <c r="W3107">
        <v>13130003105</v>
      </c>
    </row>
    <row r="3108" spans="1:23" x14ac:dyDescent="0.2">
      <c r="A3108" s="1">
        <v>44780</v>
      </c>
      <c r="B3108" s="2">
        <v>0.49158564814814809</v>
      </c>
      <c r="C3108">
        <v>4106</v>
      </c>
      <c r="D3108">
        <v>13002561</v>
      </c>
      <c r="E3108">
        <v>13</v>
      </c>
      <c r="F3108">
        <v>22589</v>
      </c>
      <c r="G3108" t="s">
        <v>23</v>
      </c>
      <c r="H3108">
        <v>18</v>
      </c>
      <c r="I3108">
        <v>80988</v>
      </c>
      <c r="J3108" t="s">
        <v>92</v>
      </c>
      <c r="K3108" t="s">
        <v>60</v>
      </c>
      <c r="L3108" t="s">
        <v>32</v>
      </c>
      <c r="M3108">
        <v>3</v>
      </c>
      <c r="N3108">
        <v>430.92</v>
      </c>
      <c r="O3108">
        <v>663.29</v>
      </c>
      <c r="P3108">
        <v>66.33</v>
      </c>
      <c r="Q3108">
        <v>66.33</v>
      </c>
      <c r="R3108" t="s">
        <v>30</v>
      </c>
      <c r="S3108">
        <v>29</v>
      </c>
      <c r="T3108">
        <v>1</v>
      </c>
      <c r="U3108">
        <v>4</v>
      </c>
      <c r="V3108">
        <v>596.96</v>
      </c>
      <c r="W3108">
        <v>13130003106</v>
      </c>
    </row>
    <row r="3109" spans="1:23" x14ac:dyDescent="0.2">
      <c r="A3109" s="1">
        <v>44784</v>
      </c>
      <c r="B3109" s="2">
        <v>0.39792824074074068</v>
      </c>
      <c r="C3109">
        <v>4107</v>
      </c>
      <c r="D3109">
        <v>13002561</v>
      </c>
      <c r="E3109">
        <v>13</v>
      </c>
      <c r="F3109">
        <v>22589</v>
      </c>
      <c r="G3109" t="s">
        <v>23</v>
      </c>
      <c r="H3109">
        <v>18</v>
      </c>
      <c r="I3109">
        <v>18928</v>
      </c>
      <c r="J3109" t="s">
        <v>52</v>
      </c>
      <c r="K3109" t="s">
        <v>44</v>
      </c>
      <c r="L3109" t="s">
        <v>26</v>
      </c>
      <c r="M3109">
        <v>2</v>
      </c>
      <c r="N3109">
        <v>232.9</v>
      </c>
      <c r="O3109">
        <v>392.94</v>
      </c>
      <c r="P3109">
        <v>0</v>
      </c>
      <c r="Q3109">
        <v>0</v>
      </c>
      <c r="S3109">
        <v>29</v>
      </c>
      <c r="T3109">
        <v>1</v>
      </c>
      <c r="U3109">
        <v>2</v>
      </c>
      <c r="V3109">
        <v>392.94</v>
      </c>
      <c r="W3109">
        <v>13130003107</v>
      </c>
    </row>
    <row r="3110" spans="1:23" x14ac:dyDescent="0.2">
      <c r="A3110" s="1">
        <v>44794</v>
      </c>
      <c r="B3110" s="2">
        <v>0.57354166666666662</v>
      </c>
      <c r="C3110">
        <v>4108</v>
      </c>
      <c r="D3110">
        <v>13002561</v>
      </c>
      <c r="E3110">
        <v>13</v>
      </c>
      <c r="F3110">
        <v>22589</v>
      </c>
      <c r="G3110" t="s">
        <v>23</v>
      </c>
      <c r="H3110">
        <v>15</v>
      </c>
      <c r="I3110">
        <v>97012</v>
      </c>
      <c r="J3110" t="s">
        <v>115</v>
      </c>
      <c r="K3110" t="s">
        <v>28</v>
      </c>
      <c r="L3110" t="s">
        <v>36</v>
      </c>
      <c r="M3110">
        <v>1</v>
      </c>
      <c r="N3110">
        <v>453.15</v>
      </c>
      <c r="O3110">
        <v>659.48</v>
      </c>
      <c r="P3110">
        <v>32.97</v>
      </c>
      <c r="Q3110">
        <v>32.97</v>
      </c>
      <c r="R3110" t="s">
        <v>30</v>
      </c>
      <c r="S3110">
        <v>29</v>
      </c>
      <c r="T3110">
        <v>1</v>
      </c>
      <c r="U3110">
        <v>6</v>
      </c>
      <c r="V3110">
        <v>626.51</v>
      </c>
      <c r="W3110">
        <v>13130003108</v>
      </c>
    </row>
    <row r="3111" spans="1:23" x14ac:dyDescent="0.2">
      <c r="A3111" s="1">
        <v>44776</v>
      </c>
      <c r="B3111" s="2">
        <v>0.34427083333333341</v>
      </c>
      <c r="C3111">
        <v>4109</v>
      </c>
      <c r="D3111">
        <v>13002561</v>
      </c>
      <c r="E3111">
        <v>13</v>
      </c>
      <c r="F3111">
        <v>22589</v>
      </c>
      <c r="G3111" t="s">
        <v>23</v>
      </c>
      <c r="H3111">
        <v>18</v>
      </c>
      <c r="I3111">
        <v>58477</v>
      </c>
      <c r="J3111" t="s">
        <v>110</v>
      </c>
      <c r="K3111" t="s">
        <v>25</v>
      </c>
      <c r="L3111" t="s">
        <v>39</v>
      </c>
      <c r="M3111">
        <v>2</v>
      </c>
      <c r="N3111">
        <v>480.61</v>
      </c>
      <c r="O3111">
        <v>781.41</v>
      </c>
      <c r="P3111">
        <v>0</v>
      </c>
      <c r="Q3111">
        <v>0</v>
      </c>
      <c r="S3111">
        <v>29</v>
      </c>
      <c r="T3111">
        <v>1</v>
      </c>
      <c r="U3111">
        <v>6</v>
      </c>
      <c r="V3111">
        <v>781.41</v>
      </c>
      <c r="W3111">
        <v>13130003109</v>
      </c>
    </row>
    <row r="3112" spans="1:23" x14ac:dyDescent="0.2">
      <c r="A3112" s="1">
        <v>44791</v>
      </c>
      <c r="B3112" s="2">
        <v>0.80274305555555558</v>
      </c>
      <c r="C3112">
        <v>4110</v>
      </c>
      <c r="D3112">
        <v>13002561</v>
      </c>
      <c r="E3112">
        <v>13</v>
      </c>
      <c r="F3112">
        <v>22589</v>
      </c>
      <c r="G3112" t="s">
        <v>23</v>
      </c>
      <c r="H3112">
        <v>18</v>
      </c>
      <c r="I3112">
        <v>51309</v>
      </c>
      <c r="J3112" t="s">
        <v>119</v>
      </c>
      <c r="K3112" t="s">
        <v>25</v>
      </c>
      <c r="L3112" t="s">
        <v>32</v>
      </c>
      <c r="M3112">
        <v>2</v>
      </c>
      <c r="N3112">
        <v>391.58</v>
      </c>
      <c r="O3112">
        <v>603.11</v>
      </c>
      <c r="P3112">
        <v>0</v>
      </c>
      <c r="Q3112">
        <v>0</v>
      </c>
      <c r="S3112">
        <v>29</v>
      </c>
      <c r="T3112">
        <v>1</v>
      </c>
      <c r="U3112">
        <v>4</v>
      </c>
      <c r="V3112">
        <v>603.11</v>
      </c>
      <c r="W3112">
        <v>13130003110</v>
      </c>
    </row>
    <row r="3113" spans="1:23" x14ac:dyDescent="0.2">
      <c r="A3113" s="1">
        <v>44791</v>
      </c>
      <c r="B3113" s="2">
        <v>0.43440972222222218</v>
      </c>
      <c r="C3113">
        <v>4111</v>
      </c>
      <c r="D3113">
        <v>13002561</v>
      </c>
      <c r="E3113">
        <v>13</v>
      </c>
      <c r="F3113">
        <v>22589</v>
      </c>
      <c r="G3113" t="s">
        <v>23</v>
      </c>
      <c r="H3113">
        <v>15</v>
      </c>
      <c r="I3113">
        <v>63934</v>
      </c>
      <c r="J3113" t="s">
        <v>83</v>
      </c>
      <c r="K3113" t="s">
        <v>60</v>
      </c>
      <c r="L3113" t="s">
        <v>39</v>
      </c>
      <c r="M3113">
        <v>3</v>
      </c>
      <c r="N3113">
        <v>218.91</v>
      </c>
      <c r="O3113">
        <v>294.37</v>
      </c>
      <c r="P3113">
        <v>14.72</v>
      </c>
      <c r="Q3113">
        <v>14.72</v>
      </c>
      <c r="R3113" t="s">
        <v>30</v>
      </c>
      <c r="S3113">
        <v>29</v>
      </c>
      <c r="T3113">
        <v>1</v>
      </c>
      <c r="U3113">
        <v>6</v>
      </c>
      <c r="V3113">
        <v>279.64999999999998</v>
      </c>
      <c r="W3113">
        <v>13130003111</v>
      </c>
    </row>
    <row r="3114" spans="1:23" x14ac:dyDescent="0.2">
      <c r="A3114" s="1">
        <v>44792</v>
      </c>
      <c r="B3114" s="2">
        <v>0.36835648148148148</v>
      </c>
      <c r="C3114">
        <v>4112</v>
      </c>
      <c r="D3114">
        <v>13002561</v>
      </c>
      <c r="E3114">
        <v>13</v>
      </c>
      <c r="F3114">
        <v>22589</v>
      </c>
      <c r="G3114" t="s">
        <v>23</v>
      </c>
      <c r="H3114">
        <v>15</v>
      </c>
      <c r="I3114">
        <v>88850</v>
      </c>
      <c r="J3114" t="s">
        <v>84</v>
      </c>
      <c r="K3114" t="s">
        <v>28</v>
      </c>
      <c r="L3114" t="s">
        <v>34</v>
      </c>
      <c r="M3114">
        <v>3</v>
      </c>
      <c r="N3114">
        <v>382.35</v>
      </c>
      <c r="O3114">
        <v>649.71</v>
      </c>
      <c r="P3114">
        <v>64.97</v>
      </c>
      <c r="Q3114">
        <v>64.97</v>
      </c>
      <c r="R3114" t="s">
        <v>30</v>
      </c>
      <c r="S3114">
        <v>29</v>
      </c>
      <c r="T3114">
        <v>1</v>
      </c>
      <c r="U3114">
        <v>2</v>
      </c>
      <c r="V3114">
        <v>584.74</v>
      </c>
      <c r="W3114">
        <v>13130003112</v>
      </c>
    </row>
    <row r="3115" spans="1:23" x14ac:dyDescent="0.2">
      <c r="A3115" s="1">
        <v>44794</v>
      </c>
      <c r="B3115" s="2">
        <v>0.52613425925925927</v>
      </c>
      <c r="C3115">
        <v>4113</v>
      </c>
      <c r="D3115">
        <v>13002561</v>
      </c>
      <c r="E3115">
        <v>13</v>
      </c>
      <c r="F3115">
        <v>22589</v>
      </c>
      <c r="G3115" t="s">
        <v>23</v>
      </c>
      <c r="H3115">
        <v>18</v>
      </c>
      <c r="I3115">
        <v>87058</v>
      </c>
      <c r="J3115" t="s">
        <v>83</v>
      </c>
      <c r="K3115" t="s">
        <v>60</v>
      </c>
      <c r="L3115" t="s">
        <v>47</v>
      </c>
      <c r="M3115">
        <v>3</v>
      </c>
      <c r="N3115">
        <v>510.82</v>
      </c>
      <c r="O3115">
        <v>855.03</v>
      </c>
      <c r="P3115">
        <v>42.75</v>
      </c>
      <c r="Q3115">
        <v>42.75</v>
      </c>
      <c r="R3115" t="s">
        <v>30</v>
      </c>
      <c r="S3115">
        <v>29</v>
      </c>
      <c r="T3115">
        <v>1</v>
      </c>
      <c r="U3115">
        <v>3</v>
      </c>
      <c r="V3115">
        <v>812.28</v>
      </c>
      <c r="W3115">
        <v>13130003113</v>
      </c>
    </row>
    <row r="3116" spans="1:23" x14ac:dyDescent="0.2">
      <c r="A3116" s="1">
        <v>44800</v>
      </c>
      <c r="B3116" s="2">
        <v>0.91013888888888894</v>
      </c>
      <c r="C3116">
        <v>4114</v>
      </c>
      <c r="D3116">
        <v>13002561</v>
      </c>
      <c r="E3116">
        <v>13</v>
      </c>
      <c r="F3116">
        <v>22589</v>
      </c>
      <c r="G3116" t="s">
        <v>23</v>
      </c>
      <c r="H3116">
        <v>15</v>
      </c>
      <c r="I3116">
        <v>14963</v>
      </c>
      <c r="J3116" t="s">
        <v>95</v>
      </c>
      <c r="K3116" t="s">
        <v>44</v>
      </c>
      <c r="L3116" t="s">
        <v>39</v>
      </c>
      <c r="M3116">
        <v>3</v>
      </c>
      <c r="N3116">
        <v>153.11000000000001</v>
      </c>
      <c r="O3116">
        <v>223.93</v>
      </c>
      <c r="P3116">
        <v>22.39</v>
      </c>
      <c r="Q3116">
        <v>22.39</v>
      </c>
      <c r="R3116" t="s">
        <v>30</v>
      </c>
      <c r="S3116">
        <v>29</v>
      </c>
      <c r="T3116">
        <v>1</v>
      </c>
      <c r="U3116">
        <v>1</v>
      </c>
      <c r="V3116">
        <v>201.54</v>
      </c>
      <c r="W3116">
        <v>13130003114</v>
      </c>
    </row>
    <row r="3117" spans="1:23" x14ac:dyDescent="0.2">
      <c r="A3117" s="1">
        <v>44781</v>
      </c>
      <c r="B3117" s="2">
        <v>0.87331018518518522</v>
      </c>
      <c r="C3117">
        <v>4115</v>
      </c>
      <c r="D3117">
        <v>13002561</v>
      </c>
      <c r="E3117">
        <v>13</v>
      </c>
      <c r="F3117">
        <v>22589</v>
      </c>
      <c r="G3117" t="s">
        <v>23</v>
      </c>
      <c r="H3117">
        <v>15</v>
      </c>
      <c r="I3117">
        <v>67059</v>
      </c>
      <c r="J3117" t="s">
        <v>106</v>
      </c>
      <c r="K3117" t="s">
        <v>44</v>
      </c>
      <c r="L3117" t="s">
        <v>26</v>
      </c>
      <c r="M3117">
        <v>1</v>
      </c>
      <c r="N3117">
        <v>267.77999999999997</v>
      </c>
      <c r="O3117">
        <v>439.54</v>
      </c>
      <c r="P3117">
        <v>43.95</v>
      </c>
      <c r="Q3117">
        <v>43.95</v>
      </c>
      <c r="R3117" t="s">
        <v>30</v>
      </c>
      <c r="S3117">
        <v>29</v>
      </c>
      <c r="T3117">
        <v>1</v>
      </c>
      <c r="U3117">
        <v>1</v>
      </c>
      <c r="V3117">
        <v>395.59</v>
      </c>
      <c r="W3117">
        <v>13130003115</v>
      </c>
    </row>
    <row r="3118" spans="1:23" x14ac:dyDescent="0.2">
      <c r="A3118" s="1">
        <v>44793</v>
      </c>
      <c r="B3118" s="2">
        <v>0.62792824074074072</v>
      </c>
      <c r="C3118">
        <v>4116</v>
      </c>
      <c r="D3118">
        <v>13002561</v>
      </c>
      <c r="E3118">
        <v>13</v>
      </c>
      <c r="F3118">
        <v>22589</v>
      </c>
      <c r="G3118" t="s">
        <v>23</v>
      </c>
      <c r="H3118">
        <v>15</v>
      </c>
      <c r="I3118">
        <v>51765</v>
      </c>
      <c r="J3118" t="s">
        <v>126</v>
      </c>
      <c r="K3118" t="s">
        <v>60</v>
      </c>
      <c r="L3118" t="s">
        <v>36</v>
      </c>
      <c r="M3118">
        <v>3</v>
      </c>
      <c r="N3118">
        <v>414.99</v>
      </c>
      <c r="O3118">
        <v>538.51</v>
      </c>
      <c r="P3118">
        <v>0</v>
      </c>
      <c r="Q3118">
        <v>0</v>
      </c>
      <c r="S3118">
        <v>29</v>
      </c>
      <c r="T3118">
        <v>1</v>
      </c>
      <c r="U3118">
        <v>4</v>
      </c>
      <c r="V3118">
        <v>538.51</v>
      </c>
      <c r="W3118">
        <v>13130003116</v>
      </c>
    </row>
    <row r="3119" spans="1:23" x14ac:dyDescent="0.2">
      <c r="A3119" s="1">
        <v>44777</v>
      </c>
      <c r="B3119" s="2">
        <v>0.60179398148148144</v>
      </c>
      <c r="C3119">
        <v>4117</v>
      </c>
      <c r="D3119">
        <v>13002561</v>
      </c>
      <c r="E3119">
        <v>13</v>
      </c>
      <c r="F3119">
        <v>22589</v>
      </c>
      <c r="G3119" t="s">
        <v>23</v>
      </c>
      <c r="H3119">
        <v>15</v>
      </c>
      <c r="I3119">
        <v>56542</v>
      </c>
      <c r="J3119" t="s">
        <v>110</v>
      </c>
      <c r="K3119" t="s">
        <v>28</v>
      </c>
      <c r="L3119" t="s">
        <v>32</v>
      </c>
      <c r="M3119">
        <v>3</v>
      </c>
      <c r="N3119">
        <v>582.41</v>
      </c>
      <c r="O3119">
        <v>965.63</v>
      </c>
      <c r="P3119">
        <v>96.56</v>
      </c>
      <c r="Q3119">
        <v>96.56</v>
      </c>
      <c r="R3119" t="s">
        <v>30</v>
      </c>
      <c r="S3119">
        <v>29</v>
      </c>
      <c r="T3119">
        <v>1</v>
      </c>
      <c r="U3119">
        <v>3</v>
      </c>
      <c r="V3119">
        <v>869.07</v>
      </c>
      <c r="W3119">
        <v>13130003117</v>
      </c>
    </row>
    <row r="3120" spans="1:23" x14ac:dyDescent="0.2">
      <c r="A3120" s="1">
        <v>44795</v>
      </c>
      <c r="B3120" s="2">
        <v>0.80055555555555558</v>
      </c>
      <c r="C3120">
        <v>4118</v>
      </c>
      <c r="D3120">
        <v>13002561</v>
      </c>
      <c r="E3120">
        <v>13</v>
      </c>
      <c r="F3120">
        <v>22589</v>
      </c>
      <c r="G3120" t="s">
        <v>23</v>
      </c>
      <c r="H3120">
        <v>18</v>
      </c>
      <c r="I3120">
        <v>40982</v>
      </c>
      <c r="J3120" t="s">
        <v>67</v>
      </c>
      <c r="K3120" t="s">
        <v>60</v>
      </c>
      <c r="L3120" t="s">
        <v>36</v>
      </c>
      <c r="M3120">
        <v>3</v>
      </c>
      <c r="N3120">
        <v>539.24</v>
      </c>
      <c r="O3120">
        <v>769.53</v>
      </c>
      <c r="P3120">
        <v>38.479999999999997</v>
      </c>
      <c r="Q3120">
        <v>38.479999999999997</v>
      </c>
      <c r="R3120" t="s">
        <v>30</v>
      </c>
      <c r="S3120">
        <v>29</v>
      </c>
      <c r="T3120">
        <v>1</v>
      </c>
      <c r="U3120">
        <v>4</v>
      </c>
      <c r="V3120">
        <v>731.05</v>
      </c>
      <c r="W3120">
        <v>13130003118</v>
      </c>
    </row>
    <row r="3121" spans="1:23" x14ac:dyDescent="0.2">
      <c r="A3121" s="1">
        <v>44796</v>
      </c>
      <c r="B3121" s="2">
        <v>0.63314814814814813</v>
      </c>
      <c r="C3121">
        <v>4119</v>
      </c>
      <c r="D3121">
        <v>13002561</v>
      </c>
      <c r="E3121">
        <v>13</v>
      </c>
      <c r="F3121">
        <v>22589</v>
      </c>
      <c r="G3121" t="s">
        <v>23</v>
      </c>
      <c r="H3121">
        <v>18</v>
      </c>
      <c r="I3121">
        <v>28130</v>
      </c>
      <c r="J3121" t="s">
        <v>72</v>
      </c>
      <c r="K3121" t="s">
        <v>28</v>
      </c>
      <c r="L3121" t="s">
        <v>26</v>
      </c>
      <c r="M3121">
        <v>1</v>
      </c>
      <c r="N3121">
        <v>489.4</v>
      </c>
      <c r="O3121">
        <v>614.08000000000004</v>
      </c>
      <c r="P3121">
        <v>0</v>
      </c>
      <c r="Q3121">
        <v>0</v>
      </c>
      <c r="S3121">
        <v>29</v>
      </c>
      <c r="T3121">
        <v>1</v>
      </c>
      <c r="U3121">
        <v>6</v>
      </c>
      <c r="V3121">
        <v>614.08000000000004</v>
      </c>
      <c r="W3121">
        <v>13130003119</v>
      </c>
    </row>
    <row r="3122" spans="1:23" x14ac:dyDescent="0.2">
      <c r="A3122" s="1">
        <v>44802</v>
      </c>
      <c r="B3122" s="2">
        <v>0.71523148148148152</v>
      </c>
      <c r="C3122">
        <v>4120</v>
      </c>
      <c r="D3122">
        <v>13002561</v>
      </c>
      <c r="E3122">
        <v>13</v>
      </c>
      <c r="F3122">
        <v>22589</v>
      </c>
      <c r="G3122" t="s">
        <v>23</v>
      </c>
      <c r="H3122">
        <v>18</v>
      </c>
      <c r="I3122">
        <v>20337</v>
      </c>
      <c r="J3122" t="s">
        <v>58</v>
      </c>
      <c r="K3122" t="s">
        <v>45</v>
      </c>
      <c r="L3122" t="s">
        <v>26</v>
      </c>
      <c r="M3122">
        <v>1</v>
      </c>
      <c r="N3122">
        <v>508.58</v>
      </c>
      <c r="O3122">
        <v>841.7</v>
      </c>
      <c r="P3122">
        <v>84.17</v>
      </c>
      <c r="Q3122">
        <v>84.17</v>
      </c>
      <c r="R3122" t="s">
        <v>30</v>
      </c>
      <c r="S3122">
        <v>29</v>
      </c>
      <c r="T3122">
        <v>1</v>
      </c>
      <c r="U3122">
        <v>4</v>
      </c>
      <c r="V3122">
        <v>757.53</v>
      </c>
      <c r="W3122">
        <v>13130003120</v>
      </c>
    </row>
    <row r="3123" spans="1:23" x14ac:dyDescent="0.2">
      <c r="A3123" s="1">
        <v>44787</v>
      </c>
      <c r="B3123" s="2">
        <v>0.50886574074074076</v>
      </c>
      <c r="C3123">
        <v>4121</v>
      </c>
      <c r="D3123">
        <v>13002561</v>
      </c>
      <c r="E3123">
        <v>13</v>
      </c>
      <c r="F3123">
        <v>22589</v>
      </c>
      <c r="G3123" t="s">
        <v>23</v>
      </c>
      <c r="H3123">
        <v>18</v>
      </c>
      <c r="I3123">
        <v>82824</v>
      </c>
      <c r="J3123" t="s">
        <v>113</v>
      </c>
      <c r="K3123" t="s">
        <v>38</v>
      </c>
      <c r="L3123" t="s">
        <v>32</v>
      </c>
      <c r="M3123">
        <v>1</v>
      </c>
      <c r="N3123">
        <v>336.48</v>
      </c>
      <c r="O3123">
        <v>566.54999999999995</v>
      </c>
      <c r="P3123">
        <v>0</v>
      </c>
      <c r="Q3123">
        <v>0</v>
      </c>
      <c r="S3123">
        <v>29</v>
      </c>
      <c r="T3123">
        <v>1</v>
      </c>
      <c r="U3123">
        <v>1</v>
      </c>
      <c r="V3123">
        <v>566.54999999999995</v>
      </c>
      <c r="W3123">
        <v>13130003121</v>
      </c>
    </row>
    <row r="3124" spans="1:23" x14ac:dyDescent="0.2">
      <c r="A3124" s="1">
        <v>44786</v>
      </c>
      <c r="B3124" s="2">
        <v>0.72358796296296302</v>
      </c>
      <c r="C3124">
        <v>4122</v>
      </c>
      <c r="D3124">
        <v>13002561</v>
      </c>
      <c r="E3124">
        <v>13</v>
      </c>
      <c r="F3124">
        <v>22589</v>
      </c>
      <c r="G3124" t="s">
        <v>23</v>
      </c>
      <c r="H3124">
        <v>15</v>
      </c>
      <c r="I3124">
        <v>47084</v>
      </c>
      <c r="J3124" t="s">
        <v>81</v>
      </c>
      <c r="K3124" t="s">
        <v>38</v>
      </c>
      <c r="L3124" t="s">
        <v>39</v>
      </c>
      <c r="M3124">
        <v>1</v>
      </c>
      <c r="N3124">
        <v>128.55000000000001</v>
      </c>
      <c r="O3124">
        <v>197.8</v>
      </c>
      <c r="P3124">
        <v>9.89</v>
      </c>
      <c r="Q3124">
        <v>9.89</v>
      </c>
      <c r="R3124" t="s">
        <v>30</v>
      </c>
      <c r="S3124">
        <v>29</v>
      </c>
      <c r="T3124">
        <v>1</v>
      </c>
      <c r="U3124">
        <v>4</v>
      </c>
      <c r="V3124">
        <v>187.91</v>
      </c>
      <c r="W3124">
        <v>13130003122</v>
      </c>
    </row>
    <row r="3125" spans="1:23" x14ac:dyDescent="0.2">
      <c r="A3125" s="1">
        <v>44786</v>
      </c>
      <c r="B3125" s="2">
        <v>0.51980324074074069</v>
      </c>
      <c r="C3125">
        <v>4123</v>
      </c>
      <c r="D3125">
        <v>13002561</v>
      </c>
      <c r="E3125">
        <v>13</v>
      </c>
      <c r="F3125">
        <v>22589</v>
      </c>
      <c r="G3125" t="s">
        <v>23</v>
      </c>
      <c r="H3125">
        <v>15</v>
      </c>
      <c r="I3125">
        <v>25860</v>
      </c>
      <c r="J3125" t="s">
        <v>92</v>
      </c>
      <c r="K3125" t="s">
        <v>44</v>
      </c>
      <c r="L3125" t="s">
        <v>47</v>
      </c>
      <c r="M3125">
        <v>3</v>
      </c>
      <c r="N3125">
        <v>397.91</v>
      </c>
      <c r="O3125">
        <v>546.03</v>
      </c>
      <c r="P3125">
        <v>54.6</v>
      </c>
      <c r="Q3125">
        <v>54.6</v>
      </c>
      <c r="R3125" t="s">
        <v>30</v>
      </c>
      <c r="S3125">
        <v>29</v>
      </c>
      <c r="T3125">
        <v>1</v>
      </c>
      <c r="U3125">
        <v>6</v>
      </c>
      <c r="V3125">
        <v>491.43</v>
      </c>
      <c r="W3125">
        <v>13130003123</v>
      </c>
    </row>
    <row r="3126" spans="1:23" x14ac:dyDescent="0.2">
      <c r="A3126" s="1">
        <v>44804</v>
      </c>
      <c r="B3126" s="2">
        <v>0.43229166666666669</v>
      </c>
      <c r="C3126">
        <v>4124</v>
      </c>
      <c r="D3126">
        <v>13002561</v>
      </c>
      <c r="E3126">
        <v>13</v>
      </c>
      <c r="F3126">
        <v>22589</v>
      </c>
      <c r="G3126" t="s">
        <v>23</v>
      </c>
      <c r="H3126">
        <v>18</v>
      </c>
      <c r="I3126">
        <v>77572</v>
      </c>
      <c r="J3126" t="s">
        <v>48</v>
      </c>
      <c r="K3126" t="s">
        <v>38</v>
      </c>
      <c r="L3126" t="s">
        <v>26</v>
      </c>
      <c r="M3126">
        <v>3</v>
      </c>
      <c r="N3126">
        <v>183.16</v>
      </c>
      <c r="O3126">
        <v>233.71</v>
      </c>
      <c r="P3126">
        <v>0</v>
      </c>
      <c r="Q3126">
        <v>0</v>
      </c>
      <c r="S3126">
        <v>29</v>
      </c>
      <c r="T3126">
        <v>1</v>
      </c>
      <c r="U3126">
        <v>2</v>
      </c>
      <c r="V3126">
        <v>233.71</v>
      </c>
      <c r="W3126">
        <v>13130003124</v>
      </c>
    </row>
    <row r="3127" spans="1:23" x14ac:dyDescent="0.2">
      <c r="A3127" s="1">
        <v>44781</v>
      </c>
      <c r="B3127" s="2">
        <v>0.50575231481481486</v>
      </c>
      <c r="C3127">
        <v>4125</v>
      </c>
      <c r="D3127">
        <v>13002561</v>
      </c>
      <c r="E3127">
        <v>13</v>
      </c>
      <c r="F3127">
        <v>22589</v>
      </c>
      <c r="G3127" t="s">
        <v>23</v>
      </c>
      <c r="H3127">
        <v>18</v>
      </c>
      <c r="I3127">
        <v>15959</v>
      </c>
      <c r="J3127" t="s">
        <v>105</v>
      </c>
      <c r="K3127" t="s">
        <v>38</v>
      </c>
      <c r="L3127" t="s">
        <v>29</v>
      </c>
      <c r="M3127">
        <v>1</v>
      </c>
      <c r="N3127">
        <v>145.51</v>
      </c>
      <c r="O3127">
        <v>237.13</v>
      </c>
      <c r="P3127">
        <v>23.71</v>
      </c>
      <c r="Q3127">
        <v>23.71</v>
      </c>
      <c r="R3127" t="s">
        <v>30</v>
      </c>
      <c r="S3127">
        <v>29</v>
      </c>
      <c r="T3127">
        <v>1</v>
      </c>
      <c r="U3127">
        <v>1</v>
      </c>
      <c r="V3127">
        <v>213.42</v>
      </c>
      <c r="W3127">
        <v>13130003125</v>
      </c>
    </row>
    <row r="3128" spans="1:23" x14ac:dyDescent="0.2">
      <c r="A3128" s="1">
        <v>44780</v>
      </c>
      <c r="B3128" s="2">
        <v>0.95306712962962958</v>
      </c>
      <c r="C3128">
        <v>4126</v>
      </c>
      <c r="D3128">
        <v>13002561</v>
      </c>
      <c r="E3128">
        <v>13</v>
      </c>
      <c r="F3128">
        <v>22589</v>
      </c>
      <c r="G3128" t="s">
        <v>23</v>
      </c>
      <c r="H3128">
        <v>18</v>
      </c>
      <c r="I3128">
        <v>47471</v>
      </c>
      <c r="J3128" t="s">
        <v>112</v>
      </c>
      <c r="K3128" t="s">
        <v>45</v>
      </c>
      <c r="L3128" t="s">
        <v>47</v>
      </c>
      <c r="M3128">
        <v>1</v>
      </c>
      <c r="N3128">
        <v>88.09</v>
      </c>
      <c r="O3128">
        <v>123.36</v>
      </c>
      <c r="P3128">
        <v>12.34</v>
      </c>
      <c r="Q3128">
        <v>12.34</v>
      </c>
      <c r="R3128" t="s">
        <v>30</v>
      </c>
      <c r="S3128">
        <v>29</v>
      </c>
      <c r="T3128">
        <v>1</v>
      </c>
      <c r="U3128">
        <v>3</v>
      </c>
      <c r="V3128">
        <v>111.02</v>
      </c>
      <c r="W3128">
        <v>13130003126</v>
      </c>
    </row>
    <row r="3129" spans="1:23" x14ac:dyDescent="0.2">
      <c r="A3129" s="1">
        <v>44788</v>
      </c>
      <c r="B3129" s="2">
        <v>0.94763888888888892</v>
      </c>
      <c r="C3129">
        <v>4127</v>
      </c>
      <c r="D3129">
        <v>13002561</v>
      </c>
      <c r="E3129">
        <v>13</v>
      </c>
      <c r="F3129">
        <v>22589</v>
      </c>
      <c r="G3129" t="s">
        <v>23</v>
      </c>
      <c r="H3129">
        <v>15</v>
      </c>
      <c r="I3129">
        <v>18604</v>
      </c>
      <c r="J3129" t="s">
        <v>35</v>
      </c>
      <c r="K3129" t="s">
        <v>28</v>
      </c>
      <c r="L3129" t="s">
        <v>26</v>
      </c>
      <c r="M3129">
        <v>2</v>
      </c>
      <c r="N3129">
        <v>592.04</v>
      </c>
      <c r="O3129">
        <v>758.83</v>
      </c>
      <c r="P3129">
        <v>37.94</v>
      </c>
      <c r="Q3129">
        <v>37.94</v>
      </c>
      <c r="R3129" t="s">
        <v>30</v>
      </c>
      <c r="S3129">
        <v>29</v>
      </c>
      <c r="T3129">
        <v>1</v>
      </c>
      <c r="U3129">
        <v>3</v>
      </c>
      <c r="V3129">
        <v>720.89</v>
      </c>
      <c r="W3129">
        <v>13130003127</v>
      </c>
    </row>
    <row r="3130" spans="1:23" x14ac:dyDescent="0.2">
      <c r="A3130" s="1">
        <v>44787</v>
      </c>
      <c r="B3130" s="2">
        <v>0.70343750000000005</v>
      </c>
      <c r="C3130">
        <v>4128</v>
      </c>
      <c r="D3130">
        <v>13002561</v>
      </c>
      <c r="E3130">
        <v>13</v>
      </c>
      <c r="F3130">
        <v>22589</v>
      </c>
      <c r="G3130" t="s">
        <v>23</v>
      </c>
      <c r="H3130">
        <v>15</v>
      </c>
      <c r="I3130">
        <v>34647</v>
      </c>
      <c r="J3130" t="s">
        <v>31</v>
      </c>
      <c r="K3130" t="s">
        <v>25</v>
      </c>
      <c r="L3130" t="s">
        <v>36</v>
      </c>
      <c r="M3130">
        <v>2</v>
      </c>
      <c r="N3130">
        <v>553.65</v>
      </c>
      <c r="O3130">
        <v>713.16</v>
      </c>
      <c r="P3130">
        <v>35.659999999999997</v>
      </c>
      <c r="Q3130">
        <v>35.659999999999997</v>
      </c>
      <c r="R3130" t="s">
        <v>30</v>
      </c>
      <c r="S3130">
        <v>29</v>
      </c>
      <c r="T3130">
        <v>1</v>
      </c>
      <c r="U3130">
        <v>5</v>
      </c>
      <c r="V3130">
        <v>677.5</v>
      </c>
      <c r="W3130">
        <v>13130003128</v>
      </c>
    </row>
    <row r="3131" spans="1:23" x14ac:dyDescent="0.2">
      <c r="A3131" s="1">
        <v>44790</v>
      </c>
      <c r="B3131" s="2">
        <v>0.52113425925925927</v>
      </c>
      <c r="C3131">
        <v>4129</v>
      </c>
      <c r="D3131">
        <v>13002561</v>
      </c>
      <c r="E3131">
        <v>13</v>
      </c>
      <c r="F3131">
        <v>22589</v>
      </c>
      <c r="G3131" t="s">
        <v>23</v>
      </c>
      <c r="H3131">
        <v>18</v>
      </c>
      <c r="I3131">
        <v>86541</v>
      </c>
      <c r="J3131" t="s">
        <v>67</v>
      </c>
      <c r="K3131" t="s">
        <v>25</v>
      </c>
      <c r="L3131" t="s">
        <v>26</v>
      </c>
      <c r="M3131">
        <v>1</v>
      </c>
      <c r="N3131">
        <v>232.67</v>
      </c>
      <c r="O3131">
        <v>337.27</v>
      </c>
      <c r="P3131">
        <v>33.729999999999997</v>
      </c>
      <c r="Q3131">
        <v>33.729999999999997</v>
      </c>
      <c r="R3131" t="s">
        <v>30</v>
      </c>
      <c r="S3131">
        <v>29</v>
      </c>
      <c r="T3131">
        <v>1</v>
      </c>
      <c r="U3131">
        <v>3</v>
      </c>
      <c r="V3131">
        <v>303.54000000000002</v>
      </c>
      <c r="W3131">
        <v>13130003129</v>
      </c>
    </row>
    <row r="3132" spans="1:23" x14ac:dyDescent="0.2">
      <c r="A3132" s="1">
        <v>44784</v>
      </c>
      <c r="B3132" s="2">
        <v>0.34059027777777778</v>
      </c>
      <c r="C3132">
        <v>4130</v>
      </c>
      <c r="D3132">
        <v>13002561</v>
      </c>
      <c r="E3132">
        <v>13</v>
      </c>
      <c r="F3132">
        <v>22589</v>
      </c>
      <c r="G3132" t="s">
        <v>23</v>
      </c>
      <c r="H3132">
        <v>18</v>
      </c>
      <c r="I3132">
        <v>49831</v>
      </c>
      <c r="J3132" t="s">
        <v>100</v>
      </c>
      <c r="K3132" t="s">
        <v>25</v>
      </c>
      <c r="L3132" t="s">
        <v>34</v>
      </c>
      <c r="M3132">
        <v>2</v>
      </c>
      <c r="N3132">
        <v>447</v>
      </c>
      <c r="O3132">
        <v>713.1</v>
      </c>
      <c r="P3132">
        <v>71.31</v>
      </c>
      <c r="Q3132">
        <v>71.31</v>
      </c>
      <c r="R3132" t="s">
        <v>30</v>
      </c>
      <c r="S3132">
        <v>29</v>
      </c>
      <c r="T3132">
        <v>1</v>
      </c>
      <c r="U3132">
        <v>3</v>
      </c>
      <c r="V3132">
        <v>641.79</v>
      </c>
      <c r="W3132">
        <v>13130003130</v>
      </c>
    </row>
    <row r="3133" spans="1:23" x14ac:dyDescent="0.2">
      <c r="A3133" s="1">
        <v>44775</v>
      </c>
      <c r="B3133" s="2">
        <v>0.69969907407407406</v>
      </c>
      <c r="C3133">
        <v>4131</v>
      </c>
      <c r="D3133">
        <v>13002561</v>
      </c>
      <c r="E3133">
        <v>13</v>
      </c>
      <c r="F3133">
        <v>22589</v>
      </c>
      <c r="G3133" t="s">
        <v>23</v>
      </c>
      <c r="H3133">
        <v>15</v>
      </c>
      <c r="I3133">
        <v>83988</v>
      </c>
      <c r="J3133" t="s">
        <v>112</v>
      </c>
      <c r="K3133" t="s">
        <v>28</v>
      </c>
      <c r="L3133" t="s">
        <v>32</v>
      </c>
      <c r="M3133">
        <v>1</v>
      </c>
      <c r="N3133">
        <v>366.83</v>
      </c>
      <c r="O3133">
        <v>530.26</v>
      </c>
      <c r="P3133">
        <v>53.03</v>
      </c>
      <c r="Q3133">
        <v>53.03</v>
      </c>
      <c r="R3133" t="s">
        <v>30</v>
      </c>
      <c r="S3133">
        <v>29</v>
      </c>
      <c r="T3133">
        <v>1</v>
      </c>
      <c r="U3133">
        <v>6</v>
      </c>
      <c r="V3133">
        <v>477.23</v>
      </c>
      <c r="W3133">
        <v>13130003131</v>
      </c>
    </row>
    <row r="3134" spans="1:23" x14ac:dyDescent="0.2">
      <c r="A3134" s="1">
        <v>44780</v>
      </c>
      <c r="B3134" s="2">
        <v>0.37354166666666672</v>
      </c>
      <c r="C3134">
        <v>4132</v>
      </c>
      <c r="D3134">
        <v>13002561</v>
      </c>
      <c r="E3134">
        <v>13</v>
      </c>
      <c r="F3134">
        <v>22589</v>
      </c>
      <c r="G3134" t="s">
        <v>23</v>
      </c>
      <c r="H3134">
        <v>18</v>
      </c>
      <c r="I3134">
        <v>16756</v>
      </c>
      <c r="J3134" t="s">
        <v>84</v>
      </c>
      <c r="K3134" t="s">
        <v>25</v>
      </c>
      <c r="L3134" t="s">
        <v>51</v>
      </c>
      <c r="M3134">
        <v>3</v>
      </c>
      <c r="N3134">
        <v>275.86</v>
      </c>
      <c r="O3134">
        <v>459.06</v>
      </c>
      <c r="P3134">
        <v>45.91</v>
      </c>
      <c r="Q3134">
        <v>45.91</v>
      </c>
      <c r="R3134" t="s">
        <v>30</v>
      </c>
      <c r="S3134">
        <v>29</v>
      </c>
      <c r="T3134">
        <v>1</v>
      </c>
      <c r="U3134">
        <v>4</v>
      </c>
      <c r="V3134">
        <v>413.15</v>
      </c>
      <c r="W3134">
        <v>13130003132</v>
      </c>
    </row>
    <row r="3135" spans="1:23" x14ac:dyDescent="0.2">
      <c r="A3135" s="1">
        <v>44803</v>
      </c>
      <c r="B3135" s="2">
        <v>0.84035879629629628</v>
      </c>
      <c r="C3135">
        <v>4133</v>
      </c>
      <c r="D3135">
        <v>13002561</v>
      </c>
      <c r="E3135">
        <v>13</v>
      </c>
      <c r="F3135">
        <v>22589</v>
      </c>
      <c r="G3135" t="s">
        <v>23</v>
      </c>
      <c r="H3135">
        <v>18</v>
      </c>
      <c r="I3135">
        <v>16077</v>
      </c>
      <c r="J3135" t="s">
        <v>53</v>
      </c>
      <c r="K3135" t="s">
        <v>25</v>
      </c>
      <c r="L3135" t="s">
        <v>39</v>
      </c>
      <c r="M3135">
        <v>1</v>
      </c>
      <c r="N3135">
        <v>213.37</v>
      </c>
      <c r="O3135">
        <v>330.69</v>
      </c>
      <c r="P3135">
        <v>16.53</v>
      </c>
      <c r="Q3135">
        <v>16.53</v>
      </c>
      <c r="R3135" t="s">
        <v>30</v>
      </c>
      <c r="S3135">
        <v>29</v>
      </c>
      <c r="T3135">
        <v>1</v>
      </c>
      <c r="U3135">
        <v>4</v>
      </c>
      <c r="V3135">
        <v>314.16000000000003</v>
      </c>
      <c r="W3135">
        <v>13130003133</v>
      </c>
    </row>
    <row r="3136" spans="1:23" x14ac:dyDescent="0.2">
      <c r="A3136" s="1">
        <v>44797</v>
      </c>
      <c r="B3136" s="2">
        <v>0.61372685185185183</v>
      </c>
      <c r="C3136">
        <v>4134</v>
      </c>
      <c r="D3136">
        <v>13002561</v>
      </c>
      <c r="E3136">
        <v>13</v>
      </c>
      <c r="F3136">
        <v>22589</v>
      </c>
      <c r="G3136" t="s">
        <v>23</v>
      </c>
      <c r="H3136">
        <v>18</v>
      </c>
      <c r="I3136">
        <v>73326</v>
      </c>
      <c r="J3136" t="s">
        <v>76</v>
      </c>
      <c r="K3136" t="s">
        <v>38</v>
      </c>
      <c r="L3136" t="s">
        <v>39</v>
      </c>
      <c r="M3136">
        <v>1</v>
      </c>
      <c r="N3136">
        <v>178.99</v>
      </c>
      <c r="O3136">
        <v>238.96</v>
      </c>
      <c r="P3136">
        <v>0</v>
      </c>
      <c r="Q3136">
        <v>0</v>
      </c>
      <c r="S3136">
        <v>29</v>
      </c>
      <c r="T3136">
        <v>1</v>
      </c>
      <c r="U3136">
        <v>4</v>
      </c>
      <c r="V3136">
        <v>238.96</v>
      </c>
      <c r="W3136">
        <v>13130003134</v>
      </c>
    </row>
    <row r="3137" spans="1:23" x14ac:dyDescent="0.2">
      <c r="A3137" s="1">
        <v>44788</v>
      </c>
      <c r="B3137" s="2">
        <v>0.36556712962962962</v>
      </c>
      <c r="C3137">
        <v>4135</v>
      </c>
      <c r="D3137">
        <v>13002561</v>
      </c>
      <c r="E3137">
        <v>13</v>
      </c>
      <c r="F3137">
        <v>22589</v>
      </c>
      <c r="G3137" t="s">
        <v>23</v>
      </c>
      <c r="H3137">
        <v>15</v>
      </c>
      <c r="I3137">
        <v>95940</v>
      </c>
      <c r="J3137" t="s">
        <v>123</v>
      </c>
      <c r="K3137" t="s">
        <v>45</v>
      </c>
      <c r="L3137" t="s">
        <v>26</v>
      </c>
      <c r="M3137">
        <v>3</v>
      </c>
      <c r="N3137">
        <v>279.95999999999998</v>
      </c>
      <c r="O3137">
        <v>429.04</v>
      </c>
      <c r="P3137">
        <v>21.45</v>
      </c>
      <c r="Q3137">
        <v>21.45</v>
      </c>
      <c r="R3137" t="s">
        <v>30</v>
      </c>
      <c r="S3137">
        <v>29</v>
      </c>
      <c r="T3137">
        <v>1</v>
      </c>
      <c r="U3137">
        <v>1</v>
      </c>
      <c r="V3137">
        <v>407.59</v>
      </c>
      <c r="W3137">
        <v>13130003135</v>
      </c>
    </row>
    <row r="3138" spans="1:23" x14ac:dyDescent="0.2">
      <c r="A3138" s="1">
        <v>44792</v>
      </c>
      <c r="B3138" s="2">
        <v>0.74407407407407411</v>
      </c>
      <c r="C3138">
        <v>4136</v>
      </c>
      <c r="D3138">
        <v>13002561</v>
      </c>
      <c r="E3138">
        <v>13</v>
      </c>
      <c r="F3138">
        <v>22589</v>
      </c>
      <c r="G3138" t="s">
        <v>23</v>
      </c>
      <c r="H3138">
        <v>18</v>
      </c>
      <c r="I3138">
        <v>95135</v>
      </c>
      <c r="J3138" t="s">
        <v>69</v>
      </c>
      <c r="K3138" t="s">
        <v>60</v>
      </c>
      <c r="L3138" t="s">
        <v>34</v>
      </c>
      <c r="M3138">
        <v>1</v>
      </c>
      <c r="N3138">
        <v>320.76</v>
      </c>
      <c r="O3138">
        <v>435.71</v>
      </c>
      <c r="P3138">
        <v>21.79</v>
      </c>
      <c r="Q3138">
        <v>21.79</v>
      </c>
      <c r="R3138" t="s">
        <v>30</v>
      </c>
      <c r="S3138">
        <v>29</v>
      </c>
      <c r="T3138">
        <v>1</v>
      </c>
      <c r="U3138">
        <v>6</v>
      </c>
      <c r="V3138">
        <v>413.92</v>
      </c>
      <c r="W3138">
        <v>13130003136</v>
      </c>
    </row>
    <row r="3139" spans="1:23" x14ac:dyDescent="0.2">
      <c r="A3139" s="1">
        <v>44797</v>
      </c>
      <c r="B3139" s="2">
        <v>0.8966319444444445</v>
      </c>
      <c r="C3139">
        <v>4137</v>
      </c>
      <c r="D3139">
        <v>13002561</v>
      </c>
      <c r="E3139">
        <v>13</v>
      </c>
      <c r="F3139">
        <v>22589</v>
      </c>
      <c r="G3139" t="s">
        <v>23</v>
      </c>
      <c r="H3139">
        <v>15</v>
      </c>
      <c r="I3139">
        <v>92450</v>
      </c>
      <c r="J3139" t="s">
        <v>98</v>
      </c>
      <c r="K3139" t="s">
        <v>44</v>
      </c>
      <c r="L3139" t="s">
        <v>29</v>
      </c>
      <c r="M3139">
        <v>1</v>
      </c>
      <c r="N3139">
        <v>481.23</v>
      </c>
      <c r="O3139">
        <v>779.55</v>
      </c>
      <c r="P3139">
        <v>38.979999999999997</v>
      </c>
      <c r="Q3139">
        <v>38.979999999999997</v>
      </c>
      <c r="R3139" t="s">
        <v>30</v>
      </c>
      <c r="S3139">
        <v>29</v>
      </c>
      <c r="T3139">
        <v>1</v>
      </c>
      <c r="U3139">
        <v>2</v>
      </c>
      <c r="V3139">
        <v>740.57</v>
      </c>
      <c r="W3139">
        <v>13130003137</v>
      </c>
    </row>
    <row r="3140" spans="1:23" x14ac:dyDescent="0.2">
      <c r="A3140" s="1">
        <v>44799</v>
      </c>
      <c r="B3140" s="2">
        <v>0.42140046296296302</v>
      </c>
      <c r="C3140">
        <v>4138</v>
      </c>
      <c r="D3140">
        <v>13002561</v>
      </c>
      <c r="E3140">
        <v>13</v>
      </c>
      <c r="F3140">
        <v>22589</v>
      </c>
      <c r="G3140" t="s">
        <v>23</v>
      </c>
      <c r="H3140">
        <v>15</v>
      </c>
      <c r="I3140">
        <v>66404</v>
      </c>
      <c r="J3140" t="s">
        <v>65</v>
      </c>
      <c r="K3140" t="s">
        <v>25</v>
      </c>
      <c r="L3140" t="s">
        <v>47</v>
      </c>
      <c r="M3140">
        <v>3</v>
      </c>
      <c r="N3140">
        <v>498.81</v>
      </c>
      <c r="O3140">
        <v>804.36</v>
      </c>
      <c r="P3140">
        <v>80.44</v>
      </c>
      <c r="Q3140">
        <v>80.44</v>
      </c>
      <c r="R3140" t="s">
        <v>30</v>
      </c>
      <c r="S3140">
        <v>29</v>
      </c>
      <c r="T3140">
        <v>1</v>
      </c>
      <c r="U3140">
        <v>4</v>
      </c>
      <c r="V3140">
        <v>723.92</v>
      </c>
      <c r="W3140">
        <v>13130003138</v>
      </c>
    </row>
    <row r="3141" spans="1:23" x14ac:dyDescent="0.2">
      <c r="A3141" s="1">
        <v>44804</v>
      </c>
      <c r="B3141" s="2">
        <v>0.68145833333333339</v>
      </c>
      <c r="C3141">
        <v>4139</v>
      </c>
      <c r="D3141">
        <v>13002561</v>
      </c>
      <c r="E3141">
        <v>13</v>
      </c>
      <c r="F3141">
        <v>22589</v>
      </c>
      <c r="G3141" t="s">
        <v>23</v>
      </c>
      <c r="H3141">
        <v>18</v>
      </c>
      <c r="I3141">
        <v>89505</v>
      </c>
      <c r="J3141" t="s">
        <v>70</v>
      </c>
      <c r="K3141" t="s">
        <v>45</v>
      </c>
      <c r="L3141" t="s">
        <v>36</v>
      </c>
      <c r="M3141">
        <v>3</v>
      </c>
      <c r="N3141">
        <v>66.12</v>
      </c>
      <c r="O3141">
        <v>94.79</v>
      </c>
      <c r="P3141">
        <v>0</v>
      </c>
      <c r="Q3141">
        <v>0</v>
      </c>
      <c r="S3141">
        <v>29</v>
      </c>
      <c r="T3141">
        <v>1</v>
      </c>
      <c r="U3141">
        <v>2</v>
      </c>
      <c r="V3141">
        <v>94.79</v>
      </c>
      <c r="W3141">
        <v>13130003139</v>
      </c>
    </row>
    <row r="3142" spans="1:23" x14ac:dyDescent="0.2">
      <c r="A3142" s="1">
        <v>44776</v>
      </c>
      <c r="B3142" s="2">
        <v>0.46479166666666671</v>
      </c>
      <c r="C3142">
        <v>4140</v>
      </c>
      <c r="D3142">
        <v>13002561</v>
      </c>
      <c r="E3142">
        <v>13</v>
      </c>
      <c r="F3142">
        <v>22589</v>
      </c>
      <c r="G3142" t="s">
        <v>23</v>
      </c>
      <c r="H3142">
        <v>15</v>
      </c>
      <c r="I3142">
        <v>41932</v>
      </c>
      <c r="J3142" t="s">
        <v>72</v>
      </c>
      <c r="K3142" t="s">
        <v>28</v>
      </c>
      <c r="L3142" t="s">
        <v>47</v>
      </c>
      <c r="M3142">
        <v>3</v>
      </c>
      <c r="N3142">
        <v>450.88</v>
      </c>
      <c r="O3142">
        <v>592.5</v>
      </c>
      <c r="P3142">
        <v>59.25</v>
      </c>
      <c r="Q3142">
        <v>59.25</v>
      </c>
      <c r="R3142" t="s">
        <v>30</v>
      </c>
      <c r="S3142">
        <v>29</v>
      </c>
      <c r="T3142">
        <v>1</v>
      </c>
      <c r="U3142">
        <v>5</v>
      </c>
      <c r="V3142">
        <v>533.25</v>
      </c>
      <c r="W3142">
        <v>13130003140</v>
      </c>
    </row>
    <row r="3143" spans="1:23" x14ac:dyDescent="0.2">
      <c r="A3143" s="1">
        <v>44804</v>
      </c>
      <c r="B3143" s="2">
        <v>0.90842592592592597</v>
      </c>
      <c r="C3143">
        <v>4141</v>
      </c>
      <c r="D3143">
        <v>13002561</v>
      </c>
      <c r="E3143">
        <v>13</v>
      </c>
      <c r="F3143">
        <v>22589</v>
      </c>
      <c r="G3143" t="s">
        <v>23</v>
      </c>
      <c r="H3143">
        <v>18</v>
      </c>
      <c r="I3143">
        <v>67414</v>
      </c>
      <c r="J3143" t="s">
        <v>69</v>
      </c>
      <c r="K3143" t="s">
        <v>38</v>
      </c>
      <c r="L3143" t="s">
        <v>47</v>
      </c>
      <c r="M3143">
        <v>2</v>
      </c>
      <c r="N3143">
        <v>8.94</v>
      </c>
      <c r="O3143">
        <v>11.71</v>
      </c>
      <c r="P3143">
        <v>1.17</v>
      </c>
      <c r="Q3143">
        <v>1.17</v>
      </c>
      <c r="R3143" t="s">
        <v>30</v>
      </c>
      <c r="S3143">
        <v>29</v>
      </c>
      <c r="T3143">
        <v>1</v>
      </c>
      <c r="U3143">
        <v>4</v>
      </c>
      <c r="V3143">
        <v>10.54</v>
      </c>
      <c r="W3143">
        <v>13130003141</v>
      </c>
    </row>
    <row r="3144" spans="1:23" x14ac:dyDescent="0.2">
      <c r="A3144" s="1">
        <v>44793</v>
      </c>
      <c r="B3144" s="2">
        <v>0.60119212962962965</v>
      </c>
      <c r="C3144">
        <v>4142</v>
      </c>
      <c r="D3144">
        <v>13002561</v>
      </c>
      <c r="E3144">
        <v>13</v>
      </c>
      <c r="F3144">
        <v>22589</v>
      </c>
      <c r="G3144" t="s">
        <v>23</v>
      </c>
      <c r="H3144">
        <v>18</v>
      </c>
      <c r="I3144">
        <v>29813</v>
      </c>
      <c r="J3144" t="s">
        <v>42</v>
      </c>
      <c r="K3144" t="s">
        <v>38</v>
      </c>
      <c r="L3144" t="s">
        <v>39</v>
      </c>
      <c r="M3144">
        <v>2</v>
      </c>
      <c r="N3144">
        <v>390.59</v>
      </c>
      <c r="O3144">
        <v>526.52</v>
      </c>
      <c r="P3144">
        <v>26.33</v>
      </c>
      <c r="Q3144">
        <v>26.33</v>
      </c>
      <c r="R3144" t="s">
        <v>30</v>
      </c>
      <c r="S3144">
        <v>29</v>
      </c>
      <c r="T3144">
        <v>1</v>
      </c>
      <c r="U3144">
        <v>4</v>
      </c>
      <c r="V3144">
        <v>500.19</v>
      </c>
      <c r="W3144">
        <v>13130003142</v>
      </c>
    </row>
    <row r="3145" spans="1:23" x14ac:dyDescent="0.2">
      <c r="A3145" s="1">
        <v>44776</v>
      </c>
      <c r="B3145" s="2">
        <v>0.95133101851851853</v>
      </c>
      <c r="C3145">
        <v>4143</v>
      </c>
      <c r="D3145">
        <v>13002561</v>
      </c>
      <c r="E3145">
        <v>13</v>
      </c>
      <c r="F3145">
        <v>22589</v>
      </c>
      <c r="G3145" t="s">
        <v>23</v>
      </c>
      <c r="H3145">
        <v>15</v>
      </c>
      <c r="I3145">
        <v>27785</v>
      </c>
      <c r="J3145" t="s">
        <v>72</v>
      </c>
      <c r="K3145" t="s">
        <v>28</v>
      </c>
      <c r="L3145" t="s">
        <v>32</v>
      </c>
      <c r="M3145">
        <v>3</v>
      </c>
      <c r="N3145">
        <v>85.32</v>
      </c>
      <c r="O3145">
        <v>108.41</v>
      </c>
      <c r="P3145">
        <v>5.42</v>
      </c>
      <c r="Q3145">
        <v>5.42</v>
      </c>
      <c r="R3145" t="s">
        <v>30</v>
      </c>
      <c r="S3145">
        <v>29</v>
      </c>
      <c r="T3145">
        <v>1</v>
      </c>
      <c r="U3145">
        <v>6</v>
      </c>
      <c r="V3145">
        <v>102.99</v>
      </c>
      <c r="W3145">
        <v>13130003143</v>
      </c>
    </row>
    <row r="3146" spans="1:23" x14ac:dyDescent="0.2">
      <c r="A3146" s="1">
        <v>44801</v>
      </c>
      <c r="B3146" s="2">
        <v>0.5417939814814815</v>
      </c>
      <c r="C3146">
        <v>4144</v>
      </c>
      <c r="D3146">
        <v>13002561</v>
      </c>
      <c r="E3146">
        <v>13</v>
      </c>
      <c r="F3146">
        <v>22589</v>
      </c>
      <c r="G3146" t="s">
        <v>23</v>
      </c>
      <c r="H3146">
        <v>18</v>
      </c>
      <c r="I3146">
        <v>11108</v>
      </c>
      <c r="J3146" t="s">
        <v>117</v>
      </c>
      <c r="K3146" t="s">
        <v>60</v>
      </c>
      <c r="L3146" t="s">
        <v>39</v>
      </c>
      <c r="M3146">
        <v>2</v>
      </c>
      <c r="N3146">
        <v>394.72</v>
      </c>
      <c r="O3146">
        <v>617.79</v>
      </c>
      <c r="P3146">
        <v>0</v>
      </c>
      <c r="Q3146">
        <v>0</v>
      </c>
      <c r="S3146">
        <v>29</v>
      </c>
      <c r="T3146">
        <v>1</v>
      </c>
      <c r="U3146">
        <v>4</v>
      </c>
      <c r="V3146">
        <v>617.79</v>
      </c>
      <c r="W3146">
        <v>13130003144</v>
      </c>
    </row>
    <row r="3147" spans="1:23" x14ac:dyDescent="0.2">
      <c r="A3147" s="1">
        <v>44785</v>
      </c>
      <c r="B3147" s="2">
        <v>0.69190972222222225</v>
      </c>
      <c r="C3147">
        <v>4145</v>
      </c>
      <c r="D3147">
        <v>13002561</v>
      </c>
      <c r="E3147">
        <v>13</v>
      </c>
      <c r="F3147">
        <v>22589</v>
      </c>
      <c r="G3147" t="s">
        <v>23</v>
      </c>
      <c r="H3147">
        <v>15</v>
      </c>
      <c r="I3147">
        <v>10858</v>
      </c>
      <c r="J3147" t="s">
        <v>120</v>
      </c>
      <c r="K3147" t="s">
        <v>45</v>
      </c>
      <c r="L3147" t="s">
        <v>29</v>
      </c>
      <c r="M3147">
        <v>2</v>
      </c>
      <c r="N3147">
        <v>211.3</v>
      </c>
      <c r="O3147">
        <v>293.12</v>
      </c>
      <c r="P3147">
        <v>29.31</v>
      </c>
      <c r="Q3147">
        <v>29.31</v>
      </c>
      <c r="R3147" t="s">
        <v>30</v>
      </c>
      <c r="S3147">
        <v>29</v>
      </c>
      <c r="T3147">
        <v>1</v>
      </c>
      <c r="U3147">
        <v>4</v>
      </c>
      <c r="V3147">
        <v>263.81</v>
      </c>
      <c r="W3147">
        <v>13130003145</v>
      </c>
    </row>
    <row r="3148" spans="1:23" x14ac:dyDescent="0.2">
      <c r="A3148" s="1">
        <v>44777</v>
      </c>
      <c r="B3148" s="2">
        <v>0.71650462962962957</v>
      </c>
      <c r="C3148">
        <v>4146</v>
      </c>
      <c r="D3148">
        <v>13002561</v>
      </c>
      <c r="E3148">
        <v>13</v>
      </c>
      <c r="F3148">
        <v>22589</v>
      </c>
      <c r="G3148" t="s">
        <v>23</v>
      </c>
      <c r="H3148">
        <v>18</v>
      </c>
      <c r="I3148">
        <v>55351</v>
      </c>
      <c r="J3148" t="s">
        <v>94</v>
      </c>
      <c r="K3148" t="s">
        <v>44</v>
      </c>
      <c r="L3148" t="s">
        <v>36</v>
      </c>
      <c r="M3148">
        <v>3</v>
      </c>
      <c r="N3148">
        <v>74.69</v>
      </c>
      <c r="O3148">
        <v>122.07</v>
      </c>
      <c r="P3148">
        <v>0</v>
      </c>
      <c r="Q3148">
        <v>0</v>
      </c>
      <c r="S3148">
        <v>29</v>
      </c>
      <c r="T3148">
        <v>1</v>
      </c>
      <c r="U3148">
        <v>4</v>
      </c>
      <c r="V3148">
        <v>122.07</v>
      </c>
      <c r="W3148">
        <v>13130003146</v>
      </c>
    </row>
    <row r="3149" spans="1:23" x14ac:dyDescent="0.2">
      <c r="A3149" s="1">
        <v>44791</v>
      </c>
      <c r="B3149" s="2">
        <v>0.47321759259259261</v>
      </c>
      <c r="C3149">
        <v>4147</v>
      </c>
      <c r="D3149">
        <v>13002561</v>
      </c>
      <c r="E3149">
        <v>13</v>
      </c>
      <c r="F3149">
        <v>22589</v>
      </c>
      <c r="G3149" t="s">
        <v>23</v>
      </c>
      <c r="H3149">
        <v>15</v>
      </c>
      <c r="I3149">
        <v>74823</v>
      </c>
      <c r="J3149" t="s">
        <v>128</v>
      </c>
      <c r="K3149" t="s">
        <v>45</v>
      </c>
      <c r="L3149" t="s">
        <v>32</v>
      </c>
      <c r="M3149">
        <v>1</v>
      </c>
      <c r="N3149">
        <v>404.54</v>
      </c>
      <c r="O3149">
        <v>559.01</v>
      </c>
      <c r="P3149">
        <v>0</v>
      </c>
      <c r="Q3149">
        <v>0</v>
      </c>
      <c r="S3149">
        <v>29</v>
      </c>
      <c r="T3149">
        <v>1</v>
      </c>
      <c r="U3149">
        <v>2</v>
      </c>
      <c r="V3149">
        <v>559.01</v>
      </c>
      <c r="W3149">
        <v>13130003147</v>
      </c>
    </row>
    <row r="3150" spans="1:23" x14ac:dyDescent="0.2">
      <c r="A3150" s="1">
        <v>44774</v>
      </c>
      <c r="B3150" s="2">
        <v>0.60269675925925925</v>
      </c>
      <c r="C3150">
        <v>4148</v>
      </c>
      <c r="D3150">
        <v>13002561</v>
      </c>
      <c r="E3150">
        <v>13</v>
      </c>
      <c r="F3150">
        <v>22589</v>
      </c>
      <c r="G3150" t="s">
        <v>23</v>
      </c>
      <c r="H3150">
        <v>15</v>
      </c>
      <c r="I3150">
        <v>26296</v>
      </c>
      <c r="J3150" t="s">
        <v>123</v>
      </c>
      <c r="K3150" t="s">
        <v>45</v>
      </c>
      <c r="L3150" t="s">
        <v>47</v>
      </c>
      <c r="M3150">
        <v>3</v>
      </c>
      <c r="N3150">
        <v>398.27</v>
      </c>
      <c r="O3150">
        <v>584.36</v>
      </c>
      <c r="P3150">
        <v>0</v>
      </c>
      <c r="Q3150">
        <v>0</v>
      </c>
      <c r="S3150">
        <v>29</v>
      </c>
      <c r="T3150">
        <v>1</v>
      </c>
      <c r="U3150">
        <v>5</v>
      </c>
      <c r="V3150">
        <v>584.36</v>
      </c>
      <c r="W3150">
        <v>13130003148</v>
      </c>
    </row>
    <row r="3151" spans="1:23" x14ac:dyDescent="0.2">
      <c r="A3151" s="1">
        <v>44781</v>
      </c>
      <c r="B3151" s="2">
        <v>0.50680555555555551</v>
      </c>
      <c r="C3151">
        <v>4149</v>
      </c>
      <c r="D3151">
        <v>13002561</v>
      </c>
      <c r="E3151">
        <v>13</v>
      </c>
      <c r="F3151">
        <v>22589</v>
      </c>
      <c r="G3151" t="s">
        <v>23</v>
      </c>
      <c r="H3151">
        <v>18</v>
      </c>
      <c r="I3151">
        <v>61450</v>
      </c>
      <c r="J3151" t="s">
        <v>61</v>
      </c>
      <c r="K3151" t="s">
        <v>25</v>
      </c>
      <c r="L3151" t="s">
        <v>36</v>
      </c>
      <c r="M3151">
        <v>2</v>
      </c>
      <c r="N3151">
        <v>409.81</v>
      </c>
      <c r="O3151">
        <v>606.08000000000004</v>
      </c>
      <c r="P3151">
        <v>60.61</v>
      </c>
      <c r="Q3151">
        <v>60.61</v>
      </c>
      <c r="R3151" t="s">
        <v>30</v>
      </c>
      <c r="S3151">
        <v>29</v>
      </c>
      <c r="T3151">
        <v>1</v>
      </c>
      <c r="U3151">
        <v>2</v>
      </c>
      <c r="V3151">
        <v>545.47</v>
      </c>
      <c r="W3151">
        <v>13130003149</v>
      </c>
    </row>
    <row r="3152" spans="1:23" x14ac:dyDescent="0.2">
      <c r="A3152" s="1">
        <v>44775</v>
      </c>
      <c r="B3152" s="2">
        <v>0.49626157407407412</v>
      </c>
      <c r="C3152">
        <v>4150</v>
      </c>
      <c r="D3152">
        <v>13002561</v>
      </c>
      <c r="E3152">
        <v>13</v>
      </c>
      <c r="F3152">
        <v>22589</v>
      </c>
      <c r="G3152" t="s">
        <v>23</v>
      </c>
      <c r="H3152">
        <v>15</v>
      </c>
      <c r="I3152">
        <v>42802</v>
      </c>
      <c r="J3152" t="s">
        <v>105</v>
      </c>
      <c r="K3152" t="s">
        <v>45</v>
      </c>
      <c r="L3152" t="s">
        <v>29</v>
      </c>
      <c r="M3152">
        <v>1</v>
      </c>
      <c r="N3152">
        <v>527.44000000000005</v>
      </c>
      <c r="O3152">
        <v>809.13</v>
      </c>
      <c r="P3152">
        <v>80.91</v>
      </c>
      <c r="Q3152">
        <v>80.91</v>
      </c>
      <c r="R3152" t="s">
        <v>30</v>
      </c>
      <c r="S3152">
        <v>29</v>
      </c>
      <c r="T3152">
        <v>1</v>
      </c>
      <c r="U3152">
        <v>3</v>
      </c>
      <c r="V3152">
        <v>728.22</v>
      </c>
      <c r="W3152">
        <v>13130003150</v>
      </c>
    </row>
    <row r="3153" spans="1:23" x14ac:dyDescent="0.2">
      <c r="A3153" s="1">
        <v>44786</v>
      </c>
      <c r="B3153" s="2">
        <v>0.56062500000000004</v>
      </c>
      <c r="C3153">
        <v>4151</v>
      </c>
      <c r="D3153">
        <v>13002561</v>
      </c>
      <c r="E3153">
        <v>13</v>
      </c>
      <c r="F3153">
        <v>22589</v>
      </c>
      <c r="G3153" t="s">
        <v>23</v>
      </c>
      <c r="H3153">
        <v>18</v>
      </c>
      <c r="I3153">
        <v>83164</v>
      </c>
      <c r="J3153" t="s">
        <v>120</v>
      </c>
      <c r="K3153" t="s">
        <v>38</v>
      </c>
      <c r="L3153" t="s">
        <v>51</v>
      </c>
      <c r="M3153">
        <v>1</v>
      </c>
      <c r="N3153">
        <v>211.69</v>
      </c>
      <c r="O3153">
        <v>357.42</v>
      </c>
      <c r="P3153">
        <v>35.74</v>
      </c>
      <c r="Q3153">
        <v>35.74</v>
      </c>
      <c r="R3153" t="s">
        <v>30</v>
      </c>
      <c r="S3153">
        <v>29</v>
      </c>
      <c r="T3153">
        <v>1</v>
      </c>
      <c r="U3153">
        <v>3</v>
      </c>
      <c r="V3153">
        <v>321.68</v>
      </c>
      <c r="W3153">
        <v>13130003151</v>
      </c>
    </row>
    <row r="3154" spans="1:23" x14ac:dyDescent="0.2">
      <c r="A3154" s="1">
        <v>44787</v>
      </c>
      <c r="B3154" s="2">
        <v>0.85064814814814815</v>
      </c>
      <c r="C3154">
        <v>4152</v>
      </c>
      <c r="D3154">
        <v>13002561</v>
      </c>
      <c r="E3154">
        <v>13</v>
      </c>
      <c r="F3154">
        <v>22589</v>
      </c>
      <c r="G3154" t="s">
        <v>23</v>
      </c>
      <c r="H3154">
        <v>15</v>
      </c>
      <c r="I3154">
        <v>96542</v>
      </c>
      <c r="J3154" t="s">
        <v>49</v>
      </c>
      <c r="K3154" t="s">
        <v>28</v>
      </c>
      <c r="L3154" t="s">
        <v>39</v>
      </c>
      <c r="M3154">
        <v>2</v>
      </c>
      <c r="N3154">
        <v>528.74</v>
      </c>
      <c r="O3154">
        <v>891.91</v>
      </c>
      <c r="P3154">
        <v>89.19</v>
      </c>
      <c r="Q3154">
        <v>89.19</v>
      </c>
      <c r="R3154" t="s">
        <v>30</v>
      </c>
      <c r="S3154">
        <v>29</v>
      </c>
      <c r="T3154">
        <v>1</v>
      </c>
      <c r="U3154">
        <v>1</v>
      </c>
      <c r="V3154">
        <v>802.72</v>
      </c>
      <c r="W3154">
        <v>13130003152</v>
      </c>
    </row>
    <row r="3155" spans="1:23" x14ac:dyDescent="0.2">
      <c r="A3155" s="1">
        <v>44793</v>
      </c>
      <c r="B3155" s="2">
        <v>0.66221064814814812</v>
      </c>
      <c r="C3155">
        <v>4153</v>
      </c>
      <c r="D3155">
        <v>13002561</v>
      </c>
      <c r="E3155">
        <v>13</v>
      </c>
      <c r="F3155">
        <v>22589</v>
      </c>
      <c r="G3155" t="s">
        <v>23</v>
      </c>
      <c r="H3155">
        <v>18</v>
      </c>
      <c r="I3155">
        <v>22716</v>
      </c>
      <c r="J3155" t="s">
        <v>75</v>
      </c>
      <c r="K3155" t="s">
        <v>44</v>
      </c>
      <c r="L3155" t="s">
        <v>36</v>
      </c>
      <c r="M3155">
        <v>3</v>
      </c>
      <c r="N3155">
        <v>260.54000000000002</v>
      </c>
      <c r="O3155">
        <v>408.76</v>
      </c>
      <c r="P3155">
        <v>40.880000000000003</v>
      </c>
      <c r="Q3155">
        <v>40.880000000000003</v>
      </c>
      <c r="R3155" t="s">
        <v>30</v>
      </c>
      <c r="S3155">
        <v>29</v>
      </c>
      <c r="T3155">
        <v>1</v>
      </c>
      <c r="U3155">
        <v>6</v>
      </c>
      <c r="V3155">
        <v>367.88</v>
      </c>
      <c r="W3155">
        <v>13130003153</v>
      </c>
    </row>
    <row r="3156" spans="1:23" x14ac:dyDescent="0.2">
      <c r="A3156" s="1">
        <v>44794</v>
      </c>
      <c r="B3156" s="2">
        <v>0.39436342592592588</v>
      </c>
      <c r="C3156">
        <v>4154</v>
      </c>
      <c r="D3156">
        <v>13002561</v>
      </c>
      <c r="E3156">
        <v>13</v>
      </c>
      <c r="F3156">
        <v>22589</v>
      </c>
      <c r="G3156" t="s">
        <v>23</v>
      </c>
      <c r="H3156">
        <v>18</v>
      </c>
      <c r="I3156">
        <v>27433</v>
      </c>
      <c r="J3156" t="s">
        <v>106</v>
      </c>
      <c r="K3156" t="s">
        <v>38</v>
      </c>
      <c r="L3156" t="s">
        <v>36</v>
      </c>
      <c r="M3156">
        <v>1</v>
      </c>
      <c r="N3156">
        <v>380.84</v>
      </c>
      <c r="O3156">
        <v>536.03</v>
      </c>
      <c r="P3156">
        <v>26.8</v>
      </c>
      <c r="Q3156">
        <v>26.8</v>
      </c>
      <c r="R3156" t="s">
        <v>30</v>
      </c>
      <c r="S3156">
        <v>29</v>
      </c>
      <c r="T3156">
        <v>1</v>
      </c>
      <c r="U3156">
        <v>1</v>
      </c>
      <c r="V3156">
        <v>509.23</v>
      </c>
      <c r="W3156">
        <v>13130003154</v>
      </c>
    </row>
    <row r="3157" spans="1:23" x14ac:dyDescent="0.2">
      <c r="A3157" s="1">
        <v>44789</v>
      </c>
      <c r="B3157" s="2">
        <v>0.92178240740740736</v>
      </c>
      <c r="C3157">
        <v>4155</v>
      </c>
      <c r="D3157">
        <v>13002561</v>
      </c>
      <c r="E3157">
        <v>13</v>
      </c>
      <c r="F3157">
        <v>22589</v>
      </c>
      <c r="G3157" t="s">
        <v>23</v>
      </c>
      <c r="H3157">
        <v>15</v>
      </c>
      <c r="I3157">
        <v>44756</v>
      </c>
      <c r="J3157" t="s">
        <v>116</v>
      </c>
      <c r="K3157" t="s">
        <v>38</v>
      </c>
      <c r="L3157" t="s">
        <v>26</v>
      </c>
      <c r="M3157">
        <v>3</v>
      </c>
      <c r="N3157">
        <v>532.09</v>
      </c>
      <c r="O3157">
        <v>689.89</v>
      </c>
      <c r="P3157">
        <v>68.989999999999995</v>
      </c>
      <c r="Q3157">
        <v>68.989999999999995</v>
      </c>
      <c r="R3157" t="s">
        <v>30</v>
      </c>
      <c r="S3157">
        <v>29</v>
      </c>
      <c r="T3157">
        <v>1</v>
      </c>
      <c r="U3157">
        <v>2</v>
      </c>
      <c r="V3157">
        <v>620.9</v>
      </c>
      <c r="W3157">
        <v>13130003155</v>
      </c>
    </row>
    <row r="3158" spans="1:23" x14ac:dyDescent="0.2">
      <c r="A3158" s="1">
        <v>44800</v>
      </c>
      <c r="B3158" s="2">
        <v>0.46179398148148149</v>
      </c>
      <c r="C3158">
        <v>4156</v>
      </c>
      <c r="D3158">
        <v>13002561</v>
      </c>
      <c r="E3158">
        <v>13</v>
      </c>
      <c r="F3158">
        <v>22589</v>
      </c>
      <c r="G3158" t="s">
        <v>23</v>
      </c>
      <c r="H3158">
        <v>18</v>
      </c>
      <c r="I3158">
        <v>75717</v>
      </c>
      <c r="J3158" t="s">
        <v>35</v>
      </c>
      <c r="K3158" t="s">
        <v>25</v>
      </c>
      <c r="L3158" t="s">
        <v>32</v>
      </c>
      <c r="M3158">
        <v>2</v>
      </c>
      <c r="N3158">
        <v>415.16</v>
      </c>
      <c r="O3158">
        <v>559.1</v>
      </c>
      <c r="P3158">
        <v>0</v>
      </c>
      <c r="Q3158">
        <v>0</v>
      </c>
      <c r="S3158">
        <v>29</v>
      </c>
      <c r="T3158">
        <v>1</v>
      </c>
      <c r="U3158">
        <v>6</v>
      </c>
      <c r="V3158">
        <v>559.1</v>
      </c>
      <c r="W3158">
        <v>13130003156</v>
      </c>
    </row>
    <row r="3159" spans="1:23" x14ac:dyDescent="0.2">
      <c r="A3159" s="1">
        <v>44801</v>
      </c>
      <c r="B3159" s="2">
        <v>0.77025462962962965</v>
      </c>
      <c r="C3159">
        <v>4157</v>
      </c>
      <c r="D3159">
        <v>13002561</v>
      </c>
      <c r="E3159">
        <v>13</v>
      </c>
      <c r="F3159">
        <v>22589</v>
      </c>
      <c r="G3159" t="s">
        <v>23</v>
      </c>
      <c r="H3159">
        <v>18</v>
      </c>
      <c r="I3159">
        <v>46681</v>
      </c>
      <c r="J3159" t="s">
        <v>86</v>
      </c>
      <c r="K3159" t="s">
        <v>38</v>
      </c>
      <c r="L3159" t="s">
        <v>34</v>
      </c>
      <c r="M3159">
        <v>3</v>
      </c>
      <c r="N3159">
        <v>12.14</v>
      </c>
      <c r="O3159">
        <v>18.3</v>
      </c>
      <c r="P3159">
        <v>0.92</v>
      </c>
      <c r="Q3159">
        <v>0.92</v>
      </c>
      <c r="R3159" t="s">
        <v>30</v>
      </c>
      <c r="S3159">
        <v>29</v>
      </c>
      <c r="T3159">
        <v>1</v>
      </c>
      <c r="U3159">
        <v>5</v>
      </c>
      <c r="V3159">
        <v>17.38</v>
      </c>
      <c r="W3159">
        <v>13130003157</v>
      </c>
    </row>
    <row r="3160" spans="1:23" x14ac:dyDescent="0.2">
      <c r="A3160" s="1">
        <v>44798</v>
      </c>
      <c r="B3160" s="2">
        <v>0.82072916666666662</v>
      </c>
      <c r="C3160">
        <v>4158</v>
      </c>
      <c r="D3160">
        <v>13002561</v>
      </c>
      <c r="E3160">
        <v>13</v>
      </c>
      <c r="F3160">
        <v>22589</v>
      </c>
      <c r="G3160" t="s">
        <v>23</v>
      </c>
      <c r="H3160">
        <v>15</v>
      </c>
      <c r="I3160">
        <v>15995</v>
      </c>
      <c r="J3160" t="s">
        <v>103</v>
      </c>
      <c r="K3160" t="s">
        <v>45</v>
      </c>
      <c r="L3160" t="s">
        <v>36</v>
      </c>
      <c r="M3160">
        <v>1</v>
      </c>
      <c r="N3160">
        <v>299.64999999999998</v>
      </c>
      <c r="O3160">
        <v>484.26</v>
      </c>
      <c r="P3160">
        <v>24.21</v>
      </c>
      <c r="Q3160">
        <v>24.21</v>
      </c>
      <c r="R3160" t="s">
        <v>30</v>
      </c>
      <c r="S3160">
        <v>29</v>
      </c>
      <c r="T3160">
        <v>1</v>
      </c>
      <c r="U3160">
        <v>2</v>
      </c>
      <c r="V3160">
        <v>460.05</v>
      </c>
      <c r="W3160">
        <v>13130003158</v>
      </c>
    </row>
    <row r="3161" spans="1:23" x14ac:dyDescent="0.2">
      <c r="A3161" s="1">
        <v>44778</v>
      </c>
      <c r="B3161" s="2">
        <v>0.61960648148148145</v>
      </c>
      <c r="C3161">
        <v>4159</v>
      </c>
      <c r="D3161">
        <v>13002561</v>
      </c>
      <c r="E3161">
        <v>13</v>
      </c>
      <c r="F3161">
        <v>22589</v>
      </c>
      <c r="G3161" t="s">
        <v>23</v>
      </c>
      <c r="H3161">
        <v>15</v>
      </c>
      <c r="I3161">
        <v>79635</v>
      </c>
      <c r="J3161" t="s">
        <v>83</v>
      </c>
      <c r="K3161" t="s">
        <v>60</v>
      </c>
      <c r="L3161" t="s">
        <v>34</v>
      </c>
      <c r="M3161">
        <v>1</v>
      </c>
      <c r="N3161">
        <v>215.92</v>
      </c>
      <c r="O3161">
        <v>337.36</v>
      </c>
      <c r="P3161">
        <v>0</v>
      </c>
      <c r="Q3161">
        <v>0</v>
      </c>
      <c r="S3161">
        <v>29</v>
      </c>
      <c r="T3161">
        <v>1</v>
      </c>
      <c r="U3161">
        <v>4</v>
      </c>
      <c r="V3161">
        <v>337.36</v>
      </c>
      <c r="W3161">
        <v>13130003159</v>
      </c>
    </row>
    <row r="3162" spans="1:23" x14ac:dyDescent="0.2">
      <c r="A3162" s="1">
        <v>44800</v>
      </c>
      <c r="B3162" s="2">
        <v>0.33449074074074081</v>
      </c>
      <c r="C3162">
        <v>4160</v>
      </c>
      <c r="D3162">
        <v>13002561</v>
      </c>
      <c r="E3162">
        <v>13</v>
      </c>
      <c r="F3162">
        <v>22589</v>
      </c>
      <c r="G3162" t="s">
        <v>23</v>
      </c>
      <c r="H3162">
        <v>15</v>
      </c>
      <c r="I3162">
        <v>14250</v>
      </c>
      <c r="J3162" t="s">
        <v>86</v>
      </c>
      <c r="K3162" t="s">
        <v>45</v>
      </c>
      <c r="L3162" t="s">
        <v>51</v>
      </c>
      <c r="M3162">
        <v>1</v>
      </c>
      <c r="N3162">
        <v>531.41999999999996</v>
      </c>
      <c r="O3162">
        <v>899.43</v>
      </c>
      <c r="P3162">
        <v>0</v>
      </c>
      <c r="Q3162">
        <v>0</v>
      </c>
      <c r="S3162">
        <v>29</v>
      </c>
      <c r="T3162">
        <v>1</v>
      </c>
      <c r="U3162">
        <v>2</v>
      </c>
      <c r="V3162">
        <v>899.43</v>
      </c>
      <c r="W3162">
        <v>13130003160</v>
      </c>
    </row>
    <row r="3163" spans="1:23" x14ac:dyDescent="0.2">
      <c r="A3163" s="1">
        <v>44779</v>
      </c>
      <c r="B3163" s="2">
        <v>0.34084490740740742</v>
      </c>
      <c r="C3163">
        <v>4161</v>
      </c>
      <c r="D3163">
        <v>13002561</v>
      </c>
      <c r="E3163">
        <v>13</v>
      </c>
      <c r="F3163">
        <v>22589</v>
      </c>
      <c r="G3163" t="s">
        <v>23</v>
      </c>
      <c r="H3163">
        <v>18</v>
      </c>
      <c r="I3163">
        <v>28523</v>
      </c>
      <c r="J3163" t="s">
        <v>122</v>
      </c>
      <c r="K3163" t="s">
        <v>45</v>
      </c>
      <c r="L3163" t="s">
        <v>51</v>
      </c>
      <c r="M3163">
        <v>2</v>
      </c>
      <c r="N3163">
        <v>566.45000000000005</v>
      </c>
      <c r="O3163">
        <v>768</v>
      </c>
      <c r="P3163">
        <v>0</v>
      </c>
      <c r="Q3163">
        <v>0</v>
      </c>
      <c r="S3163">
        <v>29</v>
      </c>
      <c r="T3163">
        <v>1</v>
      </c>
      <c r="U3163">
        <v>3</v>
      </c>
      <c r="V3163">
        <v>768</v>
      </c>
      <c r="W3163">
        <v>13130003161</v>
      </c>
    </row>
    <row r="3164" spans="1:23" x14ac:dyDescent="0.2">
      <c r="A3164" s="1">
        <v>44781</v>
      </c>
      <c r="B3164" s="2">
        <v>0.89067129629629627</v>
      </c>
      <c r="C3164">
        <v>4162</v>
      </c>
      <c r="D3164">
        <v>13002561</v>
      </c>
      <c r="E3164">
        <v>13</v>
      </c>
      <c r="F3164">
        <v>22589</v>
      </c>
      <c r="G3164" t="s">
        <v>23</v>
      </c>
      <c r="H3164">
        <v>18</v>
      </c>
      <c r="I3164">
        <v>75940</v>
      </c>
      <c r="J3164" t="s">
        <v>73</v>
      </c>
      <c r="K3164" t="s">
        <v>45</v>
      </c>
      <c r="L3164" t="s">
        <v>32</v>
      </c>
      <c r="M3164">
        <v>3</v>
      </c>
      <c r="N3164">
        <v>548.65</v>
      </c>
      <c r="O3164">
        <v>796.06</v>
      </c>
      <c r="P3164">
        <v>39.799999999999997</v>
      </c>
      <c r="Q3164">
        <v>39.799999999999997</v>
      </c>
      <c r="R3164" t="s">
        <v>30</v>
      </c>
      <c r="S3164">
        <v>29</v>
      </c>
      <c r="T3164">
        <v>1</v>
      </c>
      <c r="U3164">
        <v>5</v>
      </c>
      <c r="V3164">
        <v>756.26</v>
      </c>
      <c r="W3164">
        <v>13130003162</v>
      </c>
    </row>
    <row r="3165" spans="1:23" x14ac:dyDescent="0.2">
      <c r="A3165" s="1">
        <v>44789</v>
      </c>
      <c r="B3165" s="2">
        <v>0.35010416666666672</v>
      </c>
      <c r="C3165">
        <v>4163</v>
      </c>
      <c r="D3165">
        <v>13002561</v>
      </c>
      <c r="E3165">
        <v>13</v>
      </c>
      <c r="F3165">
        <v>22589</v>
      </c>
      <c r="G3165" t="s">
        <v>23</v>
      </c>
      <c r="H3165">
        <v>18</v>
      </c>
      <c r="I3165">
        <v>94970</v>
      </c>
      <c r="J3165" t="s">
        <v>56</v>
      </c>
      <c r="K3165" t="s">
        <v>38</v>
      </c>
      <c r="L3165" t="s">
        <v>51</v>
      </c>
      <c r="M3165">
        <v>1</v>
      </c>
      <c r="N3165">
        <v>242.27</v>
      </c>
      <c r="O3165">
        <v>353.33</v>
      </c>
      <c r="P3165">
        <v>35.33</v>
      </c>
      <c r="Q3165">
        <v>35.33</v>
      </c>
      <c r="R3165" t="s">
        <v>30</v>
      </c>
      <c r="S3165">
        <v>29</v>
      </c>
      <c r="T3165">
        <v>1</v>
      </c>
      <c r="U3165">
        <v>5</v>
      </c>
      <c r="V3165">
        <v>318</v>
      </c>
      <c r="W3165">
        <v>13130003163</v>
      </c>
    </row>
    <row r="3166" spans="1:23" x14ac:dyDescent="0.2">
      <c r="A3166" s="1">
        <v>44792</v>
      </c>
      <c r="B3166" s="2">
        <v>0.70729166666666665</v>
      </c>
      <c r="C3166">
        <v>4164</v>
      </c>
      <c r="D3166">
        <v>13002561</v>
      </c>
      <c r="E3166">
        <v>13</v>
      </c>
      <c r="F3166">
        <v>22589</v>
      </c>
      <c r="G3166" t="s">
        <v>23</v>
      </c>
      <c r="H3166">
        <v>18</v>
      </c>
      <c r="I3166">
        <v>78257</v>
      </c>
      <c r="J3166" t="s">
        <v>63</v>
      </c>
      <c r="K3166" t="s">
        <v>25</v>
      </c>
      <c r="L3166" t="s">
        <v>39</v>
      </c>
      <c r="M3166">
        <v>3</v>
      </c>
      <c r="N3166">
        <v>220.81</v>
      </c>
      <c r="O3166">
        <v>333.31</v>
      </c>
      <c r="P3166">
        <v>0</v>
      </c>
      <c r="Q3166">
        <v>0</v>
      </c>
      <c r="S3166">
        <v>29</v>
      </c>
      <c r="T3166">
        <v>1</v>
      </c>
      <c r="U3166">
        <v>4</v>
      </c>
      <c r="V3166">
        <v>333.31</v>
      </c>
      <c r="W3166">
        <v>13130003164</v>
      </c>
    </row>
    <row r="3167" spans="1:23" x14ac:dyDescent="0.2">
      <c r="A3167" s="1">
        <v>44799</v>
      </c>
      <c r="B3167" s="2">
        <v>0.91322916666666665</v>
      </c>
      <c r="C3167">
        <v>4165</v>
      </c>
      <c r="D3167">
        <v>13002561</v>
      </c>
      <c r="E3167">
        <v>13</v>
      </c>
      <c r="F3167">
        <v>22589</v>
      </c>
      <c r="G3167" t="s">
        <v>23</v>
      </c>
      <c r="H3167">
        <v>18</v>
      </c>
      <c r="I3167">
        <v>90516</v>
      </c>
      <c r="J3167" t="s">
        <v>120</v>
      </c>
      <c r="K3167" t="s">
        <v>44</v>
      </c>
      <c r="L3167" t="s">
        <v>47</v>
      </c>
      <c r="M3167">
        <v>2</v>
      </c>
      <c r="N3167">
        <v>37.979999999999997</v>
      </c>
      <c r="O3167">
        <v>47.79</v>
      </c>
      <c r="P3167">
        <v>4.78</v>
      </c>
      <c r="Q3167">
        <v>4.78</v>
      </c>
      <c r="R3167" t="s">
        <v>30</v>
      </c>
      <c r="S3167">
        <v>29</v>
      </c>
      <c r="T3167">
        <v>1</v>
      </c>
      <c r="U3167">
        <v>3</v>
      </c>
      <c r="V3167">
        <v>43.01</v>
      </c>
      <c r="W3167">
        <v>13130003165</v>
      </c>
    </row>
    <row r="3168" spans="1:23" x14ac:dyDescent="0.2">
      <c r="A3168" s="1">
        <v>44803</v>
      </c>
      <c r="B3168" s="2">
        <v>0.82134259259259257</v>
      </c>
      <c r="C3168">
        <v>4166</v>
      </c>
      <c r="D3168">
        <v>13002561</v>
      </c>
      <c r="E3168">
        <v>13</v>
      </c>
      <c r="F3168">
        <v>22589</v>
      </c>
      <c r="G3168" t="s">
        <v>23</v>
      </c>
      <c r="H3168">
        <v>15</v>
      </c>
      <c r="I3168">
        <v>36456</v>
      </c>
      <c r="J3168" t="s">
        <v>100</v>
      </c>
      <c r="K3168" t="s">
        <v>45</v>
      </c>
      <c r="L3168" t="s">
        <v>32</v>
      </c>
      <c r="M3168">
        <v>2</v>
      </c>
      <c r="N3168">
        <v>564.74</v>
      </c>
      <c r="O3168">
        <v>848.29</v>
      </c>
      <c r="P3168">
        <v>42.41</v>
      </c>
      <c r="Q3168">
        <v>42.41</v>
      </c>
      <c r="R3168" t="s">
        <v>30</v>
      </c>
      <c r="S3168">
        <v>29</v>
      </c>
      <c r="T3168">
        <v>1</v>
      </c>
      <c r="U3168">
        <v>6</v>
      </c>
      <c r="V3168">
        <v>805.88</v>
      </c>
      <c r="W3168">
        <v>13130003166</v>
      </c>
    </row>
    <row r="3169" spans="1:23" x14ac:dyDescent="0.2">
      <c r="A3169" s="1">
        <v>44784</v>
      </c>
      <c r="B3169" s="2">
        <v>0.69956018518518515</v>
      </c>
      <c r="C3169">
        <v>4167</v>
      </c>
      <c r="D3169">
        <v>13002561</v>
      </c>
      <c r="E3169">
        <v>13</v>
      </c>
      <c r="F3169">
        <v>22589</v>
      </c>
      <c r="G3169" t="s">
        <v>23</v>
      </c>
      <c r="H3169">
        <v>18</v>
      </c>
      <c r="I3169">
        <v>79454</v>
      </c>
      <c r="J3169" t="s">
        <v>116</v>
      </c>
      <c r="K3169" t="s">
        <v>28</v>
      </c>
      <c r="L3169" t="s">
        <v>39</v>
      </c>
      <c r="M3169">
        <v>2</v>
      </c>
      <c r="N3169">
        <v>580.03</v>
      </c>
      <c r="O3169">
        <v>969.4</v>
      </c>
      <c r="P3169">
        <v>96.94</v>
      </c>
      <c r="Q3169">
        <v>96.94</v>
      </c>
      <c r="R3169" t="s">
        <v>30</v>
      </c>
      <c r="S3169">
        <v>29</v>
      </c>
      <c r="T3169">
        <v>1</v>
      </c>
      <c r="U3169">
        <v>5</v>
      </c>
      <c r="V3169">
        <v>872.46</v>
      </c>
      <c r="W3169">
        <v>13130003167</v>
      </c>
    </row>
    <row r="3170" spans="1:23" x14ac:dyDescent="0.2">
      <c r="A3170" s="1">
        <v>44787</v>
      </c>
      <c r="B3170" s="2">
        <v>0.63692129629629635</v>
      </c>
      <c r="C3170">
        <v>4168</v>
      </c>
      <c r="D3170">
        <v>13002561</v>
      </c>
      <c r="E3170">
        <v>13</v>
      </c>
      <c r="F3170">
        <v>22589</v>
      </c>
      <c r="G3170" t="s">
        <v>23</v>
      </c>
      <c r="H3170">
        <v>18</v>
      </c>
      <c r="I3170">
        <v>26022</v>
      </c>
      <c r="J3170" t="s">
        <v>49</v>
      </c>
      <c r="K3170" t="s">
        <v>60</v>
      </c>
      <c r="L3170" t="s">
        <v>26</v>
      </c>
      <c r="M3170">
        <v>3</v>
      </c>
      <c r="N3170">
        <v>203.25</v>
      </c>
      <c r="O3170">
        <v>341.37</v>
      </c>
      <c r="P3170">
        <v>0</v>
      </c>
      <c r="Q3170">
        <v>0</v>
      </c>
      <c r="S3170">
        <v>29</v>
      </c>
      <c r="T3170">
        <v>1</v>
      </c>
      <c r="U3170">
        <v>2</v>
      </c>
      <c r="V3170">
        <v>341.37</v>
      </c>
      <c r="W3170">
        <v>13130003168</v>
      </c>
    </row>
    <row r="3171" spans="1:23" x14ac:dyDescent="0.2">
      <c r="A3171" s="1">
        <v>44803</v>
      </c>
      <c r="B3171" s="2">
        <v>0.38752314814814809</v>
      </c>
      <c r="C3171">
        <v>4169</v>
      </c>
      <c r="D3171">
        <v>13002561</v>
      </c>
      <c r="E3171">
        <v>13</v>
      </c>
      <c r="F3171">
        <v>22589</v>
      </c>
      <c r="G3171" t="s">
        <v>23</v>
      </c>
      <c r="H3171">
        <v>18</v>
      </c>
      <c r="I3171">
        <v>78572</v>
      </c>
      <c r="J3171" t="s">
        <v>48</v>
      </c>
      <c r="K3171" t="s">
        <v>44</v>
      </c>
      <c r="L3171" t="s">
        <v>29</v>
      </c>
      <c r="M3171">
        <v>2</v>
      </c>
      <c r="N3171">
        <v>434.4</v>
      </c>
      <c r="O3171">
        <v>644.47</v>
      </c>
      <c r="P3171">
        <v>64.45</v>
      </c>
      <c r="Q3171">
        <v>64.45</v>
      </c>
      <c r="R3171" t="s">
        <v>30</v>
      </c>
      <c r="S3171">
        <v>29</v>
      </c>
      <c r="T3171">
        <v>1</v>
      </c>
      <c r="U3171">
        <v>6</v>
      </c>
      <c r="V3171">
        <v>580.02</v>
      </c>
      <c r="W3171">
        <v>13130003169</v>
      </c>
    </row>
    <row r="3172" spans="1:23" x14ac:dyDescent="0.2">
      <c r="A3172" s="1">
        <v>44793</v>
      </c>
      <c r="B3172" s="2">
        <v>0.54399305555555555</v>
      </c>
      <c r="C3172">
        <v>4170</v>
      </c>
      <c r="D3172">
        <v>13002561</v>
      </c>
      <c r="E3172">
        <v>13</v>
      </c>
      <c r="F3172">
        <v>22589</v>
      </c>
      <c r="G3172" t="s">
        <v>23</v>
      </c>
      <c r="H3172">
        <v>15</v>
      </c>
      <c r="I3172">
        <v>94157</v>
      </c>
      <c r="J3172" t="s">
        <v>114</v>
      </c>
      <c r="K3172" t="s">
        <v>28</v>
      </c>
      <c r="L3172" t="s">
        <v>51</v>
      </c>
      <c r="M3172">
        <v>1</v>
      </c>
      <c r="N3172">
        <v>29.38</v>
      </c>
      <c r="O3172">
        <v>39.24</v>
      </c>
      <c r="P3172">
        <v>0</v>
      </c>
      <c r="Q3172">
        <v>0</v>
      </c>
      <c r="S3172">
        <v>29</v>
      </c>
      <c r="T3172">
        <v>1</v>
      </c>
      <c r="U3172">
        <v>2</v>
      </c>
      <c r="V3172">
        <v>39.24</v>
      </c>
      <c r="W3172">
        <v>13130003170</v>
      </c>
    </row>
    <row r="3173" spans="1:23" x14ac:dyDescent="0.2">
      <c r="A3173" s="1">
        <v>44776</v>
      </c>
      <c r="B3173" s="2">
        <v>0.60396990740740741</v>
      </c>
      <c r="C3173">
        <v>4171</v>
      </c>
      <c r="D3173">
        <v>13002561</v>
      </c>
      <c r="E3173">
        <v>13</v>
      </c>
      <c r="F3173">
        <v>22589</v>
      </c>
      <c r="G3173" t="s">
        <v>23</v>
      </c>
      <c r="H3173">
        <v>18</v>
      </c>
      <c r="I3173">
        <v>24530</v>
      </c>
      <c r="J3173" t="s">
        <v>66</v>
      </c>
      <c r="K3173" t="s">
        <v>44</v>
      </c>
      <c r="L3173" t="s">
        <v>32</v>
      </c>
      <c r="M3173">
        <v>1</v>
      </c>
      <c r="N3173">
        <v>83.14</v>
      </c>
      <c r="O3173">
        <v>123.02</v>
      </c>
      <c r="P3173">
        <v>6.15</v>
      </c>
      <c r="Q3173">
        <v>6.15</v>
      </c>
      <c r="R3173" t="s">
        <v>30</v>
      </c>
      <c r="S3173">
        <v>29</v>
      </c>
      <c r="T3173">
        <v>1</v>
      </c>
      <c r="U3173">
        <v>1</v>
      </c>
      <c r="V3173">
        <v>116.87</v>
      </c>
      <c r="W3173">
        <v>13130003171</v>
      </c>
    </row>
    <row r="3174" spans="1:23" x14ac:dyDescent="0.2">
      <c r="A3174" s="1">
        <v>44777</v>
      </c>
      <c r="B3174" s="2">
        <v>0.92114583333333333</v>
      </c>
      <c r="C3174">
        <v>4172</v>
      </c>
      <c r="D3174">
        <v>13002561</v>
      </c>
      <c r="E3174">
        <v>13</v>
      </c>
      <c r="F3174">
        <v>22589</v>
      </c>
      <c r="G3174" t="s">
        <v>23</v>
      </c>
      <c r="H3174">
        <v>18</v>
      </c>
      <c r="I3174">
        <v>92629</v>
      </c>
      <c r="J3174" t="s">
        <v>97</v>
      </c>
      <c r="K3174" t="s">
        <v>25</v>
      </c>
      <c r="L3174" t="s">
        <v>32</v>
      </c>
      <c r="M3174">
        <v>3</v>
      </c>
      <c r="N3174">
        <v>340.26</v>
      </c>
      <c r="O3174">
        <v>562.16999999999996</v>
      </c>
      <c r="P3174">
        <v>0</v>
      </c>
      <c r="Q3174">
        <v>0</v>
      </c>
      <c r="S3174">
        <v>29</v>
      </c>
      <c r="T3174">
        <v>1</v>
      </c>
      <c r="U3174">
        <v>4</v>
      </c>
      <c r="V3174">
        <v>562.16999999999996</v>
      </c>
      <c r="W3174">
        <v>13130003172</v>
      </c>
    </row>
    <row r="3175" spans="1:23" x14ac:dyDescent="0.2">
      <c r="A3175" s="1">
        <v>44781</v>
      </c>
      <c r="B3175" s="2">
        <v>0.56130787037037033</v>
      </c>
      <c r="C3175">
        <v>4173</v>
      </c>
      <c r="D3175">
        <v>13002561</v>
      </c>
      <c r="E3175">
        <v>13</v>
      </c>
      <c r="F3175">
        <v>22589</v>
      </c>
      <c r="G3175" t="s">
        <v>23</v>
      </c>
      <c r="H3175">
        <v>18</v>
      </c>
      <c r="I3175">
        <v>79158</v>
      </c>
      <c r="J3175" t="s">
        <v>55</v>
      </c>
      <c r="K3175" t="s">
        <v>45</v>
      </c>
      <c r="L3175" t="s">
        <v>47</v>
      </c>
      <c r="M3175">
        <v>3</v>
      </c>
      <c r="N3175">
        <v>538.34</v>
      </c>
      <c r="O3175">
        <v>784.12</v>
      </c>
      <c r="P3175">
        <v>39.21</v>
      </c>
      <c r="Q3175">
        <v>39.21</v>
      </c>
      <c r="R3175" t="s">
        <v>30</v>
      </c>
      <c r="S3175">
        <v>29</v>
      </c>
      <c r="T3175">
        <v>1</v>
      </c>
      <c r="U3175">
        <v>4</v>
      </c>
      <c r="V3175">
        <v>744.91</v>
      </c>
      <c r="W3175">
        <v>13130003173</v>
      </c>
    </row>
    <row r="3176" spans="1:23" x14ac:dyDescent="0.2">
      <c r="A3176" s="1">
        <v>44802</v>
      </c>
      <c r="B3176" s="2">
        <v>0.93096064814814816</v>
      </c>
      <c r="C3176">
        <v>4174</v>
      </c>
      <c r="D3176">
        <v>13002561</v>
      </c>
      <c r="E3176">
        <v>13</v>
      </c>
      <c r="F3176">
        <v>22589</v>
      </c>
      <c r="G3176" t="s">
        <v>23</v>
      </c>
      <c r="H3176">
        <v>15</v>
      </c>
      <c r="I3176">
        <v>85241</v>
      </c>
      <c r="J3176" t="s">
        <v>83</v>
      </c>
      <c r="K3176" t="s">
        <v>25</v>
      </c>
      <c r="L3176" t="s">
        <v>26</v>
      </c>
      <c r="M3176">
        <v>1</v>
      </c>
      <c r="N3176">
        <v>154.43</v>
      </c>
      <c r="O3176">
        <v>241.84</v>
      </c>
      <c r="P3176">
        <v>0</v>
      </c>
      <c r="Q3176">
        <v>0</v>
      </c>
      <c r="S3176">
        <v>29</v>
      </c>
      <c r="T3176">
        <v>1</v>
      </c>
      <c r="U3176">
        <v>2</v>
      </c>
      <c r="V3176">
        <v>241.84</v>
      </c>
      <c r="W3176">
        <v>13130003174</v>
      </c>
    </row>
    <row r="3177" spans="1:23" x14ac:dyDescent="0.2">
      <c r="A3177" s="1">
        <v>44804</v>
      </c>
      <c r="B3177" s="2">
        <v>0.65287037037037032</v>
      </c>
      <c r="C3177">
        <v>4175</v>
      </c>
      <c r="D3177">
        <v>13002561</v>
      </c>
      <c r="E3177">
        <v>13</v>
      </c>
      <c r="F3177">
        <v>22589</v>
      </c>
      <c r="G3177" t="s">
        <v>23</v>
      </c>
      <c r="H3177">
        <v>15</v>
      </c>
      <c r="I3177">
        <v>55574</v>
      </c>
      <c r="J3177" t="s">
        <v>69</v>
      </c>
      <c r="K3177" t="s">
        <v>44</v>
      </c>
      <c r="L3177" t="s">
        <v>32</v>
      </c>
      <c r="M3177">
        <v>3</v>
      </c>
      <c r="N3177">
        <v>539.48</v>
      </c>
      <c r="O3177">
        <v>790.84</v>
      </c>
      <c r="P3177">
        <v>39.54</v>
      </c>
      <c r="Q3177">
        <v>39.54</v>
      </c>
      <c r="R3177" t="s">
        <v>30</v>
      </c>
      <c r="S3177">
        <v>29</v>
      </c>
      <c r="T3177">
        <v>1</v>
      </c>
      <c r="U3177">
        <v>1</v>
      </c>
      <c r="V3177">
        <v>751.3</v>
      </c>
      <c r="W3177">
        <v>13130003175</v>
      </c>
    </row>
    <row r="3178" spans="1:23" x14ac:dyDescent="0.2">
      <c r="A3178" s="1">
        <v>44789</v>
      </c>
      <c r="B3178" s="2">
        <v>0.89755787037037038</v>
      </c>
      <c r="C3178">
        <v>4176</v>
      </c>
      <c r="D3178">
        <v>13002561</v>
      </c>
      <c r="E3178">
        <v>13</v>
      </c>
      <c r="F3178">
        <v>22589</v>
      </c>
      <c r="G3178" t="s">
        <v>23</v>
      </c>
      <c r="H3178">
        <v>15</v>
      </c>
      <c r="I3178">
        <v>63309</v>
      </c>
      <c r="J3178" t="s">
        <v>24</v>
      </c>
      <c r="K3178" t="s">
        <v>45</v>
      </c>
      <c r="L3178" t="s">
        <v>39</v>
      </c>
      <c r="M3178">
        <v>3</v>
      </c>
      <c r="N3178">
        <v>526.02</v>
      </c>
      <c r="O3178">
        <v>716.74</v>
      </c>
      <c r="P3178">
        <v>35.840000000000003</v>
      </c>
      <c r="Q3178">
        <v>35.840000000000003</v>
      </c>
      <c r="R3178" t="s">
        <v>30</v>
      </c>
      <c r="S3178">
        <v>29</v>
      </c>
      <c r="T3178">
        <v>1</v>
      </c>
      <c r="U3178">
        <v>2</v>
      </c>
      <c r="V3178">
        <v>680.9</v>
      </c>
      <c r="W3178">
        <v>13130003176</v>
      </c>
    </row>
    <row r="3179" spans="1:23" x14ac:dyDescent="0.2">
      <c r="A3179" s="1">
        <v>44789</v>
      </c>
      <c r="B3179" s="2">
        <v>0.66045138888888888</v>
      </c>
      <c r="C3179">
        <v>4177</v>
      </c>
      <c r="D3179">
        <v>13002561</v>
      </c>
      <c r="E3179">
        <v>13</v>
      </c>
      <c r="F3179">
        <v>22589</v>
      </c>
      <c r="G3179" t="s">
        <v>23</v>
      </c>
      <c r="H3179">
        <v>15</v>
      </c>
      <c r="I3179">
        <v>40411</v>
      </c>
      <c r="J3179" t="s">
        <v>101</v>
      </c>
      <c r="K3179" t="s">
        <v>44</v>
      </c>
      <c r="L3179" t="s">
        <v>51</v>
      </c>
      <c r="M3179">
        <v>1</v>
      </c>
      <c r="N3179">
        <v>85.3</v>
      </c>
      <c r="O3179">
        <v>115.04</v>
      </c>
      <c r="P3179">
        <v>11.5</v>
      </c>
      <c r="Q3179">
        <v>11.5</v>
      </c>
      <c r="R3179" t="s">
        <v>30</v>
      </c>
      <c r="S3179">
        <v>29</v>
      </c>
      <c r="T3179">
        <v>1</v>
      </c>
      <c r="U3179">
        <v>6</v>
      </c>
      <c r="V3179">
        <v>103.54</v>
      </c>
      <c r="W3179">
        <v>13130003177</v>
      </c>
    </row>
    <row r="3180" spans="1:23" x14ac:dyDescent="0.2">
      <c r="A3180" s="1">
        <v>44803</v>
      </c>
      <c r="B3180" s="2">
        <v>0.92167824074074078</v>
      </c>
      <c r="C3180">
        <v>4178</v>
      </c>
      <c r="D3180">
        <v>13002561</v>
      </c>
      <c r="E3180">
        <v>13</v>
      </c>
      <c r="F3180">
        <v>22589</v>
      </c>
      <c r="G3180" t="s">
        <v>23</v>
      </c>
      <c r="H3180">
        <v>15</v>
      </c>
      <c r="I3180">
        <v>66246</v>
      </c>
      <c r="J3180" t="s">
        <v>40</v>
      </c>
      <c r="K3180" t="s">
        <v>25</v>
      </c>
      <c r="L3180" t="s">
        <v>47</v>
      </c>
      <c r="M3180">
        <v>3</v>
      </c>
      <c r="N3180">
        <v>236.23</v>
      </c>
      <c r="O3180">
        <v>332.15</v>
      </c>
      <c r="P3180">
        <v>33.21</v>
      </c>
      <c r="Q3180">
        <v>33.21</v>
      </c>
      <c r="R3180" t="s">
        <v>30</v>
      </c>
      <c r="S3180">
        <v>29</v>
      </c>
      <c r="T3180">
        <v>1</v>
      </c>
      <c r="U3180">
        <v>6</v>
      </c>
      <c r="V3180">
        <v>298.94</v>
      </c>
      <c r="W3180">
        <v>13130003178</v>
      </c>
    </row>
    <row r="3181" spans="1:23" x14ac:dyDescent="0.2">
      <c r="A3181" s="1">
        <v>44776</v>
      </c>
      <c r="B3181" s="2">
        <v>0.900787037037037</v>
      </c>
      <c r="C3181">
        <v>4179</v>
      </c>
      <c r="D3181">
        <v>13002561</v>
      </c>
      <c r="E3181">
        <v>13</v>
      </c>
      <c r="F3181">
        <v>22589</v>
      </c>
      <c r="G3181" t="s">
        <v>23</v>
      </c>
      <c r="H3181">
        <v>15</v>
      </c>
      <c r="I3181">
        <v>39803</v>
      </c>
      <c r="J3181" t="s">
        <v>48</v>
      </c>
      <c r="K3181" t="s">
        <v>44</v>
      </c>
      <c r="L3181" t="s">
        <v>39</v>
      </c>
      <c r="M3181">
        <v>3</v>
      </c>
      <c r="N3181">
        <v>275.61</v>
      </c>
      <c r="O3181">
        <v>415.66</v>
      </c>
      <c r="P3181">
        <v>20.78</v>
      </c>
      <c r="Q3181">
        <v>20.78</v>
      </c>
      <c r="R3181" t="s">
        <v>30</v>
      </c>
      <c r="S3181">
        <v>29</v>
      </c>
      <c r="T3181">
        <v>1</v>
      </c>
      <c r="U3181">
        <v>2</v>
      </c>
      <c r="V3181">
        <v>394.88</v>
      </c>
      <c r="W3181">
        <v>13130003179</v>
      </c>
    </row>
    <row r="3182" spans="1:23" x14ac:dyDescent="0.2">
      <c r="A3182" s="1">
        <v>44799</v>
      </c>
      <c r="B3182" s="2">
        <v>0.7592592592592593</v>
      </c>
      <c r="C3182">
        <v>4180</v>
      </c>
      <c r="D3182">
        <v>13002561</v>
      </c>
      <c r="E3182">
        <v>13</v>
      </c>
      <c r="F3182">
        <v>22589</v>
      </c>
      <c r="G3182" t="s">
        <v>23</v>
      </c>
      <c r="H3182">
        <v>18</v>
      </c>
      <c r="I3182">
        <v>30082</v>
      </c>
      <c r="J3182" t="s">
        <v>107</v>
      </c>
      <c r="K3182" t="s">
        <v>38</v>
      </c>
      <c r="L3182" t="s">
        <v>36</v>
      </c>
      <c r="M3182">
        <v>1</v>
      </c>
      <c r="N3182">
        <v>126.16</v>
      </c>
      <c r="O3182">
        <v>206.59</v>
      </c>
      <c r="P3182">
        <v>0</v>
      </c>
      <c r="Q3182">
        <v>0</v>
      </c>
      <c r="S3182">
        <v>29</v>
      </c>
      <c r="T3182">
        <v>1</v>
      </c>
      <c r="U3182">
        <v>2</v>
      </c>
      <c r="V3182">
        <v>206.59</v>
      </c>
      <c r="W3182">
        <v>13130003180</v>
      </c>
    </row>
    <row r="3183" spans="1:23" x14ac:dyDescent="0.2">
      <c r="A3183" s="1">
        <v>44775</v>
      </c>
      <c r="B3183" s="2">
        <v>0.51790509259259254</v>
      </c>
      <c r="C3183">
        <v>4181</v>
      </c>
      <c r="D3183">
        <v>13002561</v>
      </c>
      <c r="E3183">
        <v>13</v>
      </c>
      <c r="F3183">
        <v>22589</v>
      </c>
      <c r="G3183" t="s">
        <v>23</v>
      </c>
      <c r="H3183">
        <v>18</v>
      </c>
      <c r="I3183">
        <v>34886</v>
      </c>
      <c r="J3183" t="s">
        <v>105</v>
      </c>
      <c r="K3183" t="s">
        <v>38</v>
      </c>
      <c r="L3183" t="s">
        <v>26</v>
      </c>
      <c r="M3183">
        <v>2</v>
      </c>
      <c r="N3183">
        <v>562.76</v>
      </c>
      <c r="O3183">
        <v>897.03</v>
      </c>
      <c r="P3183">
        <v>0</v>
      </c>
      <c r="Q3183">
        <v>0</v>
      </c>
      <c r="S3183">
        <v>29</v>
      </c>
      <c r="T3183">
        <v>1</v>
      </c>
      <c r="U3183">
        <v>2</v>
      </c>
      <c r="V3183">
        <v>897.03</v>
      </c>
      <c r="W3183">
        <v>13130003181</v>
      </c>
    </row>
    <row r="3184" spans="1:23" x14ac:dyDescent="0.2">
      <c r="A3184" s="1">
        <v>44788</v>
      </c>
      <c r="B3184" s="2">
        <v>0.89863425925925922</v>
      </c>
      <c r="C3184">
        <v>4182</v>
      </c>
      <c r="D3184">
        <v>13002561</v>
      </c>
      <c r="E3184">
        <v>13</v>
      </c>
      <c r="F3184">
        <v>22589</v>
      </c>
      <c r="G3184" t="s">
        <v>23</v>
      </c>
      <c r="H3184">
        <v>18</v>
      </c>
      <c r="I3184">
        <v>87726</v>
      </c>
      <c r="J3184" t="s">
        <v>121</v>
      </c>
      <c r="K3184" t="s">
        <v>45</v>
      </c>
      <c r="L3184" t="s">
        <v>34</v>
      </c>
      <c r="M3184">
        <v>2</v>
      </c>
      <c r="N3184">
        <v>513.94000000000005</v>
      </c>
      <c r="O3184">
        <v>660.15</v>
      </c>
      <c r="P3184">
        <v>0</v>
      </c>
      <c r="Q3184">
        <v>0</v>
      </c>
      <c r="S3184">
        <v>29</v>
      </c>
      <c r="T3184">
        <v>1</v>
      </c>
      <c r="U3184">
        <v>4</v>
      </c>
      <c r="V3184">
        <v>660.15</v>
      </c>
      <c r="W3184">
        <v>13130003182</v>
      </c>
    </row>
    <row r="3185" spans="1:23" x14ac:dyDescent="0.2">
      <c r="A3185" s="1">
        <v>44780</v>
      </c>
      <c r="B3185" s="2">
        <v>0.79570601851851852</v>
      </c>
      <c r="C3185">
        <v>4183</v>
      </c>
      <c r="D3185">
        <v>13002561</v>
      </c>
      <c r="E3185">
        <v>13</v>
      </c>
      <c r="F3185">
        <v>22589</v>
      </c>
      <c r="G3185" t="s">
        <v>23</v>
      </c>
      <c r="H3185">
        <v>15</v>
      </c>
      <c r="I3185">
        <v>75800</v>
      </c>
      <c r="J3185" t="s">
        <v>76</v>
      </c>
      <c r="K3185" t="s">
        <v>44</v>
      </c>
      <c r="L3185" t="s">
        <v>36</v>
      </c>
      <c r="M3185">
        <v>1</v>
      </c>
      <c r="N3185">
        <v>320.54000000000002</v>
      </c>
      <c r="O3185">
        <v>411.48</v>
      </c>
      <c r="P3185">
        <v>0</v>
      </c>
      <c r="Q3185">
        <v>0</v>
      </c>
      <c r="S3185">
        <v>29</v>
      </c>
      <c r="T3185">
        <v>1</v>
      </c>
      <c r="U3185">
        <v>6</v>
      </c>
      <c r="V3185">
        <v>411.48</v>
      </c>
      <c r="W3185">
        <v>13130003183</v>
      </c>
    </row>
    <row r="3186" spans="1:23" x14ac:dyDescent="0.2">
      <c r="A3186" s="1">
        <v>44800</v>
      </c>
      <c r="B3186" s="2">
        <v>0.70795138888888887</v>
      </c>
      <c r="C3186">
        <v>4184</v>
      </c>
      <c r="D3186">
        <v>13002561</v>
      </c>
      <c r="E3186">
        <v>13</v>
      </c>
      <c r="F3186">
        <v>22589</v>
      </c>
      <c r="G3186" t="s">
        <v>23</v>
      </c>
      <c r="H3186">
        <v>18</v>
      </c>
      <c r="I3186">
        <v>32065</v>
      </c>
      <c r="J3186" t="s">
        <v>115</v>
      </c>
      <c r="K3186" t="s">
        <v>44</v>
      </c>
      <c r="L3186" t="s">
        <v>34</v>
      </c>
      <c r="M3186">
        <v>3</v>
      </c>
      <c r="N3186">
        <v>387.96</v>
      </c>
      <c r="O3186">
        <v>605.23</v>
      </c>
      <c r="P3186">
        <v>60.52</v>
      </c>
      <c r="Q3186">
        <v>60.52</v>
      </c>
      <c r="R3186" t="s">
        <v>30</v>
      </c>
      <c r="S3186">
        <v>29</v>
      </c>
      <c r="T3186">
        <v>1</v>
      </c>
      <c r="U3186">
        <v>3</v>
      </c>
      <c r="V3186">
        <v>544.71</v>
      </c>
      <c r="W3186">
        <v>13130003184</v>
      </c>
    </row>
    <row r="3187" spans="1:23" x14ac:dyDescent="0.2">
      <c r="A3187" s="1">
        <v>44786</v>
      </c>
      <c r="B3187" s="2">
        <v>0.44310185185185191</v>
      </c>
      <c r="C3187">
        <v>4185</v>
      </c>
      <c r="D3187">
        <v>13002561</v>
      </c>
      <c r="E3187">
        <v>13</v>
      </c>
      <c r="F3187">
        <v>22589</v>
      </c>
      <c r="G3187" t="s">
        <v>23</v>
      </c>
      <c r="H3187">
        <v>15</v>
      </c>
      <c r="I3187">
        <v>13443</v>
      </c>
      <c r="J3187" t="s">
        <v>79</v>
      </c>
      <c r="K3187" t="s">
        <v>28</v>
      </c>
      <c r="L3187" t="s">
        <v>39</v>
      </c>
      <c r="M3187">
        <v>1</v>
      </c>
      <c r="N3187">
        <v>540.62</v>
      </c>
      <c r="O3187">
        <v>760.92</v>
      </c>
      <c r="P3187">
        <v>0</v>
      </c>
      <c r="Q3187">
        <v>0</v>
      </c>
      <c r="S3187">
        <v>29</v>
      </c>
      <c r="T3187">
        <v>1</v>
      </c>
      <c r="U3187">
        <v>5</v>
      </c>
      <c r="V3187">
        <v>760.92</v>
      </c>
      <c r="W3187">
        <v>13130003185</v>
      </c>
    </row>
    <row r="3188" spans="1:23" x14ac:dyDescent="0.2">
      <c r="A3188" s="1">
        <v>44784</v>
      </c>
      <c r="B3188" s="2">
        <v>0.88574074074074072</v>
      </c>
      <c r="C3188">
        <v>4186</v>
      </c>
      <c r="D3188">
        <v>13002561</v>
      </c>
      <c r="E3188">
        <v>13</v>
      </c>
      <c r="F3188">
        <v>22589</v>
      </c>
      <c r="G3188" t="s">
        <v>23</v>
      </c>
      <c r="H3188">
        <v>15</v>
      </c>
      <c r="I3188">
        <v>90210</v>
      </c>
      <c r="J3188" t="s">
        <v>27</v>
      </c>
      <c r="K3188" t="s">
        <v>45</v>
      </c>
      <c r="L3188" t="s">
        <v>29</v>
      </c>
      <c r="M3188">
        <v>2</v>
      </c>
      <c r="N3188">
        <v>463.79</v>
      </c>
      <c r="O3188">
        <v>691.05</v>
      </c>
      <c r="P3188">
        <v>0</v>
      </c>
      <c r="Q3188">
        <v>0</v>
      </c>
      <c r="S3188">
        <v>29</v>
      </c>
      <c r="T3188">
        <v>1</v>
      </c>
      <c r="U3188">
        <v>3</v>
      </c>
      <c r="V3188">
        <v>691.05</v>
      </c>
      <c r="W3188">
        <v>13130003186</v>
      </c>
    </row>
    <row r="3189" spans="1:23" x14ac:dyDescent="0.2">
      <c r="A3189" s="1">
        <v>44804</v>
      </c>
      <c r="B3189" s="2">
        <v>0.51796296296296296</v>
      </c>
      <c r="C3189">
        <v>4187</v>
      </c>
      <c r="D3189">
        <v>13002561</v>
      </c>
      <c r="E3189">
        <v>13</v>
      </c>
      <c r="F3189">
        <v>22589</v>
      </c>
      <c r="G3189" t="s">
        <v>23</v>
      </c>
      <c r="H3189">
        <v>15</v>
      </c>
      <c r="I3189">
        <v>95473</v>
      </c>
      <c r="J3189" t="s">
        <v>89</v>
      </c>
      <c r="K3189" t="s">
        <v>45</v>
      </c>
      <c r="L3189" t="s">
        <v>32</v>
      </c>
      <c r="M3189">
        <v>1</v>
      </c>
      <c r="N3189">
        <v>335.65</v>
      </c>
      <c r="O3189">
        <v>552.71</v>
      </c>
      <c r="P3189">
        <v>27.64</v>
      </c>
      <c r="Q3189">
        <v>27.64</v>
      </c>
      <c r="R3189" t="s">
        <v>30</v>
      </c>
      <c r="S3189">
        <v>29</v>
      </c>
      <c r="T3189">
        <v>1</v>
      </c>
      <c r="U3189">
        <v>2</v>
      </c>
      <c r="V3189">
        <v>525.07000000000005</v>
      </c>
      <c r="W3189">
        <v>13130003187</v>
      </c>
    </row>
    <row r="3190" spans="1:23" x14ac:dyDescent="0.2">
      <c r="A3190" s="1">
        <v>44802</v>
      </c>
      <c r="B3190" s="2">
        <v>0.38091435185185191</v>
      </c>
      <c r="C3190">
        <v>4188</v>
      </c>
      <c r="D3190">
        <v>13002561</v>
      </c>
      <c r="E3190">
        <v>13</v>
      </c>
      <c r="F3190">
        <v>22589</v>
      </c>
      <c r="G3190" t="s">
        <v>23</v>
      </c>
      <c r="H3190">
        <v>15</v>
      </c>
      <c r="I3190">
        <v>36271</v>
      </c>
      <c r="J3190" t="s">
        <v>89</v>
      </c>
      <c r="K3190" t="s">
        <v>45</v>
      </c>
      <c r="L3190" t="s">
        <v>47</v>
      </c>
      <c r="M3190">
        <v>3</v>
      </c>
      <c r="N3190">
        <v>160.15</v>
      </c>
      <c r="O3190">
        <v>240.39</v>
      </c>
      <c r="P3190">
        <v>0</v>
      </c>
      <c r="Q3190">
        <v>0</v>
      </c>
      <c r="S3190">
        <v>29</v>
      </c>
      <c r="T3190">
        <v>1</v>
      </c>
      <c r="U3190">
        <v>5</v>
      </c>
      <c r="V3190">
        <v>240.39</v>
      </c>
      <c r="W3190">
        <v>13130003188</v>
      </c>
    </row>
    <row r="3191" spans="1:23" x14ac:dyDescent="0.2">
      <c r="A3191" s="1">
        <v>44781</v>
      </c>
      <c r="B3191" s="2">
        <v>0.50307870370370367</v>
      </c>
      <c r="C3191">
        <v>4189</v>
      </c>
      <c r="D3191">
        <v>13002561</v>
      </c>
      <c r="E3191">
        <v>13</v>
      </c>
      <c r="F3191">
        <v>22589</v>
      </c>
      <c r="G3191" t="s">
        <v>23</v>
      </c>
      <c r="H3191">
        <v>18</v>
      </c>
      <c r="I3191">
        <v>38890</v>
      </c>
      <c r="J3191" t="s">
        <v>50</v>
      </c>
      <c r="K3191" t="s">
        <v>60</v>
      </c>
      <c r="L3191" t="s">
        <v>39</v>
      </c>
      <c r="M3191">
        <v>2</v>
      </c>
      <c r="N3191">
        <v>272.43</v>
      </c>
      <c r="O3191">
        <v>354.91</v>
      </c>
      <c r="P3191">
        <v>17.75</v>
      </c>
      <c r="Q3191">
        <v>17.75</v>
      </c>
      <c r="R3191" t="s">
        <v>30</v>
      </c>
      <c r="S3191">
        <v>29</v>
      </c>
      <c r="T3191">
        <v>1</v>
      </c>
      <c r="U3191">
        <v>5</v>
      </c>
      <c r="V3191">
        <v>337.16</v>
      </c>
      <c r="W3191">
        <v>13130003189</v>
      </c>
    </row>
    <row r="3192" spans="1:23" x14ac:dyDescent="0.2">
      <c r="A3192" s="1">
        <v>44804</v>
      </c>
      <c r="B3192" s="2">
        <v>0.59769675925925925</v>
      </c>
      <c r="C3192">
        <v>4190</v>
      </c>
      <c r="D3192">
        <v>13002561</v>
      </c>
      <c r="E3192">
        <v>13</v>
      </c>
      <c r="F3192">
        <v>22589</v>
      </c>
      <c r="G3192" t="s">
        <v>23</v>
      </c>
      <c r="H3192">
        <v>18</v>
      </c>
      <c r="I3192">
        <v>19016</v>
      </c>
      <c r="J3192" t="s">
        <v>85</v>
      </c>
      <c r="K3192" t="s">
        <v>44</v>
      </c>
      <c r="L3192" t="s">
        <v>34</v>
      </c>
      <c r="M3192">
        <v>2</v>
      </c>
      <c r="N3192">
        <v>566.64</v>
      </c>
      <c r="O3192">
        <v>806.88</v>
      </c>
      <c r="P3192">
        <v>40.340000000000003</v>
      </c>
      <c r="Q3192">
        <v>40.340000000000003</v>
      </c>
      <c r="R3192" t="s">
        <v>30</v>
      </c>
      <c r="S3192">
        <v>29</v>
      </c>
      <c r="T3192">
        <v>1</v>
      </c>
      <c r="U3192">
        <v>2</v>
      </c>
      <c r="V3192">
        <v>766.54</v>
      </c>
      <c r="W3192">
        <v>13130003190</v>
      </c>
    </row>
    <row r="3193" spans="1:23" x14ac:dyDescent="0.2">
      <c r="A3193" s="1">
        <v>44797</v>
      </c>
      <c r="B3193" s="2">
        <v>0.33993055555555562</v>
      </c>
      <c r="C3193">
        <v>4191</v>
      </c>
      <c r="D3193">
        <v>13002561</v>
      </c>
      <c r="E3193">
        <v>13</v>
      </c>
      <c r="F3193">
        <v>22589</v>
      </c>
      <c r="G3193" t="s">
        <v>23</v>
      </c>
      <c r="H3193">
        <v>18</v>
      </c>
      <c r="I3193">
        <v>15386</v>
      </c>
      <c r="J3193" t="s">
        <v>88</v>
      </c>
      <c r="K3193" t="s">
        <v>38</v>
      </c>
      <c r="L3193" t="s">
        <v>29</v>
      </c>
      <c r="M3193">
        <v>3</v>
      </c>
      <c r="N3193">
        <v>293.97000000000003</v>
      </c>
      <c r="O3193">
        <v>397.73</v>
      </c>
      <c r="P3193">
        <v>39.770000000000003</v>
      </c>
      <c r="Q3193">
        <v>39.770000000000003</v>
      </c>
      <c r="R3193" t="s">
        <v>30</v>
      </c>
      <c r="S3193">
        <v>29</v>
      </c>
      <c r="T3193">
        <v>1</v>
      </c>
      <c r="U3193">
        <v>2</v>
      </c>
      <c r="V3193">
        <v>357.96</v>
      </c>
      <c r="W3193">
        <v>13130003191</v>
      </c>
    </row>
    <row r="3194" spans="1:23" x14ac:dyDescent="0.2">
      <c r="A3194" s="1">
        <v>44790</v>
      </c>
      <c r="B3194" s="2">
        <v>0.44883101851851848</v>
      </c>
      <c r="C3194">
        <v>4192</v>
      </c>
      <c r="D3194">
        <v>13002561</v>
      </c>
      <c r="E3194">
        <v>13</v>
      </c>
      <c r="F3194">
        <v>22589</v>
      </c>
      <c r="G3194" t="s">
        <v>23</v>
      </c>
      <c r="H3194">
        <v>15</v>
      </c>
      <c r="I3194">
        <v>92052</v>
      </c>
      <c r="J3194" t="s">
        <v>74</v>
      </c>
      <c r="K3194" t="s">
        <v>44</v>
      </c>
      <c r="L3194" t="s">
        <v>51</v>
      </c>
      <c r="M3194">
        <v>3</v>
      </c>
      <c r="N3194">
        <v>16.37</v>
      </c>
      <c r="O3194">
        <v>21.12</v>
      </c>
      <c r="P3194">
        <v>2.11</v>
      </c>
      <c r="Q3194">
        <v>2.11</v>
      </c>
      <c r="R3194" t="s">
        <v>30</v>
      </c>
      <c r="S3194">
        <v>29</v>
      </c>
      <c r="T3194">
        <v>1</v>
      </c>
      <c r="U3194">
        <v>4</v>
      </c>
      <c r="V3194">
        <v>19.010000000000002</v>
      </c>
      <c r="W3194">
        <v>13130003192</v>
      </c>
    </row>
    <row r="3195" spans="1:23" x14ac:dyDescent="0.2">
      <c r="A3195" s="1">
        <v>44796</v>
      </c>
      <c r="B3195" s="2">
        <v>0.50020833333333337</v>
      </c>
      <c r="C3195">
        <v>4193</v>
      </c>
      <c r="D3195">
        <v>13002561</v>
      </c>
      <c r="E3195">
        <v>13</v>
      </c>
      <c r="F3195">
        <v>22589</v>
      </c>
      <c r="G3195" t="s">
        <v>23</v>
      </c>
      <c r="H3195">
        <v>15</v>
      </c>
      <c r="I3195">
        <v>10286</v>
      </c>
      <c r="J3195" t="s">
        <v>24</v>
      </c>
      <c r="K3195" t="s">
        <v>45</v>
      </c>
      <c r="L3195" t="s">
        <v>39</v>
      </c>
      <c r="M3195">
        <v>2</v>
      </c>
      <c r="N3195">
        <v>449.19</v>
      </c>
      <c r="O3195">
        <v>682.06</v>
      </c>
      <c r="P3195">
        <v>68.209999999999994</v>
      </c>
      <c r="Q3195">
        <v>68.209999999999994</v>
      </c>
      <c r="R3195" t="s">
        <v>30</v>
      </c>
      <c r="S3195">
        <v>29</v>
      </c>
      <c r="T3195">
        <v>1</v>
      </c>
      <c r="U3195">
        <v>4</v>
      </c>
      <c r="V3195">
        <v>613.85</v>
      </c>
      <c r="W3195">
        <v>13130003193</v>
      </c>
    </row>
    <row r="3196" spans="1:23" x14ac:dyDescent="0.2">
      <c r="A3196" s="1">
        <v>44804</v>
      </c>
      <c r="B3196" s="2">
        <v>0.69473379629629628</v>
      </c>
      <c r="C3196">
        <v>4194</v>
      </c>
      <c r="D3196">
        <v>13002561</v>
      </c>
      <c r="E3196">
        <v>13</v>
      </c>
      <c r="F3196">
        <v>22589</v>
      </c>
      <c r="G3196" t="s">
        <v>23</v>
      </c>
      <c r="H3196">
        <v>15</v>
      </c>
      <c r="I3196">
        <v>41096</v>
      </c>
      <c r="J3196" t="s">
        <v>33</v>
      </c>
      <c r="K3196" t="s">
        <v>25</v>
      </c>
      <c r="L3196" t="s">
        <v>47</v>
      </c>
      <c r="M3196">
        <v>2</v>
      </c>
      <c r="N3196">
        <v>181.31</v>
      </c>
      <c r="O3196">
        <v>245.72</v>
      </c>
      <c r="P3196">
        <v>24.57</v>
      </c>
      <c r="Q3196">
        <v>24.57</v>
      </c>
      <c r="R3196" t="s">
        <v>30</v>
      </c>
      <c r="S3196">
        <v>29</v>
      </c>
      <c r="T3196">
        <v>1</v>
      </c>
      <c r="U3196">
        <v>2</v>
      </c>
      <c r="V3196">
        <v>221.15</v>
      </c>
      <c r="W3196">
        <v>13130003194</v>
      </c>
    </row>
    <row r="3197" spans="1:23" x14ac:dyDescent="0.2">
      <c r="A3197" s="1">
        <v>44792</v>
      </c>
      <c r="B3197" s="2">
        <v>0.41932870370370368</v>
      </c>
      <c r="C3197">
        <v>4195</v>
      </c>
      <c r="D3197">
        <v>13002561</v>
      </c>
      <c r="E3197">
        <v>13</v>
      </c>
      <c r="F3197">
        <v>22589</v>
      </c>
      <c r="G3197" t="s">
        <v>23</v>
      </c>
      <c r="H3197">
        <v>15</v>
      </c>
      <c r="I3197">
        <v>66871</v>
      </c>
      <c r="J3197" t="s">
        <v>101</v>
      </c>
      <c r="K3197" t="s">
        <v>60</v>
      </c>
      <c r="L3197" t="s">
        <v>47</v>
      </c>
      <c r="M3197">
        <v>1</v>
      </c>
      <c r="N3197">
        <v>203.64</v>
      </c>
      <c r="O3197">
        <v>278.33999999999997</v>
      </c>
      <c r="P3197">
        <v>13.92</v>
      </c>
      <c r="Q3197">
        <v>13.92</v>
      </c>
      <c r="R3197" t="s">
        <v>30</v>
      </c>
      <c r="S3197">
        <v>29</v>
      </c>
      <c r="T3197">
        <v>1</v>
      </c>
      <c r="U3197">
        <v>6</v>
      </c>
      <c r="V3197">
        <v>264.42</v>
      </c>
      <c r="W3197">
        <v>13130003195</v>
      </c>
    </row>
    <row r="3198" spans="1:23" x14ac:dyDescent="0.2">
      <c r="A3198" s="1">
        <v>44783</v>
      </c>
      <c r="B3198" s="2">
        <v>0.44229166666666669</v>
      </c>
      <c r="C3198">
        <v>4196</v>
      </c>
      <c r="D3198">
        <v>13002561</v>
      </c>
      <c r="E3198">
        <v>13</v>
      </c>
      <c r="F3198">
        <v>22589</v>
      </c>
      <c r="G3198" t="s">
        <v>23</v>
      </c>
      <c r="H3198">
        <v>15</v>
      </c>
      <c r="I3198">
        <v>52882</v>
      </c>
      <c r="J3198" t="s">
        <v>63</v>
      </c>
      <c r="K3198" t="s">
        <v>28</v>
      </c>
      <c r="L3198" t="s">
        <v>47</v>
      </c>
      <c r="M3198">
        <v>3</v>
      </c>
      <c r="N3198">
        <v>159.01</v>
      </c>
      <c r="O3198">
        <v>232.21</v>
      </c>
      <c r="P3198">
        <v>0</v>
      </c>
      <c r="Q3198">
        <v>0</v>
      </c>
      <c r="S3198">
        <v>29</v>
      </c>
      <c r="T3198">
        <v>1</v>
      </c>
      <c r="U3198">
        <v>3</v>
      </c>
      <c r="V3198">
        <v>232.21</v>
      </c>
      <c r="W3198">
        <v>13130003196</v>
      </c>
    </row>
    <row r="3199" spans="1:23" x14ac:dyDescent="0.2">
      <c r="A3199" s="1">
        <v>44799</v>
      </c>
      <c r="B3199" s="2">
        <v>0.74464120370370368</v>
      </c>
      <c r="C3199">
        <v>4197</v>
      </c>
      <c r="D3199">
        <v>13002561</v>
      </c>
      <c r="E3199">
        <v>13</v>
      </c>
      <c r="F3199">
        <v>22589</v>
      </c>
      <c r="G3199" t="s">
        <v>23</v>
      </c>
      <c r="H3199">
        <v>18</v>
      </c>
      <c r="I3199">
        <v>35761</v>
      </c>
      <c r="J3199" t="s">
        <v>55</v>
      </c>
      <c r="K3199" t="s">
        <v>38</v>
      </c>
      <c r="L3199" t="s">
        <v>26</v>
      </c>
      <c r="M3199">
        <v>1</v>
      </c>
      <c r="N3199">
        <v>340.57</v>
      </c>
      <c r="O3199">
        <v>460.84</v>
      </c>
      <c r="P3199">
        <v>23.04</v>
      </c>
      <c r="Q3199">
        <v>23.04</v>
      </c>
      <c r="R3199" t="s">
        <v>30</v>
      </c>
      <c r="S3199">
        <v>29</v>
      </c>
      <c r="T3199">
        <v>1</v>
      </c>
      <c r="U3199">
        <v>1</v>
      </c>
      <c r="V3199">
        <v>437.8</v>
      </c>
      <c r="W3199">
        <v>13130003197</v>
      </c>
    </row>
    <row r="3200" spans="1:23" x14ac:dyDescent="0.2">
      <c r="A3200" s="1">
        <v>44792</v>
      </c>
      <c r="B3200" s="2">
        <v>0.33730324074074081</v>
      </c>
      <c r="C3200">
        <v>4198</v>
      </c>
      <c r="D3200">
        <v>13002561</v>
      </c>
      <c r="E3200">
        <v>13</v>
      </c>
      <c r="F3200">
        <v>22589</v>
      </c>
      <c r="G3200" t="s">
        <v>23</v>
      </c>
      <c r="H3200">
        <v>15</v>
      </c>
      <c r="I3200">
        <v>67513</v>
      </c>
      <c r="J3200" t="s">
        <v>91</v>
      </c>
      <c r="K3200" t="s">
        <v>38</v>
      </c>
      <c r="L3200" t="s">
        <v>39</v>
      </c>
      <c r="M3200">
        <v>3</v>
      </c>
      <c r="N3200">
        <v>358.94</v>
      </c>
      <c r="O3200">
        <v>548.07000000000005</v>
      </c>
      <c r="P3200">
        <v>27.4</v>
      </c>
      <c r="Q3200">
        <v>27.4</v>
      </c>
      <c r="R3200" t="s">
        <v>30</v>
      </c>
      <c r="S3200">
        <v>29</v>
      </c>
      <c r="T3200">
        <v>1</v>
      </c>
      <c r="U3200">
        <v>5</v>
      </c>
      <c r="V3200">
        <v>520.66999999999996</v>
      </c>
      <c r="W3200">
        <v>13130003198</v>
      </c>
    </row>
    <row r="3201" spans="1:23" x14ac:dyDescent="0.2">
      <c r="A3201" s="1">
        <v>44798</v>
      </c>
      <c r="B3201" s="2">
        <v>0.63145833333333334</v>
      </c>
      <c r="C3201">
        <v>4199</v>
      </c>
      <c r="D3201">
        <v>13002561</v>
      </c>
      <c r="E3201">
        <v>13</v>
      </c>
      <c r="F3201">
        <v>22589</v>
      </c>
      <c r="G3201" t="s">
        <v>23</v>
      </c>
      <c r="H3201">
        <v>18</v>
      </c>
      <c r="I3201">
        <v>34528</v>
      </c>
      <c r="J3201" t="s">
        <v>93</v>
      </c>
      <c r="K3201" t="s">
        <v>44</v>
      </c>
      <c r="L3201" t="s">
        <v>32</v>
      </c>
      <c r="M3201">
        <v>3</v>
      </c>
      <c r="N3201">
        <v>575.91</v>
      </c>
      <c r="O3201">
        <v>810.37</v>
      </c>
      <c r="P3201">
        <v>81.040000000000006</v>
      </c>
      <c r="Q3201">
        <v>81.040000000000006</v>
      </c>
      <c r="R3201" t="s">
        <v>30</v>
      </c>
      <c r="S3201">
        <v>29</v>
      </c>
      <c r="T3201">
        <v>1</v>
      </c>
      <c r="U3201">
        <v>6</v>
      </c>
      <c r="V3201">
        <v>729.33</v>
      </c>
      <c r="W3201">
        <v>13130003199</v>
      </c>
    </row>
    <row r="3202" spans="1:23" x14ac:dyDescent="0.2">
      <c r="A3202" s="1">
        <v>44776</v>
      </c>
      <c r="B3202" s="2">
        <v>0.93568287037037035</v>
      </c>
      <c r="C3202">
        <v>4200</v>
      </c>
      <c r="D3202">
        <v>13002561</v>
      </c>
      <c r="E3202">
        <v>13</v>
      </c>
      <c r="F3202">
        <v>22589</v>
      </c>
      <c r="G3202" t="s">
        <v>23</v>
      </c>
      <c r="H3202">
        <v>15</v>
      </c>
      <c r="I3202">
        <v>86969</v>
      </c>
      <c r="J3202" t="s">
        <v>46</v>
      </c>
      <c r="K3202" t="s">
        <v>25</v>
      </c>
      <c r="L3202" t="s">
        <v>39</v>
      </c>
      <c r="M3202">
        <v>3</v>
      </c>
      <c r="N3202">
        <v>564.33000000000004</v>
      </c>
      <c r="O3202">
        <v>750.73</v>
      </c>
      <c r="P3202">
        <v>75.069999999999993</v>
      </c>
      <c r="Q3202">
        <v>75.069999999999993</v>
      </c>
      <c r="R3202" t="s">
        <v>30</v>
      </c>
      <c r="S3202">
        <v>29</v>
      </c>
      <c r="T3202">
        <v>1</v>
      </c>
      <c r="U3202">
        <v>3</v>
      </c>
      <c r="V3202">
        <v>675.66</v>
      </c>
      <c r="W3202">
        <v>13130003200</v>
      </c>
    </row>
    <row r="3203" spans="1:23" x14ac:dyDescent="0.2">
      <c r="A3203" s="1">
        <v>44790</v>
      </c>
      <c r="B3203" s="2">
        <v>0.55004629629629631</v>
      </c>
      <c r="C3203">
        <v>4201</v>
      </c>
      <c r="D3203">
        <v>13002561</v>
      </c>
      <c r="E3203">
        <v>13</v>
      </c>
      <c r="F3203">
        <v>22589</v>
      </c>
      <c r="G3203" t="s">
        <v>23</v>
      </c>
      <c r="H3203">
        <v>18</v>
      </c>
      <c r="I3203">
        <v>37448</v>
      </c>
      <c r="J3203" t="s">
        <v>42</v>
      </c>
      <c r="K3203" t="s">
        <v>60</v>
      </c>
      <c r="L3203" t="s">
        <v>47</v>
      </c>
      <c r="M3203">
        <v>1</v>
      </c>
      <c r="N3203">
        <v>562.72</v>
      </c>
      <c r="O3203">
        <v>821.26</v>
      </c>
      <c r="P3203">
        <v>0</v>
      </c>
      <c r="Q3203">
        <v>0</v>
      </c>
      <c r="S3203">
        <v>29</v>
      </c>
      <c r="T3203">
        <v>1</v>
      </c>
      <c r="U3203">
        <v>1</v>
      </c>
      <c r="V3203">
        <v>821.26</v>
      </c>
      <c r="W3203">
        <v>13130003201</v>
      </c>
    </row>
    <row r="3204" spans="1:23" x14ac:dyDescent="0.2">
      <c r="A3204" s="1">
        <v>44804</v>
      </c>
      <c r="B3204" s="2">
        <v>0.71434027777777775</v>
      </c>
      <c r="C3204">
        <v>4202</v>
      </c>
      <c r="D3204">
        <v>13002561</v>
      </c>
      <c r="E3204">
        <v>13</v>
      </c>
      <c r="F3204">
        <v>22589</v>
      </c>
      <c r="G3204" t="s">
        <v>23</v>
      </c>
      <c r="H3204">
        <v>18</v>
      </c>
      <c r="I3204">
        <v>72093</v>
      </c>
      <c r="J3204" t="s">
        <v>24</v>
      </c>
      <c r="K3204" t="s">
        <v>38</v>
      </c>
      <c r="L3204" t="s">
        <v>36</v>
      </c>
      <c r="M3204">
        <v>2</v>
      </c>
      <c r="N3204">
        <v>421.29</v>
      </c>
      <c r="O3204">
        <v>682.7</v>
      </c>
      <c r="P3204">
        <v>0</v>
      </c>
      <c r="Q3204">
        <v>0</v>
      </c>
      <c r="S3204">
        <v>29</v>
      </c>
      <c r="T3204">
        <v>1</v>
      </c>
      <c r="U3204">
        <v>2</v>
      </c>
      <c r="V3204">
        <v>682.7</v>
      </c>
      <c r="W3204">
        <v>13130003202</v>
      </c>
    </row>
    <row r="3205" spans="1:23" x14ac:dyDescent="0.2">
      <c r="A3205" s="1">
        <v>44787</v>
      </c>
      <c r="B3205" s="2">
        <v>0.52394675925925926</v>
      </c>
      <c r="C3205">
        <v>4203</v>
      </c>
      <c r="D3205">
        <v>13002561</v>
      </c>
      <c r="E3205">
        <v>13</v>
      </c>
      <c r="F3205">
        <v>22589</v>
      </c>
      <c r="G3205" t="s">
        <v>23</v>
      </c>
      <c r="H3205">
        <v>18</v>
      </c>
      <c r="I3205">
        <v>92048</v>
      </c>
      <c r="J3205" t="s">
        <v>91</v>
      </c>
      <c r="K3205" t="s">
        <v>44</v>
      </c>
      <c r="L3205" t="s">
        <v>36</v>
      </c>
      <c r="M3205">
        <v>3</v>
      </c>
      <c r="N3205">
        <v>180.24</v>
      </c>
      <c r="O3205">
        <v>240.77</v>
      </c>
      <c r="P3205">
        <v>0</v>
      </c>
      <c r="Q3205">
        <v>0</v>
      </c>
      <c r="S3205">
        <v>29</v>
      </c>
      <c r="T3205">
        <v>1</v>
      </c>
      <c r="U3205">
        <v>2</v>
      </c>
      <c r="V3205">
        <v>240.77</v>
      </c>
      <c r="W3205">
        <v>13130003203</v>
      </c>
    </row>
    <row r="3206" spans="1:23" x14ac:dyDescent="0.2">
      <c r="A3206" s="1">
        <v>44789</v>
      </c>
      <c r="B3206" s="2">
        <v>0.92641203703703701</v>
      </c>
      <c r="C3206">
        <v>4204</v>
      </c>
      <c r="D3206">
        <v>13002561</v>
      </c>
      <c r="E3206">
        <v>13</v>
      </c>
      <c r="F3206">
        <v>22589</v>
      </c>
      <c r="G3206" t="s">
        <v>23</v>
      </c>
      <c r="H3206">
        <v>18</v>
      </c>
      <c r="I3206">
        <v>63462</v>
      </c>
      <c r="J3206" t="s">
        <v>100</v>
      </c>
      <c r="K3206" t="s">
        <v>28</v>
      </c>
      <c r="L3206" t="s">
        <v>34</v>
      </c>
      <c r="M3206">
        <v>3</v>
      </c>
      <c r="N3206">
        <v>348.42</v>
      </c>
      <c r="O3206">
        <v>561.96</v>
      </c>
      <c r="P3206">
        <v>56.2</v>
      </c>
      <c r="Q3206">
        <v>56.2</v>
      </c>
      <c r="R3206" t="s">
        <v>30</v>
      </c>
      <c r="S3206">
        <v>29</v>
      </c>
      <c r="T3206">
        <v>1</v>
      </c>
      <c r="U3206">
        <v>1</v>
      </c>
      <c r="V3206">
        <v>505.76</v>
      </c>
      <c r="W3206">
        <v>13130003204</v>
      </c>
    </row>
    <row r="3207" spans="1:23" x14ac:dyDescent="0.2">
      <c r="A3207" s="1">
        <v>44801</v>
      </c>
      <c r="B3207" s="2">
        <v>0.72130787037037036</v>
      </c>
      <c r="C3207">
        <v>4205</v>
      </c>
      <c r="D3207">
        <v>13002561</v>
      </c>
      <c r="E3207">
        <v>13</v>
      </c>
      <c r="F3207">
        <v>22589</v>
      </c>
      <c r="G3207" t="s">
        <v>23</v>
      </c>
      <c r="H3207">
        <v>15</v>
      </c>
      <c r="I3207">
        <v>82522</v>
      </c>
      <c r="J3207" t="s">
        <v>63</v>
      </c>
      <c r="K3207" t="s">
        <v>60</v>
      </c>
      <c r="L3207" t="s">
        <v>47</v>
      </c>
      <c r="M3207">
        <v>3</v>
      </c>
      <c r="N3207">
        <v>260.22000000000003</v>
      </c>
      <c r="O3207">
        <v>404.07</v>
      </c>
      <c r="P3207">
        <v>0</v>
      </c>
      <c r="Q3207">
        <v>0</v>
      </c>
      <c r="S3207">
        <v>29</v>
      </c>
      <c r="T3207">
        <v>1</v>
      </c>
      <c r="U3207">
        <v>2</v>
      </c>
      <c r="V3207">
        <v>404.07</v>
      </c>
      <c r="W3207">
        <v>13130003205</v>
      </c>
    </row>
    <row r="3208" spans="1:23" x14ac:dyDescent="0.2">
      <c r="A3208" s="1">
        <v>44782</v>
      </c>
      <c r="B3208" s="2">
        <v>0.33649305555555548</v>
      </c>
      <c r="C3208">
        <v>4206</v>
      </c>
      <c r="D3208">
        <v>13002561</v>
      </c>
      <c r="E3208">
        <v>13</v>
      </c>
      <c r="F3208">
        <v>22589</v>
      </c>
      <c r="G3208" t="s">
        <v>23</v>
      </c>
      <c r="H3208">
        <v>18</v>
      </c>
      <c r="I3208">
        <v>46241</v>
      </c>
      <c r="J3208" t="s">
        <v>33</v>
      </c>
      <c r="K3208" t="s">
        <v>45</v>
      </c>
      <c r="L3208" t="s">
        <v>26</v>
      </c>
      <c r="M3208">
        <v>3</v>
      </c>
      <c r="N3208">
        <v>6.68</v>
      </c>
      <c r="O3208">
        <v>9.1300000000000008</v>
      </c>
      <c r="P3208">
        <v>0.46</v>
      </c>
      <c r="Q3208">
        <v>0.46</v>
      </c>
      <c r="R3208" t="s">
        <v>30</v>
      </c>
      <c r="S3208">
        <v>29</v>
      </c>
      <c r="T3208">
        <v>1</v>
      </c>
      <c r="U3208">
        <v>1</v>
      </c>
      <c r="V3208">
        <v>8.67</v>
      </c>
      <c r="W3208">
        <v>13130003206</v>
      </c>
    </row>
    <row r="3209" spans="1:23" x14ac:dyDescent="0.2">
      <c r="A3209" s="1">
        <v>44800</v>
      </c>
      <c r="B3209" s="2">
        <v>0.59843749999999996</v>
      </c>
      <c r="C3209">
        <v>4207</v>
      </c>
      <c r="D3209">
        <v>13002561</v>
      </c>
      <c r="E3209">
        <v>13</v>
      </c>
      <c r="F3209">
        <v>22589</v>
      </c>
      <c r="G3209" t="s">
        <v>23</v>
      </c>
      <c r="H3209">
        <v>15</v>
      </c>
      <c r="I3209">
        <v>22469</v>
      </c>
      <c r="J3209" t="s">
        <v>88</v>
      </c>
      <c r="K3209" t="s">
        <v>25</v>
      </c>
      <c r="L3209" t="s">
        <v>26</v>
      </c>
      <c r="M3209">
        <v>2</v>
      </c>
      <c r="N3209">
        <v>132.88999999999999</v>
      </c>
      <c r="O3209">
        <v>212.55</v>
      </c>
      <c r="P3209">
        <v>0</v>
      </c>
      <c r="Q3209">
        <v>0</v>
      </c>
      <c r="S3209">
        <v>29</v>
      </c>
      <c r="T3209">
        <v>1</v>
      </c>
      <c r="U3209">
        <v>2</v>
      </c>
      <c r="V3209">
        <v>212.55</v>
      </c>
      <c r="W3209">
        <v>13130003207</v>
      </c>
    </row>
    <row r="3210" spans="1:23" x14ac:dyDescent="0.2">
      <c r="A3210" s="1">
        <v>44804</v>
      </c>
      <c r="B3210" s="2">
        <v>0.51670138888888884</v>
      </c>
      <c r="C3210">
        <v>4208</v>
      </c>
      <c r="D3210">
        <v>13002561</v>
      </c>
      <c r="E3210">
        <v>13</v>
      </c>
      <c r="F3210">
        <v>22589</v>
      </c>
      <c r="G3210" t="s">
        <v>23</v>
      </c>
      <c r="H3210">
        <v>18</v>
      </c>
      <c r="I3210">
        <v>78842</v>
      </c>
      <c r="J3210" t="s">
        <v>124</v>
      </c>
      <c r="K3210" t="s">
        <v>38</v>
      </c>
      <c r="L3210" t="s">
        <v>29</v>
      </c>
      <c r="M3210">
        <v>3</v>
      </c>
      <c r="N3210">
        <v>128.71</v>
      </c>
      <c r="O3210">
        <v>200.08</v>
      </c>
      <c r="P3210">
        <v>10</v>
      </c>
      <c r="Q3210">
        <v>10</v>
      </c>
      <c r="R3210" t="s">
        <v>30</v>
      </c>
      <c r="S3210">
        <v>29</v>
      </c>
      <c r="T3210">
        <v>1</v>
      </c>
      <c r="U3210">
        <v>2</v>
      </c>
      <c r="V3210">
        <v>190.08</v>
      </c>
      <c r="W3210">
        <v>13130003208</v>
      </c>
    </row>
    <row r="3211" spans="1:23" x14ac:dyDescent="0.2">
      <c r="A3211" s="1">
        <v>44797</v>
      </c>
      <c r="B3211" s="2">
        <v>0.48</v>
      </c>
      <c r="C3211">
        <v>4209</v>
      </c>
      <c r="D3211">
        <v>13002561</v>
      </c>
      <c r="E3211">
        <v>13</v>
      </c>
      <c r="F3211">
        <v>22589</v>
      </c>
      <c r="G3211" t="s">
        <v>23</v>
      </c>
      <c r="H3211">
        <v>18</v>
      </c>
      <c r="I3211">
        <v>54487</v>
      </c>
      <c r="J3211" t="s">
        <v>66</v>
      </c>
      <c r="K3211" t="s">
        <v>28</v>
      </c>
      <c r="L3211" t="s">
        <v>47</v>
      </c>
      <c r="M3211">
        <v>1</v>
      </c>
      <c r="N3211">
        <v>492.64</v>
      </c>
      <c r="O3211">
        <v>790.68</v>
      </c>
      <c r="P3211">
        <v>0</v>
      </c>
      <c r="Q3211">
        <v>0</v>
      </c>
      <c r="S3211">
        <v>29</v>
      </c>
      <c r="T3211">
        <v>1</v>
      </c>
      <c r="U3211">
        <v>2</v>
      </c>
      <c r="V3211">
        <v>790.68</v>
      </c>
      <c r="W3211">
        <v>13130003209</v>
      </c>
    </row>
    <row r="3212" spans="1:23" x14ac:dyDescent="0.2">
      <c r="A3212" s="1">
        <v>44794</v>
      </c>
      <c r="B3212" s="2">
        <v>0.6403240740740741</v>
      </c>
      <c r="C3212">
        <v>4210</v>
      </c>
      <c r="D3212">
        <v>13002561</v>
      </c>
      <c r="E3212">
        <v>13</v>
      </c>
      <c r="F3212">
        <v>22589</v>
      </c>
      <c r="G3212" t="s">
        <v>23</v>
      </c>
      <c r="H3212">
        <v>18</v>
      </c>
      <c r="I3212">
        <v>16873</v>
      </c>
      <c r="J3212" t="s">
        <v>70</v>
      </c>
      <c r="K3212" t="s">
        <v>25</v>
      </c>
      <c r="L3212" t="s">
        <v>29</v>
      </c>
      <c r="M3212">
        <v>2</v>
      </c>
      <c r="N3212">
        <v>527.28</v>
      </c>
      <c r="O3212">
        <v>673.49</v>
      </c>
      <c r="P3212">
        <v>33.67</v>
      </c>
      <c r="Q3212">
        <v>33.67</v>
      </c>
      <c r="R3212" t="s">
        <v>30</v>
      </c>
      <c r="S3212">
        <v>29</v>
      </c>
      <c r="T3212">
        <v>1</v>
      </c>
      <c r="U3212">
        <v>4</v>
      </c>
      <c r="V3212">
        <v>639.82000000000005</v>
      </c>
      <c r="W3212">
        <v>13130003210</v>
      </c>
    </row>
    <row r="3213" spans="1:23" x14ac:dyDescent="0.2">
      <c r="A3213" s="1">
        <v>44795</v>
      </c>
      <c r="B3213" s="2">
        <v>0.90844907407407405</v>
      </c>
      <c r="C3213">
        <v>4211</v>
      </c>
      <c r="D3213">
        <v>13002561</v>
      </c>
      <c r="E3213">
        <v>13</v>
      </c>
      <c r="F3213">
        <v>22589</v>
      </c>
      <c r="G3213" t="s">
        <v>23</v>
      </c>
      <c r="H3213">
        <v>18</v>
      </c>
      <c r="I3213">
        <v>29834</v>
      </c>
      <c r="J3213" t="s">
        <v>87</v>
      </c>
      <c r="K3213" t="s">
        <v>28</v>
      </c>
      <c r="L3213" t="s">
        <v>39</v>
      </c>
      <c r="M3213">
        <v>2</v>
      </c>
      <c r="N3213">
        <v>256.08</v>
      </c>
      <c r="O3213">
        <v>342.96</v>
      </c>
      <c r="P3213">
        <v>34.299999999999997</v>
      </c>
      <c r="Q3213">
        <v>34.299999999999997</v>
      </c>
      <c r="R3213" t="s">
        <v>30</v>
      </c>
      <c r="S3213">
        <v>29</v>
      </c>
      <c r="T3213">
        <v>1</v>
      </c>
      <c r="U3213">
        <v>4</v>
      </c>
      <c r="V3213">
        <v>308.66000000000003</v>
      </c>
      <c r="W3213">
        <v>13130003211</v>
      </c>
    </row>
    <row r="3214" spans="1:23" x14ac:dyDescent="0.2">
      <c r="A3214" s="1">
        <v>44779</v>
      </c>
      <c r="B3214" s="2">
        <v>0.61797453703703709</v>
      </c>
      <c r="C3214">
        <v>4212</v>
      </c>
      <c r="D3214">
        <v>13002561</v>
      </c>
      <c r="E3214">
        <v>13</v>
      </c>
      <c r="F3214">
        <v>22589</v>
      </c>
      <c r="G3214" t="s">
        <v>23</v>
      </c>
      <c r="H3214">
        <v>15</v>
      </c>
      <c r="I3214">
        <v>15332</v>
      </c>
      <c r="J3214" t="s">
        <v>40</v>
      </c>
      <c r="K3214" t="s">
        <v>38</v>
      </c>
      <c r="L3214" t="s">
        <v>29</v>
      </c>
      <c r="M3214">
        <v>3</v>
      </c>
      <c r="N3214">
        <v>532.87</v>
      </c>
      <c r="O3214">
        <v>843.46</v>
      </c>
      <c r="P3214">
        <v>0</v>
      </c>
      <c r="Q3214">
        <v>0</v>
      </c>
      <c r="S3214">
        <v>29</v>
      </c>
      <c r="T3214">
        <v>1</v>
      </c>
      <c r="U3214">
        <v>6</v>
      </c>
      <c r="V3214">
        <v>843.46</v>
      </c>
      <c r="W3214">
        <v>13130003212</v>
      </c>
    </row>
    <row r="3215" spans="1:23" x14ac:dyDescent="0.2">
      <c r="A3215" s="1">
        <v>44788</v>
      </c>
      <c r="B3215" s="2">
        <v>0.7247569444444445</v>
      </c>
      <c r="C3215">
        <v>4213</v>
      </c>
      <c r="D3215">
        <v>13002561</v>
      </c>
      <c r="E3215">
        <v>13</v>
      </c>
      <c r="F3215">
        <v>22589</v>
      </c>
      <c r="G3215" t="s">
        <v>23</v>
      </c>
      <c r="H3215">
        <v>18</v>
      </c>
      <c r="I3215">
        <v>34052</v>
      </c>
      <c r="J3215" t="s">
        <v>85</v>
      </c>
      <c r="K3215" t="s">
        <v>45</v>
      </c>
      <c r="L3215" t="s">
        <v>26</v>
      </c>
      <c r="M3215">
        <v>1</v>
      </c>
      <c r="N3215">
        <v>142.72999999999999</v>
      </c>
      <c r="O3215">
        <v>225.81</v>
      </c>
      <c r="P3215">
        <v>11.29</v>
      </c>
      <c r="Q3215">
        <v>11.29</v>
      </c>
      <c r="R3215" t="s">
        <v>30</v>
      </c>
      <c r="S3215">
        <v>29</v>
      </c>
      <c r="T3215">
        <v>1</v>
      </c>
      <c r="U3215">
        <v>4</v>
      </c>
      <c r="V3215">
        <v>214.52</v>
      </c>
      <c r="W3215">
        <v>13130003213</v>
      </c>
    </row>
    <row r="3216" spans="1:23" x14ac:dyDescent="0.2">
      <c r="A3216" s="1">
        <v>44777</v>
      </c>
      <c r="B3216" s="2">
        <v>0.60457175925925921</v>
      </c>
      <c r="C3216">
        <v>4214</v>
      </c>
      <c r="D3216">
        <v>13002561</v>
      </c>
      <c r="E3216">
        <v>13</v>
      </c>
      <c r="F3216">
        <v>22589</v>
      </c>
      <c r="G3216" t="s">
        <v>23</v>
      </c>
      <c r="H3216">
        <v>18</v>
      </c>
      <c r="I3216">
        <v>44164</v>
      </c>
      <c r="J3216" t="s">
        <v>85</v>
      </c>
      <c r="K3216" t="s">
        <v>60</v>
      </c>
      <c r="L3216" t="s">
        <v>29</v>
      </c>
      <c r="M3216">
        <v>2</v>
      </c>
      <c r="N3216">
        <v>588.61</v>
      </c>
      <c r="O3216">
        <v>877.99</v>
      </c>
      <c r="P3216">
        <v>87.8</v>
      </c>
      <c r="Q3216">
        <v>87.8</v>
      </c>
      <c r="R3216" t="s">
        <v>30</v>
      </c>
      <c r="S3216">
        <v>29</v>
      </c>
      <c r="T3216">
        <v>1</v>
      </c>
      <c r="U3216">
        <v>1</v>
      </c>
      <c r="V3216">
        <v>790.19</v>
      </c>
      <c r="W3216">
        <v>13130003214</v>
      </c>
    </row>
    <row r="3217" spans="1:23" x14ac:dyDescent="0.2">
      <c r="A3217" s="1">
        <v>44782</v>
      </c>
      <c r="B3217" s="2">
        <v>0.70967592592592588</v>
      </c>
      <c r="C3217">
        <v>4215</v>
      </c>
      <c r="D3217">
        <v>13002561</v>
      </c>
      <c r="E3217">
        <v>13</v>
      </c>
      <c r="F3217">
        <v>22589</v>
      </c>
      <c r="G3217" t="s">
        <v>23</v>
      </c>
      <c r="H3217">
        <v>18</v>
      </c>
      <c r="I3217">
        <v>86176</v>
      </c>
      <c r="J3217" t="s">
        <v>91</v>
      </c>
      <c r="K3217" t="s">
        <v>44</v>
      </c>
      <c r="L3217" t="s">
        <v>39</v>
      </c>
      <c r="M3217">
        <v>2</v>
      </c>
      <c r="N3217">
        <v>342.34</v>
      </c>
      <c r="O3217">
        <v>481.01</v>
      </c>
      <c r="P3217">
        <v>24.05</v>
      </c>
      <c r="Q3217">
        <v>24.05</v>
      </c>
      <c r="R3217" t="s">
        <v>30</v>
      </c>
      <c r="S3217">
        <v>29</v>
      </c>
      <c r="T3217">
        <v>1</v>
      </c>
      <c r="U3217">
        <v>1</v>
      </c>
      <c r="V3217">
        <v>456.96</v>
      </c>
      <c r="W3217">
        <v>13130003215</v>
      </c>
    </row>
    <row r="3218" spans="1:23" x14ac:dyDescent="0.2">
      <c r="A3218" s="1">
        <v>44799</v>
      </c>
      <c r="B3218" s="2">
        <v>0.74655092592592598</v>
      </c>
      <c r="C3218">
        <v>4216</v>
      </c>
      <c r="D3218">
        <v>13002561</v>
      </c>
      <c r="E3218">
        <v>13</v>
      </c>
      <c r="F3218">
        <v>22589</v>
      </c>
      <c r="G3218" t="s">
        <v>23</v>
      </c>
      <c r="H3218">
        <v>18</v>
      </c>
      <c r="I3218">
        <v>83141</v>
      </c>
      <c r="J3218" t="s">
        <v>79</v>
      </c>
      <c r="K3218" t="s">
        <v>25</v>
      </c>
      <c r="L3218" t="s">
        <v>39</v>
      </c>
      <c r="M3218">
        <v>3</v>
      </c>
      <c r="N3218">
        <v>44.12</v>
      </c>
      <c r="O3218">
        <v>68.790000000000006</v>
      </c>
      <c r="P3218">
        <v>0</v>
      </c>
      <c r="Q3218">
        <v>0</v>
      </c>
      <c r="S3218">
        <v>29</v>
      </c>
      <c r="T3218">
        <v>1</v>
      </c>
      <c r="U3218">
        <v>1</v>
      </c>
      <c r="V3218">
        <v>68.790000000000006</v>
      </c>
      <c r="W3218">
        <v>13130003216</v>
      </c>
    </row>
    <row r="3219" spans="1:23" x14ac:dyDescent="0.2">
      <c r="A3219" s="1">
        <v>44792</v>
      </c>
      <c r="B3219" s="2">
        <v>0.78855324074074074</v>
      </c>
      <c r="C3219">
        <v>4217</v>
      </c>
      <c r="D3219">
        <v>13002561</v>
      </c>
      <c r="E3219">
        <v>13</v>
      </c>
      <c r="F3219">
        <v>22589</v>
      </c>
      <c r="G3219" t="s">
        <v>23</v>
      </c>
      <c r="H3219">
        <v>18</v>
      </c>
      <c r="I3219">
        <v>45465</v>
      </c>
      <c r="J3219" t="s">
        <v>119</v>
      </c>
      <c r="K3219" t="s">
        <v>38</v>
      </c>
      <c r="L3219" t="s">
        <v>34</v>
      </c>
      <c r="M3219">
        <v>3</v>
      </c>
      <c r="N3219">
        <v>301.07</v>
      </c>
      <c r="O3219">
        <v>404.06</v>
      </c>
      <c r="P3219">
        <v>40.409999999999997</v>
      </c>
      <c r="Q3219">
        <v>40.409999999999997</v>
      </c>
      <c r="R3219" t="s">
        <v>30</v>
      </c>
      <c r="S3219">
        <v>29</v>
      </c>
      <c r="T3219">
        <v>1</v>
      </c>
      <c r="U3219">
        <v>6</v>
      </c>
      <c r="V3219">
        <v>363.65</v>
      </c>
      <c r="W3219">
        <v>13130003217</v>
      </c>
    </row>
    <row r="3220" spans="1:23" x14ac:dyDescent="0.2">
      <c r="A3220" s="1">
        <v>44804</v>
      </c>
      <c r="B3220" s="2">
        <v>0.91817129629629635</v>
      </c>
      <c r="C3220">
        <v>4218</v>
      </c>
      <c r="D3220">
        <v>13002561</v>
      </c>
      <c r="E3220">
        <v>13</v>
      </c>
      <c r="F3220">
        <v>22589</v>
      </c>
      <c r="G3220" t="s">
        <v>23</v>
      </c>
      <c r="H3220">
        <v>18</v>
      </c>
      <c r="I3220">
        <v>13632</v>
      </c>
      <c r="J3220" t="s">
        <v>111</v>
      </c>
      <c r="K3220" t="s">
        <v>60</v>
      </c>
      <c r="L3220" t="s">
        <v>32</v>
      </c>
      <c r="M3220">
        <v>1</v>
      </c>
      <c r="N3220">
        <v>299.39</v>
      </c>
      <c r="O3220">
        <v>437.3</v>
      </c>
      <c r="P3220">
        <v>0</v>
      </c>
      <c r="Q3220">
        <v>0</v>
      </c>
      <c r="S3220">
        <v>29</v>
      </c>
      <c r="T3220">
        <v>1</v>
      </c>
      <c r="U3220">
        <v>3</v>
      </c>
      <c r="V3220">
        <v>437.3</v>
      </c>
      <c r="W3220">
        <v>13130003218</v>
      </c>
    </row>
    <row r="3221" spans="1:23" x14ac:dyDescent="0.2">
      <c r="A3221" s="1">
        <v>44787</v>
      </c>
      <c r="B3221" s="2">
        <v>0.88700231481481484</v>
      </c>
      <c r="C3221">
        <v>4219</v>
      </c>
      <c r="D3221">
        <v>13002561</v>
      </c>
      <c r="E3221">
        <v>13</v>
      </c>
      <c r="F3221">
        <v>22589</v>
      </c>
      <c r="G3221" t="s">
        <v>23</v>
      </c>
      <c r="H3221">
        <v>18</v>
      </c>
      <c r="I3221">
        <v>58153</v>
      </c>
      <c r="J3221" t="s">
        <v>27</v>
      </c>
      <c r="K3221" t="s">
        <v>45</v>
      </c>
      <c r="L3221" t="s">
        <v>26</v>
      </c>
      <c r="M3221">
        <v>1</v>
      </c>
      <c r="N3221">
        <v>95.21</v>
      </c>
      <c r="O3221">
        <v>153.82</v>
      </c>
      <c r="P3221">
        <v>15.38</v>
      </c>
      <c r="Q3221">
        <v>15.38</v>
      </c>
      <c r="R3221" t="s">
        <v>30</v>
      </c>
      <c r="S3221">
        <v>29</v>
      </c>
      <c r="T3221">
        <v>1</v>
      </c>
      <c r="U3221">
        <v>3</v>
      </c>
      <c r="V3221">
        <v>138.44</v>
      </c>
      <c r="W3221">
        <v>13130003219</v>
      </c>
    </row>
    <row r="3222" spans="1:23" x14ac:dyDescent="0.2">
      <c r="A3222" s="1">
        <v>44779</v>
      </c>
      <c r="B3222" s="2">
        <v>0.59263888888888894</v>
      </c>
      <c r="C3222">
        <v>4220</v>
      </c>
      <c r="D3222">
        <v>13002561</v>
      </c>
      <c r="E3222">
        <v>13</v>
      </c>
      <c r="F3222">
        <v>22589</v>
      </c>
      <c r="G3222" t="s">
        <v>23</v>
      </c>
      <c r="H3222">
        <v>15</v>
      </c>
      <c r="I3222">
        <v>90987</v>
      </c>
      <c r="J3222" t="s">
        <v>55</v>
      </c>
      <c r="K3222" t="s">
        <v>38</v>
      </c>
      <c r="L3222" t="s">
        <v>26</v>
      </c>
      <c r="M3222">
        <v>2</v>
      </c>
      <c r="N3222">
        <v>119.21</v>
      </c>
      <c r="O3222">
        <v>168.96</v>
      </c>
      <c r="P3222">
        <v>8.4499999999999993</v>
      </c>
      <c r="Q3222">
        <v>8.4499999999999993</v>
      </c>
      <c r="R3222" t="s">
        <v>30</v>
      </c>
      <c r="S3222">
        <v>29</v>
      </c>
      <c r="T3222">
        <v>1</v>
      </c>
      <c r="U3222">
        <v>2</v>
      </c>
      <c r="V3222">
        <v>160.51</v>
      </c>
      <c r="W3222">
        <v>13130003220</v>
      </c>
    </row>
    <row r="3223" spans="1:23" x14ac:dyDescent="0.2">
      <c r="A3223" s="1">
        <v>44801</v>
      </c>
      <c r="B3223" s="2">
        <v>0.94062500000000004</v>
      </c>
      <c r="C3223">
        <v>4221</v>
      </c>
      <c r="D3223">
        <v>13002561</v>
      </c>
      <c r="E3223">
        <v>13</v>
      </c>
      <c r="F3223">
        <v>22589</v>
      </c>
      <c r="G3223" t="s">
        <v>23</v>
      </c>
      <c r="H3223">
        <v>18</v>
      </c>
      <c r="I3223">
        <v>67651</v>
      </c>
      <c r="J3223" t="s">
        <v>53</v>
      </c>
      <c r="K3223" t="s">
        <v>28</v>
      </c>
      <c r="L3223" t="s">
        <v>36</v>
      </c>
      <c r="M3223">
        <v>1</v>
      </c>
      <c r="N3223">
        <v>543.79999999999995</v>
      </c>
      <c r="O3223">
        <v>883.01</v>
      </c>
      <c r="P3223">
        <v>44.15</v>
      </c>
      <c r="Q3223">
        <v>44.15</v>
      </c>
      <c r="R3223" t="s">
        <v>30</v>
      </c>
      <c r="S3223">
        <v>29</v>
      </c>
      <c r="T3223">
        <v>1</v>
      </c>
      <c r="U3223">
        <v>6</v>
      </c>
      <c r="V3223">
        <v>838.86</v>
      </c>
      <c r="W3223">
        <v>13130003221</v>
      </c>
    </row>
    <row r="3224" spans="1:23" x14ac:dyDescent="0.2">
      <c r="A3224" s="1">
        <v>44783</v>
      </c>
      <c r="B3224" s="2">
        <v>0.69981481481481478</v>
      </c>
      <c r="C3224">
        <v>4222</v>
      </c>
      <c r="D3224">
        <v>13002561</v>
      </c>
      <c r="E3224">
        <v>13</v>
      </c>
      <c r="F3224">
        <v>22589</v>
      </c>
      <c r="G3224" t="s">
        <v>23</v>
      </c>
      <c r="H3224">
        <v>18</v>
      </c>
      <c r="I3224">
        <v>75022</v>
      </c>
      <c r="J3224" t="s">
        <v>120</v>
      </c>
      <c r="K3224" t="s">
        <v>60</v>
      </c>
      <c r="L3224" t="s">
        <v>32</v>
      </c>
      <c r="M3224">
        <v>1</v>
      </c>
      <c r="N3224">
        <v>344.13</v>
      </c>
      <c r="O3224">
        <v>495.96</v>
      </c>
      <c r="P3224">
        <v>0</v>
      </c>
      <c r="Q3224">
        <v>0</v>
      </c>
      <c r="S3224">
        <v>29</v>
      </c>
      <c r="T3224">
        <v>1</v>
      </c>
      <c r="U3224">
        <v>6</v>
      </c>
      <c r="V3224">
        <v>495.96</v>
      </c>
      <c r="W3224">
        <v>13130003222</v>
      </c>
    </row>
    <row r="3225" spans="1:23" x14ac:dyDescent="0.2">
      <c r="A3225" s="1">
        <v>44776</v>
      </c>
      <c r="B3225" s="2">
        <v>0.70993055555555551</v>
      </c>
      <c r="C3225">
        <v>4223</v>
      </c>
      <c r="D3225">
        <v>13002561</v>
      </c>
      <c r="E3225">
        <v>13</v>
      </c>
      <c r="F3225">
        <v>22589</v>
      </c>
      <c r="G3225" t="s">
        <v>23</v>
      </c>
      <c r="H3225">
        <v>18</v>
      </c>
      <c r="I3225">
        <v>44730</v>
      </c>
      <c r="J3225" t="s">
        <v>31</v>
      </c>
      <c r="K3225" t="s">
        <v>25</v>
      </c>
      <c r="L3225" t="s">
        <v>34</v>
      </c>
      <c r="M3225">
        <v>1</v>
      </c>
      <c r="N3225">
        <v>596.35</v>
      </c>
      <c r="O3225">
        <v>880.56</v>
      </c>
      <c r="P3225">
        <v>0</v>
      </c>
      <c r="Q3225">
        <v>0</v>
      </c>
      <c r="S3225">
        <v>29</v>
      </c>
      <c r="T3225">
        <v>1</v>
      </c>
      <c r="U3225">
        <v>4</v>
      </c>
      <c r="V3225">
        <v>880.56</v>
      </c>
      <c r="W3225">
        <v>13130003223</v>
      </c>
    </row>
    <row r="3226" spans="1:23" x14ac:dyDescent="0.2">
      <c r="A3226" s="1">
        <v>44792</v>
      </c>
      <c r="B3226" s="2">
        <v>0.66471064814814818</v>
      </c>
      <c r="C3226">
        <v>4224</v>
      </c>
      <c r="D3226">
        <v>13002561</v>
      </c>
      <c r="E3226">
        <v>13</v>
      </c>
      <c r="F3226">
        <v>22589</v>
      </c>
      <c r="G3226" t="s">
        <v>23</v>
      </c>
      <c r="H3226">
        <v>18</v>
      </c>
      <c r="I3226">
        <v>38032</v>
      </c>
      <c r="J3226" t="s">
        <v>43</v>
      </c>
      <c r="K3226" t="s">
        <v>28</v>
      </c>
      <c r="L3226" t="s">
        <v>26</v>
      </c>
      <c r="M3226">
        <v>2</v>
      </c>
      <c r="N3226">
        <v>351.33</v>
      </c>
      <c r="O3226">
        <v>526.03</v>
      </c>
      <c r="P3226">
        <v>26.3</v>
      </c>
      <c r="Q3226">
        <v>26.3</v>
      </c>
      <c r="R3226" t="s">
        <v>30</v>
      </c>
      <c r="S3226">
        <v>29</v>
      </c>
      <c r="T3226">
        <v>1</v>
      </c>
      <c r="U3226">
        <v>2</v>
      </c>
      <c r="V3226">
        <v>499.73</v>
      </c>
      <c r="W3226">
        <v>13130003224</v>
      </c>
    </row>
    <row r="3227" spans="1:23" x14ac:dyDescent="0.2">
      <c r="A3227" s="1">
        <v>44778</v>
      </c>
      <c r="B3227" s="2">
        <v>0.68374999999999997</v>
      </c>
      <c r="C3227">
        <v>4225</v>
      </c>
      <c r="D3227">
        <v>13002561</v>
      </c>
      <c r="E3227">
        <v>13</v>
      </c>
      <c r="F3227">
        <v>22589</v>
      </c>
      <c r="G3227" t="s">
        <v>23</v>
      </c>
      <c r="H3227">
        <v>15</v>
      </c>
      <c r="I3227">
        <v>26627</v>
      </c>
      <c r="J3227" t="s">
        <v>126</v>
      </c>
      <c r="K3227" t="s">
        <v>44</v>
      </c>
      <c r="L3227" t="s">
        <v>32</v>
      </c>
      <c r="M3227">
        <v>1</v>
      </c>
      <c r="N3227">
        <v>318.52</v>
      </c>
      <c r="O3227">
        <v>537.16</v>
      </c>
      <c r="P3227">
        <v>0</v>
      </c>
      <c r="Q3227">
        <v>0</v>
      </c>
      <c r="S3227">
        <v>29</v>
      </c>
      <c r="T3227">
        <v>1</v>
      </c>
      <c r="U3227">
        <v>6</v>
      </c>
      <c r="V3227">
        <v>537.16</v>
      </c>
      <c r="W3227">
        <v>13130003225</v>
      </c>
    </row>
    <row r="3228" spans="1:23" x14ac:dyDescent="0.2">
      <c r="A3228" s="1">
        <v>44786</v>
      </c>
      <c r="B3228" s="2">
        <v>0.7661458333333333</v>
      </c>
      <c r="C3228">
        <v>4226</v>
      </c>
      <c r="D3228">
        <v>13002561</v>
      </c>
      <c r="E3228">
        <v>13</v>
      </c>
      <c r="F3228">
        <v>22589</v>
      </c>
      <c r="G3228" t="s">
        <v>23</v>
      </c>
      <c r="H3228">
        <v>18</v>
      </c>
      <c r="I3228">
        <v>55368</v>
      </c>
      <c r="J3228" t="s">
        <v>105</v>
      </c>
      <c r="K3228" t="s">
        <v>38</v>
      </c>
      <c r="L3228" t="s">
        <v>29</v>
      </c>
      <c r="M3228">
        <v>2</v>
      </c>
      <c r="N3228">
        <v>19.48</v>
      </c>
      <c r="O3228">
        <v>27.53</v>
      </c>
      <c r="P3228">
        <v>0</v>
      </c>
      <c r="Q3228">
        <v>0</v>
      </c>
      <c r="S3228">
        <v>29</v>
      </c>
      <c r="T3228">
        <v>1</v>
      </c>
      <c r="U3228">
        <v>6</v>
      </c>
      <c r="V3228">
        <v>27.53</v>
      </c>
      <c r="W3228">
        <v>13130003226</v>
      </c>
    </row>
    <row r="3229" spans="1:23" x14ac:dyDescent="0.2">
      <c r="A3229" s="1">
        <v>44778</v>
      </c>
      <c r="B3229" s="2">
        <v>0.85715277777777776</v>
      </c>
      <c r="C3229">
        <v>4227</v>
      </c>
      <c r="D3229">
        <v>13002561</v>
      </c>
      <c r="E3229">
        <v>13</v>
      </c>
      <c r="F3229">
        <v>22589</v>
      </c>
      <c r="G3229" t="s">
        <v>23</v>
      </c>
      <c r="H3229">
        <v>15</v>
      </c>
      <c r="I3229">
        <v>63048</v>
      </c>
      <c r="J3229" t="s">
        <v>121</v>
      </c>
      <c r="K3229" t="s">
        <v>45</v>
      </c>
      <c r="L3229" t="s">
        <v>32</v>
      </c>
      <c r="M3229">
        <v>1</v>
      </c>
      <c r="N3229">
        <v>152.26</v>
      </c>
      <c r="O3229">
        <v>206.84</v>
      </c>
      <c r="P3229">
        <v>10.34</v>
      </c>
      <c r="Q3229">
        <v>10.34</v>
      </c>
      <c r="R3229" t="s">
        <v>30</v>
      </c>
      <c r="S3229">
        <v>29</v>
      </c>
      <c r="T3229">
        <v>1</v>
      </c>
      <c r="U3229">
        <v>6</v>
      </c>
      <c r="V3229">
        <v>196.5</v>
      </c>
      <c r="W3229">
        <v>13130003227</v>
      </c>
    </row>
    <row r="3230" spans="1:23" x14ac:dyDescent="0.2">
      <c r="A3230" s="1">
        <v>44786</v>
      </c>
      <c r="B3230" s="2">
        <v>0.71856481481481482</v>
      </c>
      <c r="C3230">
        <v>4228</v>
      </c>
      <c r="D3230">
        <v>13002561</v>
      </c>
      <c r="E3230">
        <v>13</v>
      </c>
      <c r="F3230">
        <v>22589</v>
      </c>
      <c r="G3230" t="s">
        <v>23</v>
      </c>
      <c r="H3230">
        <v>15</v>
      </c>
      <c r="I3230">
        <v>75545</v>
      </c>
      <c r="J3230" t="s">
        <v>56</v>
      </c>
      <c r="K3230" t="s">
        <v>60</v>
      </c>
      <c r="L3230" t="s">
        <v>29</v>
      </c>
      <c r="M3230">
        <v>3</v>
      </c>
      <c r="N3230">
        <v>365.44</v>
      </c>
      <c r="O3230">
        <v>466.85</v>
      </c>
      <c r="P3230">
        <v>0</v>
      </c>
      <c r="Q3230">
        <v>0</v>
      </c>
      <c r="S3230">
        <v>29</v>
      </c>
      <c r="T3230">
        <v>1</v>
      </c>
      <c r="U3230">
        <v>1</v>
      </c>
      <c r="V3230">
        <v>466.85</v>
      </c>
      <c r="W3230">
        <v>13130003228</v>
      </c>
    </row>
    <row r="3231" spans="1:23" x14ac:dyDescent="0.2">
      <c r="A3231" s="1">
        <v>44788</v>
      </c>
      <c r="B3231" s="2">
        <v>0.6177893518518518</v>
      </c>
      <c r="C3231">
        <v>4229</v>
      </c>
      <c r="D3231">
        <v>13002561</v>
      </c>
      <c r="E3231">
        <v>13</v>
      </c>
      <c r="F3231">
        <v>22589</v>
      </c>
      <c r="G3231" t="s">
        <v>23</v>
      </c>
      <c r="H3231">
        <v>15</v>
      </c>
      <c r="I3231">
        <v>14248</v>
      </c>
      <c r="J3231" t="s">
        <v>54</v>
      </c>
      <c r="K3231" t="s">
        <v>25</v>
      </c>
      <c r="L3231" t="s">
        <v>29</v>
      </c>
      <c r="M3231">
        <v>3</v>
      </c>
      <c r="N3231">
        <v>238.62</v>
      </c>
      <c r="O3231">
        <v>374.59</v>
      </c>
      <c r="P3231">
        <v>37.46</v>
      </c>
      <c r="Q3231">
        <v>37.46</v>
      </c>
      <c r="R3231" t="s">
        <v>30</v>
      </c>
      <c r="S3231">
        <v>29</v>
      </c>
      <c r="T3231">
        <v>1</v>
      </c>
      <c r="U3231">
        <v>6</v>
      </c>
      <c r="V3231">
        <v>337.13</v>
      </c>
      <c r="W3231">
        <v>13130003229</v>
      </c>
    </row>
    <row r="3232" spans="1:23" x14ac:dyDescent="0.2">
      <c r="A3232" s="1">
        <v>44793</v>
      </c>
      <c r="B3232" s="2">
        <v>0.47842592592592592</v>
      </c>
      <c r="C3232">
        <v>4230</v>
      </c>
      <c r="D3232">
        <v>13002561</v>
      </c>
      <c r="E3232">
        <v>13</v>
      </c>
      <c r="F3232">
        <v>22589</v>
      </c>
      <c r="G3232" t="s">
        <v>23</v>
      </c>
      <c r="H3232">
        <v>15</v>
      </c>
      <c r="I3232">
        <v>70970</v>
      </c>
      <c r="J3232" t="s">
        <v>59</v>
      </c>
      <c r="K3232" t="s">
        <v>28</v>
      </c>
      <c r="L3232" t="s">
        <v>26</v>
      </c>
      <c r="M3232">
        <v>1</v>
      </c>
      <c r="N3232">
        <v>349.66</v>
      </c>
      <c r="O3232">
        <v>471.55</v>
      </c>
      <c r="P3232">
        <v>0</v>
      </c>
      <c r="Q3232">
        <v>0</v>
      </c>
      <c r="S3232">
        <v>29</v>
      </c>
      <c r="T3232">
        <v>1</v>
      </c>
      <c r="U3232">
        <v>2</v>
      </c>
      <c r="V3232">
        <v>471.55</v>
      </c>
      <c r="W3232">
        <v>13130003230</v>
      </c>
    </row>
    <row r="3233" spans="1:23" x14ac:dyDescent="0.2">
      <c r="A3233" s="1">
        <v>44782</v>
      </c>
      <c r="B3233" s="2">
        <v>0.92525462962962968</v>
      </c>
      <c r="C3233">
        <v>4231</v>
      </c>
      <c r="D3233">
        <v>13002561</v>
      </c>
      <c r="E3233">
        <v>13</v>
      </c>
      <c r="F3233">
        <v>22589</v>
      </c>
      <c r="G3233" t="s">
        <v>23</v>
      </c>
      <c r="H3233">
        <v>18</v>
      </c>
      <c r="I3233">
        <v>40140</v>
      </c>
      <c r="J3233" t="s">
        <v>81</v>
      </c>
      <c r="K3233" t="s">
        <v>38</v>
      </c>
      <c r="L3233" t="s">
        <v>26</v>
      </c>
      <c r="M3233">
        <v>3</v>
      </c>
      <c r="N3233">
        <v>140.97</v>
      </c>
      <c r="O3233">
        <v>199.32</v>
      </c>
      <c r="P3233">
        <v>9.9700000000000006</v>
      </c>
      <c r="Q3233">
        <v>9.9700000000000006</v>
      </c>
      <c r="R3233" t="s">
        <v>30</v>
      </c>
      <c r="S3233">
        <v>29</v>
      </c>
      <c r="T3233">
        <v>1</v>
      </c>
      <c r="U3233">
        <v>5</v>
      </c>
      <c r="V3233">
        <v>189.35</v>
      </c>
      <c r="W3233">
        <v>13130003231</v>
      </c>
    </row>
    <row r="3234" spans="1:23" x14ac:dyDescent="0.2">
      <c r="A3234" s="1">
        <v>44782</v>
      </c>
      <c r="B3234" s="2">
        <v>0.4072337962962963</v>
      </c>
      <c r="C3234">
        <v>4232</v>
      </c>
      <c r="D3234">
        <v>13002561</v>
      </c>
      <c r="E3234">
        <v>13</v>
      </c>
      <c r="F3234">
        <v>22589</v>
      </c>
      <c r="G3234" t="s">
        <v>23</v>
      </c>
      <c r="H3234">
        <v>15</v>
      </c>
      <c r="I3234">
        <v>89895</v>
      </c>
      <c r="J3234" t="s">
        <v>116</v>
      </c>
      <c r="K3234" t="s">
        <v>44</v>
      </c>
      <c r="L3234" t="s">
        <v>47</v>
      </c>
      <c r="M3234">
        <v>1</v>
      </c>
      <c r="N3234">
        <v>48.48</v>
      </c>
      <c r="O3234">
        <v>81.73</v>
      </c>
      <c r="P3234">
        <v>0</v>
      </c>
      <c r="Q3234">
        <v>0</v>
      </c>
      <c r="S3234">
        <v>29</v>
      </c>
      <c r="T3234">
        <v>1</v>
      </c>
      <c r="U3234">
        <v>6</v>
      </c>
      <c r="V3234">
        <v>81.73</v>
      </c>
      <c r="W3234">
        <v>13130003232</v>
      </c>
    </row>
    <row r="3235" spans="1:23" x14ac:dyDescent="0.2">
      <c r="A3235" s="1">
        <v>44774</v>
      </c>
      <c r="B3235" s="2">
        <v>0.90229166666666671</v>
      </c>
      <c r="C3235">
        <v>4233</v>
      </c>
      <c r="D3235">
        <v>13002561</v>
      </c>
      <c r="E3235">
        <v>13</v>
      </c>
      <c r="F3235">
        <v>22589</v>
      </c>
      <c r="G3235" t="s">
        <v>23</v>
      </c>
      <c r="H3235">
        <v>18</v>
      </c>
      <c r="I3235">
        <v>94572</v>
      </c>
      <c r="J3235" t="s">
        <v>91</v>
      </c>
      <c r="K3235" t="s">
        <v>25</v>
      </c>
      <c r="L3235" t="s">
        <v>32</v>
      </c>
      <c r="M3235">
        <v>1</v>
      </c>
      <c r="N3235">
        <v>126.13</v>
      </c>
      <c r="O3235">
        <v>192.65</v>
      </c>
      <c r="P3235">
        <v>0</v>
      </c>
      <c r="Q3235">
        <v>0</v>
      </c>
      <c r="S3235">
        <v>29</v>
      </c>
      <c r="T3235">
        <v>1</v>
      </c>
      <c r="U3235">
        <v>1</v>
      </c>
      <c r="V3235">
        <v>192.65</v>
      </c>
      <c r="W3235">
        <v>13130003233</v>
      </c>
    </row>
    <row r="3236" spans="1:23" x14ac:dyDescent="0.2">
      <c r="A3236" s="1">
        <v>44775</v>
      </c>
      <c r="B3236" s="2">
        <v>0.52387731481481481</v>
      </c>
      <c r="C3236">
        <v>4234</v>
      </c>
      <c r="D3236">
        <v>13002561</v>
      </c>
      <c r="E3236">
        <v>13</v>
      </c>
      <c r="F3236">
        <v>22589</v>
      </c>
      <c r="G3236" t="s">
        <v>23</v>
      </c>
      <c r="H3236">
        <v>18</v>
      </c>
      <c r="I3236">
        <v>79270</v>
      </c>
      <c r="J3236" t="s">
        <v>66</v>
      </c>
      <c r="K3236" t="s">
        <v>28</v>
      </c>
      <c r="L3236" t="s">
        <v>51</v>
      </c>
      <c r="M3236">
        <v>3</v>
      </c>
      <c r="N3236">
        <v>237.28</v>
      </c>
      <c r="O3236">
        <v>353.15</v>
      </c>
      <c r="P3236">
        <v>17.66</v>
      </c>
      <c r="Q3236">
        <v>17.66</v>
      </c>
      <c r="R3236" t="s">
        <v>30</v>
      </c>
      <c r="S3236">
        <v>29</v>
      </c>
      <c r="T3236">
        <v>1</v>
      </c>
      <c r="U3236">
        <v>5</v>
      </c>
      <c r="V3236">
        <v>335.49</v>
      </c>
      <c r="W3236">
        <v>13130003234</v>
      </c>
    </row>
    <row r="3237" spans="1:23" x14ac:dyDescent="0.2">
      <c r="A3237" s="1">
        <v>44802</v>
      </c>
      <c r="B3237" s="2">
        <v>0.53173611111111108</v>
      </c>
      <c r="C3237">
        <v>4235</v>
      </c>
      <c r="D3237">
        <v>13002561</v>
      </c>
      <c r="E3237">
        <v>13</v>
      </c>
      <c r="F3237">
        <v>22589</v>
      </c>
      <c r="G3237" t="s">
        <v>23</v>
      </c>
      <c r="H3237">
        <v>15</v>
      </c>
      <c r="I3237">
        <v>41330</v>
      </c>
      <c r="J3237" t="s">
        <v>55</v>
      </c>
      <c r="K3237" t="s">
        <v>44</v>
      </c>
      <c r="L3237" t="s">
        <v>32</v>
      </c>
      <c r="M3237">
        <v>3</v>
      </c>
      <c r="N3237">
        <v>390.43</v>
      </c>
      <c r="O3237">
        <v>499.81</v>
      </c>
      <c r="P3237">
        <v>0</v>
      </c>
      <c r="Q3237">
        <v>0</v>
      </c>
      <c r="S3237">
        <v>29</v>
      </c>
      <c r="T3237">
        <v>1</v>
      </c>
      <c r="U3237">
        <v>1</v>
      </c>
      <c r="V3237">
        <v>499.81</v>
      </c>
      <c r="W3237">
        <v>13130003235</v>
      </c>
    </row>
    <row r="3238" spans="1:23" x14ac:dyDescent="0.2">
      <c r="A3238" s="1">
        <v>44795</v>
      </c>
      <c r="B3238" s="2">
        <v>0.38642361111111112</v>
      </c>
      <c r="C3238">
        <v>4236</v>
      </c>
      <c r="D3238">
        <v>13002561</v>
      </c>
      <c r="E3238">
        <v>13</v>
      </c>
      <c r="F3238">
        <v>22589</v>
      </c>
      <c r="G3238" t="s">
        <v>23</v>
      </c>
      <c r="H3238">
        <v>15</v>
      </c>
      <c r="I3238">
        <v>99716</v>
      </c>
      <c r="J3238" t="s">
        <v>91</v>
      </c>
      <c r="K3238" t="s">
        <v>45</v>
      </c>
      <c r="L3238" t="s">
        <v>26</v>
      </c>
      <c r="M3238">
        <v>2</v>
      </c>
      <c r="N3238">
        <v>569.34</v>
      </c>
      <c r="O3238">
        <v>960.5</v>
      </c>
      <c r="P3238">
        <v>96.05</v>
      </c>
      <c r="Q3238">
        <v>96.05</v>
      </c>
      <c r="R3238" t="s">
        <v>30</v>
      </c>
      <c r="S3238">
        <v>29</v>
      </c>
      <c r="T3238">
        <v>1</v>
      </c>
      <c r="U3238">
        <v>4</v>
      </c>
      <c r="V3238">
        <v>864.45</v>
      </c>
      <c r="W3238">
        <v>13130003236</v>
      </c>
    </row>
    <row r="3239" spans="1:23" x14ac:dyDescent="0.2">
      <c r="A3239" s="1">
        <v>44786</v>
      </c>
      <c r="B3239" s="2">
        <v>0.43355324074074081</v>
      </c>
      <c r="C3239">
        <v>4237</v>
      </c>
      <c r="D3239">
        <v>13002561</v>
      </c>
      <c r="E3239">
        <v>13</v>
      </c>
      <c r="F3239">
        <v>22589</v>
      </c>
      <c r="G3239" t="s">
        <v>23</v>
      </c>
      <c r="H3239">
        <v>18</v>
      </c>
      <c r="I3239">
        <v>78248</v>
      </c>
      <c r="J3239" t="s">
        <v>88</v>
      </c>
      <c r="K3239" t="s">
        <v>45</v>
      </c>
      <c r="L3239" t="s">
        <v>47</v>
      </c>
      <c r="M3239">
        <v>2</v>
      </c>
      <c r="N3239">
        <v>168.35</v>
      </c>
      <c r="O3239">
        <v>223.99</v>
      </c>
      <c r="P3239">
        <v>0</v>
      </c>
      <c r="Q3239">
        <v>0</v>
      </c>
      <c r="S3239">
        <v>29</v>
      </c>
      <c r="T3239">
        <v>1</v>
      </c>
      <c r="U3239">
        <v>3</v>
      </c>
      <c r="V3239">
        <v>223.99</v>
      </c>
      <c r="W3239">
        <v>13130003237</v>
      </c>
    </row>
    <row r="3240" spans="1:23" x14ac:dyDescent="0.2">
      <c r="A3240" s="1">
        <v>44798</v>
      </c>
      <c r="B3240" s="2">
        <v>0.61506944444444445</v>
      </c>
      <c r="C3240">
        <v>4238</v>
      </c>
      <c r="D3240">
        <v>13002561</v>
      </c>
      <c r="E3240">
        <v>13</v>
      </c>
      <c r="F3240">
        <v>22589</v>
      </c>
      <c r="G3240" t="s">
        <v>23</v>
      </c>
      <c r="H3240">
        <v>15</v>
      </c>
      <c r="I3240">
        <v>26223</v>
      </c>
      <c r="J3240" t="s">
        <v>83</v>
      </c>
      <c r="K3240" t="s">
        <v>28</v>
      </c>
      <c r="L3240" t="s">
        <v>39</v>
      </c>
      <c r="M3240">
        <v>2</v>
      </c>
      <c r="N3240">
        <v>434.14</v>
      </c>
      <c r="O3240">
        <v>563.85</v>
      </c>
      <c r="P3240">
        <v>28.19</v>
      </c>
      <c r="Q3240">
        <v>28.19</v>
      </c>
      <c r="R3240" t="s">
        <v>30</v>
      </c>
      <c r="S3240">
        <v>29</v>
      </c>
      <c r="T3240">
        <v>1</v>
      </c>
      <c r="U3240">
        <v>5</v>
      </c>
      <c r="V3240">
        <v>535.66</v>
      </c>
      <c r="W3240">
        <v>13130003238</v>
      </c>
    </row>
    <row r="3241" spans="1:23" x14ac:dyDescent="0.2">
      <c r="A3241" s="1">
        <v>44783</v>
      </c>
      <c r="B3241" s="2">
        <v>0.73457175925925922</v>
      </c>
      <c r="C3241">
        <v>4239</v>
      </c>
      <c r="D3241">
        <v>13002561</v>
      </c>
      <c r="E3241">
        <v>13</v>
      </c>
      <c r="F3241">
        <v>22589</v>
      </c>
      <c r="G3241" t="s">
        <v>23</v>
      </c>
      <c r="H3241">
        <v>15</v>
      </c>
      <c r="I3241">
        <v>68798</v>
      </c>
      <c r="J3241" t="s">
        <v>111</v>
      </c>
      <c r="K3241" t="s">
        <v>25</v>
      </c>
      <c r="L3241" t="s">
        <v>51</v>
      </c>
      <c r="M3241">
        <v>2</v>
      </c>
      <c r="N3241">
        <v>350.91</v>
      </c>
      <c r="O3241">
        <v>558.29</v>
      </c>
      <c r="P3241">
        <v>0</v>
      </c>
      <c r="Q3241">
        <v>0</v>
      </c>
      <c r="S3241">
        <v>29</v>
      </c>
      <c r="T3241">
        <v>1</v>
      </c>
      <c r="U3241">
        <v>4</v>
      </c>
      <c r="V3241">
        <v>558.29</v>
      </c>
      <c r="W3241">
        <v>13130003239</v>
      </c>
    </row>
    <row r="3242" spans="1:23" x14ac:dyDescent="0.2">
      <c r="A3242" s="1">
        <v>44779</v>
      </c>
      <c r="B3242" s="2">
        <v>0.47802083333333328</v>
      </c>
      <c r="C3242">
        <v>4240</v>
      </c>
      <c r="D3242">
        <v>13002561</v>
      </c>
      <c r="E3242">
        <v>13</v>
      </c>
      <c r="F3242">
        <v>22589</v>
      </c>
      <c r="G3242" t="s">
        <v>23</v>
      </c>
      <c r="H3242">
        <v>18</v>
      </c>
      <c r="I3242">
        <v>25404</v>
      </c>
      <c r="J3242" t="s">
        <v>85</v>
      </c>
      <c r="K3242" t="s">
        <v>44</v>
      </c>
      <c r="L3242" t="s">
        <v>36</v>
      </c>
      <c r="M3242">
        <v>3</v>
      </c>
      <c r="N3242">
        <v>507.44</v>
      </c>
      <c r="O3242">
        <v>840.07</v>
      </c>
      <c r="P3242">
        <v>42</v>
      </c>
      <c r="Q3242">
        <v>42</v>
      </c>
      <c r="R3242" t="s">
        <v>30</v>
      </c>
      <c r="S3242">
        <v>29</v>
      </c>
      <c r="T3242">
        <v>1</v>
      </c>
      <c r="U3242">
        <v>4</v>
      </c>
      <c r="V3242">
        <v>798.07</v>
      </c>
      <c r="W3242">
        <v>13130003240</v>
      </c>
    </row>
    <row r="3243" spans="1:23" x14ac:dyDescent="0.2">
      <c r="A3243" s="1">
        <v>44799</v>
      </c>
      <c r="B3243" s="2">
        <v>0.84493055555555552</v>
      </c>
      <c r="C3243">
        <v>4241</v>
      </c>
      <c r="D3243">
        <v>13002561</v>
      </c>
      <c r="E3243">
        <v>13</v>
      </c>
      <c r="F3243">
        <v>22589</v>
      </c>
      <c r="G3243" t="s">
        <v>23</v>
      </c>
      <c r="H3243">
        <v>15</v>
      </c>
      <c r="I3243">
        <v>76338</v>
      </c>
      <c r="J3243" t="s">
        <v>58</v>
      </c>
      <c r="K3243" t="s">
        <v>44</v>
      </c>
      <c r="L3243" t="s">
        <v>36</v>
      </c>
      <c r="M3243">
        <v>1</v>
      </c>
      <c r="N3243">
        <v>311.68</v>
      </c>
      <c r="O3243">
        <v>422.19</v>
      </c>
      <c r="P3243">
        <v>21.11</v>
      </c>
      <c r="Q3243">
        <v>21.11</v>
      </c>
      <c r="R3243" t="s">
        <v>30</v>
      </c>
      <c r="S3243">
        <v>29</v>
      </c>
      <c r="T3243">
        <v>1</v>
      </c>
      <c r="U3243">
        <v>6</v>
      </c>
      <c r="V3243">
        <v>401.08</v>
      </c>
      <c r="W3243">
        <v>13130003241</v>
      </c>
    </row>
    <row r="3244" spans="1:23" x14ac:dyDescent="0.2">
      <c r="A3244" s="1">
        <v>44781</v>
      </c>
      <c r="B3244" s="2">
        <v>0.64407407407407402</v>
      </c>
      <c r="C3244">
        <v>4242</v>
      </c>
      <c r="D3244">
        <v>13002561</v>
      </c>
      <c r="E3244">
        <v>13</v>
      </c>
      <c r="F3244">
        <v>22589</v>
      </c>
      <c r="G3244" t="s">
        <v>23</v>
      </c>
      <c r="H3244">
        <v>15</v>
      </c>
      <c r="I3244">
        <v>16208</v>
      </c>
      <c r="J3244" t="s">
        <v>96</v>
      </c>
      <c r="K3244" t="s">
        <v>28</v>
      </c>
      <c r="L3244" t="s">
        <v>29</v>
      </c>
      <c r="M3244">
        <v>3</v>
      </c>
      <c r="N3244">
        <v>284.44</v>
      </c>
      <c r="O3244">
        <v>468.49</v>
      </c>
      <c r="P3244">
        <v>0</v>
      </c>
      <c r="Q3244">
        <v>0</v>
      </c>
      <c r="S3244">
        <v>29</v>
      </c>
      <c r="T3244">
        <v>1</v>
      </c>
      <c r="U3244">
        <v>6</v>
      </c>
      <c r="V3244">
        <v>468.49</v>
      </c>
      <c r="W3244">
        <v>13130003242</v>
      </c>
    </row>
    <row r="3245" spans="1:23" x14ac:dyDescent="0.2">
      <c r="A3245" s="1">
        <v>44796</v>
      </c>
      <c r="B3245" s="2">
        <v>0.51863425925925921</v>
      </c>
      <c r="C3245">
        <v>4243</v>
      </c>
      <c r="D3245">
        <v>13002561</v>
      </c>
      <c r="E3245">
        <v>13</v>
      </c>
      <c r="F3245">
        <v>22589</v>
      </c>
      <c r="G3245" t="s">
        <v>23</v>
      </c>
      <c r="H3245">
        <v>18</v>
      </c>
      <c r="I3245">
        <v>76440</v>
      </c>
      <c r="J3245" t="s">
        <v>93</v>
      </c>
      <c r="K3245" t="s">
        <v>45</v>
      </c>
      <c r="L3245" t="s">
        <v>26</v>
      </c>
      <c r="M3245">
        <v>3</v>
      </c>
      <c r="N3245">
        <v>87.72</v>
      </c>
      <c r="O3245">
        <v>142.74</v>
      </c>
      <c r="P3245">
        <v>14.27</v>
      </c>
      <c r="Q3245">
        <v>14.27</v>
      </c>
      <c r="R3245" t="s">
        <v>30</v>
      </c>
      <c r="S3245">
        <v>29</v>
      </c>
      <c r="T3245">
        <v>1</v>
      </c>
      <c r="U3245">
        <v>5</v>
      </c>
      <c r="V3245">
        <v>128.47</v>
      </c>
      <c r="W3245">
        <v>13130003243</v>
      </c>
    </row>
    <row r="3246" spans="1:23" x14ac:dyDescent="0.2">
      <c r="A3246" s="1">
        <v>44799</v>
      </c>
      <c r="B3246" s="2">
        <v>0.76826388888888886</v>
      </c>
      <c r="C3246">
        <v>4244</v>
      </c>
      <c r="D3246">
        <v>13002561</v>
      </c>
      <c r="E3246">
        <v>13</v>
      </c>
      <c r="F3246">
        <v>22589</v>
      </c>
      <c r="G3246" t="s">
        <v>23</v>
      </c>
      <c r="H3246">
        <v>15</v>
      </c>
      <c r="I3246">
        <v>94285</v>
      </c>
      <c r="J3246" t="s">
        <v>105</v>
      </c>
      <c r="K3246" t="s">
        <v>44</v>
      </c>
      <c r="L3246" t="s">
        <v>36</v>
      </c>
      <c r="M3246">
        <v>2</v>
      </c>
      <c r="N3246">
        <v>496.45</v>
      </c>
      <c r="O3246">
        <v>836.87</v>
      </c>
      <c r="P3246">
        <v>41.84</v>
      </c>
      <c r="Q3246">
        <v>41.84</v>
      </c>
      <c r="R3246" t="s">
        <v>30</v>
      </c>
      <c r="S3246">
        <v>29</v>
      </c>
      <c r="T3246">
        <v>1</v>
      </c>
      <c r="U3246">
        <v>4</v>
      </c>
      <c r="V3246">
        <v>795.03</v>
      </c>
      <c r="W3246">
        <v>13130003244</v>
      </c>
    </row>
    <row r="3247" spans="1:23" x14ac:dyDescent="0.2">
      <c r="A3247" s="1">
        <v>44777</v>
      </c>
      <c r="B3247" s="2">
        <v>0.87793981481481487</v>
      </c>
      <c r="C3247">
        <v>4245</v>
      </c>
      <c r="D3247">
        <v>13002561</v>
      </c>
      <c r="E3247">
        <v>13</v>
      </c>
      <c r="F3247">
        <v>22589</v>
      </c>
      <c r="G3247" t="s">
        <v>23</v>
      </c>
      <c r="H3247">
        <v>15</v>
      </c>
      <c r="I3247">
        <v>37245</v>
      </c>
      <c r="J3247" t="s">
        <v>35</v>
      </c>
      <c r="K3247" t="s">
        <v>25</v>
      </c>
      <c r="L3247" t="s">
        <v>36</v>
      </c>
      <c r="M3247">
        <v>2</v>
      </c>
      <c r="N3247">
        <v>508.47</v>
      </c>
      <c r="O3247">
        <v>748.51</v>
      </c>
      <c r="P3247">
        <v>0</v>
      </c>
      <c r="Q3247">
        <v>0</v>
      </c>
      <c r="S3247">
        <v>29</v>
      </c>
      <c r="T3247">
        <v>1</v>
      </c>
      <c r="U3247">
        <v>1</v>
      </c>
      <c r="V3247">
        <v>748.51</v>
      </c>
      <c r="W3247">
        <v>13130003245</v>
      </c>
    </row>
    <row r="3248" spans="1:23" x14ac:dyDescent="0.2">
      <c r="A3248" s="1">
        <v>44778</v>
      </c>
      <c r="B3248" s="2">
        <v>0.37913194444444442</v>
      </c>
      <c r="C3248">
        <v>4246</v>
      </c>
      <c r="D3248">
        <v>13002561</v>
      </c>
      <c r="E3248">
        <v>13</v>
      </c>
      <c r="F3248">
        <v>22589</v>
      </c>
      <c r="G3248" t="s">
        <v>23</v>
      </c>
      <c r="H3248">
        <v>15</v>
      </c>
      <c r="I3248">
        <v>63880</v>
      </c>
      <c r="J3248" t="s">
        <v>31</v>
      </c>
      <c r="K3248" t="s">
        <v>25</v>
      </c>
      <c r="L3248" t="s">
        <v>32</v>
      </c>
      <c r="M3248">
        <v>2</v>
      </c>
      <c r="N3248">
        <v>390.12</v>
      </c>
      <c r="O3248">
        <v>632.07000000000005</v>
      </c>
      <c r="P3248">
        <v>0</v>
      </c>
      <c r="Q3248">
        <v>0</v>
      </c>
      <c r="S3248">
        <v>29</v>
      </c>
      <c r="T3248">
        <v>1</v>
      </c>
      <c r="U3248">
        <v>1</v>
      </c>
      <c r="V3248">
        <v>632.07000000000005</v>
      </c>
      <c r="W3248">
        <v>13130003246</v>
      </c>
    </row>
    <row r="3249" spans="1:23" x14ac:dyDescent="0.2">
      <c r="A3249" s="1">
        <v>44786</v>
      </c>
      <c r="B3249" s="2">
        <v>0.36799768518518522</v>
      </c>
      <c r="C3249">
        <v>4247</v>
      </c>
      <c r="D3249">
        <v>13002561</v>
      </c>
      <c r="E3249">
        <v>13</v>
      </c>
      <c r="F3249">
        <v>22589</v>
      </c>
      <c r="G3249" t="s">
        <v>23</v>
      </c>
      <c r="H3249">
        <v>18</v>
      </c>
      <c r="I3249">
        <v>93643</v>
      </c>
      <c r="J3249" t="s">
        <v>107</v>
      </c>
      <c r="K3249" t="s">
        <v>38</v>
      </c>
      <c r="L3249" t="s">
        <v>34</v>
      </c>
      <c r="M3249">
        <v>2</v>
      </c>
      <c r="N3249">
        <v>584.48</v>
      </c>
      <c r="O3249">
        <v>784.33</v>
      </c>
      <c r="P3249">
        <v>0</v>
      </c>
      <c r="Q3249">
        <v>0</v>
      </c>
      <c r="S3249">
        <v>29</v>
      </c>
      <c r="T3249">
        <v>1</v>
      </c>
      <c r="U3249">
        <v>3</v>
      </c>
      <c r="V3249">
        <v>784.33</v>
      </c>
      <c r="W3249">
        <v>13130003247</v>
      </c>
    </row>
    <row r="3250" spans="1:23" x14ac:dyDescent="0.2">
      <c r="A3250" s="1">
        <v>44799</v>
      </c>
      <c r="B3250" s="2">
        <v>0.81400462962962961</v>
      </c>
      <c r="C3250">
        <v>4248</v>
      </c>
      <c r="D3250">
        <v>13002561</v>
      </c>
      <c r="E3250">
        <v>13</v>
      </c>
      <c r="F3250">
        <v>22589</v>
      </c>
      <c r="G3250" t="s">
        <v>23</v>
      </c>
      <c r="H3250">
        <v>18</v>
      </c>
      <c r="I3250">
        <v>63566</v>
      </c>
      <c r="J3250" t="s">
        <v>27</v>
      </c>
      <c r="K3250" t="s">
        <v>44</v>
      </c>
      <c r="L3250" t="s">
        <v>34</v>
      </c>
      <c r="M3250">
        <v>2</v>
      </c>
      <c r="N3250">
        <v>141.94</v>
      </c>
      <c r="O3250">
        <v>240.02</v>
      </c>
      <c r="P3250">
        <v>0</v>
      </c>
      <c r="Q3250">
        <v>0</v>
      </c>
      <c r="S3250">
        <v>29</v>
      </c>
      <c r="T3250">
        <v>1</v>
      </c>
      <c r="U3250">
        <v>2</v>
      </c>
      <c r="V3250">
        <v>240.02</v>
      </c>
      <c r="W3250">
        <v>13130003248</v>
      </c>
    </row>
    <row r="3251" spans="1:23" x14ac:dyDescent="0.2">
      <c r="A3251" s="1">
        <v>44801</v>
      </c>
      <c r="B3251" s="2">
        <v>0.82409722222222226</v>
      </c>
      <c r="C3251">
        <v>4249</v>
      </c>
      <c r="D3251">
        <v>13002561</v>
      </c>
      <c r="E3251">
        <v>13</v>
      </c>
      <c r="F3251">
        <v>22589</v>
      </c>
      <c r="G3251" t="s">
        <v>23</v>
      </c>
      <c r="H3251">
        <v>15</v>
      </c>
      <c r="I3251">
        <v>96789</v>
      </c>
      <c r="J3251" t="s">
        <v>70</v>
      </c>
      <c r="K3251" t="s">
        <v>38</v>
      </c>
      <c r="L3251" t="s">
        <v>26</v>
      </c>
      <c r="M3251">
        <v>2</v>
      </c>
      <c r="N3251">
        <v>78.569999999999993</v>
      </c>
      <c r="O3251">
        <v>131.55000000000001</v>
      </c>
      <c r="P3251">
        <v>13.16</v>
      </c>
      <c r="Q3251">
        <v>13.16</v>
      </c>
      <c r="R3251" t="s">
        <v>30</v>
      </c>
      <c r="S3251">
        <v>29</v>
      </c>
      <c r="T3251">
        <v>1</v>
      </c>
      <c r="U3251">
        <v>6</v>
      </c>
      <c r="V3251">
        <v>118.39</v>
      </c>
      <c r="W3251">
        <v>13130003249</v>
      </c>
    </row>
    <row r="3252" spans="1:23" x14ac:dyDescent="0.2">
      <c r="A3252" s="1">
        <v>44786</v>
      </c>
      <c r="B3252" s="2">
        <v>0.72439814814814818</v>
      </c>
      <c r="C3252">
        <v>4250</v>
      </c>
      <c r="D3252">
        <v>13002561</v>
      </c>
      <c r="E3252">
        <v>13</v>
      </c>
      <c r="F3252">
        <v>22589</v>
      </c>
      <c r="G3252" t="s">
        <v>23</v>
      </c>
      <c r="H3252">
        <v>18</v>
      </c>
      <c r="I3252">
        <v>59838</v>
      </c>
      <c r="J3252" t="s">
        <v>109</v>
      </c>
      <c r="K3252" t="s">
        <v>44</v>
      </c>
      <c r="L3252" t="s">
        <v>34</v>
      </c>
      <c r="M3252">
        <v>3</v>
      </c>
      <c r="N3252">
        <v>445.78</v>
      </c>
      <c r="O3252">
        <v>574.09</v>
      </c>
      <c r="P3252">
        <v>57.41</v>
      </c>
      <c r="Q3252">
        <v>57.41</v>
      </c>
      <c r="R3252" t="s">
        <v>30</v>
      </c>
      <c r="S3252">
        <v>29</v>
      </c>
      <c r="T3252">
        <v>1</v>
      </c>
      <c r="U3252">
        <v>2</v>
      </c>
      <c r="V3252">
        <v>516.67999999999995</v>
      </c>
      <c r="W3252">
        <v>13130003250</v>
      </c>
    </row>
    <row r="3253" spans="1:23" x14ac:dyDescent="0.2">
      <c r="A3253" s="1">
        <v>44784</v>
      </c>
      <c r="B3253" s="2">
        <v>0.48822916666666671</v>
      </c>
      <c r="C3253">
        <v>4251</v>
      </c>
      <c r="D3253">
        <v>13002561</v>
      </c>
      <c r="E3253">
        <v>13</v>
      </c>
      <c r="F3253">
        <v>22589</v>
      </c>
      <c r="G3253" t="s">
        <v>23</v>
      </c>
      <c r="H3253">
        <v>15</v>
      </c>
      <c r="I3253">
        <v>70387</v>
      </c>
      <c r="J3253" t="s">
        <v>40</v>
      </c>
      <c r="K3253" t="s">
        <v>44</v>
      </c>
      <c r="L3253" t="s">
        <v>39</v>
      </c>
      <c r="M3253">
        <v>1</v>
      </c>
      <c r="N3253">
        <v>536.5</v>
      </c>
      <c r="O3253">
        <v>861.36</v>
      </c>
      <c r="P3253">
        <v>0</v>
      </c>
      <c r="Q3253">
        <v>0</v>
      </c>
      <c r="S3253">
        <v>29</v>
      </c>
      <c r="T3253">
        <v>1</v>
      </c>
      <c r="U3253">
        <v>2</v>
      </c>
      <c r="V3253">
        <v>861.36</v>
      </c>
      <c r="W3253">
        <v>13130003251</v>
      </c>
    </row>
    <row r="3254" spans="1:23" x14ac:dyDescent="0.2">
      <c r="A3254" s="1">
        <v>44793</v>
      </c>
      <c r="B3254" s="2">
        <v>0.9271180555555556</v>
      </c>
      <c r="C3254">
        <v>4252</v>
      </c>
      <c r="D3254">
        <v>13002561</v>
      </c>
      <c r="E3254">
        <v>13</v>
      </c>
      <c r="F3254">
        <v>22589</v>
      </c>
      <c r="G3254" t="s">
        <v>23</v>
      </c>
      <c r="H3254">
        <v>18</v>
      </c>
      <c r="I3254">
        <v>81039</v>
      </c>
      <c r="J3254" t="s">
        <v>54</v>
      </c>
      <c r="K3254" t="s">
        <v>60</v>
      </c>
      <c r="L3254" t="s">
        <v>51</v>
      </c>
      <c r="M3254">
        <v>3</v>
      </c>
      <c r="N3254">
        <v>261.67</v>
      </c>
      <c r="O3254">
        <v>429.56</v>
      </c>
      <c r="P3254">
        <v>0</v>
      </c>
      <c r="Q3254">
        <v>0</v>
      </c>
      <c r="S3254">
        <v>29</v>
      </c>
      <c r="T3254">
        <v>1</v>
      </c>
      <c r="U3254">
        <v>5</v>
      </c>
      <c r="V3254">
        <v>429.56</v>
      </c>
      <c r="W3254">
        <v>13130003252</v>
      </c>
    </row>
    <row r="3255" spans="1:23" x14ac:dyDescent="0.2">
      <c r="A3255" s="1">
        <v>44797</v>
      </c>
      <c r="B3255" s="2">
        <v>0.83765046296296297</v>
      </c>
      <c r="C3255">
        <v>4253</v>
      </c>
      <c r="D3255">
        <v>13002561</v>
      </c>
      <c r="E3255">
        <v>13</v>
      </c>
      <c r="F3255">
        <v>22589</v>
      </c>
      <c r="G3255" t="s">
        <v>23</v>
      </c>
      <c r="H3255">
        <v>18</v>
      </c>
      <c r="I3255">
        <v>81960</v>
      </c>
      <c r="J3255" t="s">
        <v>86</v>
      </c>
      <c r="K3255" t="s">
        <v>44</v>
      </c>
      <c r="L3255" t="s">
        <v>34</v>
      </c>
      <c r="M3255">
        <v>3</v>
      </c>
      <c r="N3255">
        <v>297.97000000000003</v>
      </c>
      <c r="O3255">
        <v>400.48</v>
      </c>
      <c r="P3255">
        <v>0</v>
      </c>
      <c r="Q3255">
        <v>0</v>
      </c>
      <c r="S3255">
        <v>29</v>
      </c>
      <c r="T3255">
        <v>1</v>
      </c>
      <c r="U3255">
        <v>4</v>
      </c>
      <c r="V3255">
        <v>400.48</v>
      </c>
      <c r="W3255">
        <v>13130003253</v>
      </c>
    </row>
    <row r="3256" spans="1:23" x14ac:dyDescent="0.2">
      <c r="A3256" s="1">
        <v>44794</v>
      </c>
      <c r="B3256" s="2">
        <v>0.40814814814814809</v>
      </c>
      <c r="C3256">
        <v>4254</v>
      </c>
      <c r="D3256">
        <v>13002561</v>
      </c>
      <c r="E3256">
        <v>13</v>
      </c>
      <c r="F3256">
        <v>22589</v>
      </c>
      <c r="G3256" t="s">
        <v>23</v>
      </c>
      <c r="H3256">
        <v>15</v>
      </c>
      <c r="I3256">
        <v>26587</v>
      </c>
      <c r="J3256" t="s">
        <v>118</v>
      </c>
      <c r="K3256" t="s">
        <v>25</v>
      </c>
      <c r="L3256" t="s">
        <v>51</v>
      </c>
      <c r="M3256">
        <v>2</v>
      </c>
      <c r="N3256">
        <v>91.84</v>
      </c>
      <c r="O3256">
        <v>134.13999999999999</v>
      </c>
      <c r="P3256">
        <v>0</v>
      </c>
      <c r="Q3256">
        <v>0</v>
      </c>
      <c r="S3256">
        <v>29</v>
      </c>
      <c r="T3256">
        <v>1</v>
      </c>
      <c r="U3256">
        <v>4</v>
      </c>
      <c r="V3256">
        <v>134.13999999999999</v>
      </c>
      <c r="W3256">
        <v>13130003254</v>
      </c>
    </row>
    <row r="3257" spans="1:23" x14ac:dyDescent="0.2">
      <c r="A3257" s="1">
        <v>44788</v>
      </c>
      <c r="B3257" s="2">
        <v>0.51292824074074073</v>
      </c>
      <c r="C3257">
        <v>4255</v>
      </c>
      <c r="D3257">
        <v>13002561</v>
      </c>
      <c r="E3257">
        <v>13</v>
      </c>
      <c r="F3257">
        <v>22589</v>
      </c>
      <c r="G3257" t="s">
        <v>23</v>
      </c>
      <c r="H3257">
        <v>18</v>
      </c>
      <c r="I3257">
        <v>90616</v>
      </c>
      <c r="J3257" t="s">
        <v>73</v>
      </c>
      <c r="K3257" t="s">
        <v>45</v>
      </c>
      <c r="L3257" t="s">
        <v>47</v>
      </c>
      <c r="M3257">
        <v>2</v>
      </c>
      <c r="N3257">
        <v>553.83000000000004</v>
      </c>
      <c r="O3257">
        <v>924.86</v>
      </c>
      <c r="P3257">
        <v>46.24</v>
      </c>
      <c r="Q3257">
        <v>46.24</v>
      </c>
      <c r="R3257" t="s">
        <v>30</v>
      </c>
      <c r="S3257">
        <v>29</v>
      </c>
      <c r="T3257">
        <v>1</v>
      </c>
      <c r="U3257">
        <v>3</v>
      </c>
      <c r="V3257">
        <v>878.62</v>
      </c>
      <c r="W3257">
        <v>13130003255</v>
      </c>
    </row>
    <row r="3258" spans="1:23" x14ac:dyDescent="0.2">
      <c r="A3258" s="1">
        <v>44801</v>
      </c>
      <c r="B3258" s="2">
        <v>0.82354166666666662</v>
      </c>
      <c r="C3258">
        <v>4256</v>
      </c>
      <c r="D3258">
        <v>13002561</v>
      </c>
      <c r="E3258">
        <v>13</v>
      </c>
      <c r="F3258">
        <v>22589</v>
      </c>
      <c r="G3258" t="s">
        <v>23</v>
      </c>
      <c r="H3258">
        <v>18</v>
      </c>
      <c r="I3258">
        <v>55839</v>
      </c>
      <c r="J3258" t="s">
        <v>50</v>
      </c>
      <c r="K3258" t="s">
        <v>38</v>
      </c>
      <c r="L3258" t="s">
        <v>26</v>
      </c>
      <c r="M3258">
        <v>1</v>
      </c>
      <c r="N3258">
        <v>536.1</v>
      </c>
      <c r="O3258">
        <v>755.42</v>
      </c>
      <c r="P3258">
        <v>37.770000000000003</v>
      </c>
      <c r="Q3258">
        <v>37.770000000000003</v>
      </c>
      <c r="R3258" t="s">
        <v>30</v>
      </c>
      <c r="S3258">
        <v>29</v>
      </c>
      <c r="T3258">
        <v>1</v>
      </c>
      <c r="U3258">
        <v>1</v>
      </c>
      <c r="V3258">
        <v>717.65</v>
      </c>
      <c r="W3258">
        <v>13130003256</v>
      </c>
    </row>
    <row r="3259" spans="1:23" x14ac:dyDescent="0.2">
      <c r="A3259" s="1">
        <v>44795</v>
      </c>
      <c r="B3259" s="2">
        <v>0.48369212962962971</v>
      </c>
      <c r="C3259">
        <v>4257</v>
      </c>
      <c r="D3259">
        <v>13002561</v>
      </c>
      <c r="E3259">
        <v>13</v>
      </c>
      <c r="F3259">
        <v>22589</v>
      </c>
      <c r="G3259" t="s">
        <v>23</v>
      </c>
      <c r="H3259">
        <v>18</v>
      </c>
      <c r="I3259">
        <v>14479</v>
      </c>
      <c r="J3259" t="s">
        <v>41</v>
      </c>
      <c r="K3259" t="s">
        <v>25</v>
      </c>
      <c r="L3259" t="s">
        <v>36</v>
      </c>
      <c r="M3259">
        <v>1</v>
      </c>
      <c r="N3259">
        <v>262.52</v>
      </c>
      <c r="O3259">
        <v>358.93</v>
      </c>
      <c r="P3259">
        <v>17.95</v>
      </c>
      <c r="Q3259">
        <v>17.95</v>
      </c>
      <c r="R3259" t="s">
        <v>30</v>
      </c>
      <c r="S3259">
        <v>29</v>
      </c>
      <c r="T3259">
        <v>1</v>
      </c>
      <c r="U3259">
        <v>4</v>
      </c>
      <c r="V3259">
        <v>340.98</v>
      </c>
      <c r="W3259">
        <v>13130003257</v>
      </c>
    </row>
    <row r="3260" spans="1:23" x14ac:dyDescent="0.2">
      <c r="A3260" s="1">
        <v>44799</v>
      </c>
      <c r="B3260" s="2">
        <v>0.57275462962962964</v>
      </c>
      <c r="C3260">
        <v>4258</v>
      </c>
      <c r="D3260">
        <v>13002561</v>
      </c>
      <c r="E3260">
        <v>13</v>
      </c>
      <c r="F3260">
        <v>22589</v>
      </c>
      <c r="G3260" t="s">
        <v>23</v>
      </c>
      <c r="H3260">
        <v>18</v>
      </c>
      <c r="I3260">
        <v>97602</v>
      </c>
      <c r="J3260" t="s">
        <v>61</v>
      </c>
      <c r="K3260" t="s">
        <v>25</v>
      </c>
      <c r="L3260" t="s">
        <v>36</v>
      </c>
      <c r="M3260">
        <v>2</v>
      </c>
      <c r="N3260">
        <v>268.37</v>
      </c>
      <c r="O3260">
        <v>362.71</v>
      </c>
      <c r="P3260">
        <v>36.270000000000003</v>
      </c>
      <c r="Q3260">
        <v>36.270000000000003</v>
      </c>
      <c r="R3260" t="s">
        <v>30</v>
      </c>
      <c r="S3260">
        <v>29</v>
      </c>
      <c r="T3260">
        <v>1</v>
      </c>
      <c r="U3260">
        <v>6</v>
      </c>
      <c r="V3260">
        <v>326.44</v>
      </c>
      <c r="W3260">
        <v>13130003258</v>
      </c>
    </row>
    <row r="3261" spans="1:23" x14ac:dyDescent="0.2">
      <c r="A3261" s="1">
        <v>44777</v>
      </c>
      <c r="B3261" s="2">
        <v>0.52324074074074078</v>
      </c>
      <c r="C3261">
        <v>4259</v>
      </c>
      <c r="D3261">
        <v>13002561</v>
      </c>
      <c r="E3261">
        <v>13</v>
      </c>
      <c r="F3261">
        <v>22589</v>
      </c>
      <c r="G3261" t="s">
        <v>23</v>
      </c>
      <c r="H3261">
        <v>15</v>
      </c>
      <c r="I3261">
        <v>53888</v>
      </c>
      <c r="J3261" t="s">
        <v>72</v>
      </c>
      <c r="K3261" t="s">
        <v>44</v>
      </c>
      <c r="L3261" t="s">
        <v>39</v>
      </c>
      <c r="M3261">
        <v>1</v>
      </c>
      <c r="N3261">
        <v>31.53</v>
      </c>
      <c r="O3261">
        <v>41.08</v>
      </c>
      <c r="P3261">
        <v>4.1100000000000003</v>
      </c>
      <c r="Q3261">
        <v>4.1100000000000003</v>
      </c>
      <c r="R3261" t="s">
        <v>30</v>
      </c>
      <c r="S3261">
        <v>29</v>
      </c>
      <c r="T3261">
        <v>1</v>
      </c>
      <c r="U3261">
        <v>3</v>
      </c>
      <c r="V3261">
        <v>36.97</v>
      </c>
      <c r="W3261">
        <v>13130003259</v>
      </c>
    </row>
    <row r="3262" spans="1:23" x14ac:dyDescent="0.2">
      <c r="A3262" s="1">
        <v>44800</v>
      </c>
      <c r="B3262" s="2">
        <v>0.88237268518518519</v>
      </c>
      <c r="C3262">
        <v>4260</v>
      </c>
      <c r="D3262">
        <v>13002561</v>
      </c>
      <c r="E3262">
        <v>13</v>
      </c>
      <c r="F3262">
        <v>22589</v>
      </c>
      <c r="G3262" t="s">
        <v>23</v>
      </c>
      <c r="H3262">
        <v>15</v>
      </c>
      <c r="I3262">
        <v>59642</v>
      </c>
      <c r="J3262" t="s">
        <v>121</v>
      </c>
      <c r="K3262" t="s">
        <v>28</v>
      </c>
      <c r="L3262" t="s">
        <v>36</v>
      </c>
      <c r="M3262">
        <v>3</v>
      </c>
      <c r="N3262">
        <v>243.52</v>
      </c>
      <c r="O3262">
        <v>348.13</v>
      </c>
      <c r="P3262">
        <v>17.41</v>
      </c>
      <c r="Q3262">
        <v>17.41</v>
      </c>
      <c r="R3262" t="s">
        <v>30</v>
      </c>
      <c r="S3262">
        <v>29</v>
      </c>
      <c r="T3262">
        <v>1</v>
      </c>
      <c r="U3262">
        <v>6</v>
      </c>
      <c r="V3262">
        <v>330.72</v>
      </c>
      <c r="W3262">
        <v>13130003260</v>
      </c>
    </row>
    <row r="3263" spans="1:23" x14ac:dyDescent="0.2">
      <c r="A3263" s="1">
        <v>44797</v>
      </c>
      <c r="B3263" s="2">
        <v>0.74719907407407404</v>
      </c>
      <c r="C3263">
        <v>4261</v>
      </c>
      <c r="D3263">
        <v>13002561</v>
      </c>
      <c r="E3263">
        <v>13</v>
      </c>
      <c r="F3263">
        <v>22589</v>
      </c>
      <c r="G3263" t="s">
        <v>23</v>
      </c>
      <c r="H3263">
        <v>18</v>
      </c>
      <c r="I3263">
        <v>14236</v>
      </c>
      <c r="J3263" t="s">
        <v>114</v>
      </c>
      <c r="K3263" t="s">
        <v>44</v>
      </c>
      <c r="L3263" t="s">
        <v>34</v>
      </c>
      <c r="M3263">
        <v>3</v>
      </c>
      <c r="N3263">
        <v>187.08</v>
      </c>
      <c r="O3263">
        <v>307.08999999999997</v>
      </c>
      <c r="P3263">
        <v>15.35</v>
      </c>
      <c r="Q3263">
        <v>15.35</v>
      </c>
      <c r="R3263" t="s">
        <v>30</v>
      </c>
      <c r="S3263">
        <v>29</v>
      </c>
      <c r="T3263">
        <v>1</v>
      </c>
      <c r="U3263">
        <v>1</v>
      </c>
      <c r="V3263">
        <v>291.74</v>
      </c>
      <c r="W3263">
        <v>13130003261</v>
      </c>
    </row>
    <row r="3264" spans="1:23" x14ac:dyDescent="0.2">
      <c r="A3264" s="1">
        <v>44788</v>
      </c>
      <c r="B3264" s="2">
        <v>0.56799768518518523</v>
      </c>
      <c r="C3264">
        <v>4262</v>
      </c>
      <c r="D3264">
        <v>13002561</v>
      </c>
      <c r="E3264">
        <v>13</v>
      </c>
      <c r="F3264">
        <v>22589</v>
      </c>
      <c r="G3264" t="s">
        <v>23</v>
      </c>
      <c r="H3264">
        <v>18</v>
      </c>
      <c r="I3264">
        <v>17997</v>
      </c>
      <c r="J3264" t="s">
        <v>35</v>
      </c>
      <c r="K3264" t="s">
        <v>44</v>
      </c>
      <c r="L3264" t="s">
        <v>39</v>
      </c>
      <c r="M3264">
        <v>3</v>
      </c>
      <c r="N3264">
        <v>559.29</v>
      </c>
      <c r="O3264">
        <v>859.37</v>
      </c>
      <c r="P3264">
        <v>0</v>
      </c>
      <c r="Q3264">
        <v>0</v>
      </c>
      <c r="S3264">
        <v>29</v>
      </c>
      <c r="T3264">
        <v>1</v>
      </c>
      <c r="U3264">
        <v>1</v>
      </c>
      <c r="V3264">
        <v>859.37</v>
      </c>
      <c r="W3264">
        <v>13130003262</v>
      </c>
    </row>
    <row r="3265" spans="1:23" x14ac:dyDescent="0.2">
      <c r="A3265" s="1">
        <v>44796</v>
      </c>
      <c r="B3265" s="2">
        <v>0.78101851851851856</v>
      </c>
      <c r="C3265">
        <v>4263</v>
      </c>
      <c r="D3265">
        <v>13002561</v>
      </c>
      <c r="E3265">
        <v>13</v>
      </c>
      <c r="F3265">
        <v>22589</v>
      </c>
      <c r="G3265" t="s">
        <v>23</v>
      </c>
      <c r="H3265">
        <v>15</v>
      </c>
      <c r="I3265">
        <v>79191</v>
      </c>
      <c r="J3265" t="s">
        <v>40</v>
      </c>
      <c r="K3265" t="s">
        <v>45</v>
      </c>
      <c r="L3265" t="s">
        <v>26</v>
      </c>
      <c r="M3265">
        <v>2</v>
      </c>
      <c r="N3265">
        <v>243.42</v>
      </c>
      <c r="O3265">
        <v>330.7</v>
      </c>
      <c r="P3265">
        <v>16.54</v>
      </c>
      <c r="Q3265">
        <v>16.54</v>
      </c>
      <c r="R3265" t="s">
        <v>30</v>
      </c>
      <c r="S3265">
        <v>29</v>
      </c>
      <c r="T3265">
        <v>1</v>
      </c>
      <c r="U3265">
        <v>4</v>
      </c>
      <c r="V3265">
        <v>314.16000000000003</v>
      </c>
      <c r="W3265">
        <v>13130003263</v>
      </c>
    </row>
    <row r="3266" spans="1:23" x14ac:dyDescent="0.2">
      <c r="A3266" s="1">
        <v>44780</v>
      </c>
      <c r="B3266" s="2">
        <v>0.92381944444444442</v>
      </c>
      <c r="C3266">
        <v>4264</v>
      </c>
      <c r="D3266">
        <v>13002561</v>
      </c>
      <c r="E3266">
        <v>13</v>
      </c>
      <c r="F3266">
        <v>22589</v>
      </c>
      <c r="G3266" t="s">
        <v>23</v>
      </c>
      <c r="H3266">
        <v>15</v>
      </c>
      <c r="I3266">
        <v>60667</v>
      </c>
      <c r="J3266" t="s">
        <v>124</v>
      </c>
      <c r="K3266" t="s">
        <v>38</v>
      </c>
      <c r="L3266" t="s">
        <v>26</v>
      </c>
      <c r="M3266">
        <v>2</v>
      </c>
      <c r="N3266">
        <v>149.93</v>
      </c>
      <c r="O3266">
        <v>204.61</v>
      </c>
      <c r="P3266">
        <v>20.46</v>
      </c>
      <c r="Q3266">
        <v>20.46</v>
      </c>
      <c r="R3266" t="s">
        <v>30</v>
      </c>
      <c r="S3266">
        <v>29</v>
      </c>
      <c r="T3266">
        <v>1</v>
      </c>
      <c r="U3266">
        <v>4</v>
      </c>
      <c r="V3266">
        <v>184.15</v>
      </c>
      <c r="W3266">
        <v>13130003264</v>
      </c>
    </row>
    <row r="3267" spans="1:23" x14ac:dyDescent="0.2">
      <c r="A3267" s="1">
        <v>44774</v>
      </c>
      <c r="B3267" s="2">
        <v>0.6052777777777778</v>
      </c>
      <c r="C3267">
        <v>4265</v>
      </c>
      <c r="D3267">
        <v>13002561</v>
      </c>
      <c r="E3267">
        <v>13</v>
      </c>
      <c r="F3267">
        <v>22589</v>
      </c>
      <c r="G3267" t="s">
        <v>23</v>
      </c>
      <c r="H3267">
        <v>15</v>
      </c>
      <c r="I3267">
        <v>40145</v>
      </c>
      <c r="J3267" t="s">
        <v>98</v>
      </c>
      <c r="K3267" t="s">
        <v>28</v>
      </c>
      <c r="L3267" t="s">
        <v>29</v>
      </c>
      <c r="M3267">
        <v>2</v>
      </c>
      <c r="N3267">
        <v>424.69</v>
      </c>
      <c r="O3267">
        <v>616.66999999999996</v>
      </c>
      <c r="P3267">
        <v>30.83</v>
      </c>
      <c r="Q3267">
        <v>30.83</v>
      </c>
      <c r="R3267" t="s">
        <v>30</v>
      </c>
      <c r="S3267">
        <v>29</v>
      </c>
      <c r="T3267">
        <v>1</v>
      </c>
      <c r="U3267">
        <v>1</v>
      </c>
      <c r="V3267">
        <v>585.84</v>
      </c>
      <c r="W3267">
        <v>13130003265</v>
      </c>
    </row>
    <row r="3268" spans="1:23" x14ac:dyDescent="0.2">
      <c r="A3268" s="1">
        <v>44797</v>
      </c>
      <c r="B3268" s="2">
        <v>0.68275462962962963</v>
      </c>
      <c r="C3268">
        <v>4266</v>
      </c>
      <c r="D3268">
        <v>13002561</v>
      </c>
      <c r="E3268">
        <v>13</v>
      </c>
      <c r="F3268">
        <v>22589</v>
      </c>
      <c r="G3268" t="s">
        <v>23</v>
      </c>
      <c r="H3268">
        <v>15</v>
      </c>
      <c r="I3268">
        <v>44606</v>
      </c>
      <c r="J3268" t="s">
        <v>61</v>
      </c>
      <c r="K3268" t="s">
        <v>60</v>
      </c>
      <c r="L3268" t="s">
        <v>26</v>
      </c>
      <c r="M3268">
        <v>1</v>
      </c>
      <c r="N3268">
        <v>579.71</v>
      </c>
      <c r="O3268">
        <v>961.43</v>
      </c>
      <c r="P3268">
        <v>48.07</v>
      </c>
      <c r="Q3268">
        <v>48.07</v>
      </c>
      <c r="R3268" t="s">
        <v>30</v>
      </c>
      <c r="S3268">
        <v>29</v>
      </c>
      <c r="T3268">
        <v>1</v>
      </c>
      <c r="U3268">
        <v>4</v>
      </c>
      <c r="V3268">
        <v>913.36</v>
      </c>
      <c r="W3268">
        <v>13130003266</v>
      </c>
    </row>
    <row r="3269" spans="1:23" x14ac:dyDescent="0.2">
      <c r="A3269" s="1">
        <v>44779</v>
      </c>
      <c r="B3269" s="2">
        <v>0.51108796296296299</v>
      </c>
      <c r="C3269">
        <v>4267</v>
      </c>
      <c r="D3269">
        <v>13002561</v>
      </c>
      <c r="E3269">
        <v>13</v>
      </c>
      <c r="F3269">
        <v>22589</v>
      </c>
      <c r="G3269" t="s">
        <v>23</v>
      </c>
      <c r="H3269">
        <v>18</v>
      </c>
      <c r="I3269">
        <v>38132</v>
      </c>
      <c r="J3269" t="s">
        <v>75</v>
      </c>
      <c r="K3269" t="s">
        <v>25</v>
      </c>
      <c r="L3269" t="s">
        <v>47</v>
      </c>
      <c r="M3269">
        <v>2</v>
      </c>
      <c r="N3269">
        <v>344.11</v>
      </c>
      <c r="O3269">
        <v>570.49</v>
      </c>
      <c r="P3269">
        <v>57.05</v>
      </c>
      <c r="Q3269">
        <v>57.05</v>
      </c>
      <c r="R3269" t="s">
        <v>30</v>
      </c>
      <c r="S3269">
        <v>29</v>
      </c>
      <c r="T3269">
        <v>1</v>
      </c>
      <c r="U3269">
        <v>2</v>
      </c>
      <c r="V3269">
        <v>513.44000000000005</v>
      </c>
      <c r="W3269">
        <v>13130003267</v>
      </c>
    </row>
    <row r="3270" spans="1:23" x14ac:dyDescent="0.2">
      <c r="A3270" s="1">
        <v>44782</v>
      </c>
      <c r="B3270" s="2">
        <v>0.37546296296296289</v>
      </c>
      <c r="C3270">
        <v>4268</v>
      </c>
      <c r="D3270">
        <v>13002561</v>
      </c>
      <c r="E3270">
        <v>13</v>
      </c>
      <c r="F3270">
        <v>22589</v>
      </c>
      <c r="G3270" t="s">
        <v>23</v>
      </c>
      <c r="H3270">
        <v>18</v>
      </c>
      <c r="I3270">
        <v>38159</v>
      </c>
      <c r="J3270" t="s">
        <v>115</v>
      </c>
      <c r="K3270" t="s">
        <v>45</v>
      </c>
      <c r="L3270" t="s">
        <v>29</v>
      </c>
      <c r="M3270">
        <v>1</v>
      </c>
      <c r="N3270">
        <v>565.79999999999995</v>
      </c>
      <c r="O3270">
        <v>827.88</v>
      </c>
      <c r="P3270">
        <v>82.79</v>
      </c>
      <c r="Q3270">
        <v>82.79</v>
      </c>
      <c r="R3270" t="s">
        <v>30</v>
      </c>
      <c r="S3270">
        <v>29</v>
      </c>
      <c r="T3270">
        <v>1</v>
      </c>
      <c r="U3270">
        <v>4</v>
      </c>
      <c r="V3270">
        <v>745.09</v>
      </c>
      <c r="W3270">
        <v>13130003268</v>
      </c>
    </row>
    <row r="3271" spans="1:23" x14ac:dyDescent="0.2">
      <c r="A3271" s="1">
        <v>44778</v>
      </c>
      <c r="B3271" s="2">
        <v>0.67185185185185181</v>
      </c>
      <c r="C3271">
        <v>4269</v>
      </c>
      <c r="D3271">
        <v>13002561</v>
      </c>
      <c r="E3271">
        <v>13</v>
      </c>
      <c r="F3271">
        <v>22589</v>
      </c>
      <c r="G3271" t="s">
        <v>23</v>
      </c>
      <c r="H3271">
        <v>15</v>
      </c>
      <c r="I3271">
        <v>29085</v>
      </c>
      <c r="J3271" t="s">
        <v>120</v>
      </c>
      <c r="K3271" t="s">
        <v>60</v>
      </c>
      <c r="L3271" t="s">
        <v>32</v>
      </c>
      <c r="M3271">
        <v>2</v>
      </c>
      <c r="N3271">
        <v>316.16000000000003</v>
      </c>
      <c r="O3271">
        <v>425.09</v>
      </c>
      <c r="P3271">
        <v>0</v>
      </c>
      <c r="Q3271">
        <v>0</v>
      </c>
      <c r="S3271">
        <v>29</v>
      </c>
      <c r="T3271">
        <v>1</v>
      </c>
      <c r="U3271">
        <v>5</v>
      </c>
      <c r="V3271">
        <v>425.09</v>
      </c>
      <c r="W3271">
        <v>13130003269</v>
      </c>
    </row>
    <row r="3272" spans="1:23" x14ac:dyDescent="0.2">
      <c r="A3272" s="1">
        <v>44798</v>
      </c>
      <c r="B3272" s="2">
        <v>0.59548611111111116</v>
      </c>
      <c r="C3272">
        <v>4270</v>
      </c>
      <c r="D3272">
        <v>13002561</v>
      </c>
      <c r="E3272">
        <v>13</v>
      </c>
      <c r="F3272">
        <v>22589</v>
      </c>
      <c r="G3272" t="s">
        <v>23</v>
      </c>
      <c r="H3272">
        <v>18</v>
      </c>
      <c r="I3272">
        <v>69211</v>
      </c>
      <c r="J3272" t="s">
        <v>48</v>
      </c>
      <c r="K3272" t="s">
        <v>25</v>
      </c>
      <c r="L3272" t="s">
        <v>36</v>
      </c>
      <c r="M3272">
        <v>3</v>
      </c>
      <c r="N3272">
        <v>32.53</v>
      </c>
      <c r="O3272">
        <v>50.67</v>
      </c>
      <c r="P3272">
        <v>0</v>
      </c>
      <c r="Q3272">
        <v>0</v>
      </c>
      <c r="S3272">
        <v>29</v>
      </c>
      <c r="T3272">
        <v>1</v>
      </c>
      <c r="U3272">
        <v>2</v>
      </c>
      <c r="V3272">
        <v>50.67</v>
      </c>
      <c r="W3272">
        <v>13130003270</v>
      </c>
    </row>
    <row r="3273" spans="1:23" x14ac:dyDescent="0.2">
      <c r="A3273" s="1">
        <v>44778</v>
      </c>
      <c r="B3273" s="2">
        <v>0.93046296296296294</v>
      </c>
      <c r="C3273">
        <v>4271</v>
      </c>
      <c r="D3273">
        <v>13002561</v>
      </c>
      <c r="E3273">
        <v>13</v>
      </c>
      <c r="F3273">
        <v>22589</v>
      </c>
      <c r="G3273" t="s">
        <v>23</v>
      </c>
      <c r="H3273">
        <v>15</v>
      </c>
      <c r="I3273">
        <v>21664</v>
      </c>
      <c r="J3273" t="s">
        <v>49</v>
      </c>
      <c r="K3273" t="s">
        <v>25</v>
      </c>
      <c r="L3273" t="s">
        <v>47</v>
      </c>
      <c r="M3273">
        <v>3</v>
      </c>
      <c r="N3273">
        <v>464.36</v>
      </c>
      <c r="O3273">
        <v>650.33000000000004</v>
      </c>
      <c r="P3273">
        <v>0</v>
      </c>
      <c r="Q3273">
        <v>0</v>
      </c>
      <c r="S3273">
        <v>29</v>
      </c>
      <c r="T3273">
        <v>1</v>
      </c>
      <c r="U3273">
        <v>2</v>
      </c>
      <c r="V3273">
        <v>650.33000000000004</v>
      </c>
      <c r="W3273">
        <v>13130003271</v>
      </c>
    </row>
    <row r="3274" spans="1:23" x14ac:dyDescent="0.2">
      <c r="A3274" s="1">
        <v>44796</v>
      </c>
      <c r="B3274" s="2">
        <v>0.67895833333333333</v>
      </c>
      <c r="C3274">
        <v>4272</v>
      </c>
      <c r="D3274">
        <v>13002561</v>
      </c>
      <c r="E3274">
        <v>13</v>
      </c>
      <c r="F3274">
        <v>22589</v>
      </c>
      <c r="G3274" t="s">
        <v>23</v>
      </c>
      <c r="H3274">
        <v>15</v>
      </c>
      <c r="I3274">
        <v>86535</v>
      </c>
      <c r="J3274" t="s">
        <v>43</v>
      </c>
      <c r="K3274" t="s">
        <v>60</v>
      </c>
      <c r="L3274" t="s">
        <v>34</v>
      </c>
      <c r="M3274">
        <v>2</v>
      </c>
      <c r="N3274">
        <v>537.53</v>
      </c>
      <c r="O3274">
        <v>779.95</v>
      </c>
      <c r="P3274">
        <v>39</v>
      </c>
      <c r="Q3274">
        <v>39</v>
      </c>
      <c r="R3274" t="s">
        <v>30</v>
      </c>
      <c r="S3274">
        <v>29</v>
      </c>
      <c r="T3274">
        <v>1</v>
      </c>
      <c r="U3274">
        <v>2</v>
      </c>
      <c r="V3274">
        <v>740.95</v>
      </c>
      <c r="W3274">
        <v>13130003272</v>
      </c>
    </row>
    <row r="3275" spans="1:23" x14ac:dyDescent="0.2">
      <c r="A3275" s="1">
        <v>44803</v>
      </c>
      <c r="B3275" s="2">
        <v>0.87350694444444443</v>
      </c>
      <c r="C3275">
        <v>4273</v>
      </c>
      <c r="D3275">
        <v>13002561</v>
      </c>
      <c r="E3275">
        <v>13</v>
      </c>
      <c r="F3275">
        <v>22589</v>
      </c>
      <c r="G3275" t="s">
        <v>23</v>
      </c>
      <c r="H3275">
        <v>18</v>
      </c>
      <c r="I3275">
        <v>40573</v>
      </c>
      <c r="J3275" t="s">
        <v>41</v>
      </c>
      <c r="K3275" t="s">
        <v>45</v>
      </c>
      <c r="L3275" t="s">
        <v>32</v>
      </c>
      <c r="M3275">
        <v>3</v>
      </c>
      <c r="N3275">
        <v>230.52</v>
      </c>
      <c r="O3275">
        <v>353.84</v>
      </c>
      <c r="P3275">
        <v>17.690000000000001</v>
      </c>
      <c r="Q3275">
        <v>17.690000000000001</v>
      </c>
      <c r="R3275" t="s">
        <v>30</v>
      </c>
      <c r="S3275">
        <v>29</v>
      </c>
      <c r="T3275">
        <v>1</v>
      </c>
      <c r="U3275">
        <v>1</v>
      </c>
      <c r="V3275">
        <v>336.15</v>
      </c>
      <c r="W3275">
        <v>13130003273</v>
      </c>
    </row>
    <row r="3276" spans="1:23" x14ac:dyDescent="0.2">
      <c r="A3276" s="1">
        <v>44795</v>
      </c>
      <c r="B3276" s="2">
        <v>0.40453703703703697</v>
      </c>
      <c r="C3276">
        <v>4274</v>
      </c>
      <c r="D3276">
        <v>13002561</v>
      </c>
      <c r="E3276">
        <v>13</v>
      </c>
      <c r="F3276">
        <v>22589</v>
      </c>
      <c r="G3276" t="s">
        <v>23</v>
      </c>
      <c r="H3276">
        <v>15</v>
      </c>
      <c r="I3276">
        <v>74074</v>
      </c>
      <c r="J3276" t="s">
        <v>80</v>
      </c>
      <c r="K3276" t="s">
        <v>60</v>
      </c>
      <c r="L3276" t="s">
        <v>36</v>
      </c>
      <c r="M3276">
        <v>2</v>
      </c>
      <c r="N3276">
        <v>124.52</v>
      </c>
      <c r="O3276">
        <v>159.65</v>
      </c>
      <c r="P3276">
        <v>15.97</v>
      </c>
      <c r="Q3276">
        <v>15.97</v>
      </c>
      <c r="R3276" t="s">
        <v>30</v>
      </c>
      <c r="S3276">
        <v>29</v>
      </c>
      <c r="T3276">
        <v>1</v>
      </c>
      <c r="U3276">
        <v>4</v>
      </c>
      <c r="V3276">
        <v>143.68</v>
      </c>
      <c r="W3276">
        <v>13130003274</v>
      </c>
    </row>
    <row r="3277" spans="1:23" x14ac:dyDescent="0.2">
      <c r="A3277" s="1">
        <v>44785</v>
      </c>
      <c r="B3277" s="2">
        <v>0.34946759259259258</v>
      </c>
      <c r="C3277">
        <v>4275</v>
      </c>
      <c r="D3277">
        <v>13002561</v>
      </c>
      <c r="E3277">
        <v>13</v>
      </c>
      <c r="F3277">
        <v>22589</v>
      </c>
      <c r="G3277" t="s">
        <v>23</v>
      </c>
      <c r="H3277">
        <v>18</v>
      </c>
      <c r="I3277">
        <v>30659</v>
      </c>
      <c r="J3277" t="s">
        <v>61</v>
      </c>
      <c r="K3277" t="s">
        <v>28</v>
      </c>
      <c r="L3277" t="s">
        <v>39</v>
      </c>
      <c r="M3277">
        <v>2</v>
      </c>
      <c r="N3277">
        <v>415.6</v>
      </c>
      <c r="O3277">
        <v>629.44000000000005</v>
      </c>
      <c r="P3277">
        <v>0</v>
      </c>
      <c r="Q3277">
        <v>0</v>
      </c>
      <c r="S3277">
        <v>29</v>
      </c>
      <c r="T3277">
        <v>1</v>
      </c>
      <c r="U3277">
        <v>1</v>
      </c>
      <c r="V3277">
        <v>629.44000000000005</v>
      </c>
      <c r="W3277">
        <v>13130003275</v>
      </c>
    </row>
    <row r="3278" spans="1:23" x14ac:dyDescent="0.2">
      <c r="A3278" s="1">
        <v>44780</v>
      </c>
      <c r="B3278" s="2">
        <v>0.40380787037037041</v>
      </c>
      <c r="C3278">
        <v>4276</v>
      </c>
      <c r="D3278">
        <v>13002561</v>
      </c>
      <c r="E3278">
        <v>13</v>
      </c>
      <c r="F3278">
        <v>22589</v>
      </c>
      <c r="G3278" t="s">
        <v>23</v>
      </c>
      <c r="H3278">
        <v>15</v>
      </c>
      <c r="I3278">
        <v>79137</v>
      </c>
      <c r="J3278" t="s">
        <v>94</v>
      </c>
      <c r="K3278" t="s">
        <v>44</v>
      </c>
      <c r="L3278" t="s">
        <v>34</v>
      </c>
      <c r="M3278">
        <v>1</v>
      </c>
      <c r="N3278">
        <v>10.86</v>
      </c>
      <c r="O3278">
        <v>16.239999999999998</v>
      </c>
      <c r="P3278">
        <v>1.62</v>
      </c>
      <c r="Q3278">
        <v>1.62</v>
      </c>
      <c r="R3278" t="s">
        <v>30</v>
      </c>
      <c r="S3278">
        <v>29</v>
      </c>
      <c r="T3278">
        <v>1</v>
      </c>
      <c r="U3278">
        <v>3</v>
      </c>
      <c r="V3278">
        <v>14.62</v>
      </c>
      <c r="W3278">
        <v>13130003276</v>
      </c>
    </row>
    <row r="3279" spans="1:23" x14ac:dyDescent="0.2">
      <c r="A3279" s="1">
        <v>44774</v>
      </c>
      <c r="B3279" s="2">
        <v>0.8451157407407407</v>
      </c>
      <c r="C3279">
        <v>4277</v>
      </c>
      <c r="D3279">
        <v>13002561</v>
      </c>
      <c r="E3279">
        <v>13</v>
      </c>
      <c r="F3279">
        <v>22589</v>
      </c>
      <c r="G3279" t="s">
        <v>23</v>
      </c>
      <c r="H3279">
        <v>18</v>
      </c>
      <c r="I3279">
        <v>61671</v>
      </c>
      <c r="J3279" t="s">
        <v>127</v>
      </c>
      <c r="K3279" t="s">
        <v>44</v>
      </c>
      <c r="L3279" t="s">
        <v>34</v>
      </c>
      <c r="M3279">
        <v>2</v>
      </c>
      <c r="N3279">
        <v>318.58999999999997</v>
      </c>
      <c r="O3279">
        <v>445.5</v>
      </c>
      <c r="P3279">
        <v>22.28</v>
      </c>
      <c r="Q3279">
        <v>22.28</v>
      </c>
      <c r="R3279" t="s">
        <v>30</v>
      </c>
      <c r="S3279">
        <v>29</v>
      </c>
      <c r="T3279">
        <v>1</v>
      </c>
      <c r="U3279">
        <v>1</v>
      </c>
      <c r="V3279">
        <v>423.22</v>
      </c>
      <c r="W3279">
        <v>13130003277</v>
      </c>
    </row>
    <row r="3280" spans="1:23" x14ac:dyDescent="0.2">
      <c r="A3280" s="1">
        <v>44794</v>
      </c>
      <c r="B3280" s="2">
        <v>0.64315972222222217</v>
      </c>
      <c r="C3280">
        <v>4278</v>
      </c>
      <c r="D3280">
        <v>13002561</v>
      </c>
      <c r="E3280">
        <v>13</v>
      </c>
      <c r="F3280">
        <v>22589</v>
      </c>
      <c r="G3280" t="s">
        <v>23</v>
      </c>
      <c r="H3280">
        <v>15</v>
      </c>
      <c r="I3280">
        <v>11414</v>
      </c>
      <c r="J3280" t="s">
        <v>126</v>
      </c>
      <c r="K3280" t="s">
        <v>60</v>
      </c>
      <c r="L3280" t="s">
        <v>36</v>
      </c>
      <c r="M3280">
        <v>3</v>
      </c>
      <c r="N3280">
        <v>546.82000000000005</v>
      </c>
      <c r="O3280">
        <v>696.64</v>
      </c>
      <c r="P3280">
        <v>69.66</v>
      </c>
      <c r="Q3280">
        <v>69.66</v>
      </c>
      <c r="R3280" t="s">
        <v>30</v>
      </c>
      <c r="S3280">
        <v>29</v>
      </c>
      <c r="T3280">
        <v>1</v>
      </c>
      <c r="U3280">
        <v>3</v>
      </c>
      <c r="V3280">
        <v>626.98</v>
      </c>
      <c r="W3280">
        <v>13130003278</v>
      </c>
    </row>
    <row r="3281" spans="1:23" x14ac:dyDescent="0.2">
      <c r="A3281" s="1">
        <v>44790</v>
      </c>
      <c r="B3281" s="2">
        <v>0.71415509259259258</v>
      </c>
      <c r="C3281">
        <v>4279</v>
      </c>
      <c r="D3281">
        <v>13002561</v>
      </c>
      <c r="E3281">
        <v>13</v>
      </c>
      <c r="F3281">
        <v>22589</v>
      </c>
      <c r="G3281" t="s">
        <v>23</v>
      </c>
      <c r="H3281">
        <v>15</v>
      </c>
      <c r="I3281">
        <v>94680</v>
      </c>
      <c r="J3281" t="s">
        <v>79</v>
      </c>
      <c r="K3281" t="s">
        <v>60</v>
      </c>
      <c r="L3281" t="s">
        <v>36</v>
      </c>
      <c r="M3281">
        <v>1</v>
      </c>
      <c r="N3281">
        <v>250.49</v>
      </c>
      <c r="O3281">
        <v>364.69</v>
      </c>
      <c r="P3281">
        <v>36.47</v>
      </c>
      <c r="Q3281">
        <v>36.47</v>
      </c>
      <c r="R3281" t="s">
        <v>30</v>
      </c>
      <c r="S3281">
        <v>29</v>
      </c>
      <c r="T3281">
        <v>1</v>
      </c>
      <c r="U3281">
        <v>5</v>
      </c>
      <c r="V3281">
        <v>328.22</v>
      </c>
      <c r="W3281">
        <v>13130003279</v>
      </c>
    </row>
    <row r="3282" spans="1:23" x14ac:dyDescent="0.2">
      <c r="A3282" s="1">
        <v>44803</v>
      </c>
      <c r="B3282" s="2">
        <v>0.82028935185185181</v>
      </c>
      <c r="C3282">
        <v>4280</v>
      </c>
      <c r="D3282">
        <v>13002561</v>
      </c>
      <c r="E3282">
        <v>13</v>
      </c>
      <c r="F3282">
        <v>22589</v>
      </c>
      <c r="G3282" t="s">
        <v>23</v>
      </c>
      <c r="H3282">
        <v>15</v>
      </c>
      <c r="I3282">
        <v>24244</v>
      </c>
      <c r="J3282" t="s">
        <v>109</v>
      </c>
      <c r="K3282" t="s">
        <v>28</v>
      </c>
      <c r="L3282" t="s">
        <v>26</v>
      </c>
      <c r="M3282">
        <v>3</v>
      </c>
      <c r="N3282">
        <v>447.29</v>
      </c>
      <c r="O3282">
        <v>733.51</v>
      </c>
      <c r="P3282">
        <v>73.349999999999994</v>
      </c>
      <c r="Q3282">
        <v>73.349999999999994</v>
      </c>
      <c r="R3282" t="s">
        <v>30</v>
      </c>
      <c r="S3282">
        <v>29</v>
      </c>
      <c r="T3282">
        <v>1</v>
      </c>
      <c r="U3282">
        <v>3</v>
      </c>
      <c r="V3282">
        <v>660.16</v>
      </c>
      <c r="W3282">
        <v>13130003280</v>
      </c>
    </row>
    <row r="3283" spans="1:23" x14ac:dyDescent="0.2">
      <c r="A3283" s="1">
        <v>44774</v>
      </c>
      <c r="B3283" s="2">
        <v>0.36129629629629628</v>
      </c>
      <c r="C3283">
        <v>4281</v>
      </c>
      <c r="D3283">
        <v>13002561</v>
      </c>
      <c r="E3283">
        <v>13</v>
      </c>
      <c r="F3283">
        <v>22589</v>
      </c>
      <c r="G3283" t="s">
        <v>23</v>
      </c>
      <c r="H3283">
        <v>18</v>
      </c>
      <c r="I3283">
        <v>82738</v>
      </c>
      <c r="J3283" t="s">
        <v>57</v>
      </c>
      <c r="K3283" t="s">
        <v>25</v>
      </c>
      <c r="L3283" t="s">
        <v>36</v>
      </c>
      <c r="M3283">
        <v>1</v>
      </c>
      <c r="N3283">
        <v>562.48</v>
      </c>
      <c r="O3283">
        <v>841.83</v>
      </c>
      <c r="P3283">
        <v>0</v>
      </c>
      <c r="Q3283">
        <v>0</v>
      </c>
      <c r="S3283">
        <v>29</v>
      </c>
      <c r="T3283">
        <v>1</v>
      </c>
      <c r="U3283">
        <v>4</v>
      </c>
      <c r="V3283">
        <v>841.83</v>
      </c>
      <c r="W3283">
        <v>13130003281</v>
      </c>
    </row>
    <row r="3284" spans="1:23" x14ac:dyDescent="0.2">
      <c r="A3284" s="1">
        <v>44803</v>
      </c>
      <c r="B3284" s="2">
        <v>0.59039351851851851</v>
      </c>
      <c r="C3284">
        <v>4282</v>
      </c>
      <c r="D3284">
        <v>13002561</v>
      </c>
      <c r="E3284">
        <v>13</v>
      </c>
      <c r="F3284">
        <v>22589</v>
      </c>
      <c r="G3284" t="s">
        <v>23</v>
      </c>
      <c r="H3284">
        <v>15</v>
      </c>
      <c r="I3284">
        <v>62283</v>
      </c>
      <c r="J3284" t="s">
        <v>94</v>
      </c>
      <c r="K3284" t="s">
        <v>44</v>
      </c>
      <c r="L3284" t="s">
        <v>51</v>
      </c>
      <c r="M3284">
        <v>1</v>
      </c>
      <c r="N3284">
        <v>12.28</v>
      </c>
      <c r="O3284">
        <v>15.66</v>
      </c>
      <c r="P3284">
        <v>0.78</v>
      </c>
      <c r="Q3284">
        <v>0.78</v>
      </c>
      <c r="R3284" t="s">
        <v>30</v>
      </c>
      <c r="S3284">
        <v>29</v>
      </c>
      <c r="T3284">
        <v>1</v>
      </c>
      <c r="U3284">
        <v>6</v>
      </c>
      <c r="V3284">
        <v>14.88</v>
      </c>
      <c r="W3284">
        <v>13130003282</v>
      </c>
    </row>
    <row r="3285" spans="1:23" x14ac:dyDescent="0.2">
      <c r="A3285" s="1">
        <v>44796</v>
      </c>
      <c r="B3285" s="2">
        <v>0.68916666666666671</v>
      </c>
      <c r="C3285">
        <v>4283</v>
      </c>
      <c r="D3285">
        <v>13002561</v>
      </c>
      <c r="E3285">
        <v>13</v>
      </c>
      <c r="F3285">
        <v>22589</v>
      </c>
      <c r="G3285" t="s">
        <v>23</v>
      </c>
      <c r="H3285">
        <v>18</v>
      </c>
      <c r="I3285">
        <v>59438</v>
      </c>
      <c r="J3285" t="s">
        <v>123</v>
      </c>
      <c r="K3285" t="s">
        <v>44</v>
      </c>
      <c r="L3285" t="s">
        <v>26</v>
      </c>
      <c r="M3285">
        <v>1</v>
      </c>
      <c r="N3285">
        <v>470.97</v>
      </c>
      <c r="O3285">
        <v>713.22</v>
      </c>
      <c r="P3285">
        <v>0</v>
      </c>
      <c r="Q3285">
        <v>0</v>
      </c>
      <c r="S3285">
        <v>29</v>
      </c>
      <c r="T3285">
        <v>1</v>
      </c>
      <c r="U3285">
        <v>6</v>
      </c>
      <c r="V3285">
        <v>713.22</v>
      </c>
      <c r="W3285">
        <v>13130003283</v>
      </c>
    </row>
    <row r="3286" spans="1:23" x14ac:dyDescent="0.2">
      <c r="A3286" s="1">
        <v>44779</v>
      </c>
      <c r="B3286" s="2">
        <v>0.82868055555555553</v>
      </c>
      <c r="C3286">
        <v>4284</v>
      </c>
      <c r="D3286">
        <v>13002561</v>
      </c>
      <c r="E3286">
        <v>13</v>
      </c>
      <c r="F3286">
        <v>22589</v>
      </c>
      <c r="G3286" t="s">
        <v>23</v>
      </c>
      <c r="H3286">
        <v>18</v>
      </c>
      <c r="I3286">
        <v>79787</v>
      </c>
      <c r="J3286" t="s">
        <v>57</v>
      </c>
      <c r="K3286" t="s">
        <v>45</v>
      </c>
      <c r="L3286" t="s">
        <v>34</v>
      </c>
      <c r="M3286">
        <v>2</v>
      </c>
      <c r="N3286">
        <v>410.78</v>
      </c>
      <c r="O3286">
        <v>579.53</v>
      </c>
      <c r="P3286">
        <v>57.95</v>
      </c>
      <c r="Q3286">
        <v>57.95</v>
      </c>
      <c r="R3286" t="s">
        <v>30</v>
      </c>
      <c r="S3286">
        <v>29</v>
      </c>
      <c r="T3286">
        <v>1</v>
      </c>
      <c r="U3286">
        <v>6</v>
      </c>
      <c r="V3286">
        <v>521.58000000000004</v>
      </c>
      <c r="W3286">
        <v>13130003284</v>
      </c>
    </row>
    <row r="3287" spans="1:23" x14ac:dyDescent="0.2">
      <c r="A3287" s="1">
        <v>44790</v>
      </c>
      <c r="B3287" s="2">
        <v>0.63938657407407407</v>
      </c>
      <c r="C3287">
        <v>4285</v>
      </c>
      <c r="D3287">
        <v>13002561</v>
      </c>
      <c r="E3287">
        <v>13</v>
      </c>
      <c r="F3287">
        <v>22589</v>
      </c>
      <c r="G3287" t="s">
        <v>23</v>
      </c>
      <c r="H3287">
        <v>18</v>
      </c>
      <c r="I3287">
        <v>13396</v>
      </c>
      <c r="J3287" t="s">
        <v>50</v>
      </c>
      <c r="K3287" t="s">
        <v>38</v>
      </c>
      <c r="L3287" t="s">
        <v>47</v>
      </c>
      <c r="M3287">
        <v>2</v>
      </c>
      <c r="N3287">
        <v>83.53</v>
      </c>
      <c r="O3287">
        <v>131.30000000000001</v>
      </c>
      <c r="P3287">
        <v>6.57</v>
      </c>
      <c r="Q3287">
        <v>6.57</v>
      </c>
      <c r="R3287" t="s">
        <v>30</v>
      </c>
      <c r="S3287">
        <v>29</v>
      </c>
      <c r="T3287">
        <v>1</v>
      </c>
      <c r="U3287">
        <v>6</v>
      </c>
      <c r="V3287">
        <v>124.73</v>
      </c>
      <c r="W3287">
        <v>13130003285</v>
      </c>
    </row>
    <row r="3288" spans="1:23" x14ac:dyDescent="0.2">
      <c r="A3288" s="1">
        <v>44804</v>
      </c>
      <c r="B3288" s="2">
        <v>0.56474537037037043</v>
      </c>
      <c r="C3288">
        <v>4286</v>
      </c>
      <c r="D3288">
        <v>13002561</v>
      </c>
      <c r="E3288">
        <v>13</v>
      </c>
      <c r="F3288">
        <v>22589</v>
      </c>
      <c r="G3288" t="s">
        <v>23</v>
      </c>
      <c r="H3288">
        <v>15</v>
      </c>
      <c r="I3288">
        <v>35751</v>
      </c>
      <c r="J3288" t="s">
        <v>116</v>
      </c>
      <c r="K3288" t="s">
        <v>60</v>
      </c>
      <c r="L3288" t="s">
        <v>51</v>
      </c>
      <c r="M3288">
        <v>3</v>
      </c>
      <c r="N3288">
        <v>137.1</v>
      </c>
      <c r="O3288">
        <v>208.19</v>
      </c>
      <c r="P3288">
        <v>20.82</v>
      </c>
      <c r="Q3288">
        <v>20.82</v>
      </c>
      <c r="R3288" t="s">
        <v>30</v>
      </c>
      <c r="S3288">
        <v>29</v>
      </c>
      <c r="T3288">
        <v>1</v>
      </c>
      <c r="U3288">
        <v>5</v>
      </c>
      <c r="V3288">
        <v>187.37</v>
      </c>
      <c r="W3288">
        <v>13130003286</v>
      </c>
    </row>
    <row r="3289" spans="1:23" x14ac:dyDescent="0.2">
      <c r="A3289" s="1">
        <v>44783</v>
      </c>
      <c r="B3289" s="2">
        <v>0.81952546296296291</v>
      </c>
      <c r="C3289">
        <v>4287</v>
      </c>
      <c r="D3289">
        <v>13002561</v>
      </c>
      <c r="E3289">
        <v>13</v>
      </c>
      <c r="F3289">
        <v>22589</v>
      </c>
      <c r="G3289" t="s">
        <v>23</v>
      </c>
      <c r="H3289">
        <v>15</v>
      </c>
      <c r="I3289">
        <v>46333</v>
      </c>
      <c r="J3289" t="s">
        <v>88</v>
      </c>
      <c r="K3289" t="s">
        <v>38</v>
      </c>
      <c r="L3289" t="s">
        <v>26</v>
      </c>
      <c r="M3289">
        <v>2</v>
      </c>
      <c r="N3289">
        <v>233.53</v>
      </c>
      <c r="O3289">
        <v>327.98</v>
      </c>
      <c r="P3289">
        <v>32.799999999999997</v>
      </c>
      <c r="Q3289">
        <v>32.799999999999997</v>
      </c>
      <c r="R3289" t="s">
        <v>30</v>
      </c>
      <c r="S3289">
        <v>29</v>
      </c>
      <c r="T3289">
        <v>1</v>
      </c>
      <c r="U3289">
        <v>4</v>
      </c>
      <c r="V3289">
        <v>295.18</v>
      </c>
      <c r="W3289">
        <v>13130003287</v>
      </c>
    </row>
    <row r="3290" spans="1:23" x14ac:dyDescent="0.2">
      <c r="A3290" s="1">
        <v>44799</v>
      </c>
      <c r="B3290" s="2">
        <v>0.4277199074074074</v>
      </c>
      <c r="C3290">
        <v>4288</v>
      </c>
      <c r="D3290">
        <v>13002561</v>
      </c>
      <c r="E3290">
        <v>13</v>
      </c>
      <c r="F3290">
        <v>22589</v>
      </c>
      <c r="G3290" t="s">
        <v>23</v>
      </c>
      <c r="H3290">
        <v>15</v>
      </c>
      <c r="I3290">
        <v>83261</v>
      </c>
      <c r="J3290" t="s">
        <v>52</v>
      </c>
      <c r="K3290" t="s">
        <v>28</v>
      </c>
      <c r="L3290" t="s">
        <v>29</v>
      </c>
      <c r="M3290">
        <v>3</v>
      </c>
      <c r="N3290">
        <v>313.26</v>
      </c>
      <c r="O3290">
        <v>395.33</v>
      </c>
      <c r="P3290">
        <v>19.77</v>
      </c>
      <c r="Q3290">
        <v>19.77</v>
      </c>
      <c r="R3290" t="s">
        <v>30</v>
      </c>
      <c r="S3290">
        <v>29</v>
      </c>
      <c r="T3290">
        <v>1</v>
      </c>
      <c r="U3290">
        <v>5</v>
      </c>
      <c r="V3290">
        <v>375.56</v>
      </c>
      <c r="W3290">
        <v>13130003288</v>
      </c>
    </row>
    <row r="3291" spans="1:23" x14ac:dyDescent="0.2">
      <c r="A3291" s="1">
        <v>44781</v>
      </c>
      <c r="B3291" s="2">
        <v>0.54076388888888893</v>
      </c>
      <c r="C3291">
        <v>4289</v>
      </c>
      <c r="D3291">
        <v>13002561</v>
      </c>
      <c r="E3291">
        <v>13</v>
      </c>
      <c r="F3291">
        <v>22589</v>
      </c>
      <c r="G3291" t="s">
        <v>23</v>
      </c>
      <c r="H3291">
        <v>15</v>
      </c>
      <c r="I3291">
        <v>13439</v>
      </c>
      <c r="J3291" t="s">
        <v>72</v>
      </c>
      <c r="K3291" t="s">
        <v>25</v>
      </c>
      <c r="L3291" t="s">
        <v>51</v>
      </c>
      <c r="M3291">
        <v>2</v>
      </c>
      <c r="N3291">
        <v>13.72</v>
      </c>
      <c r="O3291">
        <v>20.440000000000001</v>
      </c>
      <c r="P3291">
        <v>2.04</v>
      </c>
      <c r="Q3291">
        <v>2.04</v>
      </c>
      <c r="R3291" t="s">
        <v>30</v>
      </c>
      <c r="S3291">
        <v>29</v>
      </c>
      <c r="T3291">
        <v>1</v>
      </c>
      <c r="U3291">
        <v>2</v>
      </c>
      <c r="V3291">
        <v>18.399999999999999</v>
      </c>
      <c r="W3291">
        <v>13130003289</v>
      </c>
    </row>
    <row r="3292" spans="1:23" x14ac:dyDescent="0.2">
      <c r="A3292" s="1">
        <v>44788</v>
      </c>
      <c r="B3292" s="2">
        <v>0.54037037037037039</v>
      </c>
      <c r="C3292">
        <v>4290</v>
      </c>
      <c r="D3292">
        <v>13002561</v>
      </c>
      <c r="E3292">
        <v>13</v>
      </c>
      <c r="F3292">
        <v>22589</v>
      </c>
      <c r="G3292" t="s">
        <v>23</v>
      </c>
      <c r="H3292">
        <v>18</v>
      </c>
      <c r="I3292">
        <v>79257</v>
      </c>
      <c r="J3292" t="s">
        <v>35</v>
      </c>
      <c r="K3292" t="s">
        <v>45</v>
      </c>
      <c r="L3292" t="s">
        <v>34</v>
      </c>
      <c r="M3292">
        <v>2</v>
      </c>
      <c r="N3292">
        <v>474.67</v>
      </c>
      <c r="O3292">
        <v>703.14</v>
      </c>
      <c r="P3292">
        <v>0</v>
      </c>
      <c r="Q3292">
        <v>0</v>
      </c>
      <c r="S3292">
        <v>29</v>
      </c>
      <c r="T3292">
        <v>1</v>
      </c>
      <c r="U3292">
        <v>2</v>
      </c>
      <c r="V3292">
        <v>703.14</v>
      </c>
      <c r="W3292">
        <v>13130003290</v>
      </c>
    </row>
    <row r="3293" spans="1:23" x14ac:dyDescent="0.2">
      <c r="A3293" s="1">
        <v>44778</v>
      </c>
      <c r="B3293" s="2">
        <v>0.9355324074074074</v>
      </c>
      <c r="C3293">
        <v>4291</v>
      </c>
      <c r="D3293">
        <v>13002561</v>
      </c>
      <c r="E3293">
        <v>13</v>
      </c>
      <c r="F3293">
        <v>22589</v>
      </c>
      <c r="G3293" t="s">
        <v>23</v>
      </c>
      <c r="H3293">
        <v>18</v>
      </c>
      <c r="I3293">
        <v>16024</v>
      </c>
      <c r="J3293" t="s">
        <v>43</v>
      </c>
      <c r="K3293" t="s">
        <v>25</v>
      </c>
      <c r="L3293" t="s">
        <v>26</v>
      </c>
      <c r="M3293">
        <v>3</v>
      </c>
      <c r="N3293">
        <v>463.7</v>
      </c>
      <c r="O3293">
        <v>693.62</v>
      </c>
      <c r="P3293">
        <v>34.68</v>
      </c>
      <c r="Q3293">
        <v>34.68</v>
      </c>
      <c r="R3293" t="s">
        <v>30</v>
      </c>
      <c r="S3293">
        <v>29</v>
      </c>
      <c r="T3293">
        <v>1</v>
      </c>
      <c r="U3293">
        <v>2</v>
      </c>
      <c r="V3293">
        <v>658.94</v>
      </c>
      <c r="W3293">
        <v>13130003291</v>
      </c>
    </row>
    <row r="3294" spans="1:23" x14ac:dyDescent="0.2">
      <c r="A3294" s="1">
        <v>44779</v>
      </c>
      <c r="B3294" s="2">
        <v>0.54234953703703703</v>
      </c>
      <c r="C3294">
        <v>4292</v>
      </c>
      <c r="D3294">
        <v>13002561</v>
      </c>
      <c r="E3294">
        <v>13</v>
      </c>
      <c r="F3294">
        <v>22589</v>
      </c>
      <c r="G3294" t="s">
        <v>23</v>
      </c>
      <c r="H3294">
        <v>18</v>
      </c>
      <c r="I3294">
        <v>79161</v>
      </c>
      <c r="J3294" t="s">
        <v>98</v>
      </c>
      <c r="K3294" t="s">
        <v>38</v>
      </c>
      <c r="L3294" t="s">
        <v>39</v>
      </c>
      <c r="M3294">
        <v>2</v>
      </c>
      <c r="N3294">
        <v>130.28</v>
      </c>
      <c r="O3294">
        <v>170.08</v>
      </c>
      <c r="P3294">
        <v>0</v>
      </c>
      <c r="Q3294">
        <v>0</v>
      </c>
      <c r="S3294">
        <v>29</v>
      </c>
      <c r="T3294">
        <v>1</v>
      </c>
      <c r="U3294">
        <v>3</v>
      </c>
      <c r="V3294">
        <v>170.08</v>
      </c>
      <c r="W3294">
        <v>13130003292</v>
      </c>
    </row>
    <row r="3295" spans="1:23" x14ac:dyDescent="0.2">
      <c r="A3295" s="1">
        <v>44803</v>
      </c>
      <c r="B3295" s="2">
        <v>0.72395833333333337</v>
      </c>
      <c r="C3295">
        <v>4293</v>
      </c>
      <c r="D3295">
        <v>13002561</v>
      </c>
      <c r="E3295">
        <v>13</v>
      </c>
      <c r="F3295">
        <v>22589</v>
      </c>
      <c r="G3295" t="s">
        <v>23</v>
      </c>
      <c r="H3295">
        <v>18</v>
      </c>
      <c r="I3295">
        <v>95988</v>
      </c>
      <c r="J3295" t="s">
        <v>52</v>
      </c>
      <c r="K3295" t="s">
        <v>28</v>
      </c>
      <c r="L3295" t="s">
        <v>39</v>
      </c>
      <c r="M3295">
        <v>3</v>
      </c>
      <c r="N3295">
        <v>215.67</v>
      </c>
      <c r="O3295">
        <v>345.14</v>
      </c>
      <c r="P3295">
        <v>34.51</v>
      </c>
      <c r="Q3295">
        <v>34.51</v>
      </c>
      <c r="R3295" t="s">
        <v>30</v>
      </c>
      <c r="S3295">
        <v>29</v>
      </c>
      <c r="T3295">
        <v>1</v>
      </c>
      <c r="U3295">
        <v>6</v>
      </c>
      <c r="V3295">
        <v>310.63</v>
      </c>
      <c r="W3295">
        <v>13130003293</v>
      </c>
    </row>
    <row r="3296" spans="1:23" x14ac:dyDescent="0.2">
      <c r="A3296" s="1">
        <v>44797</v>
      </c>
      <c r="B3296" s="2">
        <v>0.76401620370370371</v>
      </c>
      <c r="C3296">
        <v>4294</v>
      </c>
      <c r="D3296">
        <v>13002561</v>
      </c>
      <c r="E3296">
        <v>13</v>
      </c>
      <c r="F3296">
        <v>22589</v>
      </c>
      <c r="G3296" t="s">
        <v>23</v>
      </c>
      <c r="H3296">
        <v>18</v>
      </c>
      <c r="I3296">
        <v>69616</v>
      </c>
      <c r="J3296" t="s">
        <v>94</v>
      </c>
      <c r="K3296" t="s">
        <v>45</v>
      </c>
      <c r="L3296" t="s">
        <v>51</v>
      </c>
      <c r="M3296">
        <v>3</v>
      </c>
      <c r="N3296">
        <v>579.57000000000005</v>
      </c>
      <c r="O3296">
        <v>940.29</v>
      </c>
      <c r="P3296">
        <v>0</v>
      </c>
      <c r="Q3296">
        <v>0</v>
      </c>
      <c r="S3296">
        <v>29</v>
      </c>
      <c r="T3296">
        <v>1</v>
      </c>
      <c r="U3296">
        <v>1</v>
      </c>
      <c r="V3296">
        <v>940.29</v>
      </c>
      <c r="W3296">
        <v>13130003294</v>
      </c>
    </row>
    <row r="3297" spans="1:23" x14ac:dyDescent="0.2">
      <c r="A3297" s="1">
        <v>44775</v>
      </c>
      <c r="B3297" s="2">
        <v>0.67929398148148146</v>
      </c>
      <c r="C3297">
        <v>4295</v>
      </c>
      <c r="D3297">
        <v>13002561</v>
      </c>
      <c r="E3297">
        <v>13</v>
      </c>
      <c r="F3297">
        <v>22589</v>
      </c>
      <c r="G3297" t="s">
        <v>23</v>
      </c>
      <c r="H3297">
        <v>15</v>
      </c>
      <c r="I3297">
        <v>25107</v>
      </c>
      <c r="J3297" t="s">
        <v>106</v>
      </c>
      <c r="K3297" t="s">
        <v>38</v>
      </c>
      <c r="L3297" t="s">
        <v>26</v>
      </c>
      <c r="M3297">
        <v>2</v>
      </c>
      <c r="N3297">
        <v>482</v>
      </c>
      <c r="O3297">
        <v>678.25</v>
      </c>
      <c r="P3297">
        <v>0</v>
      </c>
      <c r="Q3297">
        <v>0</v>
      </c>
      <c r="S3297">
        <v>29</v>
      </c>
      <c r="T3297">
        <v>1</v>
      </c>
      <c r="U3297">
        <v>4</v>
      </c>
      <c r="V3297">
        <v>678.25</v>
      </c>
      <c r="W3297">
        <v>13130003295</v>
      </c>
    </row>
    <row r="3298" spans="1:23" x14ac:dyDescent="0.2">
      <c r="A3298" s="1">
        <v>44774</v>
      </c>
      <c r="B3298" s="2">
        <v>0.38771990740740742</v>
      </c>
      <c r="C3298">
        <v>4296</v>
      </c>
      <c r="D3298">
        <v>13002561</v>
      </c>
      <c r="E3298">
        <v>13</v>
      </c>
      <c r="F3298">
        <v>22589</v>
      </c>
      <c r="G3298" t="s">
        <v>23</v>
      </c>
      <c r="H3298">
        <v>15</v>
      </c>
      <c r="I3298">
        <v>88913</v>
      </c>
      <c r="J3298" t="s">
        <v>69</v>
      </c>
      <c r="K3298" t="s">
        <v>45</v>
      </c>
      <c r="L3298" t="s">
        <v>32</v>
      </c>
      <c r="M3298">
        <v>2</v>
      </c>
      <c r="N3298">
        <v>469.83</v>
      </c>
      <c r="O3298">
        <v>727.93</v>
      </c>
      <c r="P3298">
        <v>36.4</v>
      </c>
      <c r="Q3298">
        <v>36.4</v>
      </c>
      <c r="R3298" t="s">
        <v>30</v>
      </c>
      <c r="S3298">
        <v>29</v>
      </c>
      <c r="T3298">
        <v>1</v>
      </c>
      <c r="U3298">
        <v>5</v>
      </c>
      <c r="V3298">
        <v>691.53</v>
      </c>
      <c r="W3298">
        <v>13130003296</v>
      </c>
    </row>
    <row r="3299" spans="1:23" x14ac:dyDescent="0.2">
      <c r="A3299" s="1">
        <v>44784</v>
      </c>
      <c r="B3299" s="2">
        <v>0.95554398148148145</v>
      </c>
      <c r="C3299">
        <v>4297</v>
      </c>
      <c r="D3299">
        <v>13002561</v>
      </c>
      <c r="E3299">
        <v>13</v>
      </c>
      <c r="F3299">
        <v>22589</v>
      </c>
      <c r="G3299" t="s">
        <v>23</v>
      </c>
      <c r="H3299">
        <v>15</v>
      </c>
      <c r="I3299">
        <v>39940</v>
      </c>
      <c r="J3299" t="s">
        <v>126</v>
      </c>
      <c r="K3299" t="s">
        <v>25</v>
      </c>
      <c r="L3299" t="s">
        <v>29</v>
      </c>
      <c r="M3299">
        <v>1</v>
      </c>
      <c r="N3299">
        <v>552.59</v>
      </c>
      <c r="O3299">
        <v>740.21</v>
      </c>
      <c r="P3299">
        <v>0</v>
      </c>
      <c r="Q3299">
        <v>0</v>
      </c>
      <c r="S3299">
        <v>29</v>
      </c>
      <c r="T3299">
        <v>1</v>
      </c>
      <c r="U3299">
        <v>5</v>
      </c>
      <c r="V3299">
        <v>740.21</v>
      </c>
      <c r="W3299">
        <v>13130003297</v>
      </c>
    </row>
    <row r="3300" spans="1:23" x14ac:dyDescent="0.2">
      <c r="A3300" s="1">
        <v>44783</v>
      </c>
      <c r="B3300" s="2">
        <v>0.4730787037037037</v>
      </c>
      <c r="C3300">
        <v>4298</v>
      </c>
      <c r="D3300">
        <v>13002561</v>
      </c>
      <c r="E3300">
        <v>13</v>
      </c>
      <c r="F3300">
        <v>22589</v>
      </c>
      <c r="G3300" t="s">
        <v>23</v>
      </c>
      <c r="H3300">
        <v>18</v>
      </c>
      <c r="I3300">
        <v>96828</v>
      </c>
      <c r="J3300" t="s">
        <v>119</v>
      </c>
      <c r="K3300" t="s">
        <v>45</v>
      </c>
      <c r="L3300" t="s">
        <v>47</v>
      </c>
      <c r="M3300">
        <v>3</v>
      </c>
      <c r="N3300">
        <v>137.1</v>
      </c>
      <c r="O3300">
        <v>228.49</v>
      </c>
      <c r="P3300">
        <v>22.85</v>
      </c>
      <c r="Q3300">
        <v>22.85</v>
      </c>
      <c r="R3300" t="s">
        <v>30</v>
      </c>
      <c r="S3300">
        <v>29</v>
      </c>
      <c r="T3300">
        <v>1</v>
      </c>
      <c r="U3300">
        <v>1</v>
      </c>
      <c r="V3300">
        <v>205.64</v>
      </c>
      <c r="W3300">
        <v>13130003298</v>
      </c>
    </row>
    <row r="3301" spans="1:23" x14ac:dyDescent="0.2">
      <c r="A3301" s="1">
        <v>44779</v>
      </c>
      <c r="B3301" s="2">
        <v>0.45348379629629632</v>
      </c>
      <c r="C3301">
        <v>4299</v>
      </c>
      <c r="D3301">
        <v>13002561</v>
      </c>
      <c r="E3301">
        <v>13</v>
      </c>
      <c r="F3301">
        <v>22589</v>
      </c>
      <c r="G3301" t="s">
        <v>23</v>
      </c>
      <c r="H3301">
        <v>15</v>
      </c>
      <c r="I3301">
        <v>37018</v>
      </c>
      <c r="J3301" t="s">
        <v>97</v>
      </c>
      <c r="K3301" t="s">
        <v>25</v>
      </c>
      <c r="L3301" t="s">
        <v>39</v>
      </c>
      <c r="M3301">
        <v>3</v>
      </c>
      <c r="N3301">
        <v>228.21</v>
      </c>
      <c r="O3301">
        <v>357.89</v>
      </c>
      <c r="P3301">
        <v>0</v>
      </c>
      <c r="Q3301">
        <v>0</v>
      </c>
      <c r="S3301">
        <v>29</v>
      </c>
      <c r="T3301">
        <v>1</v>
      </c>
      <c r="U3301">
        <v>4</v>
      </c>
      <c r="V3301">
        <v>357.89</v>
      </c>
      <c r="W3301">
        <v>13130003299</v>
      </c>
    </row>
    <row r="3302" spans="1:23" x14ac:dyDescent="0.2">
      <c r="A3302" s="1">
        <v>44792</v>
      </c>
      <c r="B3302" s="2">
        <v>0.74736111111111114</v>
      </c>
      <c r="C3302">
        <v>4300</v>
      </c>
      <c r="D3302">
        <v>13002561</v>
      </c>
      <c r="E3302">
        <v>13</v>
      </c>
      <c r="F3302">
        <v>22589</v>
      </c>
      <c r="G3302" t="s">
        <v>23</v>
      </c>
      <c r="H3302">
        <v>18</v>
      </c>
      <c r="I3302">
        <v>93868</v>
      </c>
      <c r="J3302" t="s">
        <v>65</v>
      </c>
      <c r="K3302" t="s">
        <v>44</v>
      </c>
      <c r="L3302" t="s">
        <v>36</v>
      </c>
      <c r="M3302">
        <v>3</v>
      </c>
      <c r="N3302">
        <v>496.07</v>
      </c>
      <c r="O3302">
        <v>800.86</v>
      </c>
      <c r="P3302">
        <v>0</v>
      </c>
      <c r="Q3302">
        <v>0</v>
      </c>
      <c r="S3302">
        <v>29</v>
      </c>
      <c r="T3302">
        <v>1</v>
      </c>
      <c r="U3302">
        <v>5</v>
      </c>
      <c r="V3302">
        <v>800.86</v>
      </c>
      <c r="W3302">
        <v>13130003300</v>
      </c>
    </row>
    <row r="3303" spans="1:23" x14ac:dyDescent="0.2">
      <c r="A3303" s="1">
        <v>44800</v>
      </c>
      <c r="B3303" s="2">
        <v>0.60752314814814812</v>
      </c>
      <c r="C3303">
        <v>4301</v>
      </c>
      <c r="D3303">
        <v>13002561</v>
      </c>
      <c r="E3303">
        <v>13</v>
      </c>
      <c r="F3303">
        <v>22589</v>
      </c>
      <c r="G3303" t="s">
        <v>23</v>
      </c>
      <c r="H3303">
        <v>15</v>
      </c>
      <c r="I3303">
        <v>90186</v>
      </c>
      <c r="J3303" t="s">
        <v>88</v>
      </c>
      <c r="K3303" t="s">
        <v>44</v>
      </c>
      <c r="L3303" t="s">
        <v>26</v>
      </c>
      <c r="M3303">
        <v>1</v>
      </c>
      <c r="N3303">
        <v>278.61</v>
      </c>
      <c r="O3303">
        <v>471.54</v>
      </c>
      <c r="P3303">
        <v>47.15</v>
      </c>
      <c r="Q3303">
        <v>47.15</v>
      </c>
      <c r="R3303" t="s">
        <v>30</v>
      </c>
      <c r="S3303">
        <v>29</v>
      </c>
      <c r="T3303">
        <v>1</v>
      </c>
      <c r="U3303">
        <v>1</v>
      </c>
      <c r="V3303">
        <v>424.39</v>
      </c>
      <c r="W3303">
        <v>13130003301</v>
      </c>
    </row>
    <row r="3304" spans="1:23" x14ac:dyDescent="0.2">
      <c r="A3304" s="1">
        <v>44785</v>
      </c>
      <c r="B3304" s="2">
        <v>0.6107407407407407</v>
      </c>
      <c r="C3304">
        <v>4302</v>
      </c>
      <c r="D3304">
        <v>13002561</v>
      </c>
      <c r="E3304">
        <v>13</v>
      </c>
      <c r="F3304">
        <v>22589</v>
      </c>
      <c r="G3304" t="s">
        <v>23</v>
      </c>
      <c r="H3304">
        <v>18</v>
      </c>
      <c r="I3304">
        <v>46894</v>
      </c>
      <c r="J3304" t="s">
        <v>112</v>
      </c>
      <c r="K3304" t="s">
        <v>25</v>
      </c>
      <c r="L3304" t="s">
        <v>34</v>
      </c>
      <c r="M3304">
        <v>1</v>
      </c>
      <c r="N3304">
        <v>173.92</v>
      </c>
      <c r="O3304">
        <v>239.15</v>
      </c>
      <c r="P3304">
        <v>11.96</v>
      </c>
      <c r="Q3304">
        <v>11.96</v>
      </c>
      <c r="R3304" t="s">
        <v>30</v>
      </c>
      <c r="S3304">
        <v>29</v>
      </c>
      <c r="T3304">
        <v>1</v>
      </c>
      <c r="U3304">
        <v>3</v>
      </c>
      <c r="V3304">
        <v>227.19</v>
      </c>
      <c r="W3304">
        <v>13130003302</v>
      </c>
    </row>
    <row r="3305" spans="1:23" x14ac:dyDescent="0.2">
      <c r="A3305" s="1">
        <v>44799</v>
      </c>
      <c r="B3305" s="2">
        <v>0.58379629629629626</v>
      </c>
      <c r="C3305">
        <v>4303</v>
      </c>
      <c r="D3305">
        <v>13002561</v>
      </c>
      <c r="E3305">
        <v>13</v>
      </c>
      <c r="F3305">
        <v>22589</v>
      </c>
      <c r="G3305" t="s">
        <v>23</v>
      </c>
      <c r="H3305">
        <v>18</v>
      </c>
      <c r="I3305">
        <v>72891</v>
      </c>
      <c r="J3305" t="s">
        <v>49</v>
      </c>
      <c r="K3305" t="s">
        <v>45</v>
      </c>
      <c r="L3305" t="s">
        <v>26</v>
      </c>
      <c r="M3305">
        <v>3</v>
      </c>
      <c r="N3305">
        <v>518.67999999999995</v>
      </c>
      <c r="O3305">
        <v>713.47</v>
      </c>
      <c r="P3305">
        <v>71.349999999999994</v>
      </c>
      <c r="Q3305">
        <v>71.349999999999994</v>
      </c>
      <c r="R3305" t="s">
        <v>30</v>
      </c>
      <c r="S3305">
        <v>29</v>
      </c>
      <c r="T3305">
        <v>1</v>
      </c>
      <c r="U3305">
        <v>4</v>
      </c>
      <c r="V3305">
        <v>642.12</v>
      </c>
      <c r="W3305">
        <v>13130003303</v>
      </c>
    </row>
    <row r="3306" spans="1:23" x14ac:dyDescent="0.2">
      <c r="A3306" s="1">
        <v>44802</v>
      </c>
      <c r="B3306" s="2">
        <v>0.67736111111111108</v>
      </c>
      <c r="C3306">
        <v>4304</v>
      </c>
      <c r="D3306">
        <v>13002561</v>
      </c>
      <c r="E3306">
        <v>13</v>
      </c>
      <c r="F3306">
        <v>22589</v>
      </c>
      <c r="G3306" t="s">
        <v>23</v>
      </c>
      <c r="H3306">
        <v>15</v>
      </c>
      <c r="I3306">
        <v>46680</v>
      </c>
      <c r="J3306" t="s">
        <v>101</v>
      </c>
      <c r="K3306" t="s">
        <v>28</v>
      </c>
      <c r="L3306" t="s">
        <v>29</v>
      </c>
      <c r="M3306">
        <v>1</v>
      </c>
      <c r="N3306">
        <v>438.8</v>
      </c>
      <c r="O3306">
        <v>715.83</v>
      </c>
      <c r="P3306">
        <v>35.79</v>
      </c>
      <c r="Q3306">
        <v>35.79</v>
      </c>
      <c r="R3306" t="s">
        <v>30</v>
      </c>
      <c r="S3306">
        <v>29</v>
      </c>
      <c r="T3306">
        <v>1</v>
      </c>
      <c r="U3306">
        <v>3</v>
      </c>
      <c r="V3306">
        <v>680.04</v>
      </c>
      <c r="W3306">
        <v>13130003304</v>
      </c>
    </row>
    <row r="3307" spans="1:23" x14ac:dyDescent="0.2">
      <c r="A3307" s="1">
        <v>44774</v>
      </c>
      <c r="B3307" s="2">
        <v>0.60853009259259261</v>
      </c>
      <c r="C3307">
        <v>4305</v>
      </c>
      <c r="D3307">
        <v>13002561</v>
      </c>
      <c r="E3307">
        <v>13</v>
      </c>
      <c r="F3307">
        <v>22589</v>
      </c>
      <c r="G3307" t="s">
        <v>23</v>
      </c>
      <c r="H3307">
        <v>18</v>
      </c>
      <c r="I3307">
        <v>86752</v>
      </c>
      <c r="J3307" t="s">
        <v>73</v>
      </c>
      <c r="K3307" t="s">
        <v>28</v>
      </c>
      <c r="L3307" t="s">
        <v>39</v>
      </c>
      <c r="M3307">
        <v>3</v>
      </c>
      <c r="N3307">
        <v>84.61</v>
      </c>
      <c r="O3307">
        <v>106.81</v>
      </c>
      <c r="P3307">
        <v>5.34</v>
      </c>
      <c r="Q3307">
        <v>5.34</v>
      </c>
      <c r="R3307" t="s">
        <v>30</v>
      </c>
      <c r="S3307">
        <v>29</v>
      </c>
      <c r="T3307">
        <v>1</v>
      </c>
      <c r="U3307">
        <v>6</v>
      </c>
      <c r="V3307">
        <v>101.47</v>
      </c>
      <c r="W3307">
        <v>13130003305</v>
      </c>
    </row>
    <row r="3308" spans="1:23" x14ac:dyDescent="0.2">
      <c r="A3308" s="1">
        <v>44780</v>
      </c>
      <c r="B3308" s="2">
        <v>0.61600694444444448</v>
      </c>
      <c r="C3308">
        <v>4306</v>
      </c>
      <c r="D3308">
        <v>13002561</v>
      </c>
      <c r="E3308">
        <v>13</v>
      </c>
      <c r="F3308">
        <v>22589</v>
      </c>
      <c r="G3308" t="s">
        <v>23</v>
      </c>
      <c r="H3308">
        <v>18</v>
      </c>
      <c r="I3308">
        <v>21660</v>
      </c>
      <c r="J3308" t="s">
        <v>93</v>
      </c>
      <c r="K3308" t="s">
        <v>44</v>
      </c>
      <c r="L3308" t="s">
        <v>51</v>
      </c>
      <c r="M3308">
        <v>2</v>
      </c>
      <c r="N3308">
        <v>472.34</v>
      </c>
      <c r="O3308">
        <v>631.29</v>
      </c>
      <c r="P3308">
        <v>0</v>
      </c>
      <c r="Q3308">
        <v>0</v>
      </c>
      <c r="S3308">
        <v>29</v>
      </c>
      <c r="T3308">
        <v>1</v>
      </c>
      <c r="U3308">
        <v>5</v>
      </c>
      <c r="V3308">
        <v>631.29</v>
      </c>
      <c r="W3308">
        <v>13130003306</v>
      </c>
    </row>
    <row r="3309" spans="1:23" x14ac:dyDescent="0.2">
      <c r="A3309" s="1">
        <v>44779</v>
      </c>
      <c r="B3309" s="2">
        <v>0.69298611111111108</v>
      </c>
      <c r="C3309">
        <v>4307</v>
      </c>
      <c r="D3309">
        <v>13002561</v>
      </c>
      <c r="E3309">
        <v>13</v>
      </c>
      <c r="F3309">
        <v>22589</v>
      </c>
      <c r="G3309" t="s">
        <v>23</v>
      </c>
      <c r="H3309">
        <v>18</v>
      </c>
      <c r="I3309">
        <v>44969</v>
      </c>
      <c r="J3309" t="s">
        <v>90</v>
      </c>
      <c r="K3309" t="s">
        <v>38</v>
      </c>
      <c r="L3309" t="s">
        <v>32</v>
      </c>
      <c r="M3309">
        <v>2</v>
      </c>
      <c r="N3309">
        <v>170.5</v>
      </c>
      <c r="O3309">
        <v>284.66000000000003</v>
      </c>
      <c r="P3309">
        <v>28.47</v>
      </c>
      <c r="Q3309">
        <v>28.47</v>
      </c>
      <c r="R3309" t="s">
        <v>30</v>
      </c>
      <c r="S3309">
        <v>29</v>
      </c>
      <c r="T3309">
        <v>1</v>
      </c>
      <c r="U3309">
        <v>6</v>
      </c>
      <c r="V3309">
        <v>256.19</v>
      </c>
      <c r="W3309">
        <v>13130003307</v>
      </c>
    </row>
    <row r="3310" spans="1:23" x14ac:dyDescent="0.2">
      <c r="A3310" s="1">
        <v>44799</v>
      </c>
      <c r="B3310" s="2">
        <v>0.86499999999999999</v>
      </c>
      <c r="C3310">
        <v>4308</v>
      </c>
      <c r="D3310">
        <v>13002561</v>
      </c>
      <c r="E3310">
        <v>13</v>
      </c>
      <c r="F3310">
        <v>22589</v>
      </c>
      <c r="G3310" t="s">
        <v>23</v>
      </c>
      <c r="H3310">
        <v>15</v>
      </c>
      <c r="I3310">
        <v>57114</v>
      </c>
      <c r="J3310" t="s">
        <v>62</v>
      </c>
      <c r="K3310" t="s">
        <v>60</v>
      </c>
      <c r="L3310" t="s">
        <v>29</v>
      </c>
      <c r="M3310">
        <v>1</v>
      </c>
      <c r="N3310">
        <v>301.26</v>
      </c>
      <c r="O3310">
        <v>390.47</v>
      </c>
      <c r="P3310">
        <v>39.049999999999997</v>
      </c>
      <c r="Q3310">
        <v>39.049999999999997</v>
      </c>
      <c r="R3310" t="s">
        <v>30</v>
      </c>
      <c r="S3310">
        <v>29</v>
      </c>
      <c r="T3310">
        <v>1</v>
      </c>
      <c r="U3310">
        <v>3</v>
      </c>
      <c r="V3310">
        <v>351.42</v>
      </c>
      <c r="W3310">
        <v>13130003308</v>
      </c>
    </row>
    <row r="3311" spans="1:23" x14ac:dyDescent="0.2">
      <c r="A3311" s="1">
        <v>44795</v>
      </c>
      <c r="B3311" s="2">
        <v>0.82677083333333334</v>
      </c>
      <c r="C3311">
        <v>4309</v>
      </c>
      <c r="D3311">
        <v>13002561</v>
      </c>
      <c r="E3311">
        <v>13</v>
      </c>
      <c r="F3311">
        <v>22589</v>
      </c>
      <c r="G3311" t="s">
        <v>23</v>
      </c>
      <c r="H3311">
        <v>15</v>
      </c>
      <c r="I3311">
        <v>61725</v>
      </c>
      <c r="J3311" t="s">
        <v>76</v>
      </c>
      <c r="K3311" t="s">
        <v>25</v>
      </c>
      <c r="L3311" t="s">
        <v>32</v>
      </c>
      <c r="M3311">
        <v>1</v>
      </c>
      <c r="N3311">
        <v>178.33</v>
      </c>
      <c r="O3311">
        <v>286.57</v>
      </c>
      <c r="P3311">
        <v>0</v>
      </c>
      <c r="Q3311">
        <v>0</v>
      </c>
      <c r="S3311">
        <v>29</v>
      </c>
      <c r="T3311">
        <v>1</v>
      </c>
      <c r="U3311">
        <v>3</v>
      </c>
      <c r="V3311">
        <v>286.57</v>
      </c>
      <c r="W3311">
        <v>13130003309</v>
      </c>
    </row>
    <row r="3312" spans="1:23" x14ac:dyDescent="0.2">
      <c r="A3312" s="1">
        <v>44796</v>
      </c>
      <c r="B3312" s="2">
        <v>0.85335648148148147</v>
      </c>
      <c r="C3312">
        <v>4310</v>
      </c>
      <c r="D3312">
        <v>13002561</v>
      </c>
      <c r="E3312">
        <v>13</v>
      </c>
      <c r="F3312">
        <v>22589</v>
      </c>
      <c r="G3312" t="s">
        <v>23</v>
      </c>
      <c r="H3312">
        <v>15</v>
      </c>
      <c r="I3312">
        <v>44855</v>
      </c>
      <c r="J3312" t="s">
        <v>102</v>
      </c>
      <c r="K3312" t="s">
        <v>44</v>
      </c>
      <c r="L3312" t="s">
        <v>29</v>
      </c>
      <c r="M3312">
        <v>1</v>
      </c>
      <c r="N3312">
        <v>269.72000000000003</v>
      </c>
      <c r="O3312">
        <v>355.41</v>
      </c>
      <c r="P3312">
        <v>17.77</v>
      </c>
      <c r="Q3312">
        <v>17.77</v>
      </c>
      <c r="R3312" t="s">
        <v>30</v>
      </c>
      <c r="S3312">
        <v>29</v>
      </c>
      <c r="T3312">
        <v>1</v>
      </c>
      <c r="U3312">
        <v>3</v>
      </c>
      <c r="V3312">
        <v>337.64</v>
      </c>
      <c r="W3312">
        <v>13130003310</v>
      </c>
    </row>
    <row r="3313" spans="1:23" x14ac:dyDescent="0.2">
      <c r="A3313" s="1">
        <v>44804</v>
      </c>
      <c r="B3313" s="2">
        <v>0.65284722222222225</v>
      </c>
      <c r="C3313">
        <v>4311</v>
      </c>
      <c r="D3313">
        <v>13002561</v>
      </c>
      <c r="E3313">
        <v>13</v>
      </c>
      <c r="F3313">
        <v>22589</v>
      </c>
      <c r="G3313" t="s">
        <v>23</v>
      </c>
      <c r="H3313">
        <v>18</v>
      </c>
      <c r="I3313">
        <v>73321</v>
      </c>
      <c r="J3313" t="s">
        <v>110</v>
      </c>
      <c r="K3313" t="s">
        <v>38</v>
      </c>
      <c r="L3313" t="s">
        <v>39</v>
      </c>
      <c r="M3313">
        <v>1</v>
      </c>
      <c r="N3313">
        <v>441.16</v>
      </c>
      <c r="O3313">
        <v>655.1</v>
      </c>
      <c r="P3313">
        <v>0</v>
      </c>
      <c r="Q3313">
        <v>0</v>
      </c>
      <c r="S3313">
        <v>29</v>
      </c>
      <c r="T3313">
        <v>1</v>
      </c>
      <c r="U3313">
        <v>5</v>
      </c>
      <c r="V3313">
        <v>655.1</v>
      </c>
      <c r="W3313">
        <v>13130003311</v>
      </c>
    </row>
    <row r="3314" spans="1:23" x14ac:dyDescent="0.2">
      <c r="A3314" s="1">
        <v>44794</v>
      </c>
      <c r="B3314" s="2">
        <v>0.77074074074074073</v>
      </c>
      <c r="C3314">
        <v>4312</v>
      </c>
      <c r="D3314">
        <v>13002561</v>
      </c>
      <c r="E3314">
        <v>13</v>
      </c>
      <c r="F3314">
        <v>22589</v>
      </c>
      <c r="G3314" t="s">
        <v>23</v>
      </c>
      <c r="H3314">
        <v>18</v>
      </c>
      <c r="I3314">
        <v>83424</v>
      </c>
      <c r="J3314" t="s">
        <v>46</v>
      </c>
      <c r="K3314" t="s">
        <v>25</v>
      </c>
      <c r="L3314" t="s">
        <v>51</v>
      </c>
      <c r="M3314">
        <v>2</v>
      </c>
      <c r="N3314">
        <v>368.55</v>
      </c>
      <c r="O3314">
        <v>540.73</v>
      </c>
      <c r="P3314">
        <v>27.04</v>
      </c>
      <c r="Q3314">
        <v>27.04</v>
      </c>
      <c r="R3314" t="s">
        <v>30</v>
      </c>
      <c r="S3314">
        <v>29</v>
      </c>
      <c r="T3314">
        <v>1</v>
      </c>
      <c r="U3314">
        <v>3</v>
      </c>
      <c r="V3314">
        <v>513.69000000000005</v>
      </c>
      <c r="W3314">
        <v>13130003312</v>
      </c>
    </row>
    <row r="3315" spans="1:23" x14ac:dyDescent="0.2">
      <c r="A3315" s="1">
        <v>44787</v>
      </c>
      <c r="B3315" s="2">
        <v>0.69283564814814813</v>
      </c>
      <c r="C3315">
        <v>4313</v>
      </c>
      <c r="D3315">
        <v>13002561</v>
      </c>
      <c r="E3315">
        <v>13</v>
      </c>
      <c r="F3315">
        <v>22589</v>
      </c>
      <c r="G3315" t="s">
        <v>23</v>
      </c>
      <c r="H3315">
        <v>15</v>
      </c>
      <c r="I3315">
        <v>26842</v>
      </c>
      <c r="J3315" t="s">
        <v>24</v>
      </c>
      <c r="K3315" t="s">
        <v>45</v>
      </c>
      <c r="L3315" t="s">
        <v>26</v>
      </c>
      <c r="M3315">
        <v>2</v>
      </c>
      <c r="N3315">
        <v>473.7</v>
      </c>
      <c r="O3315">
        <v>683.64</v>
      </c>
      <c r="P3315">
        <v>68.36</v>
      </c>
      <c r="Q3315">
        <v>68.36</v>
      </c>
      <c r="R3315" t="s">
        <v>30</v>
      </c>
      <c r="S3315">
        <v>29</v>
      </c>
      <c r="T3315">
        <v>1</v>
      </c>
      <c r="U3315">
        <v>6</v>
      </c>
      <c r="V3315">
        <v>615.28</v>
      </c>
      <c r="W3315">
        <v>13130003313</v>
      </c>
    </row>
    <row r="3316" spans="1:23" x14ac:dyDescent="0.2">
      <c r="A3316" s="1">
        <v>44784</v>
      </c>
      <c r="B3316" s="2">
        <v>0.71482638888888894</v>
      </c>
      <c r="C3316">
        <v>4314</v>
      </c>
      <c r="D3316">
        <v>13002561</v>
      </c>
      <c r="E3316">
        <v>13</v>
      </c>
      <c r="F3316">
        <v>22589</v>
      </c>
      <c r="G3316" t="s">
        <v>23</v>
      </c>
      <c r="H3316">
        <v>18</v>
      </c>
      <c r="I3316">
        <v>10937</v>
      </c>
      <c r="J3316" t="s">
        <v>70</v>
      </c>
      <c r="K3316" t="s">
        <v>60</v>
      </c>
      <c r="L3316" t="s">
        <v>51</v>
      </c>
      <c r="M3316">
        <v>3</v>
      </c>
      <c r="N3316">
        <v>356.49</v>
      </c>
      <c r="O3316">
        <v>587.21</v>
      </c>
      <c r="P3316">
        <v>29.36</v>
      </c>
      <c r="Q3316">
        <v>29.36</v>
      </c>
      <c r="R3316" t="s">
        <v>30</v>
      </c>
      <c r="S3316">
        <v>29</v>
      </c>
      <c r="T3316">
        <v>1</v>
      </c>
      <c r="U3316">
        <v>1</v>
      </c>
      <c r="V3316">
        <v>557.85</v>
      </c>
      <c r="W3316">
        <v>13130003314</v>
      </c>
    </row>
    <row r="3317" spans="1:23" x14ac:dyDescent="0.2">
      <c r="A3317" s="1">
        <v>44797</v>
      </c>
      <c r="B3317" s="2">
        <v>0.91949074074074078</v>
      </c>
      <c r="C3317">
        <v>4315</v>
      </c>
      <c r="D3317">
        <v>13002561</v>
      </c>
      <c r="E3317">
        <v>13</v>
      </c>
      <c r="F3317">
        <v>22589</v>
      </c>
      <c r="G3317" t="s">
        <v>23</v>
      </c>
      <c r="H3317">
        <v>15</v>
      </c>
      <c r="I3317">
        <v>18728</v>
      </c>
      <c r="J3317" t="s">
        <v>74</v>
      </c>
      <c r="K3317" t="s">
        <v>28</v>
      </c>
      <c r="L3317" t="s">
        <v>32</v>
      </c>
      <c r="M3317">
        <v>1</v>
      </c>
      <c r="N3317">
        <v>447.91</v>
      </c>
      <c r="O3317">
        <v>607.62</v>
      </c>
      <c r="P3317">
        <v>30.38</v>
      </c>
      <c r="Q3317">
        <v>30.38</v>
      </c>
      <c r="R3317" t="s">
        <v>30</v>
      </c>
      <c r="S3317">
        <v>29</v>
      </c>
      <c r="T3317">
        <v>1</v>
      </c>
      <c r="U3317">
        <v>4</v>
      </c>
      <c r="V3317">
        <v>577.24</v>
      </c>
      <c r="W3317">
        <v>13130003315</v>
      </c>
    </row>
    <row r="3318" spans="1:23" x14ac:dyDescent="0.2">
      <c r="A3318" s="1">
        <v>44781</v>
      </c>
      <c r="B3318" s="2">
        <v>0.85978009259259258</v>
      </c>
      <c r="C3318">
        <v>4316</v>
      </c>
      <c r="D3318">
        <v>13002561</v>
      </c>
      <c r="E3318">
        <v>13</v>
      </c>
      <c r="F3318">
        <v>22589</v>
      </c>
      <c r="G3318" t="s">
        <v>23</v>
      </c>
      <c r="H3318">
        <v>15</v>
      </c>
      <c r="I3318">
        <v>34987</v>
      </c>
      <c r="J3318" t="s">
        <v>69</v>
      </c>
      <c r="K3318" t="s">
        <v>60</v>
      </c>
      <c r="L3318" t="s">
        <v>39</v>
      </c>
      <c r="M3318">
        <v>2</v>
      </c>
      <c r="N3318">
        <v>491.59</v>
      </c>
      <c r="O3318">
        <v>830.8</v>
      </c>
      <c r="P3318">
        <v>0</v>
      </c>
      <c r="Q3318">
        <v>0</v>
      </c>
      <c r="S3318">
        <v>29</v>
      </c>
      <c r="T3318">
        <v>1</v>
      </c>
      <c r="U3318">
        <v>1</v>
      </c>
      <c r="V3318">
        <v>830.8</v>
      </c>
      <c r="W3318">
        <v>13130003316</v>
      </c>
    </row>
    <row r="3319" spans="1:23" x14ac:dyDescent="0.2">
      <c r="A3319" s="1">
        <v>44795</v>
      </c>
      <c r="B3319" s="2">
        <v>0.85721064814814818</v>
      </c>
      <c r="C3319">
        <v>4317</v>
      </c>
      <c r="D3319">
        <v>13002561</v>
      </c>
      <c r="E3319">
        <v>13</v>
      </c>
      <c r="F3319">
        <v>22589</v>
      </c>
      <c r="G3319" t="s">
        <v>23</v>
      </c>
      <c r="H3319">
        <v>18</v>
      </c>
      <c r="I3319">
        <v>62911</v>
      </c>
      <c r="J3319" t="s">
        <v>75</v>
      </c>
      <c r="K3319" t="s">
        <v>25</v>
      </c>
      <c r="L3319" t="s">
        <v>34</v>
      </c>
      <c r="M3319">
        <v>3</v>
      </c>
      <c r="N3319">
        <v>54.32</v>
      </c>
      <c r="O3319">
        <v>75.8</v>
      </c>
      <c r="P3319">
        <v>7.58</v>
      </c>
      <c r="Q3319">
        <v>7.58</v>
      </c>
      <c r="R3319" t="s">
        <v>30</v>
      </c>
      <c r="S3319">
        <v>29</v>
      </c>
      <c r="T3319">
        <v>1</v>
      </c>
      <c r="U3319">
        <v>2</v>
      </c>
      <c r="V3319">
        <v>68.22</v>
      </c>
      <c r="W3319">
        <v>13130003317</v>
      </c>
    </row>
    <row r="3320" spans="1:23" x14ac:dyDescent="0.2">
      <c r="A3320" s="1">
        <v>44786</v>
      </c>
      <c r="B3320" s="2">
        <v>0.82194444444444448</v>
      </c>
      <c r="C3320">
        <v>4318</v>
      </c>
      <c r="D3320">
        <v>13002561</v>
      </c>
      <c r="E3320">
        <v>13</v>
      </c>
      <c r="F3320">
        <v>22589</v>
      </c>
      <c r="G3320" t="s">
        <v>23</v>
      </c>
      <c r="H3320">
        <v>15</v>
      </c>
      <c r="I3320">
        <v>80371</v>
      </c>
      <c r="J3320" t="s">
        <v>85</v>
      </c>
      <c r="K3320" t="s">
        <v>38</v>
      </c>
      <c r="L3320" t="s">
        <v>34</v>
      </c>
      <c r="M3320">
        <v>1</v>
      </c>
      <c r="N3320">
        <v>267.67</v>
      </c>
      <c r="O3320">
        <v>359.1</v>
      </c>
      <c r="P3320">
        <v>17.96</v>
      </c>
      <c r="Q3320">
        <v>17.96</v>
      </c>
      <c r="R3320" t="s">
        <v>30</v>
      </c>
      <c r="S3320">
        <v>29</v>
      </c>
      <c r="T3320">
        <v>1</v>
      </c>
      <c r="U3320">
        <v>2</v>
      </c>
      <c r="V3320">
        <v>341.14</v>
      </c>
      <c r="W3320">
        <v>13130003318</v>
      </c>
    </row>
    <row r="3321" spans="1:23" x14ac:dyDescent="0.2">
      <c r="A3321" s="1">
        <v>44792</v>
      </c>
      <c r="B3321" s="2">
        <v>0.6555671296296296</v>
      </c>
      <c r="C3321">
        <v>4319</v>
      </c>
      <c r="D3321">
        <v>13002561</v>
      </c>
      <c r="E3321">
        <v>13</v>
      </c>
      <c r="F3321">
        <v>22589</v>
      </c>
      <c r="G3321" t="s">
        <v>23</v>
      </c>
      <c r="H3321">
        <v>15</v>
      </c>
      <c r="I3321">
        <v>33080</v>
      </c>
      <c r="J3321" t="s">
        <v>71</v>
      </c>
      <c r="K3321" t="s">
        <v>38</v>
      </c>
      <c r="L3321" t="s">
        <v>29</v>
      </c>
      <c r="M3321">
        <v>3</v>
      </c>
      <c r="N3321">
        <v>565.34</v>
      </c>
      <c r="O3321">
        <v>754.49</v>
      </c>
      <c r="P3321">
        <v>75.45</v>
      </c>
      <c r="Q3321">
        <v>75.45</v>
      </c>
      <c r="R3321" t="s">
        <v>30</v>
      </c>
      <c r="S3321">
        <v>29</v>
      </c>
      <c r="T3321">
        <v>1</v>
      </c>
      <c r="U3321">
        <v>4</v>
      </c>
      <c r="V3321">
        <v>679.04</v>
      </c>
      <c r="W3321">
        <v>13130003319</v>
      </c>
    </row>
    <row r="3322" spans="1:23" x14ac:dyDescent="0.2">
      <c r="A3322" s="1">
        <v>44781</v>
      </c>
      <c r="B3322" s="2">
        <v>0.5798726851851852</v>
      </c>
      <c r="C3322">
        <v>4320</v>
      </c>
      <c r="D3322">
        <v>13002561</v>
      </c>
      <c r="E3322">
        <v>13</v>
      </c>
      <c r="F3322">
        <v>22589</v>
      </c>
      <c r="G3322" t="s">
        <v>23</v>
      </c>
      <c r="H3322">
        <v>15</v>
      </c>
      <c r="I3322">
        <v>33720</v>
      </c>
      <c r="J3322" t="s">
        <v>94</v>
      </c>
      <c r="K3322" t="s">
        <v>38</v>
      </c>
      <c r="L3322" t="s">
        <v>51</v>
      </c>
      <c r="M3322">
        <v>3</v>
      </c>
      <c r="N3322">
        <v>222.85</v>
      </c>
      <c r="O3322">
        <v>304.51</v>
      </c>
      <c r="P3322">
        <v>0</v>
      </c>
      <c r="Q3322">
        <v>0</v>
      </c>
      <c r="S3322">
        <v>29</v>
      </c>
      <c r="T3322">
        <v>1</v>
      </c>
      <c r="U3322">
        <v>4</v>
      </c>
      <c r="V3322">
        <v>304.51</v>
      </c>
      <c r="W3322">
        <v>13130003320</v>
      </c>
    </row>
    <row r="3323" spans="1:23" x14ac:dyDescent="0.2">
      <c r="A3323" s="1">
        <v>44802</v>
      </c>
      <c r="B3323" s="2">
        <v>0.84651620370370373</v>
      </c>
      <c r="C3323">
        <v>4321</v>
      </c>
      <c r="D3323">
        <v>13002561</v>
      </c>
      <c r="E3323">
        <v>13</v>
      </c>
      <c r="F3323">
        <v>22589</v>
      </c>
      <c r="G3323" t="s">
        <v>23</v>
      </c>
      <c r="H3323">
        <v>18</v>
      </c>
      <c r="I3323">
        <v>33531</v>
      </c>
      <c r="J3323" t="s">
        <v>62</v>
      </c>
      <c r="K3323" t="s">
        <v>45</v>
      </c>
      <c r="L3323" t="s">
        <v>34</v>
      </c>
      <c r="M3323">
        <v>2</v>
      </c>
      <c r="N3323">
        <v>320.91000000000003</v>
      </c>
      <c r="O3323">
        <v>460.05</v>
      </c>
      <c r="P3323">
        <v>46.01</v>
      </c>
      <c r="Q3323">
        <v>46.01</v>
      </c>
      <c r="R3323" t="s">
        <v>30</v>
      </c>
      <c r="S3323">
        <v>29</v>
      </c>
      <c r="T3323">
        <v>1</v>
      </c>
      <c r="U3323">
        <v>5</v>
      </c>
      <c r="V3323">
        <v>414.04</v>
      </c>
      <c r="W3323">
        <v>13130003321</v>
      </c>
    </row>
    <row r="3324" spans="1:23" x14ac:dyDescent="0.2">
      <c r="A3324" s="1">
        <v>44774</v>
      </c>
      <c r="B3324" s="2">
        <v>0.62015046296296295</v>
      </c>
      <c r="C3324">
        <v>4322</v>
      </c>
      <c r="D3324">
        <v>13002561</v>
      </c>
      <c r="E3324">
        <v>13</v>
      </c>
      <c r="F3324">
        <v>22589</v>
      </c>
      <c r="G3324" t="s">
        <v>23</v>
      </c>
      <c r="H3324">
        <v>18</v>
      </c>
      <c r="I3324">
        <v>55313</v>
      </c>
      <c r="J3324" t="s">
        <v>90</v>
      </c>
      <c r="K3324" t="s">
        <v>45</v>
      </c>
      <c r="L3324" t="s">
        <v>32</v>
      </c>
      <c r="M3324">
        <v>1</v>
      </c>
      <c r="N3324">
        <v>510.95</v>
      </c>
      <c r="O3324">
        <v>642.35</v>
      </c>
      <c r="P3324">
        <v>32.119999999999997</v>
      </c>
      <c r="Q3324">
        <v>32.119999999999997</v>
      </c>
      <c r="R3324" t="s">
        <v>30</v>
      </c>
      <c r="S3324">
        <v>29</v>
      </c>
      <c r="T3324">
        <v>1</v>
      </c>
      <c r="U3324">
        <v>3</v>
      </c>
      <c r="V3324">
        <v>610.23</v>
      </c>
      <c r="W3324">
        <v>13130003322</v>
      </c>
    </row>
    <row r="3325" spans="1:23" x14ac:dyDescent="0.2">
      <c r="A3325" s="1">
        <v>44794</v>
      </c>
      <c r="B3325" s="2">
        <v>0.58686342592592589</v>
      </c>
      <c r="C3325">
        <v>4323</v>
      </c>
      <c r="D3325">
        <v>13002561</v>
      </c>
      <c r="E3325">
        <v>13</v>
      </c>
      <c r="F3325">
        <v>22589</v>
      </c>
      <c r="G3325" t="s">
        <v>23</v>
      </c>
      <c r="H3325">
        <v>15</v>
      </c>
      <c r="I3325">
        <v>99304</v>
      </c>
      <c r="J3325" t="s">
        <v>109</v>
      </c>
      <c r="K3325" t="s">
        <v>25</v>
      </c>
      <c r="L3325" t="s">
        <v>39</v>
      </c>
      <c r="M3325">
        <v>3</v>
      </c>
      <c r="N3325">
        <v>299.58999999999997</v>
      </c>
      <c r="O3325">
        <v>429.85</v>
      </c>
      <c r="P3325">
        <v>21.49</v>
      </c>
      <c r="Q3325">
        <v>21.49</v>
      </c>
      <c r="R3325" t="s">
        <v>30</v>
      </c>
      <c r="S3325">
        <v>29</v>
      </c>
      <c r="T3325">
        <v>1</v>
      </c>
      <c r="U3325">
        <v>1</v>
      </c>
      <c r="V3325">
        <v>408.36</v>
      </c>
      <c r="W3325">
        <v>13130003323</v>
      </c>
    </row>
    <row r="3326" spans="1:23" x14ac:dyDescent="0.2">
      <c r="A3326" s="1">
        <v>44794</v>
      </c>
      <c r="B3326" s="2">
        <v>0.57966435185185183</v>
      </c>
      <c r="C3326">
        <v>4324</v>
      </c>
      <c r="D3326">
        <v>13002561</v>
      </c>
      <c r="E3326">
        <v>13</v>
      </c>
      <c r="F3326">
        <v>22589</v>
      </c>
      <c r="G3326" t="s">
        <v>23</v>
      </c>
      <c r="H3326">
        <v>15</v>
      </c>
      <c r="I3326">
        <v>45840</v>
      </c>
      <c r="J3326" t="s">
        <v>105</v>
      </c>
      <c r="K3326" t="s">
        <v>28</v>
      </c>
      <c r="L3326" t="s">
        <v>26</v>
      </c>
      <c r="M3326">
        <v>1</v>
      </c>
      <c r="N3326">
        <v>452.05</v>
      </c>
      <c r="O3326">
        <v>589.66</v>
      </c>
      <c r="P3326">
        <v>58.97</v>
      </c>
      <c r="Q3326">
        <v>58.97</v>
      </c>
      <c r="R3326" t="s">
        <v>30</v>
      </c>
      <c r="S3326">
        <v>29</v>
      </c>
      <c r="T3326">
        <v>1</v>
      </c>
      <c r="U3326">
        <v>5</v>
      </c>
      <c r="V3326">
        <v>530.69000000000005</v>
      </c>
      <c r="W3326">
        <v>13130003324</v>
      </c>
    </row>
    <row r="3327" spans="1:23" x14ac:dyDescent="0.2">
      <c r="A3327" s="1">
        <v>44776</v>
      </c>
      <c r="B3327" s="2">
        <v>0.93667824074074069</v>
      </c>
      <c r="C3327">
        <v>4325</v>
      </c>
      <c r="D3327">
        <v>13002561</v>
      </c>
      <c r="E3327">
        <v>13</v>
      </c>
      <c r="F3327">
        <v>22589</v>
      </c>
      <c r="G3327" t="s">
        <v>23</v>
      </c>
      <c r="H3327">
        <v>15</v>
      </c>
      <c r="I3327">
        <v>90978</v>
      </c>
      <c r="J3327" t="s">
        <v>94</v>
      </c>
      <c r="K3327" t="s">
        <v>38</v>
      </c>
      <c r="L3327" t="s">
        <v>36</v>
      </c>
      <c r="M3327">
        <v>3</v>
      </c>
      <c r="N3327">
        <v>337.36</v>
      </c>
      <c r="O3327">
        <v>458.23</v>
      </c>
      <c r="P3327">
        <v>0</v>
      </c>
      <c r="Q3327">
        <v>0</v>
      </c>
      <c r="S3327">
        <v>29</v>
      </c>
      <c r="T3327">
        <v>1</v>
      </c>
      <c r="U3327">
        <v>1</v>
      </c>
      <c r="V3327">
        <v>458.23</v>
      </c>
      <c r="W3327">
        <v>13130003325</v>
      </c>
    </row>
    <row r="3328" spans="1:23" x14ac:dyDescent="0.2">
      <c r="A3328" s="1">
        <v>44794</v>
      </c>
      <c r="B3328" s="2">
        <v>0.7091898148148148</v>
      </c>
      <c r="C3328">
        <v>4326</v>
      </c>
      <c r="D3328">
        <v>13002561</v>
      </c>
      <c r="E3328">
        <v>13</v>
      </c>
      <c r="F3328">
        <v>22589</v>
      </c>
      <c r="G3328" t="s">
        <v>23</v>
      </c>
      <c r="H3328">
        <v>15</v>
      </c>
      <c r="I3328">
        <v>67398</v>
      </c>
      <c r="J3328" t="s">
        <v>120</v>
      </c>
      <c r="K3328" t="s">
        <v>38</v>
      </c>
      <c r="L3328" t="s">
        <v>34</v>
      </c>
      <c r="M3328">
        <v>1</v>
      </c>
      <c r="N3328">
        <v>270.19</v>
      </c>
      <c r="O3328">
        <v>406.58</v>
      </c>
      <c r="P3328">
        <v>40.659999999999997</v>
      </c>
      <c r="Q3328">
        <v>40.659999999999997</v>
      </c>
      <c r="R3328" t="s">
        <v>30</v>
      </c>
      <c r="S3328">
        <v>29</v>
      </c>
      <c r="T3328">
        <v>1</v>
      </c>
      <c r="U3328">
        <v>4</v>
      </c>
      <c r="V3328">
        <v>365.92</v>
      </c>
      <c r="W3328">
        <v>13130003326</v>
      </c>
    </row>
    <row r="3329" spans="1:23" x14ac:dyDescent="0.2">
      <c r="A3329" s="1">
        <v>44782</v>
      </c>
      <c r="B3329" s="2">
        <v>0.67851851851851852</v>
      </c>
      <c r="C3329">
        <v>4327</v>
      </c>
      <c r="D3329">
        <v>13002561</v>
      </c>
      <c r="E3329">
        <v>13</v>
      </c>
      <c r="F3329">
        <v>22589</v>
      </c>
      <c r="G3329" t="s">
        <v>23</v>
      </c>
      <c r="H3329">
        <v>18</v>
      </c>
      <c r="I3329">
        <v>29824</v>
      </c>
      <c r="J3329" t="s">
        <v>100</v>
      </c>
      <c r="K3329" t="s">
        <v>25</v>
      </c>
      <c r="L3329" t="s">
        <v>47</v>
      </c>
      <c r="M3329">
        <v>2</v>
      </c>
      <c r="N3329">
        <v>523.54999999999995</v>
      </c>
      <c r="O3329">
        <v>741.16</v>
      </c>
      <c r="P3329">
        <v>74.12</v>
      </c>
      <c r="Q3329">
        <v>74.12</v>
      </c>
      <c r="R3329" t="s">
        <v>30</v>
      </c>
      <c r="S3329">
        <v>29</v>
      </c>
      <c r="T3329">
        <v>1</v>
      </c>
      <c r="U3329">
        <v>1</v>
      </c>
      <c r="V3329">
        <v>667.04</v>
      </c>
      <c r="W3329">
        <v>13130003327</v>
      </c>
    </row>
    <row r="3330" spans="1:23" x14ac:dyDescent="0.2">
      <c r="A3330" s="1">
        <v>44804</v>
      </c>
      <c r="B3330" s="2">
        <v>0.61116898148148147</v>
      </c>
      <c r="C3330">
        <v>4328</v>
      </c>
      <c r="D3330">
        <v>13002561</v>
      </c>
      <c r="E3330">
        <v>13</v>
      </c>
      <c r="F3330">
        <v>22589</v>
      </c>
      <c r="G3330" t="s">
        <v>23</v>
      </c>
      <c r="H3330">
        <v>15</v>
      </c>
      <c r="I3330">
        <v>98518</v>
      </c>
      <c r="J3330" t="s">
        <v>55</v>
      </c>
      <c r="K3330" t="s">
        <v>45</v>
      </c>
      <c r="L3330" t="s">
        <v>26</v>
      </c>
      <c r="M3330">
        <v>1</v>
      </c>
      <c r="N3330">
        <v>221.89</v>
      </c>
      <c r="O3330">
        <v>317.62</v>
      </c>
      <c r="P3330">
        <v>15.88</v>
      </c>
      <c r="Q3330">
        <v>15.88</v>
      </c>
      <c r="R3330" t="s">
        <v>30</v>
      </c>
      <c r="S3330">
        <v>29</v>
      </c>
      <c r="T3330">
        <v>1</v>
      </c>
      <c r="U3330">
        <v>4</v>
      </c>
      <c r="V3330">
        <v>301.74</v>
      </c>
      <c r="W3330">
        <v>13130003328</v>
      </c>
    </row>
    <row r="3331" spans="1:23" x14ac:dyDescent="0.2">
      <c r="A3331" s="1">
        <v>44796</v>
      </c>
      <c r="B3331" s="2">
        <v>0.83444444444444443</v>
      </c>
      <c r="C3331">
        <v>4329</v>
      </c>
      <c r="D3331">
        <v>13002561</v>
      </c>
      <c r="E3331">
        <v>13</v>
      </c>
      <c r="F3331">
        <v>22589</v>
      </c>
      <c r="G3331" t="s">
        <v>23</v>
      </c>
      <c r="H3331">
        <v>15</v>
      </c>
      <c r="I3331">
        <v>27616</v>
      </c>
      <c r="J3331" t="s">
        <v>109</v>
      </c>
      <c r="K3331" t="s">
        <v>45</v>
      </c>
      <c r="L3331" t="s">
        <v>47</v>
      </c>
      <c r="M3331">
        <v>1</v>
      </c>
      <c r="N3331">
        <v>19.29</v>
      </c>
      <c r="O3331">
        <v>27.81</v>
      </c>
      <c r="P3331">
        <v>0</v>
      </c>
      <c r="Q3331">
        <v>0</v>
      </c>
      <c r="S3331">
        <v>29</v>
      </c>
      <c r="T3331">
        <v>1</v>
      </c>
      <c r="U3331">
        <v>3</v>
      </c>
      <c r="V3331">
        <v>27.81</v>
      </c>
      <c r="W3331">
        <v>13130003329</v>
      </c>
    </row>
    <row r="3332" spans="1:23" x14ac:dyDescent="0.2">
      <c r="A3332" s="1">
        <v>44792</v>
      </c>
      <c r="B3332" s="2">
        <v>0.52525462962962965</v>
      </c>
      <c r="C3332">
        <v>4330</v>
      </c>
      <c r="D3332">
        <v>13002561</v>
      </c>
      <c r="E3332">
        <v>13</v>
      </c>
      <c r="F3332">
        <v>22589</v>
      </c>
      <c r="G3332" t="s">
        <v>23</v>
      </c>
      <c r="H3332">
        <v>15</v>
      </c>
      <c r="I3332">
        <v>40637</v>
      </c>
      <c r="J3332" t="s">
        <v>92</v>
      </c>
      <c r="K3332" t="s">
        <v>44</v>
      </c>
      <c r="L3332" t="s">
        <v>32</v>
      </c>
      <c r="M3332">
        <v>3</v>
      </c>
      <c r="N3332">
        <v>234.12</v>
      </c>
      <c r="O3332">
        <v>371.59</v>
      </c>
      <c r="P3332">
        <v>0</v>
      </c>
      <c r="Q3332">
        <v>0</v>
      </c>
      <c r="S3332">
        <v>29</v>
      </c>
      <c r="T3332">
        <v>1</v>
      </c>
      <c r="U3332">
        <v>1</v>
      </c>
      <c r="V3332">
        <v>371.59</v>
      </c>
      <c r="W3332">
        <v>13130003330</v>
      </c>
    </row>
    <row r="3333" spans="1:23" x14ac:dyDescent="0.2">
      <c r="A3333" s="1">
        <v>44804</v>
      </c>
      <c r="B3333" s="2">
        <v>0.57664351851851847</v>
      </c>
      <c r="C3333">
        <v>4331</v>
      </c>
      <c r="D3333">
        <v>13002561</v>
      </c>
      <c r="E3333">
        <v>13</v>
      </c>
      <c r="F3333">
        <v>22589</v>
      </c>
      <c r="G3333" t="s">
        <v>23</v>
      </c>
      <c r="H3333">
        <v>15</v>
      </c>
      <c r="I3333">
        <v>47341</v>
      </c>
      <c r="J3333" t="s">
        <v>114</v>
      </c>
      <c r="K3333" t="s">
        <v>28</v>
      </c>
      <c r="L3333" t="s">
        <v>26</v>
      </c>
      <c r="M3333">
        <v>1</v>
      </c>
      <c r="N3333">
        <v>249.51</v>
      </c>
      <c r="O3333">
        <v>409.09</v>
      </c>
      <c r="P3333">
        <v>0</v>
      </c>
      <c r="Q3333">
        <v>0</v>
      </c>
      <c r="S3333">
        <v>29</v>
      </c>
      <c r="T3333">
        <v>1</v>
      </c>
      <c r="U3333">
        <v>2</v>
      </c>
      <c r="V3333">
        <v>409.09</v>
      </c>
      <c r="W3333">
        <v>13130003331</v>
      </c>
    </row>
    <row r="3334" spans="1:23" x14ac:dyDescent="0.2">
      <c r="A3334" s="1">
        <v>44793</v>
      </c>
      <c r="B3334" s="2">
        <v>0.35355324074074068</v>
      </c>
      <c r="C3334">
        <v>4332</v>
      </c>
      <c r="D3334">
        <v>13002561</v>
      </c>
      <c r="E3334">
        <v>13</v>
      </c>
      <c r="F3334">
        <v>22589</v>
      </c>
      <c r="G3334" t="s">
        <v>23</v>
      </c>
      <c r="H3334">
        <v>15</v>
      </c>
      <c r="I3334">
        <v>40627</v>
      </c>
      <c r="J3334" t="s">
        <v>99</v>
      </c>
      <c r="K3334" t="s">
        <v>45</v>
      </c>
      <c r="L3334" t="s">
        <v>36</v>
      </c>
      <c r="M3334">
        <v>1</v>
      </c>
      <c r="N3334">
        <v>397.11</v>
      </c>
      <c r="O3334">
        <v>585.4</v>
      </c>
      <c r="P3334">
        <v>58.54</v>
      </c>
      <c r="Q3334">
        <v>58.54</v>
      </c>
      <c r="R3334" t="s">
        <v>30</v>
      </c>
      <c r="S3334">
        <v>29</v>
      </c>
      <c r="T3334">
        <v>1</v>
      </c>
      <c r="U3334">
        <v>1</v>
      </c>
      <c r="V3334">
        <v>526.86</v>
      </c>
      <c r="W3334">
        <v>13130003332</v>
      </c>
    </row>
    <row r="3335" spans="1:23" x14ac:dyDescent="0.2">
      <c r="A3335" s="1">
        <v>44798</v>
      </c>
      <c r="B3335" s="2">
        <v>0.72635416666666663</v>
      </c>
      <c r="C3335">
        <v>4333</v>
      </c>
      <c r="D3335">
        <v>13002561</v>
      </c>
      <c r="E3335">
        <v>13</v>
      </c>
      <c r="F3335">
        <v>22589</v>
      </c>
      <c r="G3335" t="s">
        <v>23</v>
      </c>
      <c r="H3335">
        <v>15</v>
      </c>
      <c r="I3335">
        <v>12595</v>
      </c>
      <c r="J3335" t="s">
        <v>105</v>
      </c>
      <c r="K3335" t="s">
        <v>38</v>
      </c>
      <c r="L3335" t="s">
        <v>34</v>
      </c>
      <c r="M3335">
        <v>1</v>
      </c>
      <c r="N3335">
        <v>164.16</v>
      </c>
      <c r="O3335">
        <v>261.47000000000003</v>
      </c>
      <c r="P3335">
        <v>0</v>
      </c>
      <c r="Q3335">
        <v>0</v>
      </c>
      <c r="S3335">
        <v>29</v>
      </c>
      <c r="T3335">
        <v>1</v>
      </c>
      <c r="U3335">
        <v>2</v>
      </c>
      <c r="V3335">
        <v>261.47000000000003</v>
      </c>
      <c r="W3335">
        <v>13130003333</v>
      </c>
    </row>
    <row r="3336" spans="1:23" x14ac:dyDescent="0.2">
      <c r="A3336" s="1">
        <v>44787</v>
      </c>
      <c r="B3336" s="2">
        <v>0.7642592592592593</v>
      </c>
      <c r="C3336">
        <v>4334</v>
      </c>
      <c r="D3336">
        <v>13002561</v>
      </c>
      <c r="E3336">
        <v>13</v>
      </c>
      <c r="F3336">
        <v>22589</v>
      </c>
      <c r="G3336" t="s">
        <v>23</v>
      </c>
      <c r="H3336">
        <v>15</v>
      </c>
      <c r="I3336">
        <v>12755</v>
      </c>
      <c r="J3336" t="s">
        <v>35</v>
      </c>
      <c r="K3336" t="s">
        <v>45</v>
      </c>
      <c r="L3336" t="s">
        <v>36</v>
      </c>
      <c r="M3336">
        <v>1</v>
      </c>
      <c r="N3336">
        <v>74.7</v>
      </c>
      <c r="O3336">
        <v>119.61</v>
      </c>
      <c r="P3336">
        <v>0</v>
      </c>
      <c r="Q3336">
        <v>0</v>
      </c>
      <c r="S3336">
        <v>29</v>
      </c>
      <c r="T3336">
        <v>1</v>
      </c>
      <c r="U3336">
        <v>4</v>
      </c>
      <c r="V3336">
        <v>119.61</v>
      </c>
      <c r="W3336">
        <v>13130003334</v>
      </c>
    </row>
    <row r="3337" spans="1:23" x14ac:dyDescent="0.2">
      <c r="A3337" s="1">
        <v>44796</v>
      </c>
      <c r="B3337" s="2">
        <v>0.46189814814814822</v>
      </c>
      <c r="C3337">
        <v>4335</v>
      </c>
      <c r="D3337">
        <v>13002561</v>
      </c>
      <c r="E3337">
        <v>13</v>
      </c>
      <c r="F3337">
        <v>22589</v>
      </c>
      <c r="G3337" t="s">
        <v>23</v>
      </c>
      <c r="H3337">
        <v>18</v>
      </c>
      <c r="I3337">
        <v>15519</v>
      </c>
      <c r="J3337" t="s">
        <v>35</v>
      </c>
      <c r="K3337" t="s">
        <v>60</v>
      </c>
      <c r="L3337" t="s">
        <v>29</v>
      </c>
      <c r="M3337">
        <v>2</v>
      </c>
      <c r="N3337">
        <v>62.64</v>
      </c>
      <c r="O3337">
        <v>89.04</v>
      </c>
      <c r="P3337">
        <v>0</v>
      </c>
      <c r="Q3337">
        <v>0</v>
      </c>
      <c r="S3337">
        <v>29</v>
      </c>
      <c r="T3337">
        <v>1</v>
      </c>
      <c r="U3337">
        <v>2</v>
      </c>
      <c r="V3337">
        <v>89.04</v>
      </c>
      <c r="W3337">
        <v>13130003335</v>
      </c>
    </row>
    <row r="3338" spans="1:23" x14ac:dyDescent="0.2">
      <c r="A3338" s="1">
        <v>44798</v>
      </c>
      <c r="B3338" s="2">
        <v>0.56835648148148143</v>
      </c>
      <c r="C3338">
        <v>4336</v>
      </c>
      <c r="D3338">
        <v>13002561</v>
      </c>
      <c r="E3338">
        <v>13</v>
      </c>
      <c r="F3338">
        <v>22589</v>
      </c>
      <c r="G3338" t="s">
        <v>23</v>
      </c>
      <c r="H3338">
        <v>15</v>
      </c>
      <c r="I3338">
        <v>39931</v>
      </c>
      <c r="J3338" t="s">
        <v>40</v>
      </c>
      <c r="K3338" t="s">
        <v>38</v>
      </c>
      <c r="L3338" t="s">
        <v>29</v>
      </c>
      <c r="M3338">
        <v>3</v>
      </c>
      <c r="N3338">
        <v>150.99</v>
      </c>
      <c r="O3338">
        <v>252.58</v>
      </c>
      <c r="P3338">
        <v>12.63</v>
      </c>
      <c r="Q3338">
        <v>12.63</v>
      </c>
      <c r="R3338" t="s">
        <v>30</v>
      </c>
      <c r="S3338">
        <v>29</v>
      </c>
      <c r="T3338">
        <v>1</v>
      </c>
      <c r="U3338">
        <v>2</v>
      </c>
      <c r="V3338">
        <v>239.95</v>
      </c>
      <c r="W3338">
        <v>13130003336</v>
      </c>
    </row>
    <row r="3339" spans="1:23" x14ac:dyDescent="0.2">
      <c r="A3339" s="1">
        <v>44780</v>
      </c>
      <c r="B3339" s="2">
        <v>0.39939814814814822</v>
      </c>
      <c r="C3339">
        <v>4337</v>
      </c>
      <c r="D3339">
        <v>13002561</v>
      </c>
      <c r="E3339">
        <v>13</v>
      </c>
      <c r="F3339">
        <v>22589</v>
      </c>
      <c r="G3339" t="s">
        <v>23</v>
      </c>
      <c r="H3339">
        <v>18</v>
      </c>
      <c r="I3339">
        <v>45103</v>
      </c>
      <c r="J3339" t="s">
        <v>92</v>
      </c>
      <c r="K3339" t="s">
        <v>45</v>
      </c>
      <c r="L3339" t="s">
        <v>26</v>
      </c>
      <c r="M3339">
        <v>2</v>
      </c>
      <c r="N3339">
        <v>320.27999999999997</v>
      </c>
      <c r="O3339">
        <v>427.87</v>
      </c>
      <c r="P3339">
        <v>42.79</v>
      </c>
      <c r="Q3339">
        <v>42.79</v>
      </c>
      <c r="R3339" t="s">
        <v>30</v>
      </c>
      <c r="S3339">
        <v>29</v>
      </c>
      <c r="T3339">
        <v>1</v>
      </c>
      <c r="U3339">
        <v>2</v>
      </c>
      <c r="V3339">
        <v>385.08</v>
      </c>
      <c r="W3339">
        <v>13130003337</v>
      </c>
    </row>
    <row r="3340" spans="1:23" x14ac:dyDescent="0.2">
      <c r="A3340" s="1">
        <v>44804</v>
      </c>
      <c r="B3340" s="2">
        <v>0.3699189814814815</v>
      </c>
      <c r="C3340">
        <v>4338</v>
      </c>
      <c r="D3340">
        <v>13002561</v>
      </c>
      <c r="E3340">
        <v>13</v>
      </c>
      <c r="F3340">
        <v>22589</v>
      </c>
      <c r="G3340" t="s">
        <v>23</v>
      </c>
      <c r="H3340">
        <v>15</v>
      </c>
      <c r="I3340">
        <v>65075</v>
      </c>
      <c r="J3340" t="s">
        <v>57</v>
      </c>
      <c r="K3340" t="s">
        <v>60</v>
      </c>
      <c r="L3340" t="s">
        <v>47</v>
      </c>
      <c r="M3340">
        <v>1</v>
      </c>
      <c r="N3340">
        <v>507.03</v>
      </c>
      <c r="O3340">
        <v>856.2</v>
      </c>
      <c r="P3340">
        <v>42.81</v>
      </c>
      <c r="Q3340">
        <v>42.81</v>
      </c>
      <c r="R3340" t="s">
        <v>30</v>
      </c>
      <c r="S3340">
        <v>29</v>
      </c>
      <c r="T3340">
        <v>1</v>
      </c>
      <c r="U3340">
        <v>1</v>
      </c>
      <c r="V3340">
        <v>813.39</v>
      </c>
      <c r="W3340">
        <v>13130003338</v>
      </c>
    </row>
    <row r="3341" spans="1:23" x14ac:dyDescent="0.2">
      <c r="A3341" s="1">
        <v>44777</v>
      </c>
      <c r="B3341" s="2">
        <v>0.71598379629629627</v>
      </c>
      <c r="C3341">
        <v>4339</v>
      </c>
      <c r="D3341">
        <v>13002561</v>
      </c>
      <c r="E3341">
        <v>13</v>
      </c>
      <c r="F3341">
        <v>22589</v>
      </c>
      <c r="G3341" t="s">
        <v>23</v>
      </c>
      <c r="H3341">
        <v>18</v>
      </c>
      <c r="I3341">
        <v>79532</v>
      </c>
      <c r="J3341" t="s">
        <v>115</v>
      </c>
      <c r="K3341" t="s">
        <v>45</v>
      </c>
      <c r="L3341" t="s">
        <v>26</v>
      </c>
      <c r="M3341">
        <v>1</v>
      </c>
      <c r="N3341">
        <v>416.88</v>
      </c>
      <c r="O3341">
        <v>547.79999999999995</v>
      </c>
      <c r="P3341">
        <v>54.78</v>
      </c>
      <c r="Q3341">
        <v>54.78</v>
      </c>
      <c r="R3341" t="s">
        <v>30</v>
      </c>
      <c r="S3341">
        <v>29</v>
      </c>
      <c r="T3341">
        <v>1</v>
      </c>
      <c r="U3341">
        <v>5</v>
      </c>
      <c r="V3341">
        <v>493.02</v>
      </c>
      <c r="W3341">
        <v>13130003339</v>
      </c>
    </row>
    <row r="3342" spans="1:23" x14ac:dyDescent="0.2">
      <c r="A3342" s="1">
        <v>44804</v>
      </c>
      <c r="B3342" s="2">
        <v>0.55881944444444442</v>
      </c>
      <c r="C3342">
        <v>4340</v>
      </c>
      <c r="D3342">
        <v>13002561</v>
      </c>
      <c r="E3342">
        <v>13</v>
      </c>
      <c r="F3342">
        <v>22589</v>
      </c>
      <c r="G3342" t="s">
        <v>23</v>
      </c>
      <c r="H3342">
        <v>18</v>
      </c>
      <c r="I3342">
        <v>28914</v>
      </c>
      <c r="J3342" t="s">
        <v>69</v>
      </c>
      <c r="K3342" t="s">
        <v>28</v>
      </c>
      <c r="L3342" t="s">
        <v>26</v>
      </c>
      <c r="M3342">
        <v>3</v>
      </c>
      <c r="N3342">
        <v>200.15</v>
      </c>
      <c r="O3342">
        <v>332.18</v>
      </c>
      <c r="P3342">
        <v>16.61</v>
      </c>
      <c r="Q3342">
        <v>16.61</v>
      </c>
      <c r="R3342" t="s">
        <v>30</v>
      </c>
      <c r="S3342">
        <v>29</v>
      </c>
      <c r="T3342">
        <v>1</v>
      </c>
      <c r="U3342">
        <v>6</v>
      </c>
      <c r="V3342">
        <v>315.57</v>
      </c>
      <c r="W3342">
        <v>13130003340</v>
      </c>
    </row>
    <row r="3343" spans="1:23" x14ac:dyDescent="0.2">
      <c r="A3343" s="1">
        <v>44802</v>
      </c>
      <c r="B3343" s="2">
        <v>0.796875</v>
      </c>
      <c r="C3343">
        <v>4341</v>
      </c>
      <c r="D3343">
        <v>13002561</v>
      </c>
      <c r="E3343">
        <v>13</v>
      </c>
      <c r="F3343">
        <v>22589</v>
      </c>
      <c r="G3343" t="s">
        <v>23</v>
      </c>
      <c r="H3343">
        <v>15</v>
      </c>
      <c r="I3343">
        <v>90534</v>
      </c>
      <c r="J3343" t="s">
        <v>126</v>
      </c>
      <c r="K3343" t="s">
        <v>28</v>
      </c>
      <c r="L3343" t="s">
        <v>29</v>
      </c>
      <c r="M3343">
        <v>1</v>
      </c>
      <c r="N3343">
        <v>166.91</v>
      </c>
      <c r="O3343">
        <v>269.37</v>
      </c>
      <c r="P3343">
        <v>13.47</v>
      </c>
      <c r="Q3343">
        <v>13.47</v>
      </c>
      <c r="R3343" t="s">
        <v>30</v>
      </c>
      <c r="S3343">
        <v>29</v>
      </c>
      <c r="T3343">
        <v>1</v>
      </c>
      <c r="U3343">
        <v>3</v>
      </c>
      <c r="V3343">
        <v>255.9</v>
      </c>
      <c r="W3343">
        <v>13130003341</v>
      </c>
    </row>
    <row r="3344" spans="1:23" x14ac:dyDescent="0.2">
      <c r="A3344" s="1">
        <v>44776</v>
      </c>
      <c r="B3344" s="2">
        <v>0.66643518518518519</v>
      </c>
      <c r="C3344">
        <v>4342</v>
      </c>
      <c r="D3344">
        <v>13002561</v>
      </c>
      <c r="E3344">
        <v>13</v>
      </c>
      <c r="F3344">
        <v>22589</v>
      </c>
      <c r="G3344" t="s">
        <v>23</v>
      </c>
      <c r="H3344">
        <v>15</v>
      </c>
      <c r="I3344">
        <v>87743</v>
      </c>
      <c r="J3344" t="s">
        <v>43</v>
      </c>
      <c r="K3344" t="s">
        <v>38</v>
      </c>
      <c r="L3344" t="s">
        <v>29</v>
      </c>
      <c r="M3344">
        <v>2</v>
      </c>
      <c r="N3344">
        <v>477.02</v>
      </c>
      <c r="O3344">
        <v>774.03</v>
      </c>
      <c r="P3344">
        <v>38.700000000000003</v>
      </c>
      <c r="Q3344">
        <v>38.700000000000003</v>
      </c>
      <c r="R3344" t="s">
        <v>30</v>
      </c>
      <c r="S3344">
        <v>29</v>
      </c>
      <c r="T3344">
        <v>1</v>
      </c>
      <c r="U3344">
        <v>6</v>
      </c>
      <c r="V3344">
        <v>735.33</v>
      </c>
      <c r="W3344">
        <v>13130003342</v>
      </c>
    </row>
    <row r="3345" spans="1:23" x14ac:dyDescent="0.2">
      <c r="A3345" s="1">
        <v>44800</v>
      </c>
      <c r="B3345" s="2">
        <v>0.90034722222222219</v>
      </c>
      <c r="C3345">
        <v>4343</v>
      </c>
      <c r="D3345">
        <v>13002561</v>
      </c>
      <c r="E3345">
        <v>13</v>
      </c>
      <c r="F3345">
        <v>22589</v>
      </c>
      <c r="G3345" t="s">
        <v>23</v>
      </c>
      <c r="H3345">
        <v>18</v>
      </c>
      <c r="I3345">
        <v>32810</v>
      </c>
      <c r="J3345" t="s">
        <v>116</v>
      </c>
      <c r="K3345" t="s">
        <v>25</v>
      </c>
      <c r="L3345" t="s">
        <v>39</v>
      </c>
      <c r="M3345">
        <v>3</v>
      </c>
      <c r="N3345">
        <v>356.66</v>
      </c>
      <c r="O3345">
        <v>545.6</v>
      </c>
      <c r="P3345">
        <v>54.56</v>
      </c>
      <c r="Q3345">
        <v>54.56</v>
      </c>
      <c r="R3345" t="s">
        <v>30</v>
      </c>
      <c r="S3345">
        <v>29</v>
      </c>
      <c r="T3345">
        <v>1</v>
      </c>
      <c r="U3345">
        <v>3</v>
      </c>
      <c r="V3345">
        <v>491.04</v>
      </c>
      <c r="W3345">
        <v>13130003343</v>
      </c>
    </row>
    <row r="3346" spans="1:23" x14ac:dyDescent="0.2">
      <c r="A3346" s="1">
        <v>44801</v>
      </c>
      <c r="B3346" s="2">
        <v>0.85026620370370365</v>
      </c>
      <c r="C3346">
        <v>4344</v>
      </c>
      <c r="D3346">
        <v>13002561</v>
      </c>
      <c r="E3346">
        <v>13</v>
      </c>
      <c r="F3346">
        <v>22589</v>
      </c>
      <c r="G3346" t="s">
        <v>23</v>
      </c>
      <c r="H3346">
        <v>15</v>
      </c>
      <c r="I3346">
        <v>83866</v>
      </c>
      <c r="J3346" t="s">
        <v>66</v>
      </c>
      <c r="K3346" t="s">
        <v>60</v>
      </c>
      <c r="L3346" t="s">
        <v>47</v>
      </c>
      <c r="M3346">
        <v>1</v>
      </c>
      <c r="N3346">
        <v>66.709999999999994</v>
      </c>
      <c r="O3346">
        <v>86.52</v>
      </c>
      <c r="P3346">
        <v>0</v>
      </c>
      <c r="Q3346">
        <v>0</v>
      </c>
      <c r="S3346">
        <v>29</v>
      </c>
      <c r="T3346">
        <v>1</v>
      </c>
      <c r="U3346">
        <v>1</v>
      </c>
      <c r="V3346">
        <v>86.52</v>
      </c>
      <c r="W3346">
        <v>13130003344</v>
      </c>
    </row>
    <row r="3347" spans="1:23" x14ac:dyDescent="0.2">
      <c r="A3347" s="1">
        <v>44783</v>
      </c>
      <c r="B3347" s="2">
        <v>0.58846064814814814</v>
      </c>
      <c r="C3347">
        <v>4345</v>
      </c>
      <c r="D3347">
        <v>13002561</v>
      </c>
      <c r="E3347">
        <v>13</v>
      </c>
      <c r="F3347">
        <v>22589</v>
      </c>
      <c r="G3347" t="s">
        <v>23</v>
      </c>
      <c r="H3347">
        <v>15</v>
      </c>
      <c r="I3347">
        <v>54852</v>
      </c>
      <c r="J3347" t="s">
        <v>54</v>
      </c>
      <c r="K3347" t="s">
        <v>45</v>
      </c>
      <c r="L3347" t="s">
        <v>51</v>
      </c>
      <c r="M3347">
        <v>2</v>
      </c>
      <c r="N3347">
        <v>396.48</v>
      </c>
      <c r="O3347">
        <v>569.07000000000005</v>
      </c>
      <c r="P3347">
        <v>28.45</v>
      </c>
      <c r="Q3347">
        <v>28.45</v>
      </c>
      <c r="R3347" t="s">
        <v>30</v>
      </c>
      <c r="S3347">
        <v>29</v>
      </c>
      <c r="T3347">
        <v>1</v>
      </c>
      <c r="U3347">
        <v>5</v>
      </c>
      <c r="V3347">
        <v>540.62</v>
      </c>
      <c r="W3347">
        <v>13130003345</v>
      </c>
    </row>
    <row r="3348" spans="1:23" x14ac:dyDescent="0.2">
      <c r="A3348" s="1">
        <v>44786</v>
      </c>
      <c r="B3348" s="2">
        <v>0.75765046296296301</v>
      </c>
      <c r="C3348">
        <v>4346</v>
      </c>
      <c r="D3348">
        <v>13002561</v>
      </c>
      <c r="E3348">
        <v>13</v>
      </c>
      <c r="F3348">
        <v>22589</v>
      </c>
      <c r="G3348" t="s">
        <v>23</v>
      </c>
      <c r="H3348">
        <v>15</v>
      </c>
      <c r="I3348">
        <v>38657</v>
      </c>
      <c r="J3348" t="s">
        <v>115</v>
      </c>
      <c r="K3348" t="s">
        <v>38</v>
      </c>
      <c r="L3348" t="s">
        <v>32</v>
      </c>
      <c r="M3348">
        <v>2</v>
      </c>
      <c r="N3348">
        <v>593.37</v>
      </c>
      <c r="O3348">
        <v>860.39</v>
      </c>
      <c r="P3348">
        <v>0</v>
      </c>
      <c r="Q3348">
        <v>0</v>
      </c>
      <c r="S3348">
        <v>29</v>
      </c>
      <c r="T3348">
        <v>1</v>
      </c>
      <c r="U3348">
        <v>2</v>
      </c>
      <c r="V3348">
        <v>860.39</v>
      </c>
      <c r="W3348">
        <v>13130003346</v>
      </c>
    </row>
    <row r="3349" spans="1:23" x14ac:dyDescent="0.2">
      <c r="A3349" s="1">
        <v>44797</v>
      </c>
      <c r="B3349" s="2">
        <v>0.34135416666666668</v>
      </c>
      <c r="C3349">
        <v>4347</v>
      </c>
      <c r="D3349">
        <v>13002561</v>
      </c>
      <c r="E3349">
        <v>13</v>
      </c>
      <c r="F3349">
        <v>22589</v>
      </c>
      <c r="G3349" t="s">
        <v>23</v>
      </c>
      <c r="H3349">
        <v>15</v>
      </c>
      <c r="I3349">
        <v>35706</v>
      </c>
      <c r="J3349" t="s">
        <v>33</v>
      </c>
      <c r="K3349" t="s">
        <v>38</v>
      </c>
      <c r="L3349" t="s">
        <v>29</v>
      </c>
      <c r="M3349">
        <v>1</v>
      </c>
      <c r="N3349">
        <v>72.77</v>
      </c>
      <c r="O3349">
        <v>112.68</v>
      </c>
      <c r="P3349">
        <v>5.63</v>
      </c>
      <c r="Q3349">
        <v>5.63</v>
      </c>
      <c r="R3349" t="s">
        <v>30</v>
      </c>
      <c r="S3349">
        <v>29</v>
      </c>
      <c r="T3349">
        <v>1</v>
      </c>
      <c r="U3349">
        <v>1</v>
      </c>
      <c r="V3349">
        <v>107.05</v>
      </c>
      <c r="W3349">
        <v>13130003347</v>
      </c>
    </row>
    <row r="3350" spans="1:23" x14ac:dyDescent="0.2">
      <c r="A3350" s="1">
        <v>44781</v>
      </c>
      <c r="B3350" s="2">
        <v>0.54686342592592596</v>
      </c>
      <c r="C3350">
        <v>4348</v>
      </c>
      <c r="D3350">
        <v>13002561</v>
      </c>
      <c r="E3350">
        <v>13</v>
      </c>
      <c r="F3350">
        <v>22589</v>
      </c>
      <c r="G3350" t="s">
        <v>23</v>
      </c>
      <c r="H3350">
        <v>15</v>
      </c>
      <c r="I3350">
        <v>84245</v>
      </c>
      <c r="J3350" t="s">
        <v>98</v>
      </c>
      <c r="K3350" t="s">
        <v>44</v>
      </c>
      <c r="L3350" t="s">
        <v>47</v>
      </c>
      <c r="M3350">
        <v>1</v>
      </c>
      <c r="N3350">
        <v>414.32</v>
      </c>
      <c r="O3350">
        <v>538.59</v>
      </c>
      <c r="P3350">
        <v>0</v>
      </c>
      <c r="Q3350">
        <v>0</v>
      </c>
      <c r="S3350">
        <v>29</v>
      </c>
      <c r="T3350">
        <v>1</v>
      </c>
      <c r="U3350">
        <v>5</v>
      </c>
      <c r="V3350">
        <v>538.59</v>
      </c>
      <c r="W3350">
        <v>13130003348</v>
      </c>
    </row>
    <row r="3351" spans="1:23" x14ac:dyDescent="0.2">
      <c r="A3351" s="1">
        <v>44789</v>
      </c>
      <c r="B3351" s="2">
        <v>0.570775462962963</v>
      </c>
      <c r="C3351">
        <v>4349</v>
      </c>
      <c r="D3351">
        <v>13002561</v>
      </c>
      <c r="E3351">
        <v>13</v>
      </c>
      <c r="F3351">
        <v>22589</v>
      </c>
      <c r="G3351" t="s">
        <v>23</v>
      </c>
      <c r="H3351">
        <v>15</v>
      </c>
      <c r="I3351">
        <v>81828</v>
      </c>
      <c r="J3351" t="s">
        <v>57</v>
      </c>
      <c r="K3351" t="s">
        <v>38</v>
      </c>
      <c r="L3351" t="s">
        <v>39</v>
      </c>
      <c r="M3351">
        <v>3</v>
      </c>
      <c r="N3351">
        <v>323.86</v>
      </c>
      <c r="O3351">
        <v>434.14</v>
      </c>
      <c r="P3351">
        <v>21.71</v>
      </c>
      <c r="Q3351">
        <v>21.71</v>
      </c>
      <c r="R3351" t="s">
        <v>30</v>
      </c>
      <c r="S3351">
        <v>29</v>
      </c>
      <c r="T3351">
        <v>1</v>
      </c>
      <c r="U3351">
        <v>5</v>
      </c>
      <c r="V3351">
        <v>412.43</v>
      </c>
      <c r="W3351">
        <v>13130003349</v>
      </c>
    </row>
    <row r="3352" spans="1:23" x14ac:dyDescent="0.2">
      <c r="A3352" s="1">
        <v>44782</v>
      </c>
      <c r="B3352" s="2">
        <v>0.91817129629629635</v>
      </c>
      <c r="C3352">
        <v>4350</v>
      </c>
      <c r="D3352">
        <v>13002561</v>
      </c>
      <c r="E3352">
        <v>13</v>
      </c>
      <c r="F3352">
        <v>22589</v>
      </c>
      <c r="G3352" t="s">
        <v>23</v>
      </c>
      <c r="H3352">
        <v>15</v>
      </c>
      <c r="I3352">
        <v>28781</v>
      </c>
      <c r="J3352" t="s">
        <v>76</v>
      </c>
      <c r="K3352" t="s">
        <v>45</v>
      </c>
      <c r="L3352" t="s">
        <v>32</v>
      </c>
      <c r="M3352">
        <v>2</v>
      </c>
      <c r="N3352">
        <v>55.55</v>
      </c>
      <c r="O3352">
        <v>75.53</v>
      </c>
      <c r="P3352">
        <v>3.78</v>
      </c>
      <c r="Q3352">
        <v>3.78</v>
      </c>
      <c r="R3352" t="s">
        <v>30</v>
      </c>
      <c r="S3352">
        <v>29</v>
      </c>
      <c r="T3352">
        <v>1</v>
      </c>
      <c r="U3352">
        <v>3</v>
      </c>
      <c r="V3352">
        <v>71.75</v>
      </c>
      <c r="W3352">
        <v>13130003350</v>
      </c>
    </row>
    <row r="3353" spans="1:23" x14ac:dyDescent="0.2">
      <c r="A3353" s="1">
        <v>44798</v>
      </c>
      <c r="B3353" s="2">
        <v>0.77376157407407409</v>
      </c>
      <c r="C3353">
        <v>4351</v>
      </c>
      <c r="D3353">
        <v>13002561</v>
      </c>
      <c r="E3353">
        <v>13</v>
      </c>
      <c r="F3353">
        <v>22589</v>
      </c>
      <c r="G3353" t="s">
        <v>23</v>
      </c>
      <c r="H3353">
        <v>15</v>
      </c>
      <c r="I3353">
        <v>86910</v>
      </c>
      <c r="J3353" t="s">
        <v>91</v>
      </c>
      <c r="K3353" t="s">
        <v>28</v>
      </c>
      <c r="L3353" t="s">
        <v>39</v>
      </c>
      <c r="M3353">
        <v>1</v>
      </c>
      <c r="N3353">
        <v>544.79999999999995</v>
      </c>
      <c r="O3353">
        <v>748.84</v>
      </c>
      <c r="P3353">
        <v>37.44</v>
      </c>
      <c r="Q3353">
        <v>37.44</v>
      </c>
      <c r="R3353" t="s">
        <v>30</v>
      </c>
      <c r="S3353">
        <v>29</v>
      </c>
      <c r="T3353">
        <v>1</v>
      </c>
      <c r="U3353">
        <v>6</v>
      </c>
      <c r="V3353">
        <v>711.4</v>
      </c>
      <c r="W3353">
        <v>13130003351</v>
      </c>
    </row>
    <row r="3354" spans="1:23" x14ac:dyDescent="0.2">
      <c r="A3354" s="1">
        <v>44802</v>
      </c>
      <c r="B3354" s="2">
        <v>0.33359953703703699</v>
      </c>
      <c r="C3354">
        <v>4352</v>
      </c>
      <c r="D3354">
        <v>13002561</v>
      </c>
      <c r="E3354">
        <v>13</v>
      </c>
      <c r="F3354">
        <v>22589</v>
      </c>
      <c r="G3354" t="s">
        <v>23</v>
      </c>
      <c r="H3354">
        <v>15</v>
      </c>
      <c r="I3354">
        <v>42759</v>
      </c>
      <c r="J3354" t="s">
        <v>49</v>
      </c>
      <c r="K3354" t="s">
        <v>28</v>
      </c>
      <c r="L3354" t="s">
        <v>26</v>
      </c>
      <c r="M3354">
        <v>3</v>
      </c>
      <c r="N3354">
        <v>296.7</v>
      </c>
      <c r="O3354">
        <v>487.42</v>
      </c>
      <c r="P3354">
        <v>48.74</v>
      </c>
      <c r="Q3354">
        <v>48.74</v>
      </c>
      <c r="R3354" t="s">
        <v>30</v>
      </c>
      <c r="S3354">
        <v>29</v>
      </c>
      <c r="T3354">
        <v>1</v>
      </c>
      <c r="U3354">
        <v>2</v>
      </c>
      <c r="V3354">
        <v>438.68</v>
      </c>
      <c r="W3354">
        <v>13130003352</v>
      </c>
    </row>
    <row r="3355" spans="1:23" x14ac:dyDescent="0.2">
      <c r="A3355" s="1">
        <v>44791</v>
      </c>
      <c r="B3355" s="2">
        <v>0.65182870370370372</v>
      </c>
      <c r="C3355">
        <v>4353</v>
      </c>
      <c r="D3355">
        <v>13002561</v>
      </c>
      <c r="E3355">
        <v>13</v>
      </c>
      <c r="F3355">
        <v>22589</v>
      </c>
      <c r="G3355" t="s">
        <v>23</v>
      </c>
      <c r="H3355">
        <v>15</v>
      </c>
      <c r="I3355">
        <v>91793</v>
      </c>
      <c r="J3355" t="s">
        <v>76</v>
      </c>
      <c r="K3355" t="s">
        <v>28</v>
      </c>
      <c r="L3355" t="s">
        <v>51</v>
      </c>
      <c r="M3355">
        <v>3</v>
      </c>
      <c r="N3355">
        <v>476.69</v>
      </c>
      <c r="O3355">
        <v>647.54999999999995</v>
      </c>
      <c r="P3355">
        <v>64.75</v>
      </c>
      <c r="Q3355">
        <v>64.75</v>
      </c>
      <c r="R3355" t="s">
        <v>30</v>
      </c>
      <c r="S3355">
        <v>29</v>
      </c>
      <c r="T3355">
        <v>1</v>
      </c>
      <c r="U3355">
        <v>5</v>
      </c>
      <c r="V3355">
        <v>582.79999999999995</v>
      </c>
      <c r="W3355">
        <v>13130003353</v>
      </c>
    </row>
    <row r="3356" spans="1:23" x14ac:dyDescent="0.2">
      <c r="A3356" s="1">
        <v>44789</v>
      </c>
      <c r="B3356" s="2">
        <v>0.71969907407407407</v>
      </c>
      <c r="C3356">
        <v>4354</v>
      </c>
      <c r="D3356">
        <v>13002561</v>
      </c>
      <c r="E3356">
        <v>13</v>
      </c>
      <c r="F3356">
        <v>22589</v>
      </c>
      <c r="G3356" t="s">
        <v>23</v>
      </c>
      <c r="H3356">
        <v>18</v>
      </c>
      <c r="I3356">
        <v>63364</v>
      </c>
      <c r="J3356" t="s">
        <v>64</v>
      </c>
      <c r="K3356" t="s">
        <v>44</v>
      </c>
      <c r="L3356" t="s">
        <v>29</v>
      </c>
      <c r="M3356">
        <v>2</v>
      </c>
      <c r="N3356">
        <v>45.94</v>
      </c>
      <c r="O3356">
        <v>71.34</v>
      </c>
      <c r="P3356">
        <v>7.13</v>
      </c>
      <c r="Q3356">
        <v>7.13</v>
      </c>
      <c r="R3356" t="s">
        <v>30</v>
      </c>
      <c r="S3356">
        <v>29</v>
      </c>
      <c r="T3356">
        <v>1</v>
      </c>
      <c r="U3356">
        <v>3</v>
      </c>
      <c r="V3356">
        <v>64.209999999999994</v>
      </c>
      <c r="W3356">
        <v>13130003354</v>
      </c>
    </row>
    <row r="3357" spans="1:23" x14ac:dyDescent="0.2">
      <c r="A3357" s="1">
        <v>44784</v>
      </c>
      <c r="B3357" s="2">
        <v>0.64531249999999996</v>
      </c>
      <c r="C3357">
        <v>4355</v>
      </c>
      <c r="D3357">
        <v>13002561</v>
      </c>
      <c r="E3357">
        <v>13</v>
      </c>
      <c r="F3357">
        <v>22589</v>
      </c>
      <c r="G3357" t="s">
        <v>23</v>
      </c>
      <c r="H3357">
        <v>15</v>
      </c>
      <c r="I3357">
        <v>77653</v>
      </c>
      <c r="J3357" t="s">
        <v>41</v>
      </c>
      <c r="K3357" t="s">
        <v>60</v>
      </c>
      <c r="L3357" t="s">
        <v>26</v>
      </c>
      <c r="M3357">
        <v>2</v>
      </c>
      <c r="N3357">
        <v>535.57000000000005</v>
      </c>
      <c r="O3357">
        <v>745.07</v>
      </c>
      <c r="P3357">
        <v>0</v>
      </c>
      <c r="Q3357">
        <v>0</v>
      </c>
      <c r="S3357">
        <v>29</v>
      </c>
      <c r="T3357">
        <v>1</v>
      </c>
      <c r="U3357">
        <v>2</v>
      </c>
      <c r="V3357">
        <v>745.07</v>
      </c>
      <c r="W3357">
        <v>13130003355</v>
      </c>
    </row>
    <row r="3358" spans="1:23" x14ac:dyDescent="0.2">
      <c r="A3358" s="1">
        <v>44797</v>
      </c>
      <c r="B3358" s="2">
        <v>0.82759259259259255</v>
      </c>
      <c r="C3358">
        <v>4356</v>
      </c>
      <c r="D3358">
        <v>13002561</v>
      </c>
      <c r="E3358">
        <v>13</v>
      </c>
      <c r="F3358">
        <v>22589</v>
      </c>
      <c r="G3358" t="s">
        <v>23</v>
      </c>
      <c r="H3358">
        <v>18</v>
      </c>
      <c r="I3358">
        <v>53013</v>
      </c>
      <c r="J3358" t="s">
        <v>97</v>
      </c>
      <c r="K3358" t="s">
        <v>60</v>
      </c>
      <c r="L3358" t="s">
        <v>36</v>
      </c>
      <c r="M3358">
        <v>3</v>
      </c>
      <c r="N3358">
        <v>125.8</v>
      </c>
      <c r="O3358">
        <v>180.34</v>
      </c>
      <c r="P3358">
        <v>18.03</v>
      </c>
      <c r="Q3358">
        <v>18.03</v>
      </c>
      <c r="R3358" t="s">
        <v>30</v>
      </c>
      <c r="S3358">
        <v>29</v>
      </c>
      <c r="T3358">
        <v>1</v>
      </c>
      <c r="U3358">
        <v>5</v>
      </c>
      <c r="V3358">
        <v>162.31</v>
      </c>
      <c r="W3358">
        <v>13130003356</v>
      </c>
    </row>
    <row r="3359" spans="1:23" x14ac:dyDescent="0.2">
      <c r="A3359" s="1">
        <v>44796</v>
      </c>
      <c r="B3359" s="2">
        <v>0.63820601851851855</v>
      </c>
      <c r="C3359">
        <v>4357</v>
      </c>
      <c r="D3359">
        <v>13002561</v>
      </c>
      <c r="E3359">
        <v>13</v>
      </c>
      <c r="F3359">
        <v>22589</v>
      </c>
      <c r="G3359" t="s">
        <v>23</v>
      </c>
      <c r="H3359">
        <v>15</v>
      </c>
      <c r="I3359">
        <v>77190</v>
      </c>
      <c r="J3359" t="s">
        <v>80</v>
      </c>
      <c r="K3359" t="s">
        <v>25</v>
      </c>
      <c r="L3359" t="s">
        <v>32</v>
      </c>
      <c r="M3359">
        <v>3</v>
      </c>
      <c r="N3359">
        <v>583.09</v>
      </c>
      <c r="O3359">
        <v>967.35</v>
      </c>
      <c r="P3359">
        <v>96.74</v>
      </c>
      <c r="Q3359">
        <v>96.74</v>
      </c>
      <c r="R3359" t="s">
        <v>30</v>
      </c>
      <c r="S3359">
        <v>29</v>
      </c>
      <c r="T3359">
        <v>1</v>
      </c>
      <c r="U3359">
        <v>2</v>
      </c>
      <c r="V3359">
        <v>870.61</v>
      </c>
      <c r="W3359">
        <v>13130003357</v>
      </c>
    </row>
    <row r="3360" spans="1:23" x14ac:dyDescent="0.2">
      <c r="A3360" s="1">
        <v>44785</v>
      </c>
      <c r="B3360" s="2">
        <v>0.94303240740740746</v>
      </c>
      <c r="C3360">
        <v>4358</v>
      </c>
      <c r="D3360">
        <v>13002561</v>
      </c>
      <c r="E3360">
        <v>13</v>
      </c>
      <c r="F3360">
        <v>22589</v>
      </c>
      <c r="G3360" t="s">
        <v>23</v>
      </c>
      <c r="H3360">
        <v>18</v>
      </c>
      <c r="I3360">
        <v>84084</v>
      </c>
      <c r="J3360" t="s">
        <v>62</v>
      </c>
      <c r="K3360" t="s">
        <v>28</v>
      </c>
      <c r="L3360" t="s">
        <v>51</v>
      </c>
      <c r="M3360">
        <v>2</v>
      </c>
      <c r="N3360">
        <v>485</v>
      </c>
      <c r="O3360">
        <v>752.88</v>
      </c>
      <c r="P3360">
        <v>37.64</v>
      </c>
      <c r="Q3360">
        <v>37.64</v>
      </c>
      <c r="R3360" t="s">
        <v>30</v>
      </c>
      <c r="S3360">
        <v>29</v>
      </c>
      <c r="T3360">
        <v>1</v>
      </c>
      <c r="U3360">
        <v>4</v>
      </c>
      <c r="V3360">
        <v>715.24</v>
      </c>
      <c r="W3360">
        <v>13130003358</v>
      </c>
    </row>
    <row r="3361" spans="1:23" x14ac:dyDescent="0.2">
      <c r="A3361" s="1">
        <v>44781</v>
      </c>
      <c r="B3361" s="2">
        <v>0.78076388888888892</v>
      </c>
      <c r="C3361">
        <v>4359</v>
      </c>
      <c r="D3361">
        <v>13002561</v>
      </c>
      <c r="E3361">
        <v>13</v>
      </c>
      <c r="F3361">
        <v>22589</v>
      </c>
      <c r="G3361" t="s">
        <v>23</v>
      </c>
      <c r="H3361">
        <v>15</v>
      </c>
      <c r="I3361">
        <v>53453</v>
      </c>
      <c r="J3361" t="s">
        <v>109</v>
      </c>
      <c r="K3361" t="s">
        <v>38</v>
      </c>
      <c r="L3361" t="s">
        <v>32</v>
      </c>
      <c r="M3361">
        <v>1</v>
      </c>
      <c r="N3361">
        <v>144.72999999999999</v>
      </c>
      <c r="O3361">
        <v>191.62</v>
      </c>
      <c r="P3361">
        <v>19.16</v>
      </c>
      <c r="Q3361">
        <v>19.16</v>
      </c>
      <c r="R3361" t="s">
        <v>30</v>
      </c>
      <c r="S3361">
        <v>29</v>
      </c>
      <c r="T3361">
        <v>1</v>
      </c>
      <c r="U3361">
        <v>1</v>
      </c>
      <c r="V3361">
        <v>172.46</v>
      </c>
      <c r="W3361">
        <v>13130003359</v>
      </c>
    </row>
    <row r="3362" spans="1:23" x14ac:dyDescent="0.2">
      <c r="A3362" s="1">
        <v>44780</v>
      </c>
      <c r="B3362" s="2">
        <v>0.69003472222222217</v>
      </c>
      <c r="C3362">
        <v>4360</v>
      </c>
      <c r="D3362">
        <v>13002561</v>
      </c>
      <c r="E3362">
        <v>13</v>
      </c>
      <c r="F3362">
        <v>22589</v>
      </c>
      <c r="G3362" t="s">
        <v>23</v>
      </c>
      <c r="H3362">
        <v>18</v>
      </c>
      <c r="I3362">
        <v>71807</v>
      </c>
      <c r="J3362" t="s">
        <v>55</v>
      </c>
      <c r="K3362" t="s">
        <v>60</v>
      </c>
      <c r="L3362" t="s">
        <v>39</v>
      </c>
      <c r="M3362">
        <v>1</v>
      </c>
      <c r="N3362">
        <v>275.14</v>
      </c>
      <c r="O3362">
        <v>380.29</v>
      </c>
      <c r="P3362">
        <v>0</v>
      </c>
      <c r="Q3362">
        <v>0</v>
      </c>
      <c r="S3362">
        <v>29</v>
      </c>
      <c r="T3362">
        <v>1</v>
      </c>
      <c r="U3362">
        <v>4</v>
      </c>
      <c r="V3362">
        <v>380.29</v>
      </c>
      <c r="W3362">
        <v>13130003360</v>
      </c>
    </row>
    <row r="3363" spans="1:23" x14ac:dyDescent="0.2">
      <c r="A3363" s="1">
        <v>44778</v>
      </c>
      <c r="B3363" s="2">
        <v>0.41282407407407412</v>
      </c>
      <c r="C3363">
        <v>4361</v>
      </c>
      <c r="D3363">
        <v>13002561</v>
      </c>
      <c r="E3363">
        <v>13</v>
      </c>
      <c r="F3363">
        <v>22589</v>
      </c>
      <c r="G3363" t="s">
        <v>23</v>
      </c>
      <c r="H3363">
        <v>18</v>
      </c>
      <c r="I3363">
        <v>94895</v>
      </c>
      <c r="J3363" t="s">
        <v>43</v>
      </c>
      <c r="K3363" t="s">
        <v>60</v>
      </c>
      <c r="L3363" t="s">
        <v>29</v>
      </c>
      <c r="M3363">
        <v>1</v>
      </c>
      <c r="N3363">
        <v>103.04</v>
      </c>
      <c r="O3363">
        <v>163.72</v>
      </c>
      <c r="P3363">
        <v>0</v>
      </c>
      <c r="Q3363">
        <v>0</v>
      </c>
      <c r="S3363">
        <v>29</v>
      </c>
      <c r="T3363">
        <v>1</v>
      </c>
      <c r="U3363">
        <v>2</v>
      </c>
      <c r="V3363">
        <v>163.72</v>
      </c>
      <c r="W3363">
        <v>13130003361</v>
      </c>
    </row>
    <row r="3364" spans="1:23" x14ac:dyDescent="0.2">
      <c r="A3364" s="1">
        <v>44793</v>
      </c>
      <c r="B3364" s="2">
        <v>0.76624999999999999</v>
      </c>
      <c r="C3364">
        <v>4362</v>
      </c>
      <c r="D3364">
        <v>13002561</v>
      </c>
      <c r="E3364">
        <v>13</v>
      </c>
      <c r="F3364">
        <v>22589</v>
      </c>
      <c r="G3364" t="s">
        <v>23</v>
      </c>
      <c r="H3364">
        <v>18</v>
      </c>
      <c r="I3364">
        <v>39442</v>
      </c>
      <c r="J3364" t="s">
        <v>66</v>
      </c>
      <c r="K3364" t="s">
        <v>44</v>
      </c>
      <c r="L3364" t="s">
        <v>51</v>
      </c>
      <c r="M3364">
        <v>2</v>
      </c>
      <c r="N3364">
        <v>16.02</v>
      </c>
      <c r="O3364">
        <v>22.8</v>
      </c>
      <c r="P3364">
        <v>2.2799999999999998</v>
      </c>
      <c r="Q3364">
        <v>2.2799999999999998</v>
      </c>
      <c r="R3364" t="s">
        <v>30</v>
      </c>
      <c r="S3364">
        <v>29</v>
      </c>
      <c r="T3364">
        <v>1</v>
      </c>
      <c r="U3364">
        <v>5</v>
      </c>
      <c r="V3364">
        <v>20.52</v>
      </c>
      <c r="W3364">
        <v>13130003362</v>
      </c>
    </row>
    <row r="3365" spans="1:23" x14ac:dyDescent="0.2">
      <c r="A3365" s="1">
        <v>44778</v>
      </c>
      <c r="B3365" s="2">
        <v>0.38493055555555561</v>
      </c>
      <c r="C3365">
        <v>4363</v>
      </c>
      <c r="D3365">
        <v>13002561</v>
      </c>
      <c r="E3365">
        <v>13</v>
      </c>
      <c r="F3365">
        <v>22589</v>
      </c>
      <c r="G3365" t="s">
        <v>23</v>
      </c>
      <c r="H3365">
        <v>18</v>
      </c>
      <c r="I3365">
        <v>77360</v>
      </c>
      <c r="J3365" t="s">
        <v>83</v>
      </c>
      <c r="K3365" t="s">
        <v>44</v>
      </c>
      <c r="L3365" t="s">
        <v>51</v>
      </c>
      <c r="M3365">
        <v>1</v>
      </c>
      <c r="N3365">
        <v>336.79</v>
      </c>
      <c r="O3365">
        <v>558.04999999999995</v>
      </c>
      <c r="P3365">
        <v>55.8</v>
      </c>
      <c r="Q3365">
        <v>55.8</v>
      </c>
      <c r="R3365" t="s">
        <v>30</v>
      </c>
      <c r="S3365">
        <v>29</v>
      </c>
      <c r="T3365">
        <v>1</v>
      </c>
      <c r="U3365">
        <v>1</v>
      </c>
      <c r="V3365">
        <v>502.25</v>
      </c>
      <c r="W3365">
        <v>13130003363</v>
      </c>
    </row>
    <row r="3366" spans="1:23" x14ac:dyDescent="0.2">
      <c r="A3366" s="1">
        <v>44776</v>
      </c>
      <c r="B3366" s="2">
        <v>0.77355324074074072</v>
      </c>
      <c r="C3366">
        <v>4364</v>
      </c>
      <c r="D3366">
        <v>13002561</v>
      </c>
      <c r="E3366">
        <v>13</v>
      </c>
      <c r="F3366">
        <v>22589</v>
      </c>
      <c r="G3366" t="s">
        <v>23</v>
      </c>
      <c r="H3366">
        <v>18</v>
      </c>
      <c r="I3366">
        <v>74280</v>
      </c>
      <c r="J3366" t="s">
        <v>74</v>
      </c>
      <c r="K3366" t="s">
        <v>28</v>
      </c>
      <c r="L3366" t="s">
        <v>32</v>
      </c>
      <c r="M3366">
        <v>3</v>
      </c>
      <c r="N3366">
        <v>97.13</v>
      </c>
      <c r="O3366">
        <v>148.41999999999999</v>
      </c>
      <c r="P3366">
        <v>0</v>
      </c>
      <c r="Q3366">
        <v>0</v>
      </c>
      <c r="S3366">
        <v>29</v>
      </c>
      <c r="T3366">
        <v>1</v>
      </c>
      <c r="U3366">
        <v>3</v>
      </c>
      <c r="V3366">
        <v>148.41999999999999</v>
      </c>
      <c r="W3366">
        <v>13130003364</v>
      </c>
    </row>
    <row r="3367" spans="1:23" x14ac:dyDescent="0.2">
      <c r="A3367" s="1">
        <v>44802</v>
      </c>
      <c r="B3367" s="2">
        <v>0.65657407407407409</v>
      </c>
      <c r="C3367">
        <v>4365</v>
      </c>
      <c r="D3367">
        <v>13002561</v>
      </c>
      <c r="E3367">
        <v>13</v>
      </c>
      <c r="F3367">
        <v>22589</v>
      </c>
      <c r="G3367" t="s">
        <v>23</v>
      </c>
      <c r="H3367">
        <v>15</v>
      </c>
      <c r="I3367">
        <v>80694</v>
      </c>
      <c r="J3367" t="s">
        <v>101</v>
      </c>
      <c r="K3367" t="s">
        <v>38</v>
      </c>
      <c r="L3367" t="s">
        <v>39</v>
      </c>
      <c r="M3367">
        <v>3</v>
      </c>
      <c r="N3367">
        <v>304.16000000000003</v>
      </c>
      <c r="O3367">
        <v>447.44</v>
      </c>
      <c r="P3367">
        <v>22.37</v>
      </c>
      <c r="Q3367">
        <v>22.37</v>
      </c>
      <c r="R3367" t="s">
        <v>30</v>
      </c>
      <c r="S3367">
        <v>29</v>
      </c>
      <c r="T3367">
        <v>1</v>
      </c>
      <c r="U3367">
        <v>6</v>
      </c>
      <c r="V3367">
        <v>425.07</v>
      </c>
      <c r="W3367">
        <v>13130003365</v>
      </c>
    </row>
    <row r="3368" spans="1:23" x14ac:dyDescent="0.2">
      <c r="A3368" s="1">
        <v>44776</v>
      </c>
      <c r="B3368" s="2">
        <v>0.61561342592592594</v>
      </c>
      <c r="C3368">
        <v>4366</v>
      </c>
      <c r="D3368">
        <v>13002561</v>
      </c>
      <c r="E3368">
        <v>13</v>
      </c>
      <c r="F3368">
        <v>22589</v>
      </c>
      <c r="G3368" t="s">
        <v>23</v>
      </c>
      <c r="H3368">
        <v>18</v>
      </c>
      <c r="I3368">
        <v>19625</v>
      </c>
      <c r="J3368" t="s">
        <v>99</v>
      </c>
      <c r="K3368" t="s">
        <v>38</v>
      </c>
      <c r="L3368" t="s">
        <v>26</v>
      </c>
      <c r="M3368">
        <v>3</v>
      </c>
      <c r="N3368">
        <v>178.42</v>
      </c>
      <c r="O3368">
        <v>234.58</v>
      </c>
      <c r="P3368">
        <v>23.46</v>
      </c>
      <c r="Q3368">
        <v>23.46</v>
      </c>
      <c r="R3368" t="s">
        <v>30</v>
      </c>
      <c r="S3368">
        <v>29</v>
      </c>
      <c r="T3368">
        <v>1</v>
      </c>
      <c r="U3368">
        <v>2</v>
      </c>
      <c r="V3368">
        <v>211.12</v>
      </c>
      <c r="W3368">
        <v>13130003366</v>
      </c>
    </row>
    <row r="3369" spans="1:23" x14ac:dyDescent="0.2">
      <c r="A3369" s="1">
        <v>44792</v>
      </c>
      <c r="B3369" s="2">
        <v>0.94601851851851848</v>
      </c>
      <c r="C3369">
        <v>4367</v>
      </c>
      <c r="D3369">
        <v>13002561</v>
      </c>
      <c r="E3369">
        <v>13</v>
      </c>
      <c r="F3369">
        <v>22589</v>
      </c>
      <c r="G3369" t="s">
        <v>23</v>
      </c>
      <c r="H3369">
        <v>15</v>
      </c>
      <c r="I3369">
        <v>91806</v>
      </c>
      <c r="J3369" t="s">
        <v>46</v>
      </c>
      <c r="K3369" t="s">
        <v>44</v>
      </c>
      <c r="L3369" t="s">
        <v>26</v>
      </c>
      <c r="M3369">
        <v>3</v>
      </c>
      <c r="N3369">
        <v>175.18</v>
      </c>
      <c r="O3369">
        <v>271.61</v>
      </c>
      <c r="P3369">
        <v>0</v>
      </c>
      <c r="Q3369">
        <v>0</v>
      </c>
      <c r="S3369">
        <v>29</v>
      </c>
      <c r="T3369">
        <v>1</v>
      </c>
      <c r="U3369">
        <v>5</v>
      </c>
      <c r="V3369">
        <v>271.61</v>
      </c>
      <c r="W3369">
        <v>13130003367</v>
      </c>
    </row>
    <row r="3370" spans="1:23" x14ac:dyDescent="0.2">
      <c r="A3370" s="1">
        <v>44785</v>
      </c>
      <c r="B3370" s="2">
        <v>0.82306712962962958</v>
      </c>
      <c r="C3370">
        <v>4368</v>
      </c>
      <c r="D3370">
        <v>13002561</v>
      </c>
      <c r="E3370">
        <v>13</v>
      </c>
      <c r="F3370">
        <v>22589</v>
      </c>
      <c r="G3370" t="s">
        <v>23</v>
      </c>
      <c r="H3370">
        <v>18</v>
      </c>
      <c r="I3370">
        <v>68165</v>
      </c>
      <c r="J3370" t="s">
        <v>42</v>
      </c>
      <c r="K3370" t="s">
        <v>45</v>
      </c>
      <c r="L3370" t="s">
        <v>47</v>
      </c>
      <c r="M3370">
        <v>2</v>
      </c>
      <c r="N3370">
        <v>360.58</v>
      </c>
      <c r="O3370">
        <v>598.85</v>
      </c>
      <c r="P3370">
        <v>29.94</v>
      </c>
      <c r="Q3370">
        <v>29.94</v>
      </c>
      <c r="R3370" t="s">
        <v>30</v>
      </c>
      <c r="S3370">
        <v>29</v>
      </c>
      <c r="T3370">
        <v>1</v>
      </c>
      <c r="U3370">
        <v>1</v>
      </c>
      <c r="V3370">
        <v>568.91</v>
      </c>
      <c r="W3370">
        <v>13130003368</v>
      </c>
    </row>
    <row r="3371" spans="1:23" x14ac:dyDescent="0.2">
      <c r="A3371" s="1">
        <v>44780</v>
      </c>
      <c r="B3371" s="2">
        <v>0.51803240740740741</v>
      </c>
      <c r="C3371">
        <v>4369</v>
      </c>
      <c r="D3371">
        <v>13002561</v>
      </c>
      <c r="E3371">
        <v>13</v>
      </c>
      <c r="F3371">
        <v>22589</v>
      </c>
      <c r="G3371" t="s">
        <v>23</v>
      </c>
      <c r="H3371">
        <v>18</v>
      </c>
      <c r="I3371">
        <v>62314</v>
      </c>
      <c r="J3371" t="s">
        <v>42</v>
      </c>
      <c r="K3371" t="s">
        <v>38</v>
      </c>
      <c r="L3371" t="s">
        <v>47</v>
      </c>
      <c r="M3371">
        <v>1</v>
      </c>
      <c r="N3371">
        <v>29</v>
      </c>
      <c r="O3371">
        <v>48.03</v>
      </c>
      <c r="P3371">
        <v>0</v>
      </c>
      <c r="Q3371">
        <v>0</v>
      </c>
      <c r="S3371">
        <v>29</v>
      </c>
      <c r="T3371">
        <v>1</v>
      </c>
      <c r="U3371">
        <v>2</v>
      </c>
      <c r="V3371">
        <v>48.03</v>
      </c>
      <c r="W3371">
        <v>13130003369</v>
      </c>
    </row>
    <row r="3372" spans="1:23" x14ac:dyDescent="0.2">
      <c r="A3372" s="1">
        <v>44792</v>
      </c>
      <c r="B3372" s="2">
        <v>0.61652777777777779</v>
      </c>
      <c r="C3372">
        <v>4370</v>
      </c>
      <c r="D3372">
        <v>13002561</v>
      </c>
      <c r="E3372">
        <v>13</v>
      </c>
      <c r="F3372">
        <v>22589</v>
      </c>
      <c r="G3372" t="s">
        <v>23</v>
      </c>
      <c r="H3372">
        <v>18</v>
      </c>
      <c r="I3372">
        <v>50017</v>
      </c>
      <c r="J3372" t="s">
        <v>81</v>
      </c>
      <c r="K3372" t="s">
        <v>25</v>
      </c>
      <c r="L3372" t="s">
        <v>34</v>
      </c>
      <c r="M3372">
        <v>1</v>
      </c>
      <c r="N3372">
        <v>407.96</v>
      </c>
      <c r="O3372">
        <v>686.27</v>
      </c>
      <c r="P3372">
        <v>0</v>
      </c>
      <c r="Q3372">
        <v>0</v>
      </c>
      <c r="S3372">
        <v>29</v>
      </c>
      <c r="T3372">
        <v>1</v>
      </c>
      <c r="U3372">
        <v>5</v>
      </c>
      <c r="V3372">
        <v>686.27</v>
      </c>
      <c r="W3372">
        <v>13130003370</v>
      </c>
    </row>
    <row r="3373" spans="1:23" x14ac:dyDescent="0.2">
      <c r="A3373" s="1">
        <v>44792</v>
      </c>
      <c r="B3373" s="2">
        <v>0.68704861111111115</v>
      </c>
      <c r="C3373">
        <v>4371</v>
      </c>
      <c r="D3373">
        <v>13002561</v>
      </c>
      <c r="E3373">
        <v>13</v>
      </c>
      <c r="F3373">
        <v>22589</v>
      </c>
      <c r="G3373" t="s">
        <v>23</v>
      </c>
      <c r="H3373">
        <v>15</v>
      </c>
      <c r="I3373">
        <v>73017</v>
      </c>
      <c r="J3373" t="s">
        <v>54</v>
      </c>
      <c r="K3373" t="s">
        <v>38</v>
      </c>
      <c r="L3373" t="s">
        <v>34</v>
      </c>
      <c r="M3373">
        <v>2</v>
      </c>
      <c r="N3373">
        <v>329.73</v>
      </c>
      <c r="O3373">
        <v>559.21</v>
      </c>
      <c r="P3373">
        <v>55.92</v>
      </c>
      <c r="Q3373">
        <v>55.92</v>
      </c>
      <c r="R3373" t="s">
        <v>30</v>
      </c>
      <c r="S3373">
        <v>29</v>
      </c>
      <c r="T3373">
        <v>1</v>
      </c>
      <c r="U3373">
        <v>1</v>
      </c>
      <c r="V3373">
        <v>503.29</v>
      </c>
      <c r="W3373">
        <v>13130003371</v>
      </c>
    </row>
    <row r="3374" spans="1:23" x14ac:dyDescent="0.2">
      <c r="A3374" s="1">
        <v>44796</v>
      </c>
      <c r="B3374" s="2">
        <v>0.77876157407407409</v>
      </c>
      <c r="C3374">
        <v>4372</v>
      </c>
      <c r="D3374">
        <v>13002561</v>
      </c>
      <c r="E3374">
        <v>13</v>
      </c>
      <c r="F3374">
        <v>22589</v>
      </c>
      <c r="G3374" t="s">
        <v>23</v>
      </c>
      <c r="H3374">
        <v>15</v>
      </c>
      <c r="I3374">
        <v>24149</v>
      </c>
      <c r="J3374" t="s">
        <v>66</v>
      </c>
      <c r="K3374" t="s">
        <v>60</v>
      </c>
      <c r="L3374" t="s">
        <v>51</v>
      </c>
      <c r="M3374">
        <v>2</v>
      </c>
      <c r="N3374">
        <v>29.48</v>
      </c>
      <c r="O3374">
        <v>39.24</v>
      </c>
      <c r="P3374">
        <v>0</v>
      </c>
      <c r="Q3374">
        <v>0</v>
      </c>
      <c r="S3374">
        <v>29</v>
      </c>
      <c r="T3374">
        <v>1</v>
      </c>
      <c r="U3374">
        <v>2</v>
      </c>
      <c r="V3374">
        <v>39.24</v>
      </c>
      <c r="W3374">
        <v>13130003372</v>
      </c>
    </row>
    <row r="3375" spans="1:23" x14ac:dyDescent="0.2">
      <c r="A3375" s="1">
        <v>44785</v>
      </c>
      <c r="B3375" s="2">
        <v>0.54476851851851849</v>
      </c>
      <c r="C3375">
        <v>4373</v>
      </c>
      <c r="D3375">
        <v>13002561</v>
      </c>
      <c r="E3375">
        <v>13</v>
      </c>
      <c r="F3375">
        <v>22589</v>
      </c>
      <c r="G3375" t="s">
        <v>23</v>
      </c>
      <c r="H3375">
        <v>15</v>
      </c>
      <c r="I3375">
        <v>18182</v>
      </c>
      <c r="J3375" t="s">
        <v>42</v>
      </c>
      <c r="K3375" t="s">
        <v>25</v>
      </c>
      <c r="L3375" t="s">
        <v>34</v>
      </c>
      <c r="M3375">
        <v>3</v>
      </c>
      <c r="N3375">
        <v>318.27999999999997</v>
      </c>
      <c r="O3375">
        <v>516.96</v>
      </c>
      <c r="P3375">
        <v>0</v>
      </c>
      <c r="Q3375">
        <v>0</v>
      </c>
      <c r="S3375">
        <v>29</v>
      </c>
      <c r="T3375">
        <v>1</v>
      </c>
      <c r="U3375">
        <v>2</v>
      </c>
      <c r="V3375">
        <v>516.96</v>
      </c>
      <c r="W3375">
        <v>13130003373</v>
      </c>
    </row>
    <row r="3376" spans="1:23" x14ac:dyDescent="0.2">
      <c r="A3376" s="1">
        <v>44774</v>
      </c>
      <c r="B3376" s="2">
        <v>0.79423611111111114</v>
      </c>
      <c r="C3376">
        <v>4374</v>
      </c>
      <c r="D3376">
        <v>13002561</v>
      </c>
      <c r="E3376">
        <v>13</v>
      </c>
      <c r="F3376">
        <v>22589</v>
      </c>
      <c r="G3376" t="s">
        <v>23</v>
      </c>
      <c r="H3376">
        <v>18</v>
      </c>
      <c r="I3376">
        <v>13972</v>
      </c>
      <c r="J3376" t="s">
        <v>70</v>
      </c>
      <c r="K3376" t="s">
        <v>25</v>
      </c>
      <c r="L3376" t="s">
        <v>39</v>
      </c>
      <c r="M3376">
        <v>2</v>
      </c>
      <c r="N3376">
        <v>496.5</v>
      </c>
      <c r="O3376">
        <v>638.9</v>
      </c>
      <c r="P3376">
        <v>0</v>
      </c>
      <c r="Q3376">
        <v>0</v>
      </c>
      <c r="S3376">
        <v>29</v>
      </c>
      <c r="T3376">
        <v>1</v>
      </c>
      <c r="U3376">
        <v>4</v>
      </c>
      <c r="V3376">
        <v>638.9</v>
      </c>
      <c r="W3376">
        <v>13130003374</v>
      </c>
    </row>
    <row r="3377" spans="1:23" x14ac:dyDescent="0.2">
      <c r="A3377" s="1">
        <v>44783</v>
      </c>
      <c r="B3377" s="2">
        <v>0.41628472222222218</v>
      </c>
      <c r="C3377">
        <v>4375</v>
      </c>
      <c r="D3377">
        <v>13002561</v>
      </c>
      <c r="E3377">
        <v>13</v>
      </c>
      <c r="F3377">
        <v>22589</v>
      </c>
      <c r="G3377" t="s">
        <v>23</v>
      </c>
      <c r="H3377">
        <v>18</v>
      </c>
      <c r="I3377">
        <v>28550</v>
      </c>
      <c r="J3377" t="s">
        <v>35</v>
      </c>
      <c r="K3377" t="s">
        <v>25</v>
      </c>
      <c r="L3377" t="s">
        <v>47</v>
      </c>
      <c r="M3377">
        <v>1</v>
      </c>
      <c r="N3377">
        <v>211.77</v>
      </c>
      <c r="O3377">
        <v>304</v>
      </c>
      <c r="P3377">
        <v>15.2</v>
      </c>
      <c r="Q3377">
        <v>15.2</v>
      </c>
      <c r="R3377" t="s">
        <v>30</v>
      </c>
      <c r="S3377">
        <v>29</v>
      </c>
      <c r="T3377">
        <v>1</v>
      </c>
      <c r="U3377">
        <v>5</v>
      </c>
      <c r="V3377">
        <v>288.8</v>
      </c>
      <c r="W3377">
        <v>13130003375</v>
      </c>
    </row>
    <row r="3378" spans="1:23" x14ac:dyDescent="0.2">
      <c r="A3378" s="1">
        <v>44776</v>
      </c>
      <c r="B3378" s="2">
        <v>0.95101851851851849</v>
      </c>
      <c r="C3378">
        <v>4376</v>
      </c>
      <c r="D3378">
        <v>13002561</v>
      </c>
      <c r="E3378">
        <v>13</v>
      </c>
      <c r="F3378">
        <v>22589</v>
      </c>
      <c r="G3378" t="s">
        <v>23</v>
      </c>
      <c r="H3378">
        <v>18</v>
      </c>
      <c r="I3378">
        <v>52076</v>
      </c>
      <c r="J3378" t="s">
        <v>59</v>
      </c>
      <c r="K3378" t="s">
        <v>38</v>
      </c>
      <c r="L3378" t="s">
        <v>26</v>
      </c>
      <c r="M3378">
        <v>3</v>
      </c>
      <c r="N3378">
        <v>42.12</v>
      </c>
      <c r="O3378">
        <v>68.44</v>
      </c>
      <c r="P3378">
        <v>6.84</v>
      </c>
      <c r="Q3378">
        <v>6.84</v>
      </c>
      <c r="R3378" t="s">
        <v>30</v>
      </c>
      <c r="S3378">
        <v>29</v>
      </c>
      <c r="T3378">
        <v>1</v>
      </c>
      <c r="U3378">
        <v>3</v>
      </c>
      <c r="V3378">
        <v>61.6</v>
      </c>
      <c r="W3378">
        <v>13130003376</v>
      </c>
    </row>
    <row r="3379" spans="1:23" x14ac:dyDescent="0.2">
      <c r="A3379" s="1">
        <v>44783</v>
      </c>
      <c r="B3379" s="2">
        <v>0.65142361111111113</v>
      </c>
      <c r="C3379">
        <v>4377</v>
      </c>
      <c r="D3379">
        <v>13002561</v>
      </c>
      <c r="E3379">
        <v>13</v>
      </c>
      <c r="F3379">
        <v>22589</v>
      </c>
      <c r="G3379" t="s">
        <v>23</v>
      </c>
      <c r="H3379">
        <v>15</v>
      </c>
      <c r="I3379">
        <v>41406</v>
      </c>
      <c r="J3379" t="s">
        <v>92</v>
      </c>
      <c r="K3379" t="s">
        <v>45</v>
      </c>
      <c r="L3379" t="s">
        <v>32</v>
      </c>
      <c r="M3379">
        <v>3</v>
      </c>
      <c r="N3379">
        <v>490.99</v>
      </c>
      <c r="O3379">
        <v>620.11</v>
      </c>
      <c r="P3379">
        <v>31.01</v>
      </c>
      <c r="Q3379">
        <v>31.01</v>
      </c>
      <c r="R3379" t="s">
        <v>30</v>
      </c>
      <c r="S3379">
        <v>29</v>
      </c>
      <c r="T3379">
        <v>1</v>
      </c>
      <c r="U3379">
        <v>1</v>
      </c>
      <c r="V3379">
        <v>589.1</v>
      </c>
      <c r="W3379">
        <v>13130003377</v>
      </c>
    </row>
    <row r="3380" spans="1:23" x14ac:dyDescent="0.2">
      <c r="A3380" s="1">
        <v>44791</v>
      </c>
      <c r="B3380" s="2">
        <v>0.92693287037037042</v>
      </c>
      <c r="C3380">
        <v>4378</v>
      </c>
      <c r="D3380">
        <v>13002561</v>
      </c>
      <c r="E3380">
        <v>13</v>
      </c>
      <c r="F3380">
        <v>22589</v>
      </c>
      <c r="G3380" t="s">
        <v>23</v>
      </c>
      <c r="H3380">
        <v>18</v>
      </c>
      <c r="I3380">
        <v>54281</v>
      </c>
      <c r="J3380" t="s">
        <v>46</v>
      </c>
      <c r="K3380" t="s">
        <v>28</v>
      </c>
      <c r="L3380" t="s">
        <v>36</v>
      </c>
      <c r="M3380">
        <v>3</v>
      </c>
      <c r="N3380">
        <v>142.35</v>
      </c>
      <c r="O3380">
        <v>197.16</v>
      </c>
      <c r="P3380">
        <v>19.72</v>
      </c>
      <c r="Q3380">
        <v>19.72</v>
      </c>
      <c r="R3380" t="s">
        <v>30</v>
      </c>
      <c r="S3380">
        <v>29</v>
      </c>
      <c r="T3380">
        <v>1</v>
      </c>
      <c r="U3380">
        <v>6</v>
      </c>
      <c r="V3380">
        <v>177.44</v>
      </c>
      <c r="W3380">
        <v>13130003378</v>
      </c>
    </row>
    <row r="3381" spans="1:23" x14ac:dyDescent="0.2">
      <c r="A3381" s="1">
        <v>44777</v>
      </c>
      <c r="B3381" s="2">
        <v>0.34631944444444451</v>
      </c>
      <c r="C3381">
        <v>4379</v>
      </c>
      <c r="D3381">
        <v>13002561</v>
      </c>
      <c r="E3381">
        <v>13</v>
      </c>
      <c r="F3381">
        <v>22589</v>
      </c>
      <c r="G3381" t="s">
        <v>23</v>
      </c>
      <c r="H3381">
        <v>18</v>
      </c>
      <c r="I3381">
        <v>21476</v>
      </c>
      <c r="J3381" t="s">
        <v>127</v>
      </c>
      <c r="K3381" t="s">
        <v>38</v>
      </c>
      <c r="L3381" t="s">
        <v>47</v>
      </c>
      <c r="M3381">
        <v>3</v>
      </c>
      <c r="N3381">
        <v>454.14</v>
      </c>
      <c r="O3381">
        <v>662.8</v>
      </c>
      <c r="P3381">
        <v>66.28</v>
      </c>
      <c r="Q3381">
        <v>66.28</v>
      </c>
      <c r="R3381" t="s">
        <v>30</v>
      </c>
      <c r="S3381">
        <v>29</v>
      </c>
      <c r="T3381">
        <v>1</v>
      </c>
      <c r="U3381">
        <v>1</v>
      </c>
      <c r="V3381">
        <v>596.52</v>
      </c>
      <c r="W3381">
        <v>13130003379</v>
      </c>
    </row>
    <row r="3382" spans="1:23" x14ac:dyDescent="0.2">
      <c r="A3382" s="1">
        <v>44803</v>
      </c>
      <c r="B3382" s="2">
        <v>0.61479166666666663</v>
      </c>
      <c r="C3382">
        <v>4380</v>
      </c>
      <c r="D3382">
        <v>13002561</v>
      </c>
      <c r="E3382">
        <v>13</v>
      </c>
      <c r="F3382">
        <v>22589</v>
      </c>
      <c r="G3382" t="s">
        <v>23</v>
      </c>
      <c r="H3382">
        <v>18</v>
      </c>
      <c r="I3382">
        <v>65882</v>
      </c>
      <c r="J3382" t="s">
        <v>100</v>
      </c>
      <c r="K3382" t="s">
        <v>38</v>
      </c>
      <c r="L3382" t="s">
        <v>26</v>
      </c>
      <c r="M3382">
        <v>3</v>
      </c>
      <c r="N3382">
        <v>436.26</v>
      </c>
      <c r="O3382">
        <v>628.1</v>
      </c>
      <c r="P3382">
        <v>31.41</v>
      </c>
      <c r="Q3382">
        <v>31.41</v>
      </c>
      <c r="R3382" t="s">
        <v>30</v>
      </c>
      <c r="S3382">
        <v>29</v>
      </c>
      <c r="T3382">
        <v>1</v>
      </c>
      <c r="U3382">
        <v>4</v>
      </c>
      <c r="V3382">
        <v>596.69000000000005</v>
      </c>
      <c r="W3382">
        <v>13130003380</v>
      </c>
    </row>
    <row r="3383" spans="1:23" x14ac:dyDescent="0.2">
      <c r="A3383" s="1">
        <v>44780</v>
      </c>
      <c r="B3383" s="2">
        <v>0.62063657407407402</v>
      </c>
      <c r="C3383">
        <v>4381</v>
      </c>
      <c r="D3383">
        <v>13002561</v>
      </c>
      <c r="E3383">
        <v>13</v>
      </c>
      <c r="F3383">
        <v>22589</v>
      </c>
      <c r="G3383" t="s">
        <v>23</v>
      </c>
      <c r="H3383">
        <v>18</v>
      </c>
      <c r="I3383">
        <v>33836</v>
      </c>
      <c r="J3383" t="s">
        <v>61</v>
      </c>
      <c r="K3383" t="s">
        <v>44</v>
      </c>
      <c r="L3383" t="s">
        <v>29</v>
      </c>
      <c r="M3383">
        <v>2</v>
      </c>
      <c r="N3383">
        <v>217.41</v>
      </c>
      <c r="O3383">
        <v>312.55</v>
      </c>
      <c r="P3383">
        <v>15.63</v>
      </c>
      <c r="Q3383">
        <v>15.63</v>
      </c>
      <c r="R3383" t="s">
        <v>30</v>
      </c>
      <c r="S3383">
        <v>29</v>
      </c>
      <c r="T3383">
        <v>1</v>
      </c>
      <c r="U3383">
        <v>6</v>
      </c>
      <c r="V3383">
        <v>296.92</v>
      </c>
      <c r="W3383">
        <v>13130003381</v>
      </c>
    </row>
    <row r="3384" spans="1:23" x14ac:dyDescent="0.2">
      <c r="A3384" s="1">
        <v>44797</v>
      </c>
      <c r="B3384" s="2">
        <v>0.51574074074074072</v>
      </c>
      <c r="C3384">
        <v>4382</v>
      </c>
      <c r="D3384">
        <v>13002561</v>
      </c>
      <c r="E3384">
        <v>13</v>
      </c>
      <c r="F3384">
        <v>22589</v>
      </c>
      <c r="G3384" t="s">
        <v>23</v>
      </c>
      <c r="H3384">
        <v>18</v>
      </c>
      <c r="I3384">
        <v>14254</v>
      </c>
      <c r="J3384" t="s">
        <v>118</v>
      </c>
      <c r="K3384" t="s">
        <v>28</v>
      </c>
      <c r="L3384" t="s">
        <v>39</v>
      </c>
      <c r="M3384">
        <v>2</v>
      </c>
      <c r="N3384">
        <v>139.66999999999999</v>
      </c>
      <c r="O3384">
        <v>209.65</v>
      </c>
      <c r="P3384">
        <v>20.97</v>
      </c>
      <c r="Q3384">
        <v>20.97</v>
      </c>
      <c r="R3384" t="s">
        <v>30</v>
      </c>
      <c r="S3384">
        <v>29</v>
      </c>
      <c r="T3384">
        <v>1</v>
      </c>
      <c r="U3384">
        <v>3</v>
      </c>
      <c r="V3384">
        <v>188.68</v>
      </c>
      <c r="W3384">
        <v>13130003382</v>
      </c>
    </row>
    <row r="3385" spans="1:23" x14ac:dyDescent="0.2">
      <c r="A3385" s="1">
        <v>44790</v>
      </c>
      <c r="B3385" s="2">
        <v>0.6605671296296296</v>
      </c>
      <c r="C3385">
        <v>4383</v>
      </c>
      <c r="D3385">
        <v>13002561</v>
      </c>
      <c r="E3385">
        <v>13</v>
      </c>
      <c r="F3385">
        <v>22589</v>
      </c>
      <c r="G3385" t="s">
        <v>23</v>
      </c>
      <c r="H3385">
        <v>15</v>
      </c>
      <c r="I3385">
        <v>17662</v>
      </c>
      <c r="J3385" t="s">
        <v>68</v>
      </c>
      <c r="K3385" t="s">
        <v>25</v>
      </c>
      <c r="L3385" t="s">
        <v>36</v>
      </c>
      <c r="M3385">
        <v>3</v>
      </c>
      <c r="N3385">
        <v>480.14</v>
      </c>
      <c r="O3385">
        <v>637.04999999999995</v>
      </c>
      <c r="P3385">
        <v>63.7</v>
      </c>
      <c r="Q3385">
        <v>63.7</v>
      </c>
      <c r="R3385" t="s">
        <v>30</v>
      </c>
      <c r="S3385">
        <v>29</v>
      </c>
      <c r="T3385">
        <v>1</v>
      </c>
      <c r="U3385">
        <v>6</v>
      </c>
      <c r="V3385">
        <v>573.35</v>
      </c>
      <c r="W3385">
        <v>13130003383</v>
      </c>
    </row>
    <row r="3386" spans="1:23" x14ac:dyDescent="0.2">
      <c r="A3386" s="1">
        <v>44796</v>
      </c>
      <c r="B3386" s="2">
        <v>0.88592592592592589</v>
      </c>
      <c r="C3386">
        <v>4384</v>
      </c>
      <c r="D3386">
        <v>13002561</v>
      </c>
      <c r="E3386">
        <v>13</v>
      </c>
      <c r="F3386">
        <v>22589</v>
      </c>
      <c r="G3386" t="s">
        <v>23</v>
      </c>
      <c r="H3386">
        <v>15</v>
      </c>
      <c r="I3386">
        <v>74030</v>
      </c>
      <c r="J3386" t="s">
        <v>71</v>
      </c>
      <c r="K3386" t="s">
        <v>25</v>
      </c>
      <c r="L3386" t="s">
        <v>29</v>
      </c>
      <c r="M3386">
        <v>2</v>
      </c>
      <c r="N3386">
        <v>595.14</v>
      </c>
      <c r="O3386">
        <v>944.58</v>
      </c>
      <c r="P3386">
        <v>94.46</v>
      </c>
      <c r="Q3386">
        <v>94.46</v>
      </c>
      <c r="R3386" t="s">
        <v>30</v>
      </c>
      <c r="S3386">
        <v>29</v>
      </c>
      <c r="T3386">
        <v>1</v>
      </c>
      <c r="U3386">
        <v>1</v>
      </c>
      <c r="V3386">
        <v>850.12</v>
      </c>
      <c r="W3386">
        <v>13130003384</v>
      </c>
    </row>
    <row r="3387" spans="1:23" x14ac:dyDescent="0.2">
      <c r="A3387" s="1">
        <v>44788</v>
      </c>
      <c r="B3387" s="2">
        <v>0.88203703703703706</v>
      </c>
      <c r="C3387">
        <v>4385</v>
      </c>
      <c r="D3387">
        <v>13002561</v>
      </c>
      <c r="E3387">
        <v>13</v>
      </c>
      <c r="F3387">
        <v>22589</v>
      </c>
      <c r="G3387" t="s">
        <v>23</v>
      </c>
      <c r="H3387">
        <v>15</v>
      </c>
      <c r="I3387">
        <v>42822</v>
      </c>
      <c r="J3387" t="s">
        <v>118</v>
      </c>
      <c r="K3387" t="s">
        <v>44</v>
      </c>
      <c r="L3387" t="s">
        <v>39</v>
      </c>
      <c r="M3387">
        <v>1</v>
      </c>
      <c r="N3387">
        <v>377.78</v>
      </c>
      <c r="O3387">
        <v>624.17999999999995</v>
      </c>
      <c r="P3387">
        <v>31.21</v>
      </c>
      <c r="Q3387">
        <v>31.21</v>
      </c>
      <c r="R3387" t="s">
        <v>30</v>
      </c>
      <c r="S3387">
        <v>29</v>
      </c>
      <c r="T3387">
        <v>1</v>
      </c>
      <c r="U3387">
        <v>3</v>
      </c>
      <c r="V3387">
        <v>592.97</v>
      </c>
      <c r="W3387">
        <v>13130003385</v>
      </c>
    </row>
    <row r="3388" spans="1:23" x14ac:dyDescent="0.2">
      <c r="A3388" s="1">
        <v>44789</v>
      </c>
      <c r="B3388" s="2">
        <v>0.49026620370370372</v>
      </c>
      <c r="C3388">
        <v>4386</v>
      </c>
      <c r="D3388">
        <v>13002561</v>
      </c>
      <c r="E3388">
        <v>13</v>
      </c>
      <c r="F3388">
        <v>22589</v>
      </c>
      <c r="G3388" t="s">
        <v>23</v>
      </c>
      <c r="H3388">
        <v>18</v>
      </c>
      <c r="I3388">
        <v>21691</v>
      </c>
      <c r="J3388" t="s">
        <v>64</v>
      </c>
      <c r="K3388" t="s">
        <v>38</v>
      </c>
      <c r="L3388" t="s">
        <v>36</v>
      </c>
      <c r="M3388">
        <v>1</v>
      </c>
      <c r="N3388">
        <v>524.17999999999995</v>
      </c>
      <c r="O3388">
        <v>750.96</v>
      </c>
      <c r="P3388">
        <v>37.549999999999997</v>
      </c>
      <c r="Q3388">
        <v>37.549999999999997</v>
      </c>
      <c r="R3388" t="s">
        <v>30</v>
      </c>
      <c r="S3388">
        <v>29</v>
      </c>
      <c r="T3388">
        <v>1</v>
      </c>
      <c r="U3388">
        <v>1</v>
      </c>
      <c r="V3388">
        <v>713.41</v>
      </c>
      <c r="W3388">
        <v>13130003386</v>
      </c>
    </row>
    <row r="3389" spans="1:23" x14ac:dyDescent="0.2">
      <c r="A3389" s="1">
        <v>44799</v>
      </c>
      <c r="B3389" s="2">
        <v>0.52113425925925927</v>
      </c>
      <c r="C3389">
        <v>4387</v>
      </c>
      <c r="D3389">
        <v>13002561</v>
      </c>
      <c r="E3389">
        <v>13</v>
      </c>
      <c r="F3389">
        <v>22589</v>
      </c>
      <c r="G3389" t="s">
        <v>23</v>
      </c>
      <c r="H3389">
        <v>15</v>
      </c>
      <c r="I3389">
        <v>69448</v>
      </c>
      <c r="J3389" t="s">
        <v>71</v>
      </c>
      <c r="K3389" t="s">
        <v>44</v>
      </c>
      <c r="L3389" t="s">
        <v>51</v>
      </c>
      <c r="M3389">
        <v>3</v>
      </c>
      <c r="N3389">
        <v>178.06</v>
      </c>
      <c r="O3389">
        <v>251.92</v>
      </c>
      <c r="P3389">
        <v>12.6</v>
      </c>
      <c r="Q3389">
        <v>12.6</v>
      </c>
      <c r="R3389" t="s">
        <v>30</v>
      </c>
      <c r="S3389">
        <v>29</v>
      </c>
      <c r="T3389">
        <v>1</v>
      </c>
      <c r="U3389">
        <v>1</v>
      </c>
      <c r="V3389">
        <v>239.32</v>
      </c>
      <c r="W3389">
        <v>13130003387</v>
      </c>
    </row>
    <row r="3390" spans="1:23" x14ac:dyDescent="0.2">
      <c r="A3390" s="1">
        <v>44795</v>
      </c>
      <c r="B3390" s="2">
        <v>0.79864583333333339</v>
      </c>
      <c r="C3390">
        <v>4388</v>
      </c>
      <c r="D3390">
        <v>13002561</v>
      </c>
      <c r="E3390">
        <v>13</v>
      </c>
      <c r="F3390">
        <v>22589</v>
      </c>
      <c r="G3390" t="s">
        <v>23</v>
      </c>
      <c r="H3390">
        <v>18</v>
      </c>
      <c r="I3390">
        <v>88532</v>
      </c>
      <c r="J3390" t="s">
        <v>102</v>
      </c>
      <c r="K3390" t="s">
        <v>25</v>
      </c>
      <c r="L3390" t="s">
        <v>32</v>
      </c>
      <c r="M3390">
        <v>2</v>
      </c>
      <c r="N3390">
        <v>334.9</v>
      </c>
      <c r="O3390">
        <v>426.41</v>
      </c>
      <c r="P3390">
        <v>0</v>
      </c>
      <c r="Q3390">
        <v>0</v>
      </c>
      <c r="S3390">
        <v>29</v>
      </c>
      <c r="T3390">
        <v>1</v>
      </c>
      <c r="U3390">
        <v>2</v>
      </c>
      <c r="V3390">
        <v>426.41</v>
      </c>
      <c r="W3390">
        <v>13130003388</v>
      </c>
    </row>
    <row r="3391" spans="1:23" x14ac:dyDescent="0.2">
      <c r="A3391" s="1">
        <v>44777</v>
      </c>
      <c r="B3391" s="2">
        <v>0.77209490740740738</v>
      </c>
      <c r="C3391">
        <v>4389</v>
      </c>
      <c r="D3391">
        <v>13002561</v>
      </c>
      <c r="E3391">
        <v>13</v>
      </c>
      <c r="F3391">
        <v>22589</v>
      </c>
      <c r="G3391" t="s">
        <v>23</v>
      </c>
      <c r="H3391">
        <v>18</v>
      </c>
      <c r="I3391">
        <v>90308</v>
      </c>
      <c r="J3391" t="s">
        <v>87</v>
      </c>
      <c r="K3391" t="s">
        <v>44</v>
      </c>
      <c r="L3391" t="s">
        <v>51</v>
      </c>
      <c r="M3391">
        <v>3</v>
      </c>
      <c r="N3391">
        <v>457.86</v>
      </c>
      <c r="O3391">
        <v>662.27</v>
      </c>
      <c r="P3391">
        <v>66.23</v>
      </c>
      <c r="Q3391">
        <v>66.23</v>
      </c>
      <c r="R3391" t="s">
        <v>30</v>
      </c>
      <c r="S3391">
        <v>29</v>
      </c>
      <c r="T3391">
        <v>1</v>
      </c>
      <c r="U3391">
        <v>1</v>
      </c>
      <c r="V3391">
        <v>596.04</v>
      </c>
      <c r="W3391">
        <v>13130003389</v>
      </c>
    </row>
    <row r="3392" spans="1:23" x14ac:dyDescent="0.2">
      <c r="A3392" s="1">
        <v>44776</v>
      </c>
      <c r="B3392" s="2">
        <v>0.61393518518518519</v>
      </c>
      <c r="C3392">
        <v>4390</v>
      </c>
      <c r="D3392">
        <v>13002561</v>
      </c>
      <c r="E3392">
        <v>13</v>
      </c>
      <c r="F3392">
        <v>22589</v>
      </c>
      <c r="G3392" t="s">
        <v>23</v>
      </c>
      <c r="H3392">
        <v>18</v>
      </c>
      <c r="I3392">
        <v>36164</v>
      </c>
      <c r="J3392" t="s">
        <v>108</v>
      </c>
      <c r="K3392" t="s">
        <v>45</v>
      </c>
      <c r="L3392" t="s">
        <v>34</v>
      </c>
      <c r="M3392">
        <v>2</v>
      </c>
      <c r="N3392">
        <v>144.72999999999999</v>
      </c>
      <c r="O3392">
        <v>226.25</v>
      </c>
      <c r="P3392">
        <v>11.31</v>
      </c>
      <c r="Q3392">
        <v>11.31</v>
      </c>
      <c r="R3392" t="s">
        <v>30</v>
      </c>
      <c r="S3392">
        <v>29</v>
      </c>
      <c r="T3392">
        <v>1</v>
      </c>
      <c r="U3392">
        <v>3</v>
      </c>
      <c r="V3392">
        <v>214.94</v>
      </c>
      <c r="W3392">
        <v>13130003390</v>
      </c>
    </row>
    <row r="3393" spans="1:23" x14ac:dyDescent="0.2">
      <c r="A3393" s="1">
        <v>44803</v>
      </c>
      <c r="B3393" s="2">
        <v>0.65622685185185181</v>
      </c>
      <c r="C3393">
        <v>4391</v>
      </c>
      <c r="D3393">
        <v>13002561</v>
      </c>
      <c r="E3393">
        <v>13</v>
      </c>
      <c r="F3393">
        <v>22589</v>
      </c>
      <c r="G3393" t="s">
        <v>23</v>
      </c>
      <c r="H3393">
        <v>15</v>
      </c>
      <c r="I3393">
        <v>77433</v>
      </c>
      <c r="J3393" t="s">
        <v>37</v>
      </c>
      <c r="K3393" t="s">
        <v>44</v>
      </c>
      <c r="L3393" t="s">
        <v>26</v>
      </c>
      <c r="M3393">
        <v>2</v>
      </c>
      <c r="N3393">
        <v>559.57000000000005</v>
      </c>
      <c r="O3393">
        <v>904.84</v>
      </c>
      <c r="P3393">
        <v>0</v>
      </c>
      <c r="Q3393">
        <v>0</v>
      </c>
      <c r="S3393">
        <v>29</v>
      </c>
      <c r="T3393">
        <v>1</v>
      </c>
      <c r="U3393">
        <v>3</v>
      </c>
      <c r="V3393">
        <v>904.84</v>
      </c>
      <c r="W3393">
        <v>13130003391</v>
      </c>
    </row>
    <row r="3394" spans="1:23" x14ac:dyDescent="0.2">
      <c r="A3394" s="1">
        <v>44783</v>
      </c>
      <c r="B3394" s="2">
        <v>0.55281250000000004</v>
      </c>
      <c r="C3394">
        <v>4392</v>
      </c>
      <c r="D3394">
        <v>13002561</v>
      </c>
      <c r="E3394">
        <v>13</v>
      </c>
      <c r="F3394">
        <v>22589</v>
      </c>
      <c r="G3394" t="s">
        <v>23</v>
      </c>
      <c r="H3394">
        <v>18</v>
      </c>
      <c r="I3394">
        <v>62372</v>
      </c>
      <c r="J3394" t="s">
        <v>68</v>
      </c>
      <c r="K3394" t="s">
        <v>25</v>
      </c>
      <c r="L3394" t="s">
        <v>26</v>
      </c>
      <c r="M3394">
        <v>1</v>
      </c>
      <c r="N3394">
        <v>463.58</v>
      </c>
      <c r="O3394">
        <v>739.31</v>
      </c>
      <c r="P3394">
        <v>36.97</v>
      </c>
      <c r="Q3394">
        <v>36.97</v>
      </c>
      <c r="R3394" t="s">
        <v>30</v>
      </c>
      <c r="S3394">
        <v>29</v>
      </c>
      <c r="T3394">
        <v>1</v>
      </c>
      <c r="U3394">
        <v>2</v>
      </c>
      <c r="V3394">
        <v>702.34</v>
      </c>
      <c r="W3394">
        <v>13130003392</v>
      </c>
    </row>
    <row r="3395" spans="1:23" x14ac:dyDescent="0.2">
      <c r="A3395" s="1">
        <v>44783</v>
      </c>
      <c r="B3395" s="2">
        <v>0.70732638888888888</v>
      </c>
      <c r="C3395">
        <v>4393</v>
      </c>
      <c r="D3395">
        <v>13002561</v>
      </c>
      <c r="E3395">
        <v>13</v>
      </c>
      <c r="F3395">
        <v>22589</v>
      </c>
      <c r="G3395" t="s">
        <v>23</v>
      </c>
      <c r="H3395">
        <v>15</v>
      </c>
      <c r="I3395">
        <v>83892</v>
      </c>
      <c r="J3395" t="s">
        <v>99</v>
      </c>
      <c r="K3395" t="s">
        <v>44</v>
      </c>
      <c r="L3395" t="s">
        <v>29</v>
      </c>
      <c r="M3395">
        <v>2</v>
      </c>
      <c r="N3395">
        <v>187.5</v>
      </c>
      <c r="O3395">
        <v>277.97000000000003</v>
      </c>
      <c r="P3395">
        <v>13.9</v>
      </c>
      <c r="Q3395">
        <v>13.9</v>
      </c>
      <c r="R3395" t="s">
        <v>30</v>
      </c>
      <c r="S3395">
        <v>29</v>
      </c>
      <c r="T3395">
        <v>1</v>
      </c>
      <c r="U3395">
        <v>4</v>
      </c>
      <c r="V3395">
        <v>264.07</v>
      </c>
      <c r="W3395">
        <v>13130003393</v>
      </c>
    </row>
    <row r="3396" spans="1:23" x14ac:dyDescent="0.2">
      <c r="A3396" s="1">
        <v>44797</v>
      </c>
      <c r="B3396" s="2">
        <v>0.82027777777777777</v>
      </c>
      <c r="C3396">
        <v>4394</v>
      </c>
      <c r="D3396">
        <v>13002561</v>
      </c>
      <c r="E3396">
        <v>13</v>
      </c>
      <c r="F3396">
        <v>22589</v>
      </c>
      <c r="G3396" t="s">
        <v>23</v>
      </c>
      <c r="H3396">
        <v>15</v>
      </c>
      <c r="I3396">
        <v>66971</v>
      </c>
      <c r="J3396" t="s">
        <v>119</v>
      </c>
      <c r="K3396" t="s">
        <v>45</v>
      </c>
      <c r="L3396" t="s">
        <v>32</v>
      </c>
      <c r="M3396">
        <v>2</v>
      </c>
      <c r="N3396">
        <v>156.58000000000001</v>
      </c>
      <c r="O3396">
        <v>265.66000000000003</v>
      </c>
      <c r="P3396">
        <v>26.57</v>
      </c>
      <c r="Q3396">
        <v>26.57</v>
      </c>
      <c r="R3396" t="s">
        <v>30</v>
      </c>
      <c r="S3396">
        <v>29</v>
      </c>
      <c r="T3396">
        <v>1</v>
      </c>
      <c r="U3396">
        <v>2</v>
      </c>
      <c r="V3396">
        <v>239.09</v>
      </c>
      <c r="W3396">
        <v>13130003394</v>
      </c>
    </row>
    <row r="3397" spans="1:23" x14ac:dyDescent="0.2">
      <c r="A3397" s="1">
        <v>44796</v>
      </c>
      <c r="B3397" s="2">
        <v>0.41365740740740742</v>
      </c>
      <c r="C3397">
        <v>4395</v>
      </c>
      <c r="D3397">
        <v>13002561</v>
      </c>
      <c r="E3397">
        <v>13</v>
      </c>
      <c r="F3397">
        <v>22589</v>
      </c>
      <c r="G3397" t="s">
        <v>23</v>
      </c>
      <c r="H3397">
        <v>15</v>
      </c>
      <c r="I3397">
        <v>68508</v>
      </c>
      <c r="J3397" t="s">
        <v>126</v>
      </c>
      <c r="K3397" t="s">
        <v>45</v>
      </c>
      <c r="L3397" t="s">
        <v>47</v>
      </c>
      <c r="M3397">
        <v>3</v>
      </c>
      <c r="N3397">
        <v>144.87</v>
      </c>
      <c r="O3397">
        <v>195.25</v>
      </c>
      <c r="P3397">
        <v>9.76</v>
      </c>
      <c r="Q3397">
        <v>9.76</v>
      </c>
      <c r="R3397" t="s">
        <v>30</v>
      </c>
      <c r="S3397">
        <v>29</v>
      </c>
      <c r="T3397">
        <v>1</v>
      </c>
      <c r="U3397">
        <v>4</v>
      </c>
      <c r="V3397">
        <v>185.49</v>
      </c>
      <c r="W3397">
        <v>13130003395</v>
      </c>
    </row>
    <row r="3398" spans="1:23" x14ac:dyDescent="0.2">
      <c r="A3398" s="1">
        <v>44803</v>
      </c>
      <c r="B3398" s="2">
        <v>0.67618055555555556</v>
      </c>
      <c r="C3398">
        <v>4396</v>
      </c>
      <c r="D3398">
        <v>13002561</v>
      </c>
      <c r="E3398">
        <v>13</v>
      </c>
      <c r="F3398">
        <v>22589</v>
      </c>
      <c r="G3398" t="s">
        <v>23</v>
      </c>
      <c r="H3398">
        <v>18</v>
      </c>
      <c r="I3398">
        <v>59586</v>
      </c>
      <c r="J3398" t="s">
        <v>43</v>
      </c>
      <c r="K3398" t="s">
        <v>45</v>
      </c>
      <c r="L3398" t="s">
        <v>51</v>
      </c>
      <c r="M3398">
        <v>1</v>
      </c>
      <c r="N3398">
        <v>187.6</v>
      </c>
      <c r="O3398">
        <v>234.83</v>
      </c>
      <c r="P3398">
        <v>23.48</v>
      </c>
      <c r="Q3398">
        <v>23.48</v>
      </c>
      <c r="R3398" t="s">
        <v>30</v>
      </c>
      <c r="S3398">
        <v>29</v>
      </c>
      <c r="T3398">
        <v>1</v>
      </c>
      <c r="U3398">
        <v>6</v>
      </c>
      <c r="V3398">
        <v>211.35</v>
      </c>
      <c r="W3398">
        <v>13130003396</v>
      </c>
    </row>
    <row r="3399" spans="1:23" x14ac:dyDescent="0.2">
      <c r="A3399" s="1">
        <v>44804</v>
      </c>
      <c r="B3399" s="2">
        <v>0.65734953703703702</v>
      </c>
      <c r="C3399">
        <v>4397</v>
      </c>
      <c r="D3399">
        <v>13002561</v>
      </c>
      <c r="E3399">
        <v>13</v>
      </c>
      <c r="F3399">
        <v>22589</v>
      </c>
      <c r="G3399" t="s">
        <v>23</v>
      </c>
      <c r="H3399">
        <v>15</v>
      </c>
      <c r="I3399">
        <v>84951</v>
      </c>
      <c r="J3399" t="s">
        <v>41</v>
      </c>
      <c r="K3399" t="s">
        <v>25</v>
      </c>
      <c r="L3399" t="s">
        <v>47</v>
      </c>
      <c r="M3399">
        <v>3</v>
      </c>
      <c r="N3399">
        <v>229.9</v>
      </c>
      <c r="O3399">
        <v>342.07</v>
      </c>
      <c r="P3399">
        <v>0</v>
      </c>
      <c r="Q3399">
        <v>0</v>
      </c>
      <c r="S3399">
        <v>29</v>
      </c>
      <c r="T3399">
        <v>1</v>
      </c>
      <c r="U3399">
        <v>6</v>
      </c>
      <c r="V3399">
        <v>342.07</v>
      </c>
      <c r="W3399">
        <v>13130003397</v>
      </c>
    </row>
    <row r="3400" spans="1:23" x14ac:dyDescent="0.2">
      <c r="A3400" s="1">
        <v>44788</v>
      </c>
      <c r="B3400" s="2">
        <v>0.75578703703703709</v>
      </c>
      <c r="C3400">
        <v>4398</v>
      </c>
      <c r="D3400">
        <v>13002561</v>
      </c>
      <c r="E3400">
        <v>13</v>
      </c>
      <c r="F3400">
        <v>22589</v>
      </c>
      <c r="G3400" t="s">
        <v>23</v>
      </c>
      <c r="H3400">
        <v>18</v>
      </c>
      <c r="I3400">
        <v>70787</v>
      </c>
      <c r="J3400" t="s">
        <v>52</v>
      </c>
      <c r="K3400" t="s">
        <v>25</v>
      </c>
      <c r="L3400" t="s">
        <v>47</v>
      </c>
      <c r="M3400">
        <v>3</v>
      </c>
      <c r="N3400">
        <v>571.92999999999995</v>
      </c>
      <c r="O3400">
        <v>910.26</v>
      </c>
      <c r="P3400">
        <v>91.03</v>
      </c>
      <c r="Q3400">
        <v>91.03</v>
      </c>
      <c r="R3400" t="s">
        <v>30</v>
      </c>
      <c r="S3400">
        <v>29</v>
      </c>
      <c r="T3400">
        <v>1</v>
      </c>
      <c r="U3400">
        <v>3</v>
      </c>
      <c r="V3400">
        <v>819.23</v>
      </c>
      <c r="W3400">
        <v>13130003398</v>
      </c>
    </row>
    <row r="3401" spans="1:23" x14ac:dyDescent="0.2">
      <c r="A3401" s="1">
        <v>44776</v>
      </c>
      <c r="B3401" s="2">
        <v>0.83550925925925923</v>
      </c>
      <c r="C3401">
        <v>4399</v>
      </c>
      <c r="D3401">
        <v>13002561</v>
      </c>
      <c r="E3401">
        <v>13</v>
      </c>
      <c r="F3401">
        <v>22589</v>
      </c>
      <c r="G3401" t="s">
        <v>23</v>
      </c>
      <c r="H3401">
        <v>18</v>
      </c>
      <c r="I3401">
        <v>67718</v>
      </c>
      <c r="J3401" t="s">
        <v>89</v>
      </c>
      <c r="K3401" t="s">
        <v>45</v>
      </c>
      <c r="L3401" t="s">
        <v>29</v>
      </c>
      <c r="M3401">
        <v>1</v>
      </c>
      <c r="N3401">
        <v>432.84</v>
      </c>
      <c r="O3401">
        <v>550.63</v>
      </c>
      <c r="P3401">
        <v>55.06</v>
      </c>
      <c r="Q3401">
        <v>55.06</v>
      </c>
      <c r="R3401" t="s">
        <v>30</v>
      </c>
      <c r="S3401">
        <v>29</v>
      </c>
      <c r="T3401">
        <v>1</v>
      </c>
      <c r="U3401">
        <v>6</v>
      </c>
      <c r="V3401">
        <v>495.57</v>
      </c>
      <c r="W3401">
        <v>13130003399</v>
      </c>
    </row>
    <row r="3402" spans="1:23" x14ac:dyDescent="0.2">
      <c r="A3402" s="1">
        <v>44785</v>
      </c>
      <c r="B3402" s="2">
        <v>0.49890046296296298</v>
      </c>
      <c r="C3402">
        <v>4400</v>
      </c>
      <c r="D3402">
        <v>13002561</v>
      </c>
      <c r="E3402">
        <v>13</v>
      </c>
      <c r="F3402">
        <v>22589</v>
      </c>
      <c r="G3402" t="s">
        <v>23</v>
      </c>
      <c r="H3402">
        <v>15</v>
      </c>
      <c r="I3402">
        <v>75269</v>
      </c>
      <c r="J3402" t="s">
        <v>76</v>
      </c>
      <c r="K3402" t="s">
        <v>38</v>
      </c>
      <c r="L3402" t="s">
        <v>36</v>
      </c>
      <c r="M3402">
        <v>2</v>
      </c>
      <c r="N3402">
        <v>592.95000000000005</v>
      </c>
      <c r="O3402">
        <v>818.85</v>
      </c>
      <c r="P3402">
        <v>0</v>
      </c>
      <c r="Q3402">
        <v>0</v>
      </c>
      <c r="S3402">
        <v>29</v>
      </c>
      <c r="T3402">
        <v>1</v>
      </c>
      <c r="U3402">
        <v>5</v>
      </c>
      <c r="V3402">
        <v>818.85</v>
      </c>
      <c r="W3402">
        <v>13130003400</v>
      </c>
    </row>
    <row r="3403" spans="1:23" x14ac:dyDescent="0.2">
      <c r="A3403" s="1">
        <v>44776</v>
      </c>
      <c r="B3403" s="2">
        <v>0.62230324074074073</v>
      </c>
      <c r="C3403">
        <v>4401</v>
      </c>
      <c r="D3403">
        <v>13002561</v>
      </c>
      <c r="E3403">
        <v>13</v>
      </c>
      <c r="F3403">
        <v>22589</v>
      </c>
      <c r="G3403" t="s">
        <v>23</v>
      </c>
      <c r="H3403">
        <v>15</v>
      </c>
      <c r="I3403">
        <v>20419</v>
      </c>
      <c r="J3403" t="s">
        <v>81</v>
      </c>
      <c r="K3403" t="s">
        <v>25</v>
      </c>
      <c r="L3403" t="s">
        <v>34</v>
      </c>
      <c r="M3403">
        <v>1</v>
      </c>
      <c r="N3403">
        <v>53.61</v>
      </c>
      <c r="O3403">
        <v>86.18</v>
      </c>
      <c r="P3403">
        <v>0</v>
      </c>
      <c r="Q3403">
        <v>0</v>
      </c>
      <c r="S3403">
        <v>29</v>
      </c>
      <c r="T3403">
        <v>1</v>
      </c>
      <c r="U3403">
        <v>6</v>
      </c>
      <c r="V3403">
        <v>86.18</v>
      </c>
      <c r="W3403">
        <v>13130003401</v>
      </c>
    </row>
    <row r="3404" spans="1:23" x14ac:dyDescent="0.2">
      <c r="A3404" s="1">
        <v>44782</v>
      </c>
      <c r="B3404" s="2">
        <v>0.80034722222222221</v>
      </c>
      <c r="C3404">
        <v>4402</v>
      </c>
      <c r="D3404">
        <v>13002561</v>
      </c>
      <c r="E3404">
        <v>13</v>
      </c>
      <c r="F3404">
        <v>22589</v>
      </c>
      <c r="G3404" t="s">
        <v>23</v>
      </c>
      <c r="H3404">
        <v>18</v>
      </c>
      <c r="I3404">
        <v>29818</v>
      </c>
      <c r="J3404" t="s">
        <v>126</v>
      </c>
      <c r="K3404" t="s">
        <v>25</v>
      </c>
      <c r="L3404" t="s">
        <v>34</v>
      </c>
      <c r="M3404">
        <v>2</v>
      </c>
      <c r="N3404">
        <v>471.84</v>
      </c>
      <c r="O3404">
        <v>592.25</v>
      </c>
      <c r="P3404">
        <v>0</v>
      </c>
      <c r="Q3404">
        <v>0</v>
      </c>
      <c r="S3404">
        <v>29</v>
      </c>
      <c r="T3404">
        <v>1</v>
      </c>
      <c r="U3404">
        <v>6</v>
      </c>
      <c r="V3404">
        <v>592.25</v>
      </c>
      <c r="W3404">
        <v>13130003402</v>
      </c>
    </row>
    <row r="3405" spans="1:23" x14ac:dyDescent="0.2">
      <c r="A3405" s="1">
        <v>44781</v>
      </c>
      <c r="B3405" s="2">
        <v>0.67621527777777779</v>
      </c>
      <c r="C3405">
        <v>4403</v>
      </c>
      <c r="D3405">
        <v>13002561</v>
      </c>
      <c r="E3405">
        <v>13</v>
      </c>
      <c r="F3405">
        <v>22589</v>
      </c>
      <c r="G3405" t="s">
        <v>23</v>
      </c>
      <c r="H3405">
        <v>18</v>
      </c>
      <c r="I3405">
        <v>90797</v>
      </c>
      <c r="J3405" t="s">
        <v>96</v>
      </c>
      <c r="K3405" t="s">
        <v>44</v>
      </c>
      <c r="L3405" t="s">
        <v>36</v>
      </c>
      <c r="M3405">
        <v>3</v>
      </c>
      <c r="N3405">
        <v>361.46</v>
      </c>
      <c r="O3405">
        <v>549.98</v>
      </c>
      <c r="P3405">
        <v>55</v>
      </c>
      <c r="Q3405">
        <v>55</v>
      </c>
      <c r="R3405" t="s">
        <v>30</v>
      </c>
      <c r="S3405">
        <v>29</v>
      </c>
      <c r="T3405">
        <v>1</v>
      </c>
      <c r="U3405">
        <v>6</v>
      </c>
      <c r="V3405">
        <v>494.98</v>
      </c>
      <c r="W3405">
        <v>13130003403</v>
      </c>
    </row>
    <row r="3406" spans="1:23" x14ac:dyDescent="0.2">
      <c r="A3406" s="1">
        <v>44790</v>
      </c>
      <c r="B3406" s="2">
        <v>0.59706018518518522</v>
      </c>
      <c r="C3406">
        <v>4404</v>
      </c>
      <c r="D3406">
        <v>13002561</v>
      </c>
      <c r="E3406">
        <v>13</v>
      </c>
      <c r="F3406">
        <v>22589</v>
      </c>
      <c r="G3406" t="s">
        <v>23</v>
      </c>
      <c r="H3406">
        <v>18</v>
      </c>
      <c r="I3406">
        <v>71007</v>
      </c>
      <c r="J3406" t="s">
        <v>43</v>
      </c>
      <c r="K3406" t="s">
        <v>28</v>
      </c>
      <c r="L3406" t="s">
        <v>36</v>
      </c>
      <c r="M3406">
        <v>3</v>
      </c>
      <c r="N3406">
        <v>597.14</v>
      </c>
      <c r="O3406">
        <v>969.93</v>
      </c>
      <c r="P3406">
        <v>0</v>
      </c>
      <c r="Q3406">
        <v>0</v>
      </c>
      <c r="S3406">
        <v>29</v>
      </c>
      <c r="T3406">
        <v>1</v>
      </c>
      <c r="U3406">
        <v>4</v>
      </c>
      <c r="V3406">
        <v>969.93</v>
      </c>
      <c r="W3406">
        <v>13130003404</v>
      </c>
    </row>
    <row r="3407" spans="1:23" x14ac:dyDescent="0.2">
      <c r="A3407" s="1">
        <v>44786</v>
      </c>
      <c r="B3407" s="2">
        <v>0.62827546296296299</v>
      </c>
      <c r="C3407">
        <v>4405</v>
      </c>
      <c r="D3407">
        <v>13002561</v>
      </c>
      <c r="E3407">
        <v>13</v>
      </c>
      <c r="F3407">
        <v>22589</v>
      </c>
      <c r="G3407" t="s">
        <v>23</v>
      </c>
      <c r="H3407">
        <v>15</v>
      </c>
      <c r="I3407">
        <v>35878</v>
      </c>
      <c r="J3407" t="s">
        <v>94</v>
      </c>
      <c r="K3407" t="s">
        <v>60</v>
      </c>
      <c r="L3407" t="s">
        <v>34</v>
      </c>
      <c r="M3407">
        <v>3</v>
      </c>
      <c r="N3407">
        <v>586.86</v>
      </c>
      <c r="O3407">
        <v>807.99</v>
      </c>
      <c r="P3407">
        <v>40.4</v>
      </c>
      <c r="Q3407">
        <v>40.4</v>
      </c>
      <c r="R3407" t="s">
        <v>30</v>
      </c>
      <c r="S3407">
        <v>29</v>
      </c>
      <c r="T3407">
        <v>1</v>
      </c>
      <c r="U3407">
        <v>4</v>
      </c>
      <c r="V3407">
        <v>767.59</v>
      </c>
      <c r="W3407">
        <v>13130003405</v>
      </c>
    </row>
    <row r="3408" spans="1:23" x14ac:dyDescent="0.2">
      <c r="A3408" s="1">
        <v>44785</v>
      </c>
      <c r="B3408" s="2">
        <v>0.4266550925925926</v>
      </c>
      <c r="C3408">
        <v>4406</v>
      </c>
      <c r="D3408">
        <v>13002561</v>
      </c>
      <c r="E3408">
        <v>13</v>
      </c>
      <c r="F3408">
        <v>22589</v>
      </c>
      <c r="G3408" t="s">
        <v>23</v>
      </c>
      <c r="H3408">
        <v>15</v>
      </c>
      <c r="I3408">
        <v>45728</v>
      </c>
      <c r="J3408" t="s">
        <v>71</v>
      </c>
      <c r="K3408" t="s">
        <v>60</v>
      </c>
      <c r="L3408" t="s">
        <v>51</v>
      </c>
      <c r="M3408">
        <v>1</v>
      </c>
      <c r="N3408">
        <v>376.71</v>
      </c>
      <c r="O3408">
        <v>553.36</v>
      </c>
      <c r="P3408">
        <v>0</v>
      </c>
      <c r="Q3408">
        <v>0</v>
      </c>
      <c r="S3408">
        <v>29</v>
      </c>
      <c r="T3408">
        <v>1</v>
      </c>
      <c r="U3408">
        <v>1</v>
      </c>
      <c r="V3408">
        <v>553.36</v>
      </c>
      <c r="W3408">
        <v>13130003406</v>
      </c>
    </row>
    <row r="3409" spans="1:23" x14ac:dyDescent="0.2">
      <c r="A3409" s="1">
        <v>44786</v>
      </c>
      <c r="B3409" s="2">
        <v>0.51873842592592589</v>
      </c>
      <c r="C3409">
        <v>4407</v>
      </c>
      <c r="D3409">
        <v>13002561</v>
      </c>
      <c r="E3409">
        <v>13</v>
      </c>
      <c r="F3409">
        <v>22589</v>
      </c>
      <c r="G3409" t="s">
        <v>23</v>
      </c>
      <c r="H3409">
        <v>15</v>
      </c>
      <c r="I3409">
        <v>31281</v>
      </c>
      <c r="J3409" t="s">
        <v>58</v>
      </c>
      <c r="K3409" t="s">
        <v>28</v>
      </c>
      <c r="L3409" t="s">
        <v>39</v>
      </c>
      <c r="M3409">
        <v>2</v>
      </c>
      <c r="N3409">
        <v>309.13</v>
      </c>
      <c r="O3409">
        <v>490.49</v>
      </c>
      <c r="P3409">
        <v>0</v>
      </c>
      <c r="Q3409">
        <v>0</v>
      </c>
      <c r="S3409">
        <v>29</v>
      </c>
      <c r="T3409">
        <v>1</v>
      </c>
      <c r="U3409">
        <v>1</v>
      </c>
      <c r="V3409">
        <v>490.49</v>
      </c>
      <c r="W3409">
        <v>13130003407</v>
      </c>
    </row>
    <row r="3410" spans="1:23" x14ac:dyDescent="0.2">
      <c r="A3410" s="1">
        <v>44790</v>
      </c>
      <c r="B3410" s="2">
        <v>0.38878472222222221</v>
      </c>
      <c r="C3410">
        <v>4408</v>
      </c>
      <c r="D3410">
        <v>13002561</v>
      </c>
      <c r="E3410">
        <v>13</v>
      </c>
      <c r="F3410">
        <v>22589</v>
      </c>
      <c r="G3410" t="s">
        <v>23</v>
      </c>
      <c r="H3410">
        <v>15</v>
      </c>
      <c r="I3410">
        <v>36542</v>
      </c>
      <c r="J3410" t="s">
        <v>120</v>
      </c>
      <c r="K3410" t="s">
        <v>44</v>
      </c>
      <c r="L3410" t="s">
        <v>36</v>
      </c>
      <c r="M3410">
        <v>2</v>
      </c>
      <c r="N3410">
        <v>33.47</v>
      </c>
      <c r="O3410">
        <v>56.75</v>
      </c>
      <c r="P3410">
        <v>0</v>
      </c>
      <c r="Q3410">
        <v>0</v>
      </c>
      <c r="S3410">
        <v>29</v>
      </c>
      <c r="T3410">
        <v>1</v>
      </c>
      <c r="U3410">
        <v>3</v>
      </c>
      <c r="V3410">
        <v>56.75</v>
      </c>
      <c r="W3410">
        <v>13130003408</v>
      </c>
    </row>
    <row r="3411" spans="1:23" x14ac:dyDescent="0.2">
      <c r="A3411" s="1">
        <v>44802</v>
      </c>
      <c r="B3411" s="2">
        <v>0.57072916666666662</v>
      </c>
      <c r="C3411">
        <v>4409</v>
      </c>
      <c r="D3411">
        <v>13002561</v>
      </c>
      <c r="E3411">
        <v>13</v>
      </c>
      <c r="F3411">
        <v>22589</v>
      </c>
      <c r="G3411" t="s">
        <v>23</v>
      </c>
      <c r="H3411">
        <v>18</v>
      </c>
      <c r="I3411">
        <v>95679</v>
      </c>
      <c r="J3411" t="s">
        <v>71</v>
      </c>
      <c r="K3411" t="s">
        <v>45</v>
      </c>
      <c r="L3411" t="s">
        <v>36</v>
      </c>
      <c r="M3411">
        <v>1</v>
      </c>
      <c r="N3411">
        <v>288.02999999999997</v>
      </c>
      <c r="O3411">
        <v>489.59</v>
      </c>
      <c r="P3411">
        <v>0</v>
      </c>
      <c r="Q3411">
        <v>0</v>
      </c>
      <c r="S3411">
        <v>29</v>
      </c>
      <c r="T3411">
        <v>1</v>
      </c>
      <c r="U3411">
        <v>3</v>
      </c>
      <c r="V3411">
        <v>489.59</v>
      </c>
      <c r="W3411">
        <v>13130003409</v>
      </c>
    </row>
    <row r="3412" spans="1:23" x14ac:dyDescent="0.2">
      <c r="A3412" s="1">
        <v>44775</v>
      </c>
      <c r="B3412" s="2">
        <v>0.55258101851851849</v>
      </c>
      <c r="C3412">
        <v>4410</v>
      </c>
      <c r="D3412">
        <v>13002561</v>
      </c>
      <c r="E3412">
        <v>13</v>
      </c>
      <c r="F3412">
        <v>22589</v>
      </c>
      <c r="G3412" t="s">
        <v>23</v>
      </c>
      <c r="H3412">
        <v>18</v>
      </c>
      <c r="I3412">
        <v>62990</v>
      </c>
      <c r="J3412" t="s">
        <v>107</v>
      </c>
      <c r="K3412" t="s">
        <v>28</v>
      </c>
      <c r="L3412" t="s">
        <v>47</v>
      </c>
      <c r="M3412">
        <v>3</v>
      </c>
      <c r="N3412">
        <v>322.3</v>
      </c>
      <c r="O3412">
        <v>437.82</v>
      </c>
      <c r="P3412">
        <v>43.78</v>
      </c>
      <c r="Q3412">
        <v>43.78</v>
      </c>
      <c r="R3412" t="s">
        <v>30</v>
      </c>
      <c r="S3412">
        <v>29</v>
      </c>
      <c r="T3412">
        <v>1</v>
      </c>
      <c r="U3412">
        <v>3</v>
      </c>
      <c r="V3412">
        <v>394.04</v>
      </c>
      <c r="W3412">
        <v>13130003410</v>
      </c>
    </row>
    <row r="3413" spans="1:23" x14ac:dyDescent="0.2">
      <c r="A3413" s="1">
        <v>44777</v>
      </c>
      <c r="B3413" s="2">
        <v>0.80456018518518524</v>
      </c>
      <c r="C3413">
        <v>4411</v>
      </c>
      <c r="D3413">
        <v>13002561</v>
      </c>
      <c r="E3413">
        <v>13</v>
      </c>
      <c r="F3413">
        <v>22589</v>
      </c>
      <c r="G3413" t="s">
        <v>23</v>
      </c>
      <c r="H3413">
        <v>18</v>
      </c>
      <c r="I3413">
        <v>57579</v>
      </c>
      <c r="J3413" t="s">
        <v>98</v>
      </c>
      <c r="K3413" t="s">
        <v>44</v>
      </c>
      <c r="L3413" t="s">
        <v>29</v>
      </c>
      <c r="M3413">
        <v>2</v>
      </c>
      <c r="N3413">
        <v>86.72</v>
      </c>
      <c r="O3413">
        <v>126.56</v>
      </c>
      <c r="P3413">
        <v>0</v>
      </c>
      <c r="Q3413">
        <v>0</v>
      </c>
      <c r="S3413">
        <v>29</v>
      </c>
      <c r="T3413">
        <v>1</v>
      </c>
      <c r="U3413">
        <v>2</v>
      </c>
      <c r="V3413">
        <v>126.56</v>
      </c>
      <c r="W3413">
        <v>13130003411</v>
      </c>
    </row>
    <row r="3414" spans="1:23" x14ac:dyDescent="0.2">
      <c r="A3414" s="1">
        <v>44793</v>
      </c>
      <c r="B3414" s="2">
        <v>0.37356481481481479</v>
      </c>
      <c r="C3414">
        <v>4412</v>
      </c>
      <c r="D3414">
        <v>13002561</v>
      </c>
      <c r="E3414">
        <v>13</v>
      </c>
      <c r="F3414">
        <v>22589</v>
      </c>
      <c r="G3414" t="s">
        <v>23</v>
      </c>
      <c r="H3414">
        <v>18</v>
      </c>
      <c r="I3414">
        <v>18399</v>
      </c>
      <c r="J3414" t="s">
        <v>27</v>
      </c>
      <c r="K3414" t="s">
        <v>45</v>
      </c>
      <c r="L3414" t="s">
        <v>32</v>
      </c>
      <c r="M3414">
        <v>2</v>
      </c>
      <c r="N3414">
        <v>270.87</v>
      </c>
      <c r="O3414">
        <v>423.96</v>
      </c>
      <c r="P3414">
        <v>21.2</v>
      </c>
      <c r="Q3414">
        <v>21.2</v>
      </c>
      <c r="R3414" t="s">
        <v>30</v>
      </c>
      <c r="S3414">
        <v>29</v>
      </c>
      <c r="T3414">
        <v>1</v>
      </c>
      <c r="U3414">
        <v>1</v>
      </c>
      <c r="V3414">
        <v>402.76</v>
      </c>
      <c r="W3414">
        <v>13130003412</v>
      </c>
    </row>
    <row r="3415" spans="1:23" x14ac:dyDescent="0.2">
      <c r="A3415" s="1">
        <v>44804</v>
      </c>
      <c r="B3415" s="2">
        <v>0.94045138888888891</v>
      </c>
      <c r="C3415">
        <v>4413</v>
      </c>
      <c r="D3415">
        <v>13002561</v>
      </c>
      <c r="E3415">
        <v>13</v>
      </c>
      <c r="F3415">
        <v>22589</v>
      </c>
      <c r="G3415" t="s">
        <v>23</v>
      </c>
      <c r="H3415">
        <v>18</v>
      </c>
      <c r="I3415">
        <v>15812</v>
      </c>
      <c r="J3415" t="s">
        <v>85</v>
      </c>
      <c r="K3415" t="s">
        <v>38</v>
      </c>
      <c r="L3415" t="s">
        <v>39</v>
      </c>
      <c r="M3415">
        <v>3</v>
      </c>
      <c r="N3415">
        <v>491.65</v>
      </c>
      <c r="O3415">
        <v>752.78</v>
      </c>
      <c r="P3415">
        <v>37.64</v>
      </c>
      <c r="Q3415">
        <v>37.64</v>
      </c>
      <c r="R3415" t="s">
        <v>30</v>
      </c>
      <c r="S3415">
        <v>29</v>
      </c>
      <c r="T3415">
        <v>1</v>
      </c>
      <c r="U3415">
        <v>4</v>
      </c>
      <c r="V3415">
        <v>715.14</v>
      </c>
      <c r="W3415">
        <v>13130003413</v>
      </c>
    </row>
    <row r="3416" spans="1:23" x14ac:dyDescent="0.2">
      <c r="A3416" s="1">
        <v>44784</v>
      </c>
      <c r="B3416" s="2">
        <v>0.36289351851851848</v>
      </c>
      <c r="C3416">
        <v>4414</v>
      </c>
      <c r="D3416">
        <v>13002561</v>
      </c>
      <c r="E3416">
        <v>13</v>
      </c>
      <c r="F3416">
        <v>22589</v>
      </c>
      <c r="G3416" t="s">
        <v>23</v>
      </c>
      <c r="H3416">
        <v>15</v>
      </c>
      <c r="I3416">
        <v>52298</v>
      </c>
      <c r="J3416" t="s">
        <v>106</v>
      </c>
      <c r="K3416" t="s">
        <v>28</v>
      </c>
      <c r="L3416" t="s">
        <v>34</v>
      </c>
      <c r="M3416">
        <v>3</v>
      </c>
      <c r="N3416">
        <v>14.89</v>
      </c>
      <c r="O3416">
        <v>19.22</v>
      </c>
      <c r="P3416">
        <v>1.92</v>
      </c>
      <c r="Q3416">
        <v>1.92</v>
      </c>
      <c r="R3416" t="s">
        <v>30</v>
      </c>
      <c r="S3416">
        <v>29</v>
      </c>
      <c r="T3416">
        <v>1</v>
      </c>
      <c r="U3416">
        <v>3</v>
      </c>
      <c r="V3416">
        <v>17.3</v>
      </c>
      <c r="W3416">
        <v>13130003414</v>
      </c>
    </row>
    <row r="3417" spans="1:23" x14ac:dyDescent="0.2">
      <c r="A3417" s="1">
        <v>44786</v>
      </c>
      <c r="B3417" s="2">
        <v>0.35875000000000001</v>
      </c>
      <c r="C3417">
        <v>4415</v>
      </c>
      <c r="D3417">
        <v>13002561</v>
      </c>
      <c r="E3417">
        <v>13</v>
      </c>
      <c r="F3417">
        <v>22589</v>
      </c>
      <c r="G3417" t="s">
        <v>23</v>
      </c>
      <c r="H3417">
        <v>15</v>
      </c>
      <c r="I3417">
        <v>98379</v>
      </c>
      <c r="J3417" t="s">
        <v>120</v>
      </c>
      <c r="K3417" t="s">
        <v>28</v>
      </c>
      <c r="L3417" t="s">
        <v>26</v>
      </c>
      <c r="M3417">
        <v>3</v>
      </c>
      <c r="N3417">
        <v>335.89</v>
      </c>
      <c r="O3417">
        <v>471.79</v>
      </c>
      <c r="P3417">
        <v>0</v>
      </c>
      <c r="Q3417">
        <v>0</v>
      </c>
      <c r="S3417">
        <v>29</v>
      </c>
      <c r="T3417">
        <v>1</v>
      </c>
      <c r="U3417">
        <v>1</v>
      </c>
      <c r="V3417">
        <v>471.79</v>
      </c>
      <c r="W3417">
        <v>13130003415</v>
      </c>
    </row>
    <row r="3418" spans="1:23" x14ac:dyDescent="0.2">
      <c r="A3418" s="1">
        <v>44789</v>
      </c>
      <c r="B3418" s="2">
        <v>0.81512731481481482</v>
      </c>
      <c r="C3418">
        <v>4416</v>
      </c>
      <c r="D3418">
        <v>13002561</v>
      </c>
      <c r="E3418">
        <v>13</v>
      </c>
      <c r="F3418">
        <v>22589</v>
      </c>
      <c r="G3418" t="s">
        <v>23</v>
      </c>
      <c r="H3418">
        <v>18</v>
      </c>
      <c r="I3418">
        <v>76937</v>
      </c>
      <c r="J3418" t="s">
        <v>76</v>
      </c>
      <c r="K3418" t="s">
        <v>28</v>
      </c>
      <c r="L3418" t="s">
        <v>29</v>
      </c>
      <c r="M3418">
        <v>2</v>
      </c>
      <c r="N3418">
        <v>157.6</v>
      </c>
      <c r="O3418">
        <v>256.14</v>
      </c>
      <c r="P3418">
        <v>12.81</v>
      </c>
      <c r="Q3418">
        <v>12.81</v>
      </c>
      <c r="R3418" t="s">
        <v>30</v>
      </c>
      <c r="S3418">
        <v>29</v>
      </c>
      <c r="T3418">
        <v>1</v>
      </c>
      <c r="U3418">
        <v>1</v>
      </c>
      <c r="V3418">
        <v>243.33</v>
      </c>
      <c r="W3418">
        <v>13130003416</v>
      </c>
    </row>
    <row r="3419" spans="1:23" x14ac:dyDescent="0.2">
      <c r="A3419" s="1">
        <v>44797</v>
      </c>
      <c r="B3419" s="2">
        <v>0.52174768518518522</v>
      </c>
      <c r="C3419">
        <v>4417</v>
      </c>
      <c r="D3419">
        <v>13002561</v>
      </c>
      <c r="E3419">
        <v>13</v>
      </c>
      <c r="F3419">
        <v>22589</v>
      </c>
      <c r="G3419" t="s">
        <v>23</v>
      </c>
      <c r="H3419">
        <v>15</v>
      </c>
      <c r="I3419">
        <v>96035</v>
      </c>
      <c r="J3419" t="s">
        <v>63</v>
      </c>
      <c r="K3419" t="s">
        <v>44</v>
      </c>
      <c r="L3419" t="s">
        <v>47</v>
      </c>
      <c r="M3419">
        <v>3</v>
      </c>
      <c r="N3419">
        <v>327.56</v>
      </c>
      <c r="O3419">
        <v>462.81</v>
      </c>
      <c r="P3419">
        <v>0</v>
      </c>
      <c r="Q3419">
        <v>0</v>
      </c>
      <c r="S3419">
        <v>29</v>
      </c>
      <c r="T3419">
        <v>1</v>
      </c>
      <c r="U3419">
        <v>6</v>
      </c>
      <c r="V3419">
        <v>462.81</v>
      </c>
      <c r="W3419">
        <v>13130003417</v>
      </c>
    </row>
    <row r="3420" spans="1:23" x14ac:dyDescent="0.2">
      <c r="A3420" s="1">
        <v>44788</v>
      </c>
      <c r="B3420" s="2">
        <v>0.60025462962962961</v>
      </c>
      <c r="C3420">
        <v>4418</v>
      </c>
      <c r="D3420">
        <v>13002561</v>
      </c>
      <c r="E3420">
        <v>13</v>
      </c>
      <c r="F3420">
        <v>22589</v>
      </c>
      <c r="G3420" t="s">
        <v>23</v>
      </c>
      <c r="H3420">
        <v>18</v>
      </c>
      <c r="I3420">
        <v>14887</v>
      </c>
      <c r="J3420" t="s">
        <v>33</v>
      </c>
      <c r="K3420" t="s">
        <v>28</v>
      </c>
      <c r="L3420" t="s">
        <v>26</v>
      </c>
      <c r="M3420">
        <v>1</v>
      </c>
      <c r="N3420">
        <v>126.96</v>
      </c>
      <c r="O3420">
        <v>178.66</v>
      </c>
      <c r="P3420">
        <v>8.93</v>
      </c>
      <c r="Q3420">
        <v>8.93</v>
      </c>
      <c r="R3420" t="s">
        <v>30</v>
      </c>
      <c r="S3420">
        <v>29</v>
      </c>
      <c r="T3420">
        <v>1</v>
      </c>
      <c r="U3420">
        <v>2</v>
      </c>
      <c r="V3420">
        <v>169.73</v>
      </c>
      <c r="W3420">
        <v>13130003418</v>
      </c>
    </row>
    <row r="3421" spans="1:23" x14ac:dyDescent="0.2">
      <c r="A3421" s="1">
        <v>44797</v>
      </c>
      <c r="B3421" s="2">
        <v>0.74547453703703703</v>
      </c>
      <c r="C3421">
        <v>4419</v>
      </c>
      <c r="D3421">
        <v>13002561</v>
      </c>
      <c r="E3421">
        <v>13</v>
      </c>
      <c r="F3421">
        <v>22589</v>
      </c>
      <c r="G3421" t="s">
        <v>23</v>
      </c>
      <c r="H3421">
        <v>15</v>
      </c>
      <c r="I3421">
        <v>49724</v>
      </c>
      <c r="J3421" t="s">
        <v>62</v>
      </c>
      <c r="K3421" t="s">
        <v>28</v>
      </c>
      <c r="L3421" t="s">
        <v>51</v>
      </c>
      <c r="M3421">
        <v>2</v>
      </c>
      <c r="N3421">
        <v>547.94000000000005</v>
      </c>
      <c r="O3421">
        <v>711.63</v>
      </c>
      <c r="P3421">
        <v>35.58</v>
      </c>
      <c r="Q3421">
        <v>35.58</v>
      </c>
      <c r="R3421" t="s">
        <v>30</v>
      </c>
      <c r="S3421">
        <v>29</v>
      </c>
      <c r="T3421">
        <v>1</v>
      </c>
      <c r="U3421">
        <v>5</v>
      </c>
      <c r="V3421">
        <v>676.05</v>
      </c>
      <c r="W3421">
        <v>13130003419</v>
      </c>
    </row>
    <row r="3422" spans="1:23" x14ac:dyDescent="0.2">
      <c r="A3422" s="1">
        <v>44782</v>
      </c>
      <c r="B3422" s="2">
        <v>0.44216435185185188</v>
      </c>
      <c r="C3422">
        <v>4420</v>
      </c>
      <c r="D3422">
        <v>13002561</v>
      </c>
      <c r="E3422">
        <v>13</v>
      </c>
      <c r="F3422">
        <v>22589</v>
      </c>
      <c r="G3422" t="s">
        <v>23</v>
      </c>
      <c r="H3422">
        <v>18</v>
      </c>
      <c r="I3422">
        <v>76500</v>
      </c>
      <c r="J3422" t="s">
        <v>76</v>
      </c>
      <c r="K3422" t="s">
        <v>44</v>
      </c>
      <c r="L3422" t="s">
        <v>47</v>
      </c>
      <c r="M3422">
        <v>2</v>
      </c>
      <c r="N3422">
        <v>419.83</v>
      </c>
      <c r="O3422">
        <v>678.61</v>
      </c>
      <c r="P3422">
        <v>33.93</v>
      </c>
      <c r="Q3422">
        <v>33.93</v>
      </c>
      <c r="R3422" t="s">
        <v>30</v>
      </c>
      <c r="S3422">
        <v>29</v>
      </c>
      <c r="T3422">
        <v>1</v>
      </c>
      <c r="U3422">
        <v>6</v>
      </c>
      <c r="V3422">
        <v>644.67999999999995</v>
      </c>
      <c r="W3422">
        <v>13130003420</v>
      </c>
    </row>
    <row r="3423" spans="1:23" x14ac:dyDescent="0.2">
      <c r="A3423" s="1">
        <v>44803</v>
      </c>
      <c r="B3423" s="2">
        <v>0.54287037037037034</v>
      </c>
      <c r="C3423">
        <v>4421</v>
      </c>
      <c r="D3423">
        <v>13002561</v>
      </c>
      <c r="E3423">
        <v>13</v>
      </c>
      <c r="F3423">
        <v>22589</v>
      </c>
      <c r="G3423" t="s">
        <v>23</v>
      </c>
      <c r="H3423">
        <v>15</v>
      </c>
      <c r="I3423">
        <v>26361</v>
      </c>
      <c r="J3423" t="s">
        <v>83</v>
      </c>
      <c r="K3423" t="s">
        <v>45</v>
      </c>
      <c r="L3423" t="s">
        <v>36</v>
      </c>
      <c r="M3423">
        <v>2</v>
      </c>
      <c r="N3423">
        <v>359.41</v>
      </c>
      <c r="O3423">
        <v>564.34</v>
      </c>
      <c r="P3423">
        <v>0</v>
      </c>
      <c r="Q3423">
        <v>0</v>
      </c>
      <c r="S3423">
        <v>29</v>
      </c>
      <c r="T3423">
        <v>1</v>
      </c>
      <c r="U3423">
        <v>1</v>
      </c>
      <c r="V3423">
        <v>564.34</v>
      </c>
      <c r="W3423">
        <v>13130003421</v>
      </c>
    </row>
    <row r="3424" spans="1:23" x14ac:dyDescent="0.2">
      <c r="A3424" s="1">
        <v>44795</v>
      </c>
      <c r="B3424" s="2">
        <v>0.38224537037037037</v>
      </c>
      <c r="C3424">
        <v>4422</v>
      </c>
      <c r="D3424">
        <v>13002561</v>
      </c>
      <c r="E3424">
        <v>13</v>
      </c>
      <c r="F3424">
        <v>22589</v>
      </c>
      <c r="G3424" t="s">
        <v>23</v>
      </c>
      <c r="H3424">
        <v>18</v>
      </c>
      <c r="I3424">
        <v>31993</v>
      </c>
      <c r="J3424" t="s">
        <v>31</v>
      </c>
      <c r="K3424" t="s">
        <v>60</v>
      </c>
      <c r="L3424" t="s">
        <v>34</v>
      </c>
      <c r="M3424">
        <v>2</v>
      </c>
      <c r="N3424">
        <v>131.56</v>
      </c>
      <c r="O3424">
        <v>209.26</v>
      </c>
      <c r="P3424">
        <v>10.46</v>
      </c>
      <c r="Q3424">
        <v>10.46</v>
      </c>
      <c r="R3424" t="s">
        <v>30</v>
      </c>
      <c r="S3424">
        <v>29</v>
      </c>
      <c r="T3424">
        <v>1</v>
      </c>
      <c r="U3424">
        <v>6</v>
      </c>
      <c r="V3424">
        <v>198.8</v>
      </c>
      <c r="W3424">
        <v>13130003422</v>
      </c>
    </row>
    <row r="3425" spans="1:23" x14ac:dyDescent="0.2">
      <c r="A3425" s="1">
        <v>44783</v>
      </c>
      <c r="B3425" s="2">
        <v>0.39105324074074072</v>
      </c>
      <c r="C3425">
        <v>4423</v>
      </c>
      <c r="D3425">
        <v>13002561</v>
      </c>
      <c r="E3425">
        <v>13</v>
      </c>
      <c r="F3425">
        <v>22589</v>
      </c>
      <c r="G3425" t="s">
        <v>23</v>
      </c>
      <c r="H3425">
        <v>18</v>
      </c>
      <c r="I3425">
        <v>49273</v>
      </c>
      <c r="J3425" t="s">
        <v>27</v>
      </c>
      <c r="K3425" t="s">
        <v>38</v>
      </c>
      <c r="L3425" t="s">
        <v>26</v>
      </c>
      <c r="M3425">
        <v>2</v>
      </c>
      <c r="N3425">
        <v>537.77</v>
      </c>
      <c r="O3425">
        <v>828.78</v>
      </c>
      <c r="P3425">
        <v>82.88</v>
      </c>
      <c r="Q3425">
        <v>82.88</v>
      </c>
      <c r="R3425" t="s">
        <v>30</v>
      </c>
      <c r="S3425">
        <v>29</v>
      </c>
      <c r="T3425">
        <v>1</v>
      </c>
      <c r="U3425">
        <v>5</v>
      </c>
      <c r="V3425">
        <v>745.9</v>
      </c>
      <c r="W3425">
        <v>13130003423</v>
      </c>
    </row>
    <row r="3426" spans="1:23" x14ac:dyDescent="0.2">
      <c r="A3426" s="1">
        <v>44777</v>
      </c>
      <c r="B3426" s="2">
        <v>0.5815393518518519</v>
      </c>
      <c r="C3426">
        <v>4424</v>
      </c>
      <c r="D3426">
        <v>13002561</v>
      </c>
      <c r="E3426">
        <v>13</v>
      </c>
      <c r="F3426">
        <v>22589</v>
      </c>
      <c r="G3426" t="s">
        <v>23</v>
      </c>
      <c r="H3426">
        <v>15</v>
      </c>
      <c r="I3426">
        <v>94910</v>
      </c>
      <c r="J3426" t="s">
        <v>112</v>
      </c>
      <c r="K3426" t="s">
        <v>25</v>
      </c>
      <c r="L3426" t="s">
        <v>29</v>
      </c>
      <c r="M3426">
        <v>3</v>
      </c>
      <c r="N3426">
        <v>331.76</v>
      </c>
      <c r="O3426">
        <v>481.63</v>
      </c>
      <c r="P3426">
        <v>0</v>
      </c>
      <c r="Q3426">
        <v>0</v>
      </c>
      <c r="S3426">
        <v>29</v>
      </c>
      <c r="T3426">
        <v>1</v>
      </c>
      <c r="U3426">
        <v>3</v>
      </c>
      <c r="V3426">
        <v>481.63</v>
      </c>
      <c r="W3426">
        <v>13130003424</v>
      </c>
    </row>
    <row r="3427" spans="1:23" x14ac:dyDescent="0.2">
      <c r="A3427" s="1">
        <v>44791</v>
      </c>
      <c r="B3427" s="2">
        <v>0.87416666666666665</v>
      </c>
      <c r="C3427">
        <v>4425</v>
      </c>
      <c r="D3427">
        <v>13002561</v>
      </c>
      <c r="E3427">
        <v>13</v>
      </c>
      <c r="F3427">
        <v>22589</v>
      </c>
      <c r="G3427" t="s">
        <v>23</v>
      </c>
      <c r="H3427">
        <v>15</v>
      </c>
      <c r="I3427">
        <v>48702</v>
      </c>
      <c r="J3427" t="s">
        <v>110</v>
      </c>
      <c r="K3427" t="s">
        <v>38</v>
      </c>
      <c r="L3427" t="s">
        <v>51</v>
      </c>
      <c r="M3427">
        <v>2</v>
      </c>
      <c r="N3427">
        <v>261.06</v>
      </c>
      <c r="O3427">
        <v>436.97</v>
      </c>
      <c r="P3427">
        <v>0</v>
      </c>
      <c r="Q3427">
        <v>0</v>
      </c>
      <c r="S3427">
        <v>29</v>
      </c>
      <c r="T3427">
        <v>1</v>
      </c>
      <c r="U3427">
        <v>6</v>
      </c>
      <c r="V3427">
        <v>436.97</v>
      </c>
      <c r="W3427">
        <v>13130003425</v>
      </c>
    </row>
    <row r="3428" spans="1:23" x14ac:dyDescent="0.2">
      <c r="A3428" s="1">
        <v>44779</v>
      </c>
      <c r="B3428" s="2">
        <v>0.60935185185185181</v>
      </c>
      <c r="C3428">
        <v>4426</v>
      </c>
      <c r="D3428">
        <v>13002561</v>
      </c>
      <c r="E3428">
        <v>13</v>
      </c>
      <c r="F3428">
        <v>22589</v>
      </c>
      <c r="G3428" t="s">
        <v>23</v>
      </c>
      <c r="H3428">
        <v>18</v>
      </c>
      <c r="I3428">
        <v>88686</v>
      </c>
      <c r="J3428" t="s">
        <v>109</v>
      </c>
      <c r="K3428" t="s">
        <v>44</v>
      </c>
      <c r="L3428" t="s">
        <v>36</v>
      </c>
      <c r="M3428">
        <v>2</v>
      </c>
      <c r="N3428">
        <v>271.97000000000003</v>
      </c>
      <c r="O3428">
        <v>419.12</v>
      </c>
      <c r="P3428">
        <v>0</v>
      </c>
      <c r="Q3428">
        <v>0</v>
      </c>
      <c r="S3428">
        <v>29</v>
      </c>
      <c r="T3428">
        <v>1</v>
      </c>
      <c r="U3428">
        <v>4</v>
      </c>
      <c r="V3428">
        <v>419.12</v>
      </c>
      <c r="W3428">
        <v>13130003426</v>
      </c>
    </row>
    <row r="3429" spans="1:23" x14ac:dyDescent="0.2">
      <c r="A3429" s="1">
        <v>44800</v>
      </c>
      <c r="B3429" s="2">
        <v>0.54003472222222226</v>
      </c>
      <c r="C3429">
        <v>4427</v>
      </c>
      <c r="D3429">
        <v>13002561</v>
      </c>
      <c r="E3429">
        <v>13</v>
      </c>
      <c r="F3429">
        <v>22589</v>
      </c>
      <c r="G3429" t="s">
        <v>23</v>
      </c>
      <c r="H3429">
        <v>18</v>
      </c>
      <c r="I3429">
        <v>87480</v>
      </c>
      <c r="J3429" t="s">
        <v>40</v>
      </c>
      <c r="K3429" t="s">
        <v>28</v>
      </c>
      <c r="L3429" t="s">
        <v>32</v>
      </c>
      <c r="M3429">
        <v>1</v>
      </c>
      <c r="N3429">
        <v>176.79</v>
      </c>
      <c r="O3429">
        <v>261.08</v>
      </c>
      <c r="P3429">
        <v>13.05</v>
      </c>
      <c r="Q3429">
        <v>13.05</v>
      </c>
      <c r="R3429" t="s">
        <v>30</v>
      </c>
      <c r="S3429">
        <v>29</v>
      </c>
      <c r="T3429">
        <v>1</v>
      </c>
      <c r="U3429">
        <v>4</v>
      </c>
      <c r="V3429">
        <v>248.03</v>
      </c>
      <c r="W3429">
        <v>13130003427</v>
      </c>
    </row>
    <row r="3430" spans="1:23" x14ac:dyDescent="0.2">
      <c r="A3430" s="1">
        <v>44779</v>
      </c>
      <c r="B3430" s="2">
        <v>0.69474537037037032</v>
      </c>
      <c r="C3430">
        <v>4428</v>
      </c>
      <c r="D3430">
        <v>13002561</v>
      </c>
      <c r="E3430">
        <v>13</v>
      </c>
      <c r="F3430">
        <v>22589</v>
      </c>
      <c r="G3430" t="s">
        <v>23</v>
      </c>
      <c r="H3430">
        <v>18</v>
      </c>
      <c r="I3430">
        <v>98423</v>
      </c>
      <c r="J3430" t="s">
        <v>117</v>
      </c>
      <c r="K3430" t="s">
        <v>25</v>
      </c>
      <c r="L3430" t="s">
        <v>26</v>
      </c>
      <c r="M3430">
        <v>3</v>
      </c>
      <c r="N3430">
        <v>92.94</v>
      </c>
      <c r="O3430">
        <v>129.82</v>
      </c>
      <c r="P3430">
        <v>0</v>
      </c>
      <c r="Q3430">
        <v>0</v>
      </c>
      <c r="S3430">
        <v>29</v>
      </c>
      <c r="T3430">
        <v>1</v>
      </c>
      <c r="U3430">
        <v>2</v>
      </c>
      <c r="V3430">
        <v>129.82</v>
      </c>
      <c r="W3430">
        <v>13130003428</v>
      </c>
    </row>
    <row r="3431" spans="1:23" x14ac:dyDescent="0.2">
      <c r="A3431" s="1">
        <v>44795</v>
      </c>
      <c r="B3431" s="2">
        <v>0.95306712962962958</v>
      </c>
      <c r="C3431">
        <v>4429</v>
      </c>
      <c r="D3431">
        <v>13002561</v>
      </c>
      <c r="E3431">
        <v>13</v>
      </c>
      <c r="F3431">
        <v>22589</v>
      </c>
      <c r="G3431" t="s">
        <v>23</v>
      </c>
      <c r="H3431">
        <v>18</v>
      </c>
      <c r="I3431">
        <v>17108</v>
      </c>
      <c r="J3431" t="s">
        <v>62</v>
      </c>
      <c r="K3431" t="s">
        <v>38</v>
      </c>
      <c r="L3431" t="s">
        <v>51</v>
      </c>
      <c r="M3431">
        <v>3</v>
      </c>
      <c r="N3431">
        <v>471.56</v>
      </c>
      <c r="O3431">
        <v>618.82000000000005</v>
      </c>
      <c r="P3431">
        <v>30.94</v>
      </c>
      <c r="Q3431">
        <v>30.94</v>
      </c>
      <c r="R3431" t="s">
        <v>30</v>
      </c>
      <c r="S3431">
        <v>29</v>
      </c>
      <c r="T3431">
        <v>1</v>
      </c>
      <c r="U3431">
        <v>3</v>
      </c>
      <c r="V3431">
        <v>587.88</v>
      </c>
      <c r="W3431">
        <v>13130003429</v>
      </c>
    </row>
    <row r="3432" spans="1:23" x14ac:dyDescent="0.2">
      <c r="A3432" s="1">
        <v>44781</v>
      </c>
      <c r="B3432" s="2">
        <v>0.64701388888888889</v>
      </c>
      <c r="C3432">
        <v>4430</v>
      </c>
      <c r="D3432">
        <v>13002561</v>
      </c>
      <c r="E3432">
        <v>13</v>
      </c>
      <c r="F3432">
        <v>22589</v>
      </c>
      <c r="G3432" t="s">
        <v>23</v>
      </c>
      <c r="H3432">
        <v>15</v>
      </c>
      <c r="I3432">
        <v>15203</v>
      </c>
      <c r="J3432" t="s">
        <v>71</v>
      </c>
      <c r="K3432" t="s">
        <v>25</v>
      </c>
      <c r="L3432" t="s">
        <v>36</v>
      </c>
      <c r="M3432">
        <v>2</v>
      </c>
      <c r="N3432">
        <v>333.5</v>
      </c>
      <c r="O3432">
        <v>457.67</v>
      </c>
      <c r="P3432">
        <v>45.77</v>
      </c>
      <c r="Q3432">
        <v>45.77</v>
      </c>
      <c r="R3432" t="s">
        <v>30</v>
      </c>
      <c r="S3432">
        <v>29</v>
      </c>
      <c r="T3432">
        <v>1</v>
      </c>
      <c r="U3432">
        <v>3</v>
      </c>
      <c r="V3432">
        <v>411.9</v>
      </c>
      <c r="W3432">
        <v>13130003430</v>
      </c>
    </row>
    <row r="3433" spans="1:23" x14ac:dyDescent="0.2">
      <c r="A3433" s="1">
        <v>44799</v>
      </c>
      <c r="B3433" s="2">
        <v>0.674224537037037</v>
      </c>
      <c r="C3433">
        <v>4431</v>
      </c>
      <c r="D3433">
        <v>13002561</v>
      </c>
      <c r="E3433">
        <v>13</v>
      </c>
      <c r="F3433">
        <v>22589</v>
      </c>
      <c r="G3433" t="s">
        <v>23</v>
      </c>
      <c r="H3433">
        <v>15</v>
      </c>
      <c r="I3433">
        <v>60449</v>
      </c>
      <c r="J3433" t="s">
        <v>52</v>
      </c>
      <c r="K3433" t="s">
        <v>44</v>
      </c>
      <c r="L3433" t="s">
        <v>47</v>
      </c>
      <c r="M3433">
        <v>2</v>
      </c>
      <c r="N3433">
        <v>570.73</v>
      </c>
      <c r="O3433">
        <v>765.86</v>
      </c>
      <c r="P3433">
        <v>0</v>
      </c>
      <c r="Q3433">
        <v>0</v>
      </c>
      <c r="S3433">
        <v>29</v>
      </c>
      <c r="T3433">
        <v>1</v>
      </c>
      <c r="U3433">
        <v>4</v>
      </c>
      <c r="V3433">
        <v>765.86</v>
      </c>
      <c r="W3433">
        <v>13130003431</v>
      </c>
    </row>
    <row r="3434" spans="1:23" x14ac:dyDescent="0.2">
      <c r="A3434" s="1">
        <v>44776</v>
      </c>
      <c r="B3434" s="2">
        <v>0.47067129629629628</v>
      </c>
      <c r="C3434">
        <v>4432</v>
      </c>
      <c r="D3434">
        <v>13002561</v>
      </c>
      <c r="E3434">
        <v>13</v>
      </c>
      <c r="F3434">
        <v>22589</v>
      </c>
      <c r="G3434" t="s">
        <v>23</v>
      </c>
      <c r="H3434">
        <v>18</v>
      </c>
      <c r="I3434">
        <v>64233</v>
      </c>
      <c r="J3434" t="s">
        <v>53</v>
      </c>
      <c r="K3434" t="s">
        <v>44</v>
      </c>
      <c r="L3434" t="s">
        <v>26</v>
      </c>
      <c r="M3434">
        <v>1</v>
      </c>
      <c r="N3434">
        <v>94.09</v>
      </c>
      <c r="O3434">
        <v>127.71</v>
      </c>
      <c r="P3434">
        <v>0</v>
      </c>
      <c r="Q3434">
        <v>0</v>
      </c>
      <c r="S3434">
        <v>29</v>
      </c>
      <c r="T3434">
        <v>1</v>
      </c>
      <c r="U3434">
        <v>2</v>
      </c>
      <c r="V3434">
        <v>127.71</v>
      </c>
      <c r="W3434">
        <v>13130003432</v>
      </c>
    </row>
    <row r="3435" spans="1:23" x14ac:dyDescent="0.2">
      <c r="A3435" s="1">
        <v>44785</v>
      </c>
      <c r="B3435" s="2">
        <v>0.44959490740740737</v>
      </c>
      <c r="C3435">
        <v>4433</v>
      </c>
      <c r="D3435">
        <v>13002561</v>
      </c>
      <c r="E3435">
        <v>13</v>
      </c>
      <c r="F3435">
        <v>22589</v>
      </c>
      <c r="G3435" t="s">
        <v>23</v>
      </c>
      <c r="H3435">
        <v>18</v>
      </c>
      <c r="I3435">
        <v>80299</v>
      </c>
      <c r="J3435" t="s">
        <v>115</v>
      </c>
      <c r="K3435" t="s">
        <v>28</v>
      </c>
      <c r="L3435" t="s">
        <v>32</v>
      </c>
      <c r="M3435">
        <v>2</v>
      </c>
      <c r="N3435">
        <v>184.87</v>
      </c>
      <c r="O3435">
        <v>248.81</v>
      </c>
      <c r="P3435">
        <v>24.88</v>
      </c>
      <c r="Q3435">
        <v>24.88</v>
      </c>
      <c r="R3435" t="s">
        <v>30</v>
      </c>
      <c r="S3435">
        <v>29</v>
      </c>
      <c r="T3435">
        <v>1</v>
      </c>
      <c r="U3435">
        <v>3</v>
      </c>
      <c r="V3435">
        <v>223.93</v>
      </c>
      <c r="W3435">
        <v>13130003433</v>
      </c>
    </row>
    <row r="3436" spans="1:23" x14ac:dyDescent="0.2">
      <c r="A3436" s="1">
        <v>44776</v>
      </c>
      <c r="B3436" s="2">
        <v>0.42472222222222222</v>
      </c>
      <c r="C3436">
        <v>4434</v>
      </c>
      <c r="D3436">
        <v>13002561</v>
      </c>
      <c r="E3436">
        <v>13</v>
      </c>
      <c r="F3436">
        <v>22589</v>
      </c>
      <c r="G3436" t="s">
        <v>23</v>
      </c>
      <c r="H3436">
        <v>18</v>
      </c>
      <c r="I3436">
        <v>55413</v>
      </c>
      <c r="J3436" t="s">
        <v>74</v>
      </c>
      <c r="K3436" t="s">
        <v>25</v>
      </c>
      <c r="L3436" t="s">
        <v>32</v>
      </c>
      <c r="M3436">
        <v>2</v>
      </c>
      <c r="N3436">
        <v>16.45</v>
      </c>
      <c r="O3436">
        <v>24.83</v>
      </c>
      <c r="P3436">
        <v>2.48</v>
      </c>
      <c r="Q3436">
        <v>2.48</v>
      </c>
      <c r="R3436" t="s">
        <v>30</v>
      </c>
      <c r="S3436">
        <v>29</v>
      </c>
      <c r="T3436">
        <v>1</v>
      </c>
      <c r="U3436">
        <v>4</v>
      </c>
      <c r="V3436">
        <v>22.35</v>
      </c>
      <c r="W3436">
        <v>13130003434</v>
      </c>
    </row>
    <row r="3437" spans="1:23" x14ac:dyDescent="0.2">
      <c r="A3437" s="1">
        <v>44800</v>
      </c>
      <c r="B3437" s="2">
        <v>0.54812499999999997</v>
      </c>
      <c r="C3437">
        <v>4435</v>
      </c>
      <c r="D3437">
        <v>13002561</v>
      </c>
      <c r="E3437">
        <v>13</v>
      </c>
      <c r="F3437">
        <v>22589</v>
      </c>
      <c r="G3437" t="s">
        <v>23</v>
      </c>
      <c r="H3437">
        <v>15</v>
      </c>
      <c r="I3437">
        <v>13399</v>
      </c>
      <c r="J3437" t="s">
        <v>65</v>
      </c>
      <c r="K3437" t="s">
        <v>38</v>
      </c>
      <c r="L3437" t="s">
        <v>32</v>
      </c>
      <c r="M3437">
        <v>1</v>
      </c>
      <c r="N3437">
        <v>11.95</v>
      </c>
      <c r="O3437">
        <v>15.83</v>
      </c>
      <c r="P3437">
        <v>0</v>
      </c>
      <c r="Q3437">
        <v>0</v>
      </c>
      <c r="S3437">
        <v>29</v>
      </c>
      <c r="T3437">
        <v>1</v>
      </c>
      <c r="U3437">
        <v>6</v>
      </c>
      <c r="V3437">
        <v>15.83</v>
      </c>
      <c r="W3437">
        <v>13130003435</v>
      </c>
    </row>
    <row r="3438" spans="1:23" x14ac:dyDescent="0.2">
      <c r="A3438" s="1">
        <v>44796</v>
      </c>
      <c r="B3438" s="2">
        <v>0.8052083333333333</v>
      </c>
      <c r="C3438">
        <v>4436</v>
      </c>
      <c r="D3438">
        <v>13002561</v>
      </c>
      <c r="E3438">
        <v>13</v>
      </c>
      <c r="F3438">
        <v>22589</v>
      </c>
      <c r="G3438" t="s">
        <v>23</v>
      </c>
      <c r="H3438">
        <v>18</v>
      </c>
      <c r="I3438">
        <v>46248</v>
      </c>
      <c r="J3438" t="s">
        <v>87</v>
      </c>
      <c r="K3438" t="s">
        <v>38</v>
      </c>
      <c r="L3438" t="s">
        <v>29</v>
      </c>
      <c r="M3438">
        <v>2</v>
      </c>
      <c r="N3438">
        <v>262.44</v>
      </c>
      <c r="O3438">
        <v>355.08</v>
      </c>
      <c r="P3438">
        <v>0</v>
      </c>
      <c r="Q3438">
        <v>0</v>
      </c>
      <c r="S3438">
        <v>29</v>
      </c>
      <c r="T3438">
        <v>1</v>
      </c>
      <c r="U3438">
        <v>5</v>
      </c>
      <c r="V3438">
        <v>355.08</v>
      </c>
      <c r="W3438">
        <v>13130003436</v>
      </c>
    </row>
    <row r="3439" spans="1:23" x14ac:dyDescent="0.2">
      <c r="A3439" s="1">
        <v>44788</v>
      </c>
      <c r="B3439" s="2">
        <v>0.81776620370370368</v>
      </c>
      <c r="C3439">
        <v>4437</v>
      </c>
      <c r="D3439">
        <v>13002561</v>
      </c>
      <c r="E3439">
        <v>13</v>
      </c>
      <c r="F3439">
        <v>22589</v>
      </c>
      <c r="G3439" t="s">
        <v>23</v>
      </c>
      <c r="H3439">
        <v>18</v>
      </c>
      <c r="I3439">
        <v>56178</v>
      </c>
      <c r="J3439" t="s">
        <v>112</v>
      </c>
      <c r="K3439" t="s">
        <v>45</v>
      </c>
      <c r="L3439" t="s">
        <v>32</v>
      </c>
      <c r="M3439">
        <v>2</v>
      </c>
      <c r="N3439">
        <v>319.55</v>
      </c>
      <c r="O3439">
        <v>440.39</v>
      </c>
      <c r="P3439">
        <v>0</v>
      </c>
      <c r="Q3439">
        <v>0</v>
      </c>
      <c r="S3439">
        <v>29</v>
      </c>
      <c r="T3439">
        <v>1</v>
      </c>
      <c r="U3439">
        <v>5</v>
      </c>
      <c r="V3439">
        <v>440.39</v>
      </c>
      <c r="W3439">
        <v>13130003437</v>
      </c>
    </row>
    <row r="3440" spans="1:23" x14ac:dyDescent="0.2">
      <c r="A3440" s="1">
        <v>44783</v>
      </c>
      <c r="B3440" s="2">
        <v>0.65581018518518519</v>
      </c>
      <c r="C3440">
        <v>4438</v>
      </c>
      <c r="D3440">
        <v>13002561</v>
      </c>
      <c r="E3440">
        <v>13</v>
      </c>
      <c r="F3440">
        <v>22589</v>
      </c>
      <c r="G3440" t="s">
        <v>23</v>
      </c>
      <c r="H3440">
        <v>18</v>
      </c>
      <c r="I3440">
        <v>53397</v>
      </c>
      <c r="J3440" t="s">
        <v>75</v>
      </c>
      <c r="K3440" t="s">
        <v>44</v>
      </c>
      <c r="L3440" t="s">
        <v>39</v>
      </c>
      <c r="M3440">
        <v>3</v>
      </c>
      <c r="N3440">
        <v>133.6</v>
      </c>
      <c r="O3440">
        <v>201.81</v>
      </c>
      <c r="P3440">
        <v>0</v>
      </c>
      <c r="Q3440">
        <v>0</v>
      </c>
      <c r="S3440">
        <v>29</v>
      </c>
      <c r="T3440">
        <v>1</v>
      </c>
      <c r="U3440">
        <v>4</v>
      </c>
      <c r="V3440">
        <v>201.81</v>
      </c>
      <c r="W3440">
        <v>13130003438</v>
      </c>
    </row>
    <row r="3441" spans="1:23" x14ac:dyDescent="0.2">
      <c r="A3441" s="1">
        <v>44788</v>
      </c>
      <c r="B3441" s="2">
        <v>0.46474537037037039</v>
      </c>
      <c r="C3441">
        <v>4439</v>
      </c>
      <c r="D3441">
        <v>13002561</v>
      </c>
      <c r="E3441">
        <v>13</v>
      </c>
      <c r="F3441">
        <v>22589</v>
      </c>
      <c r="G3441" t="s">
        <v>23</v>
      </c>
      <c r="H3441">
        <v>18</v>
      </c>
      <c r="I3441">
        <v>57459</v>
      </c>
      <c r="J3441" t="s">
        <v>94</v>
      </c>
      <c r="K3441" t="s">
        <v>28</v>
      </c>
      <c r="L3441" t="s">
        <v>36</v>
      </c>
      <c r="M3441">
        <v>1</v>
      </c>
      <c r="N3441">
        <v>223.18</v>
      </c>
      <c r="O3441">
        <v>284.99</v>
      </c>
      <c r="P3441">
        <v>14.25</v>
      </c>
      <c r="Q3441">
        <v>14.25</v>
      </c>
      <c r="R3441" t="s">
        <v>30</v>
      </c>
      <c r="S3441">
        <v>29</v>
      </c>
      <c r="T3441">
        <v>1</v>
      </c>
      <c r="U3441">
        <v>6</v>
      </c>
      <c r="V3441">
        <v>270.74</v>
      </c>
      <c r="W3441">
        <v>13130003439</v>
      </c>
    </row>
    <row r="3442" spans="1:23" x14ac:dyDescent="0.2">
      <c r="A3442" s="1">
        <v>44787</v>
      </c>
      <c r="B3442" s="2">
        <v>0.71765046296296298</v>
      </c>
      <c r="C3442">
        <v>4440</v>
      </c>
      <c r="D3442">
        <v>13002561</v>
      </c>
      <c r="E3442">
        <v>13</v>
      </c>
      <c r="F3442">
        <v>22589</v>
      </c>
      <c r="G3442" t="s">
        <v>23</v>
      </c>
      <c r="H3442">
        <v>18</v>
      </c>
      <c r="I3442">
        <v>10180</v>
      </c>
      <c r="J3442" t="s">
        <v>61</v>
      </c>
      <c r="K3442" t="s">
        <v>45</v>
      </c>
      <c r="L3442" t="s">
        <v>36</v>
      </c>
      <c r="M3442">
        <v>1</v>
      </c>
      <c r="N3442">
        <v>237.27</v>
      </c>
      <c r="O3442">
        <v>353.36</v>
      </c>
      <c r="P3442">
        <v>35.340000000000003</v>
      </c>
      <c r="Q3442">
        <v>35.340000000000003</v>
      </c>
      <c r="R3442" t="s">
        <v>30</v>
      </c>
      <c r="S3442">
        <v>29</v>
      </c>
      <c r="T3442">
        <v>1</v>
      </c>
      <c r="U3442">
        <v>5</v>
      </c>
      <c r="V3442">
        <v>318.02</v>
      </c>
      <c r="W3442">
        <v>13130003440</v>
      </c>
    </row>
    <row r="3443" spans="1:23" x14ac:dyDescent="0.2">
      <c r="A3443" s="1">
        <v>44800</v>
      </c>
      <c r="B3443" s="2">
        <v>0.49637731481481479</v>
      </c>
      <c r="C3443">
        <v>4441</v>
      </c>
      <c r="D3443">
        <v>13002561</v>
      </c>
      <c r="E3443">
        <v>13</v>
      </c>
      <c r="F3443">
        <v>22589</v>
      </c>
      <c r="G3443" t="s">
        <v>23</v>
      </c>
      <c r="H3443">
        <v>15</v>
      </c>
      <c r="I3443">
        <v>38455</v>
      </c>
      <c r="J3443" t="s">
        <v>78</v>
      </c>
      <c r="K3443" t="s">
        <v>28</v>
      </c>
      <c r="L3443" t="s">
        <v>32</v>
      </c>
      <c r="M3443">
        <v>2</v>
      </c>
      <c r="N3443">
        <v>404.79</v>
      </c>
      <c r="O3443">
        <v>658.43</v>
      </c>
      <c r="P3443">
        <v>32.92</v>
      </c>
      <c r="Q3443">
        <v>32.92</v>
      </c>
      <c r="R3443" t="s">
        <v>30</v>
      </c>
      <c r="S3443">
        <v>29</v>
      </c>
      <c r="T3443">
        <v>1</v>
      </c>
      <c r="U3443">
        <v>3</v>
      </c>
      <c r="V3443">
        <v>625.51</v>
      </c>
      <c r="W3443">
        <v>13130003441</v>
      </c>
    </row>
    <row r="3444" spans="1:23" x14ac:dyDescent="0.2">
      <c r="A3444" s="1">
        <v>44786</v>
      </c>
      <c r="B3444" s="2">
        <v>0.37304398148148149</v>
      </c>
      <c r="C3444">
        <v>4442</v>
      </c>
      <c r="D3444">
        <v>13002561</v>
      </c>
      <c r="E3444">
        <v>13</v>
      </c>
      <c r="F3444">
        <v>22589</v>
      </c>
      <c r="G3444" t="s">
        <v>23</v>
      </c>
      <c r="H3444">
        <v>15</v>
      </c>
      <c r="I3444">
        <v>71593</v>
      </c>
      <c r="J3444" t="s">
        <v>122</v>
      </c>
      <c r="K3444" t="s">
        <v>44</v>
      </c>
      <c r="L3444" t="s">
        <v>36</v>
      </c>
      <c r="M3444">
        <v>1</v>
      </c>
      <c r="N3444">
        <v>43.72</v>
      </c>
      <c r="O3444">
        <v>64.489999999999995</v>
      </c>
      <c r="P3444">
        <v>3.22</v>
      </c>
      <c r="Q3444">
        <v>3.22</v>
      </c>
      <c r="R3444" t="s">
        <v>30</v>
      </c>
      <c r="S3444">
        <v>29</v>
      </c>
      <c r="T3444">
        <v>1</v>
      </c>
      <c r="U3444">
        <v>2</v>
      </c>
      <c r="V3444">
        <v>61.27</v>
      </c>
      <c r="W3444">
        <v>13130003442</v>
      </c>
    </row>
    <row r="3445" spans="1:23" x14ac:dyDescent="0.2">
      <c r="A3445" s="1">
        <v>44781</v>
      </c>
      <c r="B3445" s="2">
        <v>0.34197916666666672</v>
      </c>
      <c r="C3445">
        <v>4443</v>
      </c>
      <c r="D3445">
        <v>13002561</v>
      </c>
      <c r="E3445">
        <v>13</v>
      </c>
      <c r="F3445">
        <v>22589</v>
      </c>
      <c r="G3445" t="s">
        <v>23</v>
      </c>
      <c r="H3445">
        <v>18</v>
      </c>
      <c r="I3445">
        <v>87483</v>
      </c>
      <c r="J3445" t="s">
        <v>55</v>
      </c>
      <c r="K3445" t="s">
        <v>45</v>
      </c>
      <c r="L3445" t="s">
        <v>32</v>
      </c>
      <c r="M3445">
        <v>1</v>
      </c>
      <c r="N3445">
        <v>377.78</v>
      </c>
      <c r="O3445">
        <v>592.62</v>
      </c>
      <c r="P3445">
        <v>59.26</v>
      </c>
      <c r="Q3445">
        <v>59.26</v>
      </c>
      <c r="R3445" t="s">
        <v>30</v>
      </c>
      <c r="S3445">
        <v>29</v>
      </c>
      <c r="T3445">
        <v>1</v>
      </c>
      <c r="U3445">
        <v>2</v>
      </c>
      <c r="V3445">
        <v>533.36</v>
      </c>
      <c r="W3445">
        <v>13130003443</v>
      </c>
    </row>
    <row r="3446" spans="1:23" x14ac:dyDescent="0.2">
      <c r="A3446" s="1">
        <v>44775</v>
      </c>
      <c r="B3446" s="2">
        <v>0.40578703703703711</v>
      </c>
      <c r="C3446">
        <v>4444</v>
      </c>
      <c r="D3446">
        <v>13002561</v>
      </c>
      <c r="E3446">
        <v>13</v>
      </c>
      <c r="F3446">
        <v>22589</v>
      </c>
      <c r="G3446" t="s">
        <v>23</v>
      </c>
      <c r="H3446">
        <v>18</v>
      </c>
      <c r="I3446">
        <v>72962</v>
      </c>
      <c r="J3446" t="s">
        <v>56</v>
      </c>
      <c r="K3446" t="s">
        <v>45</v>
      </c>
      <c r="L3446" t="s">
        <v>39</v>
      </c>
      <c r="M3446">
        <v>1</v>
      </c>
      <c r="N3446">
        <v>31.08</v>
      </c>
      <c r="O3446">
        <v>49.6</v>
      </c>
      <c r="P3446">
        <v>0</v>
      </c>
      <c r="Q3446">
        <v>0</v>
      </c>
      <c r="S3446">
        <v>29</v>
      </c>
      <c r="T3446">
        <v>1</v>
      </c>
      <c r="U3446">
        <v>6</v>
      </c>
      <c r="V3446">
        <v>49.6</v>
      </c>
      <c r="W3446">
        <v>13130003444</v>
      </c>
    </row>
    <row r="3447" spans="1:23" x14ac:dyDescent="0.2">
      <c r="A3447" s="1">
        <v>44799</v>
      </c>
      <c r="B3447" s="2">
        <v>0.58542824074074074</v>
      </c>
      <c r="C3447">
        <v>4445</v>
      </c>
      <c r="D3447">
        <v>13002561</v>
      </c>
      <c r="E3447">
        <v>13</v>
      </c>
      <c r="F3447">
        <v>22589</v>
      </c>
      <c r="G3447" t="s">
        <v>23</v>
      </c>
      <c r="H3447">
        <v>15</v>
      </c>
      <c r="I3447">
        <v>41501</v>
      </c>
      <c r="J3447" t="s">
        <v>24</v>
      </c>
      <c r="K3447" t="s">
        <v>44</v>
      </c>
      <c r="L3447" t="s">
        <v>39</v>
      </c>
      <c r="M3447">
        <v>3</v>
      </c>
      <c r="N3447">
        <v>532.73</v>
      </c>
      <c r="O3447">
        <v>711.36</v>
      </c>
      <c r="P3447">
        <v>35.57</v>
      </c>
      <c r="Q3447">
        <v>35.57</v>
      </c>
      <c r="R3447" t="s">
        <v>30</v>
      </c>
      <c r="S3447">
        <v>29</v>
      </c>
      <c r="T3447">
        <v>1</v>
      </c>
      <c r="U3447">
        <v>6</v>
      </c>
      <c r="V3447">
        <v>675.79</v>
      </c>
      <c r="W3447">
        <v>13130003445</v>
      </c>
    </row>
    <row r="3448" spans="1:23" x14ac:dyDescent="0.2">
      <c r="A3448" s="1">
        <v>44796</v>
      </c>
      <c r="B3448" s="2">
        <v>0.56115740740740738</v>
      </c>
      <c r="C3448">
        <v>4446</v>
      </c>
      <c r="D3448">
        <v>13002561</v>
      </c>
      <c r="E3448">
        <v>13</v>
      </c>
      <c r="F3448">
        <v>22589</v>
      </c>
      <c r="G3448" t="s">
        <v>23</v>
      </c>
      <c r="H3448">
        <v>18</v>
      </c>
      <c r="I3448">
        <v>83847</v>
      </c>
      <c r="J3448" t="s">
        <v>112</v>
      </c>
      <c r="K3448" t="s">
        <v>28</v>
      </c>
      <c r="L3448" t="s">
        <v>29</v>
      </c>
      <c r="M3448">
        <v>3</v>
      </c>
      <c r="N3448">
        <v>252.94</v>
      </c>
      <c r="O3448">
        <v>400.94</v>
      </c>
      <c r="P3448">
        <v>0</v>
      </c>
      <c r="Q3448">
        <v>0</v>
      </c>
      <c r="S3448">
        <v>29</v>
      </c>
      <c r="T3448">
        <v>1</v>
      </c>
      <c r="U3448">
        <v>1</v>
      </c>
      <c r="V3448">
        <v>400.94</v>
      </c>
      <c r="W3448">
        <v>13130003446</v>
      </c>
    </row>
    <row r="3449" spans="1:23" x14ac:dyDescent="0.2">
      <c r="A3449" s="1">
        <v>44801</v>
      </c>
      <c r="B3449" s="2">
        <v>0.60476851851851854</v>
      </c>
      <c r="C3449">
        <v>4447</v>
      </c>
      <c r="D3449">
        <v>13002561</v>
      </c>
      <c r="E3449">
        <v>13</v>
      </c>
      <c r="F3449">
        <v>22589</v>
      </c>
      <c r="G3449" t="s">
        <v>23</v>
      </c>
      <c r="H3449">
        <v>15</v>
      </c>
      <c r="I3449">
        <v>99994</v>
      </c>
      <c r="J3449" t="s">
        <v>73</v>
      </c>
      <c r="K3449" t="s">
        <v>28</v>
      </c>
      <c r="L3449" t="s">
        <v>32</v>
      </c>
      <c r="M3449">
        <v>2</v>
      </c>
      <c r="N3449">
        <v>268.69</v>
      </c>
      <c r="O3449">
        <v>435.09</v>
      </c>
      <c r="P3449">
        <v>43.51</v>
      </c>
      <c r="Q3449">
        <v>43.51</v>
      </c>
      <c r="R3449" t="s">
        <v>30</v>
      </c>
      <c r="S3449">
        <v>29</v>
      </c>
      <c r="T3449">
        <v>1</v>
      </c>
      <c r="U3449">
        <v>2</v>
      </c>
      <c r="V3449">
        <v>391.58</v>
      </c>
      <c r="W3449">
        <v>13130003447</v>
      </c>
    </row>
    <row r="3450" spans="1:23" x14ac:dyDescent="0.2">
      <c r="A3450" s="1">
        <v>44780</v>
      </c>
      <c r="B3450" s="2">
        <v>0.70518518518518514</v>
      </c>
      <c r="C3450">
        <v>4448</v>
      </c>
      <c r="D3450">
        <v>13002561</v>
      </c>
      <c r="E3450">
        <v>13</v>
      </c>
      <c r="F3450">
        <v>22589</v>
      </c>
      <c r="G3450" t="s">
        <v>23</v>
      </c>
      <c r="H3450">
        <v>18</v>
      </c>
      <c r="I3450">
        <v>83004</v>
      </c>
      <c r="J3450" t="s">
        <v>92</v>
      </c>
      <c r="K3450" t="s">
        <v>45</v>
      </c>
      <c r="L3450" t="s">
        <v>36</v>
      </c>
      <c r="M3450">
        <v>3</v>
      </c>
      <c r="N3450">
        <v>552.84</v>
      </c>
      <c r="O3450">
        <v>851.8</v>
      </c>
      <c r="P3450">
        <v>42.59</v>
      </c>
      <c r="Q3450">
        <v>42.59</v>
      </c>
      <c r="R3450" t="s">
        <v>30</v>
      </c>
      <c r="S3450">
        <v>29</v>
      </c>
      <c r="T3450">
        <v>1</v>
      </c>
      <c r="U3450">
        <v>5</v>
      </c>
      <c r="V3450">
        <v>809.21</v>
      </c>
      <c r="W3450">
        <v>13130003448</v>
      </c>
    </row>
    <row r="3451" spans="1:23" x14ac:dyDescent="0.2">
      <c r="A3451" s="1">
        <v>44774</v>
      </c>
      <c r="B3451" s="2">
        <v>0.52802083333333338</v>
      </c>
      <c r="C3451">
        <v>4449</v>
      </c>
      <c r="D3451">
        <v>13002561</v>
      </c>
      <c r="E3451">
        <v>13</v>
      </c>
      <c r="F3451">
        <v>22589</v>
      </c>
      <c r="G3451" t="s">
        <v>23</v>
      </c>
      <c r="H3451">
        <v>15</v>
      </c>
      <c r="I3451">
        <v>96296</v>
      </c>
      <c r="J3451" t="s">
        <v>103</v>
      </c>
      <c r="K3451" t="s">
        <v>45</v>
      </c>
      <c r="L3451" t="s">
        <v>47</v>
      </c>
      <c r="M3451">
        <v>1</v>
      </c>
      <c r="N3451">
        <v>98.81</v>
      </c>
      <c r="O3451">
        <v>137.84</v>
      </c>
      <c r="P3451">
        <v>6.89</v>
      </c>
      <c r="Q3451">
        <v>6.89</v>
      </c>
      <c r="R3451" t="s">
        <v>30</v>
      </c>
      <c r="S3451">
        <v>29</v>
      </c>
      <c r="T3451">
        <v>1</v>
      </c>
      <c r="U3451">
        <v>1</v>
      </c>
      <c r="V3451">
        <v>130.94999999999999</v>
      </c>
      <c r="W3451">
        <v>13130003449</v>
      </c>
    </row>
    <row r="3452" spans="1:23" x14ac:dyDescent="0.2">
      <c r="A3452" s="1">
        <v>44780</v>
      </c>
      <c r="B3452" s="2">
        <v>0.81245370370370373</v>
      </c>
      <c r="C3452">
        <v>4450</v>
      </c>
      <c r="D3452">
        <v>13002561</v>
      </c>
      <c r="E3452">
        <v>13</v>
      </c>
      <c r="F3452">
        <v>22589</v>
      </c>
      <c r="G3452" t="s">
        <v>23</v>
      </c>
      <c r="H3452">
        <v>18</v>
      </c>
      <c r="I3452">
        <v>40923</v>
      </c>
      <c r="J3452" t="s">
        <v>109</v>
      </c>
      <c r="K3452" t="s">
        <v>44</v>
      </c>
      <c r="L3452" t="s">
        <v>39</v>
      </c>
      <c r="M3452">
        <v>1</v>
      </c>
      <c r="N3452">
        <v>227.38</v>
      </c>
      <c r="O3452">
        <v>342.04</v>
      </c>
      <c r="P3452">
        <v>17.100000000000001</v>
      </c>
      <c r="Q3452">
        <v>17.100000000000001</v>
      </c>
      <c r="R3452" t="s">
        <v>30</v>
      </c>
      <c r="S3452">
        <v>29</v>
      </c>
      <c r="T3452">
        <v>1</v>
      </c>
      <c r="U3452">
        <v>2</v>
      </c>
      <c r="V3452">
        <v>324.94</v>
      </c>
      <c r="W3452">
        <v>13130003450</v>
      </c>
    </row>
    <row r="3453" spans="1:23" x14ac:dyDescent="0.2">
      <c r="A3453" s="1">
        <v>44777</v>
      </c>
      <c r="B3453" s="2">
        <v>0.34423611111111108</v>
      </c>
      <c r="C3453">
        <v>4451</v>
      </c>
      <c r="D3453">
        <v>13002561</v>
      </c>
      <c r="E3453">
        <v>13</v>
      </c>
      <c r="F3453">
        <v>22589</v>
      </c>
      <c r="G3453" t="s">
        <v>23</v>
      </c>
      <c r="H3453">
        <v>18</v>
      </c>
      <c r="I3453">
        <v>98980</v>
      </c>
      <c r="J3453" t="s">
        <v>88</v>
      </c>
      <c r="K3453" t="s">
        <v>38</v>
      </c>
      <c r="L3453" t="s">
        <v>36</v>
      </c>
      <c r="M3453">
        <v>3</v>
      </c>
      <c r="N3453">
        <v>509.73</v>
      </c>
      <c r="O3453">
        <v>811.13</v>
      </c>
      <c r="P3453">
        <v>0</v>
      </c>
      <c r="Q3453">
        <v>0</v>
      </c>
      <c r="S3453">
        <v>29</v>
      </c>
      <c r="T3453">
        <v>1</v>
      </c>
      <c r="U3453">
        <v>5</v>
      </c>
      <c r="V3453">
        <v>811.13</v>
      </c>
      <c r="W3453">
        <v>13130003451</v>
      </c>
    </row>
    <row r="3454" spans="1:23" x14ac:dyDescent="0.2">
      <c r="A3454" s="1">
        <v>44784</v>
      </c>
      <c r="B3454" s="2">
        <v>0.69984953703703701</v>
      </c>
      <c r="C3454">
        <v>4452</v>
      </c>
      <c r="D3454">
        <v>13002561</v>
      </c>
      <c r="E3454">
        <v>13</v>
      </c>
      <c r="F3454">
        <v>22589</v>
      </c>
      <c r="G3454" t="s">
        <v>23</v>
      </c>
      <c r="H3454">
        <v>15</v>
      </c>
      <c r="I3454">
        <v>88903</v>
      </c>
      <c r="J3454" t="s">
        <v>31</v>
      </c>
      <c r="K3454" t="s">
        <v>44</v>
      </c>
      <c r="L3454" t="s">
        <v>36</v>
      </c>
      <c r="M3454">
        <v>1</v>
      </c>
      <c r="N3454">
        <v>302.14999999999998</v>
      </c>
      <c r="O3454">
        <v>392.27</v>
      </c>
      <c r="P3454">
        <v>0</v>
      </c>
      <c r="Q3454">
        <v>0</v>
      </c>
      <c r="S3454">
        <v>29</v>
      </c>
      <c r="T3454">
        <v>1</v>
      </c>
      <c r="U3454">
        <v>2</v>
      </c>
      <c r="V3454">
        <v>392.27</v>
      </c>
      <c r="W3454">
        <v>13130003452</v>
      </c>
    </row>
    <row r="3455" spans="1:23" x14ac:dyDescent="0.2">
      <c r="A3455" s="1">
        <v>44800</v>
      </c>
      <c r="B3455" s="2">
        <v>0.49432870370370369</v>
      </c>
      <c r="C3455">
        <v>4453</v>
      </c>
      <c r="D3455">
        <v>13002561</v>
      </c>
      <c r="E3455">
        <v>13</v>
      </c>
      <c r="F3455">
        <v>22589</v>
      </c>
      <c r="G3455" t="s">
        <v>23</v>
      </c>
      <c r="H3455">
        <v>15</v>
      </c>
      <c r="I3455">
        <v>65459</v>
      </c>
      <c r="J3455" t="s">
        <v>94</v>
      </c>
      <c r="K3455" t="s">
        <v>38</v>
      </c>
      <c r="L3455" t="s">
        <v>34</v>
      </c>
      <c r="M3455">
        <v>3</v>
      </c>
      <c r="N3455">
        <v>504.03</v>
      </c>
      <c r="O3455">
        <v>690.21</v>
      </c>
      <c r="P3455">
        <v>0</v>
      </c>
      <c r="Q3455">
        <v>0</v>
      </c>
      <c r="S3455">
        <v>29</v>
      </c>
      <c r="T3455">
        <v>1</v>
      </c>
      <c r="U3455">
        <v>4</v>
      </c>
      <c r="V3455">
        <v>690.21</v>
      </c>
      <c r="W3455">
        <v>13130003453</v>
      </c>
    </row>
    <row r="3456" spans="1:23" x14ac:dyDescent="0.2">
      <c r="A3456" s="1">
        <v>44781</v>
      </c>
      <c r="B3456" s="2">
        <v>0.86960648148148145</v>
      </c>
      <c r="C3456">
        <v>4454</v>
      </c>
      <c r="D3456">
        <v>13002561</v>
      </c>
      <c r="E3456">
        <v>13</v>
      </c>
      <c r="F3456">
        <v>22589</v>
      </c>
      <c r="G3456" t="s">
        <v>23</v>
      </c>
      <c r="H3456">
        <v>18</v>
      </c>
      <c r="I3456">
        <v>47429</v>
      </c>
      <c r="J3456" t="s">
        <v>70</v>
      </c>
      <c r="K3456" t="s">
        <v>25</v>
      </c>
      <c r="L3456" t="s">
        <v>26</v>
      </c>
      <c r="M3456">
        <v>1</v>
      </c>
      <c r="N3456">
        <v>297.77999999999997</v>
      </c>
      <c r="O3456">
        <v>504.33</v>
      </c>
      <c r="P3456">
        <v>0</v>
      </c>
      <c r="Q3456">
        <v>0</v>
      </c>
      <c r="S3456">
        <v>29</v>
      </c>
      <c r="T3456">
        <v>1</v>
      </c>
      <c r="U3456">
        <v>1</v>
      </c>
      <c r="V3456">
        <v>504.33</v>
      </c>
      <c r="W3456">
        <v>13130003454</v>
      </c>
    </row>
    <row r="3457" spans="1:23" x14ac:dyDescent="0.2">
      <c r="A3457" s="1">
        <v>44803</v>
      </c>
      <c r="B3457" s="2">
        <v>0.53868055555555561</v>
      </c>
      <c r="C3457">
        <v>4455</v>
      </c>
      <c r="D3457">
        <v>13002561</v>
      </c>
      <c r="E3457">
        <v>13</v>
      </c>
      <c r="F3457">
        <v>22589</v>
      </c>
      <c r="G3457" t="s">
        <v>23</v>
      </c>
      <c r="H3457">
        <v>18</v>
      </c>
      <c r="I3457">
        <v>16990</v>
      </c>
      <c r="J3457" t="s">
        <v>114</v>
      </c>
      <c r="K3457" t="s">
        <v>44</v>
      </c>
      <c r="L3457" t="s">
        <v>26</v>
      </c>
      <c r="M3457">
        <v>3</v>
      </c>
      <c r="N3457">
        <v>388.33</v>
      </c>
      <c r="O3457">
        <v>596.04999999999995</v>
      </c>
      <c r="P3457">
        <v>0</v>
      </c>
      <c r="Q3457">
        <v>0</v>
      </c>
      <c r="S3457">
        <v>29</v>
      </c>
      <c r="T3457">
        <v>1</v>
      </c>
      <c r="U3457">
        <v>5</v>
      </c>
      <c r="V3457">
        <v>596.04999999999995</v>
      </c>
      <c r="W3457">
        <v>13130003455</v>
      </c>
    </row>
    <row r="3458" spans="1:23" x14ac:dyDescent="0.2">
      <c r="A3458" s="1">
        <v>44782</v>
      </c>
      <c r="B3458" s="2">
        <v>0.82896990740740739</v>
      </c>
      <c r="C3458">
        <v>4456</v>
      </c>
      <c r="D3458">
        <v>13002561</v>
      </c>
      <c r="E3458">
        <v>13</v>
      </c>
      <c r="F3458">
        <v>22589</v>
      </c>
      <c r="G3458" t="s">
        <v>23</v>
      </c>
      <c r="H3458">
        <v>15</v>
      </c>
      <c r="I3458">
        <v>62161</v>
      </c>
      <c r="J3458" t="s">
        <v>86</v>
      </c>
      <c r="K3458" t="s">
        <v>44</v>
      </c>
      <c r="L3458" t="s">
        <v>39</v>
      </c>
      <c r="M3458">
        <v>2</v>
      </c>
      <c r="N3458">
        <v>40.49</v>
      </c>
      <c r="O3458">
        <v>56.53</v>
      </c>
      <c r="P3458">
        <v>5.65</v>
      </c>
      <c r="Q3458">
        <v>5.65</v>
      </c>
      <c r="R3458" t="s">
        <v>30</v>
      </c>
      <c r="S3458">
        <v>29</v>
      </c>
      <c r="T3458">
        <v>1</v>
      </c>
      <c r="U3458">
        <v>2</v>
      </c>
      <c r="V3458">
        <v>50.88</v>
      </c>
      <c r="W3458">
        <v>13130003456</v>
      </c>
    </row>
    <row r="3459" spans="1:23" x14ac:dyDescent="0.2">
      <c r="A3459" s="1">
        <v>44780</v>
      </c>
      <c r="B3459" s="2">
        <v>0.87697916666666664</v>
      </c>
      <c r="C3459">
        <v>4457</v>
      </c>
      <c r="D3459">
        <v>13002561</v>
      </c>
      <c r="E3459">
        <v>13</v>
      </c>
      <c r="F3459">
        <v>22589</v>
      </c>
      <c r="G3459" t="s">
        <v>23</v>
      </c>
      <c r="H3459">
        <v>18</v>
      </c>
      <c r="I3459">
        <v>80674</v>
      </c>
      <c r="J3459" t="s">
        <v>85</v>
      </c>
      <c r="K3459" t="s">
        <v>45</v>
      </c>
      <c r="L3459" t="s">
        <v>51</v>
      </c>
      <c r="M3459">
        <v>2</v>
      </c>
      <c r="N3459">
        <v>595.76</v>
      </c>
      <c r="O3459">
        <v>746.76</v>
      </c>
      <c r="P3459">
        <v>37.340000000000003</v>
      </c>
      <c r="Q3459">
        <v>37.340000000000003</v>
      </c>
      <c r="R3459" t="s">
        <v>30</v>
      </c>
      <c r="S3459">
        <v>29</v>
      </c>
      <c r="T3459">
        <v>1</v>
      </c>
      <c r="U3459">
        <v>4</v>
      </c>
      <c r="V3459">
        <v>709.42</v>
      </c>
      <c r="W3459">
        <v>13130003457</v>
      </c>
    </row>
    <row r="3460" spans="1:23" x14ac:dyDescent="0.2">
      <c r="A3460" s="1">
        <v>44798</v>
      </c>
      <c r="B3460" s="2">
        <v>0.66935185185185186</v>
      </c>
      <c r="C3460">
        <v>4458</v>
      </c>
      <c r="D3460">
        <v>13002561</v>
      </c>
      <c r="E3460">
        <v>13</v>
      </c>
      <c r="F3460">
        <v>22589</v>
      </c>
      <c r="G3460" t="s">
        <v>23</v>
      </c>
      <c r="H3460">
        <v>18</v>
      </c>
      <c r="I3460">
        <v>11824</v>
      </c>
      <c r="J3460" t="s">
        <v>113</v>
      </c>
      <c r="K3460" t="s">
        <v>25</v>
      </c>
      <c r="L3460" t="s">
        <v>36</v>
      </c>
      <c r="M3460">
        <v>1</v>
      </c>
      <c r="N3460">
        <v>493.44</v>
      </c>
      <c r="O3460">
        <v>676.28</v>
      </c>
      <c r="P3460">
        <v>33.81</v>
      </c>
      <c r="Q3460">
        <v>33.81</v>
      </c>
      <c r="R3460" t="s">
        <v>30</v>
      </c>
      <c r="S3460">
        <v>29</v>
      </c>
      <c r="T3460">
        <v>1</v>
      </c>
      <c r="U3460">
        <v>6</v>
      </c>
      <c r="V3460">
        <v>642.47</v>
      </c>
      <c r="W3460">
        <v>13130003458</v>
      </c>
    </row>
    <row r="3461" spans="1:23" x14ac:dyDescent="0.2">
      <c r="A3461" s="1">
        <v>44801</v>
      </c>
      <c r="B3461" s="2">
        <v>0.50946759259259256</v>
      </c>
      <c r="C3461">
        <v>4459</v>
      </c>
      <c r="D3461">
        <v>13002561</v>
      </c>
      <c r="E3461">
        <v>13</v>
      </c>
      <c r="F3461">
        <v>22589</v>
      </c>
      <c r="G3461" t="s">
        <v>23</v>
      </c>
      <c r="H3461">
        <v>15</v>
      </c>
      <c r="I3461">
        <v>39906</v>
      </c>
      <c r="J3461" t="s">
        <v>68</v>
      </c>
      <c r="K3461" t="s">
        <v>45</v>
      </c>
      <c r="L3461" t="s">
        <v>51</v>
      </c>
      <c r="M3461">
        <v>3</v>
      </c>
      <c r="N3461">
        <v>126.34</v>
      </c>
      <c r="O3461">
        <v>195.14</v>
      </c>
      <c r="P3461">
        <v>9.76</v>
      </c>
      <c r="Q3461">
        <v>9.76</v>
      </c>
      <c r="R3461" t="s">
        <v>30</v>
      </c>
      <c r="S3461">
        <v>29</v>
      </c>
      <c r="T3461">
        <v>1</v>
      </c>
      <c r="U3461">
        <v>1</v>
      </c>
      <c r="V3461">
        <v>185.38</v>
      </c>
      <c r="W3461">
        <v>13130003459</v>
      </c>
    </row>
    <row r="3462" spans="1:23" x14ac:dyDescent="0.2">
      <c r="A3462" s="1">
        <v>44787</v>
      </c>
      <c r="B3462" s="2">
        <v>0.33509259259259261</v>
      </c>
      <c r="C3462">
        <v>4460</v>
      </c>
      <c r="D3462">
        <v>13002561</v>
      </c>
      <c r="E3462">
        <v>13</v>
      </c>
      <c r="F3462">
        <v>22589</v>
      </c>
      <c r="G3462" t="s">
        <v>23</v>
      </c>
      <c r="H3462">
        <v>18</v>
      </c>
      <c r="I3462">
        <v>74698</v>
      </c>
      <c r="J3462" t="s">
        <v>46</v>
      </c>
      <c r="K3462" t="s">
        <v>38</v>
      </c>
      <c r="L3462" t="s">
        <v>47</v>
      </c>
      <c r="M3462">
        <v>1</v>
      </c>
      <c r="N3462">
        <v>325.55</v>
      </c>
      <c r="O3462">
        <v>504.93</v>
      </c>
      <c r="P3462">
        <v>50.49</v>
      </c>
      <c r="Q3462">
        <v>50.49</v>
      </c>
      <c r="R3462" t="s">
        <v>30</v>
      </c>
      <c r="S3462">
        <v>29</v>
      </c>
      <c r="T3462">
        <v>1</v>
      </c>
      <c r="U3462">
        <v>1</v>
      </c>
      <c r="V3462">
        <v>454.44</v>
      </c>
      <c r="W3462">
        <v>13130003460</v>
      </c>
    </row>
    <row r="3463" spans="1:23" x14ac:dyDescent="0.2">
      <c r="A3463" s="1">
        <v>44804</v>
      </c>
      <c r="B3463" s="2">
        <v>0.94013888888888886</v>
      </c>
      <c r="C3463">
        <v>4461</v>
      </c>
      <c r="D3463">
        <v>13002561</v>
      </c>
      <c r="E3463">
        <v>13</v>
      </c>
      <c r="F3463">
        <v>22589</v>
      </c>
      <c r="G3463" t="s">
        <v>23</v>
      </c>
      <c r="H3463">
        <v>15</v>
      </c>
      <c r="I3463">
        <v>73768</v>
      </c>
      <c r="J3463" t="s">
        <v>87</v>
      </c>
      <c r="K3463" t="s">
        <v>28</v>
      </c>
      <c r="L3463" t="s">
        <v>36</v>
      </c>
      <c r="M3463">
        <v>2</v>
      </c>
      <c r="N3463">
        <v>467.06</v>
      </c>
      <c r="O3463">
        <v>635.58000000000004</v>
      </c>
      <c r="P3463">
        <v>31.78</v>
      </c>
      <c r="Q3463">
        <v>31.78</v>
      </c>
      <c r="R3463" t="s">
        <v>30</v>
      </c>
      <c r="S3463">
        <v>29</v>
      </c>
      <c r="T3463">
        <v>1</v>
      </c>
      <c r="U3463">
        <v>6</v>
      </c>
      <c r="V3463">
        <v>603.79999999999995</v>
      </c>
      <c r="W3463">
        <v>13130003461</v>
      </c>
    </row>
    <row r="3464" spans="1:23" x14ac:dyDescent="0.2">
      <c r="A3464" s="1">
        <v>44780</v>
      </c>
      <c r="B3464" s="2">
        <v>0.85427083333333331</v>
      </c>
      <c r="C3464">
        <v>4462</v>
      </c>
      <c r="D3464">
        <v>13002561</v>
      </c>
      <c r="E3464">
        <v>13</v>
      </c>
      <c r="F3464">
        <v>22589</v>
      </c>
      <c r="G3464" t="s">
        <v>23</v>
      </c>
      <c r="H3464">
        <v>18</v>
      </c>
      <c r="I3464">
        <v>74347</v>
      </c>
      <c r="J3464" t="s">
        <v>128</v>
      </c>
      <c r="K3464" t="s">
        <v>45</v>
      </c>
      <c r="L3464" t="s">
        <v>34</v>
      </c>
      <c r="M3464">
        <v>2</v>
      </c>
      <c r="N3464">
        <v>202.31</v>
      </c>
      <c r="O3464">
        <v>281.05</v>
      </c>
      <c r="P3464">
        <v>28.11</v>
      </c>
      <c r="Q3464">
        <v>28.11</v>
      </c>
      <c r="R3464" t="s">
        <v>30</v>
      </c>
      <c r="S3464">
        <v>29</v>
      </c>
      <c r="T3464">
        <v>1</v>
      </c>
      <c r="U3464">
        <v>5</v>
      </c>
      <c r="V3464">
        <v>252.94</v>
      </c>
      <c r="W3464">
        <v>13130003462</v>
      </c>
    </row>
    <row r="3465" spans="1:23" x14ac:dyDescent="0.2">
      <c r="A3465" s="1">
        <v>44793</v>
      </c>
      <c r="B3465" s="2">
        <v>0.79071759259259256</v>
      </c>
      <c r="C3465">
        <v>4463</v>
      </c>
      <c r="D3465">
        <v>13002561</v>
      </c>
      <c r="E3465">
        <v>13</v>
      </c>
      <c r="F3465">
        <v>22589</v>
      </c>
      <c r="G3465" t="s">
        <v>23</v>
      </c>
      <c r="H3465">
        <v>18</v>
      </c>
      <c r="I3465">
        <v>29093</v>
      </c>
      <c r="J3465" t="s">
        <v>80</v>
      </c>
      <c r="K3465" t="s">
        <v>38</v>
      </c>
      <c r="L3465" t="s">
        <v>32</v>
      </c>
      <c r="M3465">
        <v>3</v>
      </c>
      <c r="N3465">
        <v>572.03</v>
      </c>
      <c r="O3465">
        <v>781.83</v>
      </c>
      <c r="P3465">
        <v>39.090000000000003</v>
      </c>
      <c r="Q3465">
        <v>39.090000000000003</v>
      </c>
      <c r="R3465" t="s">
        <v>30</v>
      </c>
      <c r="S3465">
        <v>29</v>
      </c>
      <c r="T3465">
        <v>1</v>
      </c>
      <c r="U3465">
        <v>5</v>
      </c>
      <c r="V3465">
        <v>742.74</v>
      </c>
      <c r="W3465">
        <v>13130003463</v>
      </c>
    </row>
    <row r="3466" spans="1:23" x14ac:dyDescent="0.2">
      <c r="A3466" s="1">
        <v>44786</v>
      </c>
      <c r="B3466" s="2">
        <v>0.80424768518518519</v>
      </c>
      <c r="C3466">
        <v>4464</v>
      </c>
      <c r="D3466">
        <v>13002561</v>
      </c>
      <c r="E3466">
        <v>13</v>
      </c>
      <c r="F3466">
        <v>22589</v>
      </c>
      <c r="G3466" t="s">
        <v>23</v>
      </c>
      <c r="H3466">
        <v>15</v>
      </c>
      <c r="I3466">
        <v>53162</v>
      </c>
      <c r="J3466" t="s">
        <v>122</v>
      </c>
      <c r="K3466" t="s">
        <v>25</v>
      </c>
      <c r="L3466" t="s">
        <v>34</v>
      </c>
      <c r="M3466">
        <v>1</v>
      </c>
      <c r="N3466">
        <v>78.989999999999995</v>
      </c>
      <c r="O3466">
        <v>114.82</v>
      </c>
      <c r="P3466">
        <v>11.48</v>
      </c>
      <c r="Q3466">
        <v>11.48</v>
      </c>
      <c r="R3466" t="s">
        <v>30</v>
      </c>
      <c r="S3466">
        <v>29</v>
      </c>
      <c r="T3466">
        <v>1</v>
      </c>
      <c r="U3466">
        <v>6</v>
      </c>
      <c r="V3466">
        <v>103.34</v>
      </c>
      <c r="W3466">
        <v>13130003464</v>
      </c>
    </row>
    <row r="3467" spans="1:23" x14ac:dyDescent="0.2">
      <c r="A3467" s="1">
        <v>44784</v>
      </c>
      <c r="B3467" s="2">
        <v>0.76314814814814813</v>
      </c>
      <c r="C3467">
        <v>4465</v>
      </c>
      <c r="D3467">
        <v>13002561</v>
      </c>
      <c r="E3467">
        <v>13</v>
      </c>
      <c r="F3467">
        <v>22589</v>
      </c>
      <c r="G3467" t="s">
        <v>23</v>
      </c>
      <c r="H3467">
        <v>15</v>
      </c>
      <c r="I3467">
        <v>63002</v>
      </c>
      <c r="J3467" t="s">
        <v>118</v>
      </c>
      <c r="K3467" t="s">
        <v>28</v>
      </c>
      <c r="L3467" t="s">
        <v>29</v>
      </c>
      <c r="M3467">
        <v>2</v>
      </c>
      <c r="N3467">
        <v>522.70000000000005</v>
      </c>
      <c r="O3467">
        <v>852.33</v>
      </c>
      <c r="P3467">
        <v>85.23</v>
      </c>
      <c r="Q3467">
        <v>85.23</v>
      </c>
      <c r="R3467" t="s">
        <v>30</v>
      </c>
      <c r="S3467">
        <v>29</v>
      </c>
      <c r="T3467">
        <v>1</v>
      </c>
      <c r="U3467">
        <v>2</v>
      </c>
      <c r="V3467">
        <v>767.1</v>
      </c>
      <c r="W3467">
        <v>13130003465</v>
      </c>
    </row>
    <row r="3468" spans="1:23" x14ac:dyDescent="0.2">
      <c r="A3468" s="1">
        <v>44791</v>
      </c>
      <c r="B3468" s="2">
        <v>0.92621527777777779</v>
      </c>
      <c r="C3468">
        <v>4466</v>
      </c>
      <c r="D3468">
        <v>13002561</v>
      </c>
      <c r="E3468">
        <v>13</v>
      </c>
      <c r="F3468">
        <v>22589</v>
      </c>
      <c r="G3468" t="s">
        <v>23</v>
      </c>
      <c r="H3468">
        <v>15</v>
      </c>
      <c r="I3468">
        <v>91276</v>
      </c>
      <c r="J3468" t="s">
        <v>48</v>
      </c>
      <c r="K3468" t="s">
        <v>28</v>
      </c>
      <c r="L3468" t="s">
        <v>51</v>
      </c>
      <c r="M3468">
        <v>3</v>
      </c>
      <c r="N3468">
        <v>175.6</v>
      </c>
      <c r="O3468">
        <v>248.55</v>
      </c>
      <c r="P3468">
        <v>24.86</v>
      </c>
      <c r="Q3468">
        <v>24.86</v>
      </c>
      <c r="R3468" t="s">
        <v>30</v>
      </c>
      <c r="S3468">
        <v>29</v>
      </c>
      <c r="T3468">
        <v>1</v>
      </c>
      <c r="U3468">
        <v>5</v>
      </c>
      <c r="V3468">
        <v>223.69</v>
      </c>
      <c r="W3468">
        <v>13130003466</v>
      </c>
    </row>
    <row r="3469" spans="1:23" x14ac:dyDescent="0.2">
      <c r="A3469" s="1">
        <v>44794</v>
      </c>
      <c r="B3469" s="2">
        <v>0.8295717592592593</v>
      </c>
      <c r="C3469">
        <v>4467</v>
      </c>
      <c r="D3469">
        <v>13002561</v>
      </c>
      <c r="E3469">
        <v>13</v>
      </c>
      <c r="F3469">
        <v>22589</v>
      </c>
      <c r="G3469" t="s">
        <v>23</v>
      </c>
      <c r="H3469">
        <v>18</v>
      </c>
      <c r="I3469">
        <v>44440</v>
      </c>
      <c r="J3469" t="s">
        <v>75</v>
      </c>
      <c r="K3469" t="s">
        <v>44</v>
      </c>
      <c r="L3469" t="s">
        <v>47</v>
      </c>
      <c r="M3469">
        <v>1</v>
      </c>
      <c r="N3469">
        <v>327.69</v>
      </c>
      <c r="O3469">
        <v>417.27</v>
      </c>
      <c r="P3469">
        <v>20.86</v>
      </c>
      <c r="Q3469">
        <v>20.86</v>
      </c>
      <c r="R3469" t="s">
        <v>30</v>
      </c>
      <c r="S3469">
        <v>29</v>
      </c>
      <c r="T3469">
        <v>1</v>
      </c>
      <c r="U3469">
        <v>6</v>
      </c>
      <c r="V3469">
        <v>396.41</v>
      </c>
      <c r="W3469">
        <v>13130003467</v>
      </c>
    </row>
    <row r="3470" spans="1:23" x14ac:dyDescent="0.2">
      <c r="A3470" s="1">
        <v>44789</v>
      </c>
      <c r="B3470" s="2">
        <v>0.40464120370370371</v>
      </c>
      <c r="C3470">
        <v>4468</v>
      </c>
      <c r="D3470">
        <v>13002561</v>
      </c>
      <c r="E3470">
        <v>13</v>
      </c>
      <c r="F3470">
        <v>22589</v>
      </c>
      <c r="G3470" t="s">
        <v>23</v>
      </c>
      <c r="H3470">
        <v>15</v>
      </c>
      <c r="I3470">
        <v>14667</v>
      </c>
      <c r="J3470" t="s">
        <v>100</v>
      </c>
      <c r="K3470" t="s">
        <v>44</v>
      </c>
      <c r="L3470" t="s">
        <v>51</v>
      </c>
      <c r="M3470">
        <v>3</v>
      </c>
      <c r="N3470">
        <v>103.32</v>
      </c>
      <c r="O3470">
        <v>156.57</v>
      </c>
      <c r="P3470">
        <v>15.66</v>
      </c>
      <c r="Q3470">
        <v>15.66</v>
      </c>
      <c r="R3470" t="s">
        <v>30</v>
      </c>
      <c r="S3470">
        <v>29</v>
      </c>
      <c r="T3470">
        <v>1</v>
      </c>
      <c r="U3470">
        <v>6</v>
      </c>
      <c r="V3470">
        <v>140.91</v>
      </c>
      <c r="W3470">
        <v>13130003468</v>
      </c>
    </row>
    <row r="3471" spans="1:23" x14ac:dyDescent="0.2">
      <c r="A3471" s="1">
        <v>44778</v>
      </c>
      <c r="B3471" s="2">
        <v>0.59398148148148144</v>
      </c>
      <c r="C3471">
        <v>4469</v>
      </c>
      <c r="D3471">
        <v>13002561</v>
      </c>
      <c r="E3471">
        <v>13</v>
      </c>
      <c r="F3471">
        <v>22589</v>
      </c>
      <c r="G3471" t="s">
        <v>23</v>
      </c>
      <c r="H3471">
        <v>15</v>
      </c>
      <c r="I3471">
        <v>35993</v>
      </c>
      <c r="J3471" t="s">
        <v>110</v>
      </c>
      <c r="K3471" t="s">
        <v>25</v>
      </c>
      <c r="L3471" t="s">
        <v>29</v>
      </c>
      <c r="M3471">
        <v>2</v>
      </c>
      <c r="N3471">
        <v>330.83</v>
      </c>
      <c r="O3471">
        <v>560.53</v>
      </c>
      <c r="P3471">
        <v>28.03</v>
      </c>
      <c r="Q3471">
        <v>28.03</v>
      </c>
      <c r="R3471" t="s">
        <v>30</v>
      </c>
      <c r="S3471">
        <v>29</v>
      </c>
      <c r="T3471">
        <v>1</v>
      </c>
      <c r="U3471">
        <v>4</v>
      </c>
      <c r="V3471">
        <v>532.5</v>
      </c>
      <c r="W3471">
        <v>13130003469</v>
      </c>
    </row>
    <row r="3472" spans="1:23" x14ac:dyDescent="0.2">
      <c r="A3472" s="1">
        <v>44796</v>
      </c>
      <c r="B3472" s="2">
        <v>0.42856481481481479</v>
      </c>
      <c r="C3472">
        <v>4470</v>
      </c>
      <c r="D3472">
        <v>13002561</v>
      </c>
      <c r="E3472">
        <v>13</v>
      </c>
      <c r="F3472">
        <v>22589</v>
      </c>
      <c r="G3472" t="s">
        <v>23</v>
      </c>
      <c r="H3472">
        <v>18</v>
      </c>
      <c r="I3472">
        <v>33796</v>
      </c>
      <c r="J3472" t="s">
        <v>57</v>
      </c>
      <c r="K3472" t="s">
        <v>44</v>
      </c>
      <c r="L3472" t="s">
        <v>26</v>
      </c>
      <c r="M3472">
        <v>3</v>
      </c>
      <c r="N3472">
        <v>533.29</v>
      </c>
      <c r="O3472">
        <v>852.72</v>
      </c>
      <c r="P3472">
        <v>42.64</v>
      </c>
      <c r="Q3472">
        <v>42.64</v>
      </c>
      <c r="R3472" t="s">
        <v>30</v>
      </c>
      <c r="S3472">
        <v>29</v>
      </c>
      <c r="T3472">
        <v>1</v>
      </c>
      <c r="U3472">
        <v>5</v>
      </c>
      <c r="V3472">
        <v>810.08</v>
      </c>
      <c r="W3472">
        <v>13130003470</v>
      </c>
    </row>
    <row r="3473" spans="1:23" x14ac:dyDescent="0.2">
      <c r="A3473" s="1">
        <v>44787</v>
      </c>
      <c r="B3473" s="2">
        <v>0.36100694444444442</v>
      </c>
      <c r="C3473">
        <v>4471</v>
      </c>
      <c r="D3473">
        <v>13002561</v>
      </c>
      <c r="E3473">
        <v>13</v>
      </c>
      <c r="F3473">
        <v>22589</v>
      </c>
      <c r="G3473" t="s">
        <v>23</v>
      </c>
      <c r="H3473">
        <v>18</v>
      </c>
      <c r="I3473">
        <v>47284</v>
      </c>
      <c r="J3473" t="s">
        <v>52</v>
      </c>
      <c r="K3473" t="s">
        <v>25</v>
      </c>
      <c r="L3473" t="s">
        <v>32</v>
      </c>
      <c r="M3473">
        <v>2</v>
      </c>
      <c r="N3473">
        <v>427.66</v>
      </c>
      <c r="O3473">
        <v>669.01</v>
      </c>
      <c r="P3473">
        <v>33.450000000000003</v>
      </c>
      <c r="Q3473">
        <v>33.450000000000003</v>
      </c>
      <c r="R3473" t="s">
        <v>30</v>
      </c>
      <c r="S3473">
        <v>29</v>
      </c>
      <c r="T3473">
        <v>1</v>
      </c>
      <c r="U3473">
        <v>5</v>
      </c>
      <c r="V3473">
        <v>635.55999999999995</v>
      </c>
      <c r="W3473">
        <v>13130003471</v>
      </c>
    </row>
    <row r="3474" spans="1:23" x14ac:dyDescent="0.2">
      <c r="A3474" s="1">
        <v>44782</v>
      </c>
      <c r="B3474" s="2">
        <v>0.52784722222222225</v>
      </c>
      <c r="C3474">
        <v>4472</v>
      </c>
      <c r="D3474">
        <v>13002561</v>
      </c>
      <c r="E3474">
        <v>13</v>
      </c>
      <c r="F3474">
        <v>22589</v>
      </c>
      <c r="G3474" t="s">
        <v>23</v>
      </c>
      <c r="H3474">
        <v>15</v>
      </c>
      <c r="I3474">
        <v>89952</v>
      </c>
      <c r="J3474" t="s">
        <v>79</v>
      </c>
      <c r="K3474" t="s">
        <v>25</v>
      </c>
      <c r="L3474" t="s">
        <v>26</v>
      </c>
      <c r="M3474">
        <v>3</v>
      </c>
      <c r="N3474">
        <v>314.47000000000003</v>
      </c>
      <c r="O3474">
        <v>420.1</v>
      </c>
      <c r="P3474">
        <v>42.01</v>
      </c>
      <c r="Q3474">
        <v>42.01</v>
      </c>
      <c r="R3474" t="s">
        <v>30</v>
      </c>
      <c r="S3474">
        <v>29</v>
      </c>
      <c r="T3474">
        <v>1</v>
      </c>
      <c r="U3474">
        <v>6</v>
      </c>
      <c r="V3474">
        <v>378.09</v>
      </c>
      <c r="W3474">
        <v>13130003472</v>
      </c>
    </row>
    <row r="3475" spans="1:23" x14ac:dyDescent="0.2">
      <c r="A3475" s="1">
        <v>44801</v>
      </c>
      <c r="B3475" s="2">
        <v>0.85494212962962968</v>
      </c>
      <c r="C3475">
        <v>4473</v>
      </c>
      <c r="D3475">
        <v>13002561</v>
      </c>
      <c r="E3475">
        <v>13</v>
      </c>
      <c r="F3475">
        <v>22589</v>
      </c>
      <c r="G3475" t="s">
        <v>23</v>
      </c>
      <c r="H3475">
        <v>18</v>
      </c>
      <c r="I3475">
        <v>81120</v>
      </c>
      <c r="J3475" t="s">
        <v>65</v>
      </c>
      <c r="K3475" t="s">
        <v>38</v>
      </c>
      <c r="L3475" t="s">
        <v>36</v>
      </c>
      <c r="M3475">
        <v>3</v>
      </c>
      <c r="N3475">
        <v>182.93</v>
      </c>
      <c r="O3475">
        <v>259.74</v>
      </c>
      <c r="P3475">
        <v>25.97</v>
      </c>
      <c r="Q3475">
        <v>25.97</v>
      </c>
      <c r="R3475" t="s">
        <v>30</v>
      </c>
      <c r="S3475">
        <v>29</v>
      </c>
      <c r="T3475">
        <v>1</v>
      </c>
      <c r="U3475">
        <v>4</v>
      </c>
      <c r="V3475">
        <v>233.77</v>
      </c>
      <c r="W3475">
        <v>13130003473</v>
      </c>
    </row>
    <row r="3476" spans="1:23" x14ac:dyDescent="0.2">
      <c r="A3476" s="1">
        <v>44796</v>
      </c>
      <c r="B3476" s="2">
        <v>0.33590277777777777</v>
      </c>
      <c r="C3476">
        <v>4474</v>
      </c>
      <c r="D3476">
        <v>13002561</v>
      </c>
      <c r="E3476">
        <v>13</v>
      </c>
      <c r="F3476">
        <v>22589</v>
      </c>
      <c r="G3476" t="s">
        <v>23</v>
      </c>
      <c r="H3476">
        <v>18</v>
      </c>
      <c r="I3476">
        <v>64430</v>
      </c>
      <c r="J3476" t="s">
        <v>53</v>
      </c>
      <c r="K3476" t="s">
        <v>45</v>
      </c>
      <c r="L3476" t="s">
        <v>34</v>
      </c>
      <c r="M3476">
        <v>1</v>
      </c>
      <c r="N3476">
        <v>538.78</v>
      </c>
      <c r="O3476">
        <v>695.73</v>
      </c>
      <c r="P3476">
        <v>34.79</v>
      </c>
      <c r="Q3476">
        <v>34.79</v>
      </c>
      <c r="R3476" t="s">
        <v>30</v>
      </c>
      <c r="S3476">
        <v>29</v>
      </c>
      <c r="T3476">
        <v>1</v>
      </c>
      <c r="U3476">
        <v>3</v>
      </c>
      <c r="V3476">
        <v>660.94</v>
      </c>
      <c r="W3476">
        <v>13130003474</v>
      </c>
    </row>
    <row r="3477" spans="1:23" x14ac:dyDescent="0.2">
      <c r="A3477" s="1">
        <v>44787</v>
      </c>
      <c r="B3477" s="2">
        <v>0.49012731481481481</v>
      </c>
      <c r="C3477">
        <v>4475</v>
      </c>
      <c r="D3477">
        <v>13002561</v>
      </c>
      <c r="E3477">
        <v>13</v>
      </c>
      <c r="F3477">
        <v>22589</v>
      </c>
      <c r="G3477" t="s">
        <v>23</v>
      </c>
      <c r="H3477">
        <v>18</v>
      </c>
      <c r="I3477">
        <v>86723</v>
      </c>
      <c r="J3477" t="s">
        <v>91</v>
      </c>
      <c r="K3477" t="s">
        <v>38</v>
      </c>
      <c r="L3477" t="s">
        <v>32</v>
      </c>
      <c r="M3477">
        <v>3</v>
      </c>
      <c r="N3477">
        <v>100.43</v>
      </c>
      <c r="O3477">
        <v>137.16</v>
      </c>
      <c r="P3477">
        <v>6.86</v>
      </c>
      <c r="Q3477">
        <v>6.86</v>
      </c>
      <c r="R3477" t="s">
        <v>30</v>
      </c>
      <c r="S3477">
        <v>29</v>
      </c>
      <c r="T3477">
        <v>1</v>
      </c>
      <c r="U3477">
        <v>5</v>
      </c>
      <c r="V3477">
        <v>130.30000000000001</v>
      </c>
      <c r="W3477">
        <v>13130003475</v>
      </c>
    </row>
    <row r="3478" spans="1:23" x14ac:dyDescent="0.2">
      <c r="A3478" s="1">
        <v>44779</v>
      </c>
      <c r="B3478" s="2">
        <v>0.84458333333333335</v>
      </c>
      <c r="C3478">
        <v>4476</v>
      </c>
      <c r="D3478">
        <v>13002561</v>
      </c>
      <c r="E3478">
        <v>13</v>
      </c>
      <c r="F3478">
        <v>22589</v>
      </c>
      <c r="G3478" t="s">
        <v>23</v>
      </c>
      <c r="H3478">
        <v>15</v>
      </c>
      <c r="I3478">
        <v>45919</v>
      </c>
      <c r="J3478" t="s">
        <v>24</v>
      </c>
      <c r="K3478" t="s">
        <v>38</v>
      </c>
      <c r="L3478" t="s">
        <v>26</v>
      </c>
      <c r="M3478">
        <v>1</v>
      </c>
      <c r="N3478">
        <v>437.82</v>
      </c>
      <c r="O3478">
        <v>690.4</v>
      </c>
      <c r="P3478">
        <v>69.040000000000006</v>
      </c>
      <c r="Q3478">
        <v>69.040000000000006</v>
      </c>
      <c r="R3478" t="s">
        <v>30</v>
      </c>
      <c r="S3478">
        <v>29</v>
      </c>
      <c r="T3478">
        <v>1</v>
      </c>
      <c r="U3478">
        <v>1</v>
      </c>
      <c r="V3478">
        <v>621.36</v>
      </c>
      <c r="W3478">
        <v>13130003476</v>
      </c>
    </row>
    <row r="3479" spans="1:23" x14ac:dyDescent="0.2">
      <c r="A3479" s="1">
        <v>44791</v>
      </c>
      <c r="B3479" s="2">
        <v>0.53109953703703705</v>
      </c>
      <c r="C3479">
        <v>4477</v>
      </c>
      <c r="D3479">
        <v>13002561</v>
      </c>
      <c r="E3479">
        <v>13</v>
      </c>
      <c r="F3479">
        <v>22589</v>
      </c>
      <c r="G3479" t="s">
        <v>23</v>
      </c>
      <c r="H3479">
        <v>18</v>
      </c>
      <c r="I3479">
        <v>64235</v>
      </c>
      <c r="J3479" t="s">
        <v>59</v>
      </c>
      <c r="K3479" t="s">
        <v>60</v>
      </c>
      <c r="L3479" t="s">
        <v>29</v>
      </c>
      <c r="M3479">
        <v>1</v>
      </c>
      <c r="N3479">
        <v>111.91</v>
      </c>
      <c r="O3479">
        <v>164.85</v>
      </c>
      <c r="P3479">
        <v>0</v>
      </c>
      <c r="Q3479">
        <v>0</v>
      </c>
      <c r="S3479">
        <v>29</v>
      </c>
      <c r="T3479">
        <v>1</v>
      </c>
      <c r="U3479">
        <v>1</v>
      </c>
      <c r="V3479">
        <v>164.85</v>
      </c>
      <c r="W3479">
        <v>13130003477</v>
      </c>
    </row>
    <row r="3480" spans="1:23" x14ac:dyDescent="0.2">
      <c r="A3480" s="1">
        <v>44803</v>
      </c>
      <c r="B3480" s="2">
        <v>0.68517361111111108</v>
      </c>
      <c r="C3480">
        <v>4478</v>
      </c>
      <c r="D3480">
        <v>13002561</v>
      </c>
      <c r="E3480">
        <v>13</v>
      </c>
      <c r="F3480">
        <v>22589</v>
      </c>
      <c r="G3480" t="s">
        <v>23</v>
      </c>
      <c r="H3480">
        <v>18</v>
      </c>
      <c r="I3480">
        <v>15635</v>
      </c>
      <c r="J3480" t="s">
        <v>79</v>
      </c>
      <c r="K3480" t="s">
        <v>28</v>
      </c>
      <c r="L3480" t="s">
        <v>26</v>
      </c>
      <c r="M3480">
        <v>1</v>
      </c>
      <c r="N3480">
        <v>71.02</v>
      </c>
      <c r="O3480">
        <v>119.48</v>
      </c>
      <c r="P3480">
        <v>5.97</v>
      </c>
      <c r="Q3480">
        <v>5.97</v>
      </c>
      <c r="R3480" t="s">
        <v>30</v>
      </c>
      <c r="S3480">
        <v>29</v>
      </c>
      <c r="T3480">
        <v>1</v>
      </c>
      <c r="U3480">
        <v>2</v>
      </c>
      <c r="V3480">
        <v>113.51</v>
      </c>
      <c r="W3480">
        <v>13130003478</v>
      </c>
    </row>
    <row r="3481" spans="1:23" x14ac:dyDescent="0.2">
      <c r="A3481" s="1">
        <v>44782</v>
      </c>
      <c r="B3481" s="2">
        <v>0.68668981481481484</v>
      </c>
      <c r="C3481">
        <v>4479</v>
      </c>
      <c r="D3481">
        <v>13002561</v>
      </c>
      <c r="E3481">
        <v>13</v>
      </c>
      <c r="F3481">
        <v>22589</v>
      </c>
      <c r="G3481" t="s">
        <v>23</v>
      </c>
      <c r="H3481">
        <v>18</v>
      </c>
      <c r="I3481">
        <v>79668</v>
      </c>
      <c r="J3481" t="s">
        <v>69</v>
      </c>
      <c r="K3481" t="s">
        <v>44</v>
      </c>
      <c r="L3481" t="s">
        <v>32</v>
      </c>
      <c r="M3481">
        <v>3</v>
      </c>
      <c r="N3481">
        <v>243.18</v>
      </c>
      <c r="O3481">
        <v>328.26</v>
      </c>
      <c r="P3481">
        <v>0</v>
      </c>
      <c r="Q3481">
        <v>0</v>
      </c>
      <c r="S3481">
        <v>29</v>
      </c>
      <c r="T3481">
        <v>1</v>
      </c>
      <c r="U3481">
        <v>2</v>
      </c>
      <c r="V3481">
        <v>328.26</v>
      </c>
      <c r="W3481">
        <v>13130003479</v>
      </c>
    </row>
    <row r="3482" spans="1:23" x14ac:dyDescent="0.2">
      <c r="A3482" s="1">
        <v>44776</v>
      </c>
      <c r="B3482" s="2">
        <v>0.78488425925925931</v>
      </c>
      <c r="C3482">
        <v>4480</v>
      </c>
      <c r="D3482">
        <v>13002561</v>
      </c>
      <c r="E3482">
        <v>13</v>
      </c>
      <c r="F3482">
        <v>22589</v>
      </c>
      <c r="G3482" t="s">
        <v>23</v>
      </c>
      <c r="H3482">
        <v>18</v>
      </c>
      <c r="I3482">
        <v>92608</v>
      </c>
      <c r="J3482" t="s">
        <v>31</v>
      </c>
      <c r="K3482" t="s">
        <v>60</v>
      </c>
      <c r="L3482" t="s">
        <v>39</v>
      </c>
      <c r="M3482">
        <v>2</v>
      </c>
      <c r="N3482">
        <v>120.18</v>
      </c>
      <c r="O3482">
        <v>168.48</v>
      </c>
      <c r="P3482">
        <v>8.42</v>
      </c>
      <c r="Q3482">
        <v>8.42</v>
      </c>
      <c r="R3482" t="s">
        <v>30</v>
      </c>
      <c r="S3482">
        <v>29</v>
      </c>
      <c r="T3482">
        <v>1</v>
      </c>
      <c r="U3482">
        <v>1</v>
      </c>
      <c r="V3482">
        <v>160.06</v>
      </c>
      <c r="W3482">
        <v>13130003480</v>
      </c>
    </row>
    <row r="3483" spans="1:23" x14ac:dyDescent="0.2">
      <c r="A3483" s="1">
        <v>44797</v>
      </c>
      <c r="B3483" s="2">
        <v>0.3967013888888889</v>
      </c>
      <c r="C3483">
        <v>4481</v>
      </c>
      <c r="D3483">
        <v>13002561</v>
      </c>
      <c r="E3483">
        <v>13</v>
      </c>
      <c r="F3483">
        <v>22589</v>
      </c>
      <c r="G3483" t="s">
        <v>23</v>
      </c>
      <c r="H3483">
        <v>18</v>
      </c>
      <c r="I3483">
        <v>94302</v>
      </c>
      <c r="J3483" t="s">
        <v>124</v>
      </c>
      <c r="K3483" t="s">
        <v>60</v>
      </c>
      <c r="L3483" t="s">
        <v>47</v>
      </c>
      <c r="M3483">
        <v>2</v>
      </c>
      <c r="N3483">
        <v>417.8</v>
      </c>
      <c r="O3483">
        <v>534.01</v>
      </c>
      <c r="P3483">
        <v>0</v>
      </c>
      <c r="Q3483">
        <v>0</v>
      </c>
      <c r="S3483">
        <v>29</v>
      </c>
      <c r="T3483">
        <v>1</v>
      </c>
      <c r="U3483">
        <v>5</v>
      </c>
      <c r="V3483">
        <v>534.01</v>
      </c>
      <c r="W3483">
        <v>13130003481</v>
      </c>
    </row>
    <row r="3484" spans="1:23" x14ac:dyDescent="0.2">
      <c r="A3484" s="1">
        <v>44793</v>
      </c>
      <c r="B3484" s="2">
        <v>0.41878472222222218</v>
      </c>
      <c r="C3484">
        <v>4482</v>
      </c>
      <c r="D3484">
        <v>13002561</v>
      </c>
      <c r="E3484">
        <v>13</v>
      </c>
      <c r="F3484">
        <v>22589</v>
      </c>
      <c r="G3484" t="s">
        <v>23</v>
      </c>
      <c r="H3484">
        <v>18</v>
      </c>
      <c r="I3484">
        <v>44274</v>
      </c>
      <c r="J3484" t="s">
        <v>54</v>
      </c>
      <c r="K3484" t="s">
        <v>25</v>
      </c>
      <c r="L3484" t="s">
        <v>26</v>
      </c>
      <c r="M3484">
        <v>1</v>
      </c>
      <c r="N3484">
        <v>544.75</v>
      </c>
      <c r="O3484">
        <v>774.09</v>
      </c>
      <c r="P3484">
        <v>77.41</v>
      </c>
      <c r="Q3484">
        <v>77.41</v>
      </c>
      <c r="R3484" t="s">
        <v>30</v>
      </c>
      <c r="S3484">
        <v>29</v>
      </c>
      <c r="T3484">
        <v>1</v>
      </c>
      <c r="U3484">
        <v>3</v>
      </c>
      <c r="V3484">
        <v>696.68</v>
      </c>
      <c r="W3484">
        <v>13130003482</v>
      </c>
    </row>
    <row r="3485" spans="1:23" x14ac:dyDescent="0.2">
      <c r="A3485" s="1">
        <v>44801</v>
      </c>
      <c r="B3485" s="2">
        <v>0.95346064814814813</v>
      </c>
      <c r="C3485">
        <v>4483</v>
      </c>
      <c r="D3485">
        <v>13002561</v>
      </c>
      <c r="E3485">
        <v>13</v>
      </c>
      <c r="F3485">
        <v>22589</v>
      </c>
      <c r="G3485" t="s">
        <v>23</v>
      </c>
      <c r="H3485">
        <v>18</v>
      </c>
      <c r="I3485">
        <v>34384</v>
      </c>
      <c r="J3485" t="s">
        <v>69</v>
      </c>
      <c r="K3485" t="s">
        <v>25</v>
      </c>
      <c r="L3485" t="s">
        <v>26</v>
      </c>
      <c r="M3485">
        <v>2</v>
      </c>
      <c r="N3485">
        <v>375.08</v>
      </c>
      <c r="O3485">
        <v>585.26</v>
      </c>
      <c r="P3485">
        <v>58.53</v>
      </c>
      <c r="Q3485">
        <v>58.53</v>
      </c>
      <c r="R3485" t="s">
        <v>30</v>
      </c>
      <c r="S3485">
        <v>29</v>
      </c>
      <c r="T3485">
        <v>1</v>
      </c>
      <c r="U3485">
        <v>4</v>
      </c>
      <c r="V3485">
        <v>526.73</v>
      </c>
      <c r="W3485">
        <v>13130003483</v>
      </c>
    </row>
    <row r="3486" spans="1:23" x14ac:dyDescent="0.2">
      <c r="A3486" s="1">
        <v>44788</v>
      </c>
      <c r="B3486" s="2">
        <v>0.80491898148148144</v>
      </c>
      <c r="C3486">
        <v>4484</v>
      </c>
      <c r="D3486">
        <v>13002561</v>
      </c>
      <c r="E3486">
        <v>13</v>
      </c>
      <c r="F3486">
        <v>22589</v>
      </c>
      <c r="G3486" t="s">
        <v>23</v>
      </c>
      <c r="H3486">
        <v>15</v>
      </c>
      <c r="I3486">
        <v>20093</v>
      </c>
      <c r="J3486" t="s">
        <v>46</v>
      </c>
      <c r="K3486" t="s">
        <v>38</v>
      </c>
      <c r="L3486" t="s">
        <v>47</v>
      </c>
      <c r="M3486">
        <v>3</v>
      </c>
      <c r="N3486">
        <v>551.89</v>
      </c>
      <c r="O3486">
        <v>922.36</v>
      </c>
      <c r="P3486">
        <v>46.12</v>
      </c>
      <c r="Q3486">
        <v>46.12</v>
      </c>
      <c r="R3486" t="s">
        <v>30</v>
      </c>
      <c r="S3486">
        <v>29</v>
      </c>
      <c r="T3486">
        <v>1</v>
      </c>
      <c r="U3486">
        <v>5</v>
      </c>
      <c r="V3486">
        <v>876.24</v>
      </c>
      <c r="W3486">
        <v>13130003484</v>
      </c>
    </row>
    <row r="3487" spans="1:23" x14ac:dyDescent="0.2">
      <c r="A3487" s="1">
        <v>44798</v>
      </c>
      <c r="B3487" s="2">
        <v>0.53677083333333331</v>
      </c>
      <c r="C3487">
        <v>4485</v>
      </c>
      <c r="D3487">
        <v>13002561</v>
      </c>
      <c r="E3487">
        <v>13</v>
      </c>
      <c r="F3487">
        <v>22589</v>
      </c>
      <c r="G3487" t="s">
        <v>23</v>
      </c>
      <c r="H3487">
        <v>15</v>
      </c>
      <c r="I3487">
        <v>85497</v>
      </c>
      <c r="J3487" t="s">
        <v>48</v>
      </c>
      <c r="K3487" t="s">
        <v>28</v>
      </c>
      <c r="L3487" t="s">
        <v>39</v>
      </c>
      <c r="M3487">
        <v>2</v>
      </c>
      <c r="N3487">
        <v>103.36</v>
      </c>
      <c r="O3487">
        <v>141.84</v>
      </c>
      <c r="P3487">
        <v>0</v>
      </c>
      <c r="Q3487">
        <v>0</v>
      </c>
      <c r="S3487">
        <v>29</v>
      </c>
      <c r="T3487">
        <v>1</v>
      </c>
      <c r="U3487">
        <v>3</v>
      </c>
      <c r="V3487">
        <v>141.84</v>
      </c>
      <c r="W3487">
        <v>13130003485</v>
      </c>
    </row>
    <row r="3488" spans="1:23" x14ac:dyDescent="0.2">
      <c r="A3488" s="1">
        <v>44800</v>
      </c>
      <c r="B3488" s="2">
        <v>0.35170138888888891</v>
      </c>
      <c r="C3488">
        <v>4486</v>
      </c>
      <c r="D3488">
        <v>13002561</v>
      </c>
      <c r="E3488">
        <v>13</v>
      </c>
      <c r="F3488">
        <v>22589</v>
      </c>
      <c r="G3488" t="s">
        <v>23</v>
      </c>
      <c r="H3488">
        <v>18</v>
      </c>
      <c r="I3488">
        <v>26399</v>
      </c>
      <c r="J3488" t="s">
        <v>31</v>
      </c>
      <c r="K3488" t="s">
        <v>25</v>
      </c>
      <c r="L3488" t="s">
        <v>29</v>
      </c>
      <c r="M3488">
        <v>1</v>
      </c>
      <c r="N3488">
        <v>556.74</v>
      </c>
      <c r="O3488">
        <v>886.66</v>
      </c>
      <c r="P3488">
        <v>44.33</v>
      </c>
      <c r="Q3488">
        <v>44.33</v>
      </c>
      <c r="R3488" t="s">
        <v>30</v>
      </c>
      <c r="S3488">
        <v>29</v>
      </c>
      <c r="T3488">
        <v>1</v>
      </c>
      <c r="U3488">
        <v>1</v>
      </c>
      <c r="V3488">
        <v>842.33</v>
      </c>
      <c r="W3488">
        <v>13130003486</v>
      </c>
    </row>
    <row r="3489" spans="1:23" x14ac:dyDescent="0.2">
      <c r="A3489" s="1">
        <v>44797</v>
      </c>
      <c r="B3489" s="2">
        <v>0.76280092592592597</v>
      </c>
      <c r="C3489">
        <v>4487</v>
      </c>
      <c r="D3489">
        <v>13002561</v>
      </c>
      <c r="E3489">
        <v>13</v>
      </c>
      <c r="F3489">
        <v>22589</v>
      </c>
      <c r="G3489" t="s">
        <v>23</v>
      </c>
      <c r="H3489">
        <v>15</v>
      </c>
      <c r="I3489">
        <v>28667</v>
      </c>
      <c r="J3489" t="s">
        <v>35</v>
      </c>
      <c r="K3489" t="s">
        <v>45</v>
      </c>
      <c r="L3489" t="s">
        <v>32</v>
      </c>
      <c r="M3489">
        <v>2</v>
      </c>
      <c r="N3489">
        <v>568.77</v>
      </c>
      <c r="O3489">
        <v>936.06</v>
      </c>
      <c r="P3489">
        <v>46.8</v>
      </c>
      <c r="Q3489">
        <v>46.8</v>
      </c>
      <c r="R3489" t="s">
        <v>30</v>
      </c>
      <c r="S3489">
        <v>29</v>
      </c>
      <c r="T3489">
        <v>1</v>
      </c>
      <c r="U3489">
        <v>6</v>
      </c>
      <c r="V3489">
        <v>889.26</v>
      </c>
      <c r="W3489">
        <v>13130003487</v>
      </c>
    </row>
    <row r="3490" spans="1:23" x14ac:dyDescent="0.2">
      <c r="A3490" s="1">
        <v>44777</v>
      </c>
      <c r="B3490" s="2">
        <v>0.57358796296296299</v>
      </c>
      <c r="C3490">
        <v>4488</v>
      </c>
      <c r="D3490">
        <v>13002561</v>
      </c>
      <c r="E3490">
        <v>13</v>
      </c>
      <c r="F3490">
        <v>22589</v>
      </c>
      <c r="G3490" t="s">
        <v>23</v>
      </c>
      <c r="H3490">
        <v>15</v>
      </c>
      <c r="I3490">
        <v>38089</v>
      </c>
      <c r="J3490" t="s">
        <v>53</v>
      </c>
      <c r="K3490" t="s">
        <v>44</v>
      </c>
      <c r="L3490" t="s">
        <v>34</v>
      </c>
      <c r="M3490">
        <v>2</v>
      </c>
      <c r="N3490">
        <v>57.21</v>
      </c>
      <c r="O3490">
        <v>76.2</v>
      </c>
      <c r="P3490">
        <v>3.81</v>
      </c>
      <c r="Q3490">
        <v>3.81</v>
      </c>
      <c r="R3490" t="s">
        <v>30</v>
      </c>
      <c r="S3490">
        <v>29</v>
      </c>
      <c r="T3490">
        <v>1</v>
      </c>
      <c r="U3490">
        <v>3</v>
      </c>
      <c r="V3490">
        <v>72.39</v>
      </c>
      <c r="W3490">
        <v>13130003488</v>
      </c>
    </row>
    <row r="3491" spans="1:23" x14ac:dyDescent="0.2">
      <c r="A3491" s="1">
        <v>44792</v>
      </c>
      <c r="B3491" s="2">
        <v>0.71988425925925925</v>
      </c>
      <c r="C3491">
        <v>4489</v>
      </c>
      <c r="D3491">
        <v>13002561</v>
      </c>
      <c r="E3491">
        <v>13</v>
      </c>
      <c r="F3491">
        <v>22589</v>
      </c>
      <c r="G3491" t="s">
        <v>23</v>
      </c>
      <c r="H3491">
        <v>15</v>
      </c>
      <c r="I3491">
        <v>48276</v>
      </c>
      <c r="J3491" t="s">
        <v>97</v>
      </c>
      <c r="K3491" t="s">
        <v>44</v>
      </c>
      <c r="L3491" t="s">
        <v>36</v>
      </c>
      <c r="M3491">
        <v>2</v>
      </c>
      <c r="N3491">
        <v>358.97</v>
      </c>
      <c r="O3491">
        <v>468.33</v>
      </c>
      <c r="P3491">
        <v>0</v>
      </c>
      <c r="Q3491">
        <v>0</v>
      </c>
      <c r="S3491">
        <v>29</v>
      </c>
      <c r="T3491">
        <v>1</v>
      </c>
      <c r="U3491">
        <v>5</v>
      </c>
      <c r="V3491">
        <v>468.33</v>
      </c>
      <c r="W3491">
        <v>13130003489</v>
      </c>
    </row>
    <row r="3492" spans="1:23" x14ac:dyDescent="0.2">
      <c r="A3492" s="1">
        <v>44788</v>
      </c>
      <c r="B3492" s="2">
        <v>0.67887731481481484</v>
      </c>
      <c r="C3492">
        <v>4490</v>
      </c>
      <c r="D3492">
        <v>13002561</v>
      </c>
      <c r="E3492">
        <v>13</v>
      </c>
      <c r="F3492">
        <v>22589</v>
      </c>
      <c r="G3492" t="s">
        <v>23</v>
      </c>
      <c r="H3492">
        <v>15</v>
      </c>
      <c r="I3492">
        <v>68885</v>
      </c>
      <c r="J3492" t="s">
        <v>125</v>
      </c>
      <c r="K3492" t="s">
        <v>45</v>
      </c>
      <c r="L3492" t="s">
        <v>26</v>
      </c>
      <c r="M3492">
        <v>3</v>
      </c>
      <c r="N3492">
        <v>92.95</v>
      </c>
      <c r="O3492">
        <v>136.04</v>
      </c>
      <c r="P3492">
        <v>13.6</v>
      </c>
      <c r="Q3492">
        <v>13.6</v>
      </c>
      <c r="R3492" t="s">
        <v>30</v>
      </c>
      <c r="S3492">
        <v>29</v>
      </c>
      <c r="T3492">
        <v>1</v>
      </c>
      <c r="U3492">
        <v>4</v>
      </c>
      <c r="V3492">
        <v>122.44</v>
      </c>
      <c r="W3492">
        <v>13130003490</v>
      </c>
    </row>
    <row r="3493" spans="1:23" x14ac:dyDescent="0.2">
      <c r="A3493" s="1">
        <v>44782</v>
      </c>
      <c r="B3493" s="2">
        <v>0.81655092592592593</v>
      </c>
      <c r="C3493">
        <v>4491</v>
      </c>
      <c r="D3493">
        <v>13002561</v>
      </c>
      <c r="E3493">
        <v>13</v>
      </c>
      <c r="F3493">
        <v>22589</v>
      </c>
      <c r="G3493" t="s">
        <v>23</v>
      </c>
      <c r="H3493">
        <v>15</v>
      </c>
      <c r="I3493">
        <v>99633</v>
      </c>
      <c r="J3493" t="s">
        <v>59</v>
      </c>
      <c r="K3493" t="s">
        <v>38</v>
      </c>
      <c r="L3493" t="s">
        <v>26</v>
      </c>
      <c r="M3493">
        <v>3</v>
      </c>
      <c r="N3493">
        <v>536.91</v>
      </c>
      <c r="O3493">
        <v>702.37</v>
      </c>
      <c r="P3493">
        <v>70.239999999999995</v>
      </c>
      <c r="Q3493">
        <v>70.239999999999995</v>
      </c>
      <c r="R3493" t="s">
        <v>30</v>
      </c>
      <c r="S3493">
        <v>29</v>
      </c>
      <c r="T3493">
        <v>1</v>
      </c>
      <c r="U3493">
        <v>1</v>
      </c>
      <c r="V3493">
        <v>632.13</v>
      </c>
      <c r="W3493">
        <v>13130003491</v>
      </c>
    </row>
    <row r="3494" spans="1:23" x14ac:dyDescent="0.2">
      <c r="A3494" s="1">
        <v>44784</v>
      </c>
      <c r="B3494" s="2">
        <v>0.80760416666666668</v>
      </c>
      <c r="C3494">
        <v>4492</v>
      </c>
      <c r="D3494">
        <v>13002561</v>
      </c>
      <c r="E3494">
        <v>13</v>
      </c>
      <c r="F3494">
        <v>22589</v>
      </c>
      <c r="G3494" t="s">
        <v>23</v>
      </c>
      <c r="H3494">
        <v>15</v>
      </c>
      <c r="I3494">
        <v>78624</v>
      </c>
      <c r="J3494" t="s">
        <v>128</v>
      </c>
      <c r="K3494" t="s">
        <v>38</v>
      </c>
      <c r="L3494" t="s">
        <v>26</v>
      </c>
      <c r="M3494">
        <v>2</v>
      </c>
      <c r="N3494">
        <v>71.400000000000006</v>
      </c>
      <c r="O3494">
        <v>109.16</v>
      </c>
      <c r="P3494">
        <v>0</v>
      </c>
      <c r="Q3494">
        <v>0</v>
      </c>
      <c r="S3494">
        <v>29</v>
      </c>
      <c r="T3494">
        <v>1</v>
      </c>
      <c r="U3494">
        <v>3</v>
      </c>
      <c r="V3494">
        <v>109.16</v>
      </c>
      <c r="W3494">
        <v>13130003492</v>
      </c>
    </row>
    <row r="3495" spans="1:23" x14ac:dyDescent="0.2">
      <c r="A3495" s="1">
        <v>44779</v>
      </c>
      <c r="B3495" s="2">
        <v>0.54290509259259256</v>
      </c>
      <c r="C3495">
        <v>4493</v>
      </c>
      <c r="D3495">
        <v>13002561</v>
      </c>
      <c r="E3495">
        <v>13</v>
      </c>
      <c r="F3495">
        <v>22589</v>
      </c>
      <c r="G3495" t="s">
        <v>23</v>
      </c>
      <c r="H3495">
        <v>15</v>
      </c>
      <c r="I3495">
        <v>89541</v>
      </c>
      <c r="J3495" t="s">
        <v>41</v>
      </c>
      <c r="K3495" t="s">
        <v>28</v>
      </c>
      <c r="L3495" t="s">
        <v>29</v>
      </c>
      <c r="M3495">
        <v>3</v>
      </c>
      <c r="N3495">
        <v>43.51</v>
      </c>
      <c r="O3495">
        <v>63.44</v>
      </c>
      <c r="P3495">
        <v>3.17</v>
      </c>
      <c r="Q3495">
        <v>3.17</v>
      </c>
      <c r="R3495" t="s">
        <v>30</v>
      </c>
      <c r="S3495">
        <v>29</v>
      </c>
      <c r="T3495">
        <v>1</v>
      </c>
      <c r="U3495">
        <v>3</v>
      </c>
      <c r="V3495">
        <v>60.27</v>
      </c>
      <c r="W3495">
        <v>13130003493</v>
      </c>
    </row>
    <row r="3496" spans="1:23" x14ac:dyDescent="0.2">
      <c r="A3496" s="1">
        <v>44780</v>
      </c>
      <c r="B3496" s="2">
        <v>0.40922453703703698</v>
      </c>
      <c r="C3496">
        <v>4494</v>
      </c>
      <c r="D3496">
        <v>13002561</v>
      </c>
      <c r="E3496">
        <v>13</v>
      </c>
      <c r="F3496">
        <v>22589</v>
      </c>
      <c r="G3496" t="s">
        <v>23</v>
      </c>
      <c r="H3496">
        <v>15</v>
      </c>
      <c r="I3496">
        <v>46272</v>
      </c>
      <c r="J3496" t="s">
        <v>54</v>
      </c>
      <c r="K3496" t="s">
        <v>45</v>
      </c>
      <c r="L3496" t="s">
        <v>29</v>
      </c>
      <c r="M3496">
        <v>2</v>
      </c>
      <c r="N3496">
        <v>257.39999999999998</v>
      </c>
      <c r="O3496">
        <v>337.68</v>
      </c>
      <c r="P3496">
        <v>33.770000000000003</v>
      </c>
      <c r="Q3496">
        <v>33.770000000000003</v>
      </c>
      <c r="R3496" t="s">
        <v>30</v>
      </c>
      <c r="S3496">
        <v>29</v>
      </c>
      <c r="T3496">
        <v>1</v>
      </c>
      <c r="U3496">
        <v>2</v>
      </c>
      <c r="V3496">
        <v>303.91000000000003</v>
      </c>
      <c r="W3496">
        <v>13130003494</v>
      </c>
    </row>
    <row r="3497" spans="1:23" x14ac:dyDescent="0.2">
      <c r="A3497" s="1">
        <v>44802</v>
      </c>
      <c r="B3497" s="2">
        <v>0.6096759259259259</v>
      </c>
      <c r="C3497">
        <v>4495</v>
      </c>
      <c r="D3497">
        <v>13002561</v>
      </c>
      <c r="E3497">
        <v>13</v>
      </c>
      <c r="F3497">
        <v>22589</v>
      </c>
      <c r="G3497" t="s">
        <v>23</v>
      </c>
      <c r="H3497">
        <v>18</v>
      </c>
      <c r="I3497">
        <v>61626</v>
      </c>
      <c r="J3497" t="s">
        <v>113</v>
      </c>
      <c r="K3497" t="s">
        <v>44</v>
      </c>
      <c r="L3497" t="s">
        <v>36</v>
      </c>
      <c r="M3497">
        <v>2</v>
      </c>
      <c r="N3497">
        <v>521.47</v>
      </c>
      <c r="O3497">
        <v>713.53</v>
      </c>
      <c r="P3497">
        <v>35.68</v>
      </c>
      <c r="Q3497">
        <v>35.68</v>
      </c>
      <c r="R3497" t="s">
        <v>30</v>
      </c>
      <c r="S3497">
        <v>29</v>
      </c>
      <c r="T3497">
        <v>1</v>
      </c>
      <c r="U3497">
        <v>1</v>
      </c>
      <c r="V3497">
        <v>677.85</v>
      </c>
      <c r="W3497">
        <v>13130003495</v>
      </c>
    </row>
    <row r="3498" spans="1:23" x14ac:dyDescent="0.2">
      <c r="A3498" s="1">
        <v>44775</v>
      </c>
      <c r="B3498" s="2">
        <v>0.79032407407407412</v>
      </c>
      <c r="C3498">
        <v>4496</v>
      </c>
      <c r="D3498">
        <v>13002561</v>
      </c>
      <c r="E3498">
        <v>13</v>
      </c>
      <c r="F3498">
        <v>22589</v>
      </c>
      <c r="G3498" t="s">
        <v>23</v>
      </c>
      <c r="H3498">
        <v>15</v>
      </c>
      <c r="I3498">
        <v>14419</v>
      </c>
      <c r="J3498" t="s">
        <v>46</v>
      </c>
      <c r="K3498" t="s">
        <v>45</v>
      </c>
      <c r="L3498" t="s">
        <v>47</v>
      </c>
      <c r="M3498">
        <v>3</v>
      </c>
      <c r="N3498">
        <v>502.14</v>
      </c>
      <c r="O3498">
        <v>804.36</v>
      </c>
      <c r="P3498">
        <v>80.44</v>
      </c>
      <c r="Q3498">
        <v>80.44</v>
      </c>
      <c r="R3498" t="s">
        <v>30</v>
      </c>
      <c r="S3498">
        <v>29</v>
      </c>
      <c r="T3498">
        <v>1</v>
      </c>
      <c r="U3498">
        <v>6</v>
      </c>
      <c r="V3498">
        <v>723.92</v>
      </c>
      <c r="W3498">
        <v>13130003496</v>
      </c>
    </row>
    <row r="3499" spans="1:23" x14ac:dyDescent="0.2">
      <c r="A3499" s="1">
        <v>44780</v>
      </c>
      <c r="B3499" s="2">
        <v>0.59649305555555554</v>
      </c>
      <c r="C3499">
        <v>4497</v>
      </c>
      <c r="D3499">
        <v>13002561</v>
      </c>
      <c r="E3499">
        <v>13</v>
      </c>
      <c r="F3499">
        <v>22589</v>
      </c>
      <c r="G3499" t="s">
        <v>23</v>
      </c>
      <c r="H3499">
        <v>15</v>
      </c>
      <c r="I3499">
        <v>95344</v>
      </c>
      <c r="J3499" t="s">
        <v>76</v>
      </c>
      <c r="K3499" t="s">
        <v>28</v>
      </c>
      <c r="L3499" t="s">
        <v>34</v>
      </c>
      <c r="M3499">
        <v>2</v>
      </c>
      <c r="N3499">
        <v>200.47</v>
      </c>
      <c r="O3499">
        <v>262.49</v>
      </c>
      <c r="P3499">
        <v>13.12</v>
      </c>
      <c r="Q3499">
        <v>13.12</v>
      </c>
      <c r="R3499" t="s">
        <v>30</v>
      </c>
      <c r="S3499">
        <v>29</v>
      </c>
      <c r="T3499">
        <v>1</v>
      </c>
      <c r="U3499">
        <v>6</v>
      </c>
      <c r="V3499">
        <v>249.37</v>
      </c>
      <c r="W3499">
        <v>13130003497</v>
      </c>
    </row>
    <row r="3500" spans="1:23" x14ac:dyDescent="0.2">
      <c r="A3500" s="1">
        <v>44780</v>
      </c>
      <c r="B3500" s="2">
        <v>0.76862268518518517</v>
      </c>
      <c r="C3500">
        <v>4498</v>
      </c>
      <c r="D3500">
        <v>13002561</v>
      </c>
      <c r="E3500">
        <v>13</v>
      </c>
      <c r="F3500">
        <v>22589</v>
      </c>
      <c r="G3500" t="s">
        <v>23</v>
      </c>
      <c r="H3500">
        <v>18</v>
      </c>
      <c r="I3500">
        <v>96679</v>
      </c>
      <c r="J3500" t="s">
        <v>123</v>
      </c>
      <c r="K3500" t="s">
        <v>25</v>
      </c>
      <c r="L3500" t="s">
        <v>36</v>
      </c>
      <c r="M3500">
        <v>3</v>
      </c>
      <c r="N3500">
        <v>302.58999999999997</v>
      </c>
      <c r="O3500">
        <v>451.25</v>
      </c>
      <c r="P3500">
        <v>45.12</v>
      </c>
      <c r="Q3500">
        <v>45.12</v>
      </c>
      <c r="R3500" t="s">
        <v>30</v>
      </c>
      <c r="S3500">
        <v>29</v>
      </c>
      <c r="T3500">
        <v>1</v>
      </c>
      <c r="U3500">
        <v>6</v>
      </c>
      <c r="V3500">
        <v>406.13</v>
      </c>
      <c r="W3500">
        <v>13130003498</v>
      </c>
    </row>
    <row r="3501" spans="1:23" x14ac:dyDescent="0.2">
      <c r="A3501" s="1">
        <v>44776</v>
      </c>
      <c r="B3501" s="2">
        <v>0.70878472222222222</v>
      </c>
      <c r="C3501">
        <v>4499</v>
      </c>
      <c r="D3501">
        <v>13002561</v>
      </c>
      <c r="E3501">
        <v>13</v>
      </c>
      <c r="F3501">
        <v>22589</v>
      </c>
      <c r="G3501" t="s">
        <v>23</v>
      </c>
      <c r="H3501">
        <v>18</v>
      </c>
      <c r="I3501">
        <v>20579</v>
      </c>
      <c r="J3501" t="s">
        <v>50</v>
      </c>
      <c r="K3501" t="s">
        <v>60</v>
      </c>
      <c r="L3501" t="s">
        <v>32</v>
      </c>
      <c r="M3501">
        <v>2</v>
      </c>
      <c r="N3501">
        <v>160.69</v>
      </c>
      <c r="O3501">
        <v>253.07</v>
      </c>
      <c r="P3501">
        <v>25.31</v>
      </c>
      <c r="Q3501">
        <v>25.31</v>
      </c>
      <c r="R3501" t="s">
        <v>30</v>
      </c>
      <c r="S3501">
        <v>29</v>
      </c>
      <c r="T3501">
        <v>1</v>
      </c>
      <c r="U3501">
        <v>1</v>
      </c>
      <c r="V3501">
        <v>227.76</v>
      </c>
      <c r="W3501">
        <v>13130003499</v>
      </c>
    </row>
    <row r="3502" spans="1:23" x14ac:dyDescent="0.2">
      <c r="A3502" s="1">
        <v>44799</v>
      </c>
      <c r="B3502" s="2">
        <v>0.54398148148148151</v>
      </c>
      <c r="C3502">
        <v>4500</v>
      </c>
      <c r="D3502">
        <v>13002561</v>
      </c>
      <c r="E3502">
        <v>13</v>
      </c>
      <c r="F3502">
        <v>22589</v>
      </c>
      <c r="G3502" t="s">
        <v>23</v>
      </c>
      <c r="H3502">
        <v>18</v>
      </c>
      <c r="I3502">
        <v>87221</v>
      </c>
      <c r="J3502" t="s">
        <v>89</v>
      </c>
      <c r="K3502" t="s">
        <v>25</v>
      </c>
      <c r="L3502" t="s">
        <v>32</v>
      </c>
      <c r="M3502">
        <v>3</v>
      </c>
      <c r="N3502">
        <v>22.33</v>
      </c>
      <c r="O3502">
        <v>37.83</v>
      </c>
      <c r="P3502">
        <v>1.89</v>
      </c>
      <c r="Q3502">
        <v>1.89</v>
      </c>
      <c r="R3502" t="s">
        <v>30</v>
      </c>
      <c r="S3502">
        <v>29</v>
      </c>
      <c r="T3502">
        <v>1</v>
      </c>
      <c r="U3502">
        <v>6</v>
      </c>
      <c r="V3502">
        <v>35.94</v>
      </c>
      <c r="W3502">
        <v>13130003500</v>
      </c>
    </row>
    <row r="3503" spans="1:23" x14ac:dyDescent="0.2">
      <c r="A3503" s="1">
        <v>44799</v>
      </c>
      <c r="B3503" s="2">
        <v>0.71765046296296298</v>
      </c>
      <c r="C3503">
        <v>4501</v>
      </c>
      <c r="D3503">
        <v>13002561</v>
      </c>
      <c r="E3503">
        <v>13</v>
      </c>
      <c r="F3503">
        <v>22589</v>
      </c>
      <c r="G3503" t="s">
        <v>23</v>
      </c>
      <c r="H3503">
        <v>18</v>
      </c>
      <c r="I3503">
        <v>85511</v>
      </c>
      <c r="J3503" t="s">
        <v>66</v>
      </c>
      <c r="K3503" t="s">
        <v>60</v>
      </c>
      <c r="L3503" t="s">
        <v>47</v>
      </c>
      <c r="M3503">
        <v>3</v>
      </c>
      <c r="N3503">
        <v>111.42</v>
      </c>
      <c r="O3503">
        <v>147.96</v>
      </c>
      <c r="P3503">
        <v>14.8</v>
      </c>
      <c r="Q3503">
        <v>14.8</v>
      </c>
      <c r="R3503" t="s">
        <v>30</v>
      </c>
      <c r="S3503">
        <v>29</v>
      </c>
      <c r="T3503">
        <v>1</v>
      </c>
      <c r="U3503">
        <v>1</v>
      </c>
      <c r="V3503">
        <v>133.16</v>
      </c>
      <c r="W3503">
        <v>13130003501</v>
      </c>
    </row>
    <row r="3504" spans="1:23" x14ac:dyDescent="0.2">
      <c r="A3504" s="1">
        <v>44791</v>
      </c>
      <c r="B3504" s="2">
        <v>0.49776620370370372</v>
      </c>
      <c r="C3504">
        <v>4502</v>
      </c>
      <c r="D3504">
        <v>13002561</v>
      </c>
      <c r="E3504">
        <v>13</v>
      </c>
      <c r="F3504">
        <v>22589</v>
      </c>
      <c r="G3504" t="s">
        <v>23</v>
      </c>
      <c r="H3504">
        <v>15</v>
      </c>
      <c r="I3504">
        <v>11374</v>
      </c>
      <c r="J3504" t="s">
        <v>70</v>
      </c>
      <c r="K3504" t="s">
        <v>45</v>
      </c>
      <c r="L3504" t="s">
        <v>47</v>
      </c>
      <c r="M3504">
        <v>1</v>
      </c>
      <c r="N3504">
        <v>518.04</v>
      </c>
      <c r="O3504">
        <v>855.94</v>
      </c>
      <c r="P3504">
        <v>42.8</v>
      </c>
      <c r="Q3504">
        <v>42.8</v>
      </c>
      <c r="R3504" t="s">
        <v>30</v>
      </c>
      <c r="S3504">
        <v>29</v>
      </c>
      <c r="T3504">
        <v>1</v>
      </c>
      <c r="U3504">
        <v>4</v>
      </c>
      <c r="V3504">
        <v>813.14</v>
      </c>
      <c r="W3504">
        <v>13130003502</v>
      </c>
    </row>
    <row r="3505" spans="1:23" x14ac:dyDescent="0.2">
      <c r="A3505" s="1">
        <v>44795</v>
      </c>
      <c r="B3505" s="2">
        <v>0.81975694444444447</v>
      </c>
      <c r="C3505">
        <v>4503</v>
      </c>
      <c r="D3505">
        <v>13002561</v>
      </c>
      <c r="E3505">
        <v>13</v>
      </c>
      <c r="F3505">
        <v>22589</v>
      </c>
      <c r="G3505" t="s">
        <v>23</v>
      </c>
      <c r="H3505">
        <v>15</v>
      </c>
      <c r="I3505">
        <v>72258</v>
      </c>
      <c r="J3505" t="s">
        <v>85</v>
      </c>
      <c r="K3505" t="s">
        <v>28</v>
      </c>
      <c r="L3505" t="s">
        <v>36</v>
      </c>
      <c r="M3505">
        <v>3</v>
      </c>
      <c r="N3505">
        <v>413.88</v>
      </c>
      <c r="O3505">
        <v>550.67999999999995</v>
      </c>
      <c r="P3505">
        <v>0</v>
      </c>
      <c r="Q3505">
        <v>0</v>
      </c>
      <c r="S3505">
        <v>29</v>
      </c>
      <c r="T3505">
        <v>1</v>
      </c>
      <c r="U3505">
        <v>1</v>
      </c>
      <c r="V3505">
        <v>550.67999999999995</v>
      </c>
      <c r="W3505">
        <v>13130003503</v>
      </c>
    </row>
    <row r="3506" spans="1:23" x14ac:dyDescent="0.2">
      <c r="A3506" s="1">
        <v>44781</v>
      </c>
      <c r="B3506" s="2">
        <v>0.65995370370370365</v>
      </c>
      <c r="C3506">
        <v>4504</v>
      </c>
      <c r="D3506">
        <v>13002561</v>
      </c>
      <c r="E3506">
        <v>13</v>
      </c>
      <c r="F3506">
        <v>22589</v>
      </c>
      <c r="G3506" t="s">
        <v>23</v>
      </c>
      <c r="H3506">
        <v>18</v>
      </c>
      <c r="I3506">
        <v>35375</v>
      </c>
      <c r="J3506" t="s">
        <v>54</v>
      </c>
      <c r="K3506" t="s">
        <v>28</v>
      </c>
      <c r="L3506" t="s">
        <v>26</v>
      </c>
      <c r="M3506">
        <v>1</v>
      </c>
      <c r="N3506">
        <v>223.8</v>
      </c>
      <c r="O3506">
        <v>311.82</v>
      </c>
      <c r="P3506">
        <v>0</v>
      </c>
      <c r="Q3506">
        <v>0</v>
      </c>
      <c r="S3506">
        <v>29</v>
      </c>
      <c r="T3506">
        <v>1</v>
      </c>
      <c r="U3506">
        <v>6</v>
      </c>
      <c r="V3506">
        <v>311.82</v>
      </c>
      <c r="W3506">
        <v>13130003504</v>
      </c>
    </row>
    <row r="3507" spans="1:23" x14ac:dyDescent="0.2">
      <c r="A3507" s="1">
        <v>44784</v>
      </c>
      <c r="B3507" s="2">
        <v>0.92365740740740743</v>
      </c>
      <c r="C3507">
        <v>4505</v>
      </c>
      <c r="D3507">
        <v>13002561</v>
      </c>
      <c r="E3507">
        <v>13</v>
      </c>
      <c r="F3507">
        <v>22589</v>
      </c>
      <c r="G3507" t="s">
        <v>23</v>
      </c>
      <c r="H3507">
        <v>18</v>
      </c>
      <c r="I3507">
        <v>20426</v>
      </c>
      <c r="J3507" t="s">
        <v>97</v>
      </c>
      <c r="K3507" t="s">
        <v>25</v>
      </c>
      <c r="L3507" t="s">
        <v>47</v>
      </c>
      <c r="M3507">
        <v>3</v>
      </c>
      <c r="N3507">
        <v>382.83</v>
      </c>
      <c r="O3507">
        <v>595.02</v>
      </c>
      <c r="P3507">
        <v>29.75</v>
      </c>
      <c r="Q3507">
        <v>29.75</v>
      </c>
      <c r="R3507" t="s">
        <v>30</v>
      </c>
      <c r="S3507">
        <v>29</v>
      </c>
      <c r="T3507">
        <v>1</v>
      </c>
      <c r="U3507">
        <v>5</v>
      </c>
      <c r="V3507">
        <v>565.27</v>
      </c>
      <c r="W3507">
        <v>13130003505</v>
      </c>
    </row>
    <row r="3508" spans="1:23" x14ac:dyDescent="0.2">
      <c r="A3508" s="1">
        <v>44802</v>
      </c>
      <c r="B3508" s="2">
        <v>0.72811342592592587</v>
      </c>
      <c r="C3508">
        <v>4506</v>
      </c>
      <c r="D3508">
        <v>13002561</v>
      </c>
      <c r="E3508">
        <v>13</v>
      </c>
      <c r="F3508">
        <v>22589</v>
      </c>
      <c r="G3508" t="s">
        <v>23</v>
      </c>
      <c r="H3508">
        <v>18</v>
      </c>
      <c r="I3508">
        <v>66538</v>
      </c>
      <c r="J3508" t="s">
        <v>31</v>
      </c>
      <c r="K3508" t="s">
        <v>28</v>
      </c>
      <c r="L3508" t="s">
        <v>32</v>
      </c>
      <c r="M3508">
        <v>3</v>
      </c>
      <c r="N3508">
        <v>327.45</v>
      </c>
      <c r="O3508">
        <v>539.71</v>
      </c>
      <c r="P3508">
        <v>53.97</v>
      </c>
      <c r="Q3508">
        <v>53.97</v>
      </c>
      <c r="R3508" t="s">
        <v>30</v>
      </c>
      <c r="S3508">
        <v>29</v>
      </c>
      <c r="T3508">
        <v>1</v>
      </c>
      <c r="U3508">
        <v>1</v>
      </c>
      <c r="V3508">
        <v>485.74</v>
      </c>
      <c r="W3508">
        <v>13130003506</v>
      </c>
    </row>
    <row r="3509" spans="1:23" x14ac:dyDescent="0.2">
      <c r="A3509" s="1">
        <v>44800</v>
      </c>
      <c r="B3509" s="2">
        <v>0.6144560185185185</v>
      </c>
      <c r="C3509">
        <v>4507</v>
      </c>
      <c r="D3509">
        <v>13002561</v>
      </c>
      <c r="E3509">
        <v>13</v>
      </c>
      <c r="F3509">
        <v>22589</v>
      </c>
      <c r="G3509" t="s">
        <v>23</v>
      </c>
      <c r="H3509">
        <v>18</v>
      </c>
      <c r="I3509">
        <v>41952</v>
      </c>
      <c r="J3509" t="s">
        <v>97</v>
      </c>
      <c r="K3509" t="s">
        <v>44</v>
      </c>
      <c r="L3509" t="s">
        <v>26</v>
      </c>
      <c r="M3509">
        <v>1</v>
      </c>
      <c r="N3509">
        <v>70.83</v>
      </c>
      <c r="O3509">
        <v>99.2</v>
      </c>
      <c r="P3509">
        <v>9.92</v>
      </c>
      <c r="Q3509">
        <v>9.92</v>
      </c>
      <c r="R3509" t="s">
        <v>30</v>
      </c>
      <c r="S3509">
        <v>29</v>
      </c>
      <c r="T3509">
        <v>1</v>
      </c>
      <c r="U3509">
        <v>4</v>
      </c>
      <c r="V3509">
        <v>89.28</v>
      </c>
      <c r="W3509">
        <v>13130003507</v>
      </c>
    </row>
    <row r="3510" spans="1:23" x14ac:dyDescent="0.2">
      <c r="A3510" s="1">
        <v>44799</v>
      </c>
      <c r="B3510" s="2">
        <v>0.8459606481481482</v>
      </c>
      <c r="C3510">
        <v>4508</v>
      </c>
      <c r="D3510">
        <v>13002561</v>
      </c>
      <c r="E3510">
        <v>13</v>
      </c>
      <c r="F3510">
        <v>22589</v>
      </c>
      <c r="G3510" t="s">
        <v>23</v>
      </c>
      <c r="H3510">
        <v>18</v>
      </c>
      <c r="I3510">
        <v>91523</v>
      </c>
      <c r="J3510" t="s">
        <v>106</v>
      </c>
      <c r="K3510" t="s">
        <v>25</v>
      </c>
      <c r="L3510" t="s">
        <v>39</v>
      </c>
      <c r="M3510">
        <v>2</v>
      </c>
      <c r="N3510">
        <v>297.64999999999998</v>
      </c>
      <c r="O3510">
        <v>376.64</v>
      </c>
      <c r="P3510">
        <v>37.659999999999997</v>
      </c>
      <c r="Q3510">
        <v>37.659999999999997</v>
      </c>
      <c r="R3510" t="s">
        <v>30</v>
      </c>
      <c r="S3510">
        <v>29</v>
      </c>
      <c r="T3510">
        <v>1</v>
      </c>
      <c r="U3510">
        <v>2</v>
      </c>
      <c r="V3510">
        <v>338.98</v>
      </c>
      <c r="W3510">
        <v>13130003508</v>
      </c>
    </row>
    <row r="3511" spans="1:23" x14ac:dyDescent="0.2">
      <c r="A3511" s="1">
        <v>44801</v>
      </c>
      <c r="B3511" s="2">
        <v>0.55787037037037035</v>
      </c>
      <c r="C3511">
        <v>4509</v>
      </c>
      <c r="D3511">
        <v>13002561</v>
      </c>
      <c r="E3511">
        <v>13</v>
      </c>
      <c r="F3511">
        <v>22589</v>
      </c>
      <c r="G3511" t="s">
        <v>23</v>
      </c>
      <c r="H3511">
        <v>15</v>
      </c>
      <c r="I3511">
        <v>40464</v>
      </c>
      <c r="J3511" t="s">
        <v>123</v>
      </c>
      <c r="K3511" t="s">
        <v>60</v>
      </c>
      <c r="L3511" t="s">
        <v>36</v>
      </c>
      <c r="M3511">
        <v>2</v>
      </c>
      <c r="N3511">
        <v>579.79</v>
      </c>
      <c r="O3511">
        <v>928.02</v>
      </c>
      <c r="P3511">
        <v>46.4</v>
      </c>
      <c r="Q3511">
        <v>46.4</v>
      </c>
      <c r="R3511" t="s">
        <v>30</v>
      </c>
      <c r="S3511">
        <v>29</v>
      </c>
      <c r="T3511">
        <v>1</v>
      </c>
      <c r="U3511">
        <v>6</v>
      </c>
      <c r="V3511">
        <v>881.62</v>
      </c>
      <c r="W3511">
        <v>13130003509</v>
      </c>
    </row>
    <row r="3512" spans="1:23" x14ac:dyDescent="0.2">
      <c r="A3512" s="1">
        <v>44788</v>
      </c>
      <c r="B3512" s="2">
        <v>0.91509259259259257</v>
      </c>
      <c r="C3512">
        <v>4510</v>
      </c>
      <c r="D3512">
        <v>13002561</v>
      </c>
      <c r="E3512">
        <v>13</v>
      </c>
      <c r="F3512">
        <v>22589</v>
      </c>
      <c r="G3512" t="s">
        <v>23</v>
      </c>
      <c r="H3512">
        <v>18</v>
      </c>
      <c r="I3512">
        <v>80102</v>
      </c>
      <c r="J3512" t="s">
        <v>24</v>
      </c>
      <c r="K3512" t="s">
        <v>38</v>
      </c>
      <c r="L3512" t="s">
        <v>29</v>
      </c>
      <c r="M3512">
        <v>3</v>
      </c>
      <c r="N3512">
        <v>499.07</v>
      </c>
      <c r="O3512">
        <v>769.22</v>
      </c>
      <c r="P3512">
        <v>76.92</v>
      </c>
      <c r="Q3512">
        <v>76.92</v>
      </c>
      <c r="R3512" t="s">
        <v>30</v>
      </c>
      <c r="S3512">
        <v>29</v>
      </c>
      <c r="T3512">
        <v>1</v>
      </c>
      <c r="U3512">
        <v>3</v>
      </c>
      <c r="V3512">
        <v>692.3</v>
      </c>
      <c r="W3512">
        <v>13130003510</v>
      </c>
    </row>
    <row r="3513" spans="1:23" x14ac:dyDescent="0.2">
      <c r="A3513" s="1">
        <v>44777</v>
      </c>
      <c r="B3513" s="2">
        <v>0.4208101851851852</v>
      </c>
      <c r="C3513">
        <v>4511</v>
      </c>
      <c r="D3513">
        <v>13002561</v>
      </c>
      <c r="E3513">
        <v>13</v>
      </c>
      <c r="F3513">
        <v>22589</v>
      </c>
      <c r="G3513" t="s">
        <v>23</v>
      </c>
      <c r="H3513">
        <v>15</v>
      </c>
      <c r="I3513">
        <v>64468</v>
      </c>
      <c r="J3513" t="s">
        <v>101</v>
      </c>
      <c r="K3513" t="s">
        <v>25</v>
      </c>
      <c r="L3513" t="s">
        <v>26</v>
      </c>
      <c r="M3513">
        <v>3</v>
      </c>
      <c r="N3513">
        <v>445.14</v>
      </c>
      <c r="O3513">
        <v>635.01</v>
      </c>
      <c r="P3513">
        <v>63.5</v>
      </c>
      <c r="Q3513">
        <v>63.5</v>
      </c>
      <c r="R3513" t="s">
        <v>30</v>
      </c>
      <c r="S3513">
        <v>29</v>
      </c>
      <c r="T3513">
        <v>1</v>
      </c>
      <c r="U3513">
        <v>3</v>
      </c>
      <c r="V3513">
        <v>571.51</v>
      </c>
      <c r="W3513">
        <v>13130003511</v>
      </c>
    </row>
    <row r="3514" spans="1:23" x14ac:dyDescent="0.2">
      <c r="A3514" s="1">
        <v>44803</v>
      </c>
      <c r="B3514" s="2">
        <v>0.34453703703703698</v>
      </c>
      <c r="C3514">
        <v>4512</v>
      </c>
      <c r="D3514">
        <v>13002561</v>
      </c>
      <c r="E3514">
        <v>13</v>
      </c>
      <c r="F3514">
        <v>22589</v>
      </c>
      <c r="G3514" t="s">
        <v>23</v>
      </c>
      <c r="H3514">
        <v>18</v>
      </c>
      <c r="I3514">
        <v>24604</v>
      </c>
      <c r="J3514" t="s">
        <v>56</v>
      </c>
      <c r="K3514" t="s">
        <v>45</v>
      </c>
      <c r="L3514" t="s">
        <v>29</v>
      </c>
      <c r="M3514">
        <v>3</v>
      </c>
      <c r="N3514">
        <v>138.22999999999999</v>
      </c>
      <c r="O3514">
        <v>196.47</v>
      </c>
      <c r="P3514">
        <v>9.82</v>
      </c>
      <c r="Q3514">
        <v>9.82</v>
      </c>
      <c r="R3514" t="s">
        <v>30</v>
      </c>
      <c r="S3514">
        <v>29</v>
      </c>
      <c r="T3514">
        <v>1</v>
      </c>
      <c r="U3514">
        <v>6</v>
      </c>
      <c r="V3514">
        <v>186.65</v>
      </c>
      <c r="W3514">
        <v>13130003512</v>
      </c>
    </row>
    <row r="3515" spans="1:23" x14ac:dyDescent="0.2">
      <c r="A3515" s="1">
        <v>44781</v>
      </c>
      <c r="B3515" s="2">
        <v>0.49489583333333331</v>
      </c>
      <c r="C3515">
        <v>4513</v>
      </c>
      <c r="D3515">
        <v>13002561</v>
      </c>
      <c r="E3515">
        <v>13</v>
      </c>
      <c r="F3515">
        <v>22589</v>
      </c>
      <c r="G3515" t="s">
        <v>23</v>
      </c>
      <c r="H3515">
        <v>18</v>
      </c>
      <c r="I3515">
        <v>70913</v>
      </c>
      <c r="J3515" t="s">
        <v>61</v>
      </c>
      <c r="K3515" t="s">
        <v>28</v>
      </c>
      <c r="L3515" t="s">
        <v>47</v>
      </c>
      <c r="M3515">
        <v>2</v>
      </c>
      <c r="N3515">
        <v>416.24</v>
      </c>
      <c r="O3515">
        <v>664.53</v>
      </c>
      <c r="P3515">
        <v>66.45</v>
      </c>
      <c r="Q3515">
        <v>66.45</v>
      </c>
      <c r="R3515" t="s">
        <v>30</v>
      </c>
      <c r="S3515">
        <v>29</v>
      </c>
      <c r="T3515">
        <v>1</v>
      </c>
      <c r="U3515">
        <v>3</v>
      </c>
      <c r="V3515">
        <v>598.08000000000004</v>
      </c>
      <c r="W3515">
        <v>13130003513</v>
      </c>
    </row>
    <row r="3516" spans="1:23" x14ac:dyDescent="0.2">
      <c r="A3516" s="1">
        <v>44784</v>
      </c>
      <c r="B3516" s="2">
        <v>0.43843749999999998</v>
      </c>
      <c r="C3516">
        <v>4514</v>
      </c>
      <c r="D3516">
        <v>13002561</v>
      </c>
      <c r="E3516">
        <v>13</v>
      </c>
      <c r="F3516">
        <v>22589</v>
      </c>
      <c r="G3516" t="s">
        <v>23</v>
      </c>
      <c r="H3516">
        <v>15</v>
      </c>
      <c r="I3516">
        <v>11447</v>
      </c>
      <c r="J3516" t="s">
        <v>70</v>
      </c>
      <c r="K3516" t="s">
        <v>60</v>
      </c>
      <c r="L3516" t="s">
        <v>26</v>
      </c>
      <c r="M3516">
        <v>2</v>
      </c>
      <c r="N3516">
        <v>326.97000000000003</v>
      </c>
      <c r="O3516">
        <v>461.31</v>
      </c>
      <c r="P3516">
        <v>46.13</v>
      </c>
      <c r="Q3516">
        <v>46.13</v>
      </c>
      <c r="R3516" t="s">
        <v>30</v>
      </c>
      <c r="S3516">
        <v>29</v>
      </c>
      <c r="T3516">
        <v>1</v>
      </c>
      <c r="U3516">
        <v>4</v>
      </c>
      <c r="V3516">
        <v>415.18</v>
      </c>
      <c r="W3516">
        <v>13130003514</v>
      </c>
    </row>
    <row r="3517" spans="1:23" x14ac:dyDescent="0.2">
      <c r="A3517" s="1">
        <v>44777</v>
      </c>
      <c r="B3517" s="2">
        <v>0.89017361111111115</v>
      </c>
      <c r="C3517">
        <v>4515</v>
      </c>
      <c r="D3517">
        <v>13002561</v>
      </c>
      <c r="E3517">
        <v>13</v>
      </c>
      <c r="F3517">
        <v>22589</v>
      </c>
      <c r="G3517" t="s">
        <v>23</v>
      </c>
      <c r="H3517">
        <v>18</v>
      </c>
      <c r="I3517">
        <v>97884</v>
      </c>
      <c r="J3517" t="s">
        <v>94</v>
      </c>
      <c r="K3517" t="s">
        <v>38</v>
      </c>
      <c r="L3517" t="s">
        <v>51</v>
      </c>
      <c r="M3517">
        <v>3</v>
      </c>
      <c r="N3517">
        <v>32.630000000000003</v>
      </c>
      <c r="O3517">
        <v>42.58</v>
      </c>
      <c r="P3517">
        <v>2.13</v>
      </c>
      <c r="Q3517">
        <v>2.13</v>
      </c>
      <c r="R3517" t="s">
        <v>30</v>
      </c>
      <c r="S3517">
        <v>29</v>
      </c>
      <c r="T3517">
        <v>1</v>
      </c>
      <c r="U3517">
        <v>1</v>
      </c>
      <c r="V3517">
        <v>40.450000000000003</v>
      </c>
      <c r="W3517">
        <v>13130003515</v>
      </c>
    </row>
    <row r="3518" spans="1:23" x14ac:dyDescent="0.2">
      <c r="A3518" s="1">
        <v>44786</v>
      </c>
      <c r="B3518" s="2">
        <v>0.95694444444444449</v>
      </c>
      <c r="C3518">
        <v>4516</v>
      </c>
      <c r="D3518">
        <v>13002561</v>
      </c>
      <c r="E3518">
        <v>13</v>
      </c>
      <c r="F3518">
        <v>22589</v>
      </c>
      <c r="G3518" t="s">
        <v>23</v>
      </c>
      <c r="H3518">
        <v>15</v>
      </c>
      <c r="I3518">
        <v>79580</v>
      </c>
      <c r="J3518" t="s">
        <v>54</v>
      </c>
      <c r="K3518" t="s">
        <v>44</v>
      </c>
      <c r="L3518" t="s">
        <v>39</v>
      </c>
      <c r="M3518">
        <v>3</v>
      </c>
      <c r="N3518">
        <v>172.01</v>
      </c>
      <c r="O3518">
        <v>225.28</v>
      </c>
      <c r="P3518">
        <v>11.26</v>
      </c>
      <c r="Q3518">
        <v>11.26</v>
      </c>
      <c r="R3518" t="s">
        <v>30</v>
      </c>
      <c r="S3518">
        <v>29</v>
      </c>
      <c r="T3518">
        <v>1</v>
      </c>
      <c r="U3518">
        <v>1</v>
      </c>
      <c r="V3518">
        <v>214.02</v>
      </c>
      <c r="W3518">
        <v>13130003516</v>
      </c>
    </row>
    <row r="3519" spans="1:23" x14ac:dyDescent="0.2">
      <c r="A3519" s="1">
        <v>44795</v>
      </c>
      <c r="B3519" s="2">
        <v>0.56585648148148149</v>
      </c>
      <c r="C3519">
        <v>4517</v>
      </c>
      <c r="D3519">
        <v>13002561</v>
      </c>
      <c r="E3519">
        <v>13</v>
      </c>
      <c r="F3519">
        <v>22589</v>
      </c>
      <c r="G3519" t="s">
        <v>23</v>
      </c>
      <c r="H3519">
        <v>15</v>
      </c>
      <c r="I3519">
        <v>29640</v>
      </c>
      <c r="J3519" t="s">
        <v>121</v>
      </c>
      <c r="K3519" t="s">
        <v>28</v>
      </c>
      <c r="L3519" t="s">
        <v>34</v>
      </c>
      <c r="M3519">
        <v>3</v>
      </c>
      <c r="N3519">
        <v>247.82</v>
      </c>
      <c r="O3519">
        <v>354.39</v>
      </c>
      <c r="P3519">
        <v>17.72</v>
      </c>
      <c r="Q3519">
        <v>17.72</v>
      </c>
      <c r="R3519" t="s">
        <v>30</v>
      </c>
      <c r="S3519">
        <v>29</v>
      </c>
      <c r="T3519">
        <v>1</v>
      </c>
      <c r="U3519">
        <v>3</v>
      </c>
      <c r="V3519">
        <v>336.67</v>
      </c>
      <c r="W3519">
        <v>13130003517</v>
      </c>
    </row>
    <row r="3520" spans="1:23" x14ac:dyDescent="0.2">
      <c r="A3520" s="1">
        <v>44775</v>
      </c>
      <c r="B3520" s="2">
        <v>0.80173611111111109</v>
      </c>
      <c r="C3520">
        <v>4518</v>
      </c>
      <c r="D3520">
        <v>13002561</v>
      </c>
      <c r="E3520">
        <v>13</v>
      </c>
      <c r="F3520">
        <v>22589</v>
      </c>
      <c r="G3520" t="s">
        <v>23</v>
      </c>
      <c r="H3520">
        <v>15</v>
      </c>
      <c r="I3520">
        <v>86130</v>
      </c>
      <c r="J3520" t="s">
        <v>92</v>
      </c>
      <c r="K3520" t="s">
        <v>25</v>
      </c>
      <c r="L3520" t="s">
        <v>26</v>
      </c>
      <c r="M3520">
        <v>2</v>
      </c>
      <c r="N3520">
        <v>589.62</v>
      </c>
      <c r="O3520">
        <v>876.6</v>
      </c>
      <c r="P3520">
        <v>0</v>
      </c>
      <c r="Q3520">
        <v>0</v>
      </c>
      <c r="S3520">
        <v>29</v>
      </c>
      <c r="T3520">
        <v>1</v>
      </c>
      <c r="U3520">
        <v>1</v>
      </c>
      <c r="V3520">
        <v>876.6</v>
      </c>
      <c r="W3520">
        <v>13130003518</v>
      </c>
    </row>
    <row r="3521" spans="1:23" x14ac:dyDescent="0.2">
      <c r="A3521" s="1">
        <v>44787</v>
      </c>
      <c r="B3521" s="2">
        <v>0.3971412037037037</v>
      </c>
      <c r="C3521">
        <v>4519</v>
      </c>
      <c r="D3521">
        <v>13002561</v>
      </c>
      <c r="E3521">
        <v>13</v>
      </c>
      <c r="F3521">
        <v>22589</v>
      </c>
      <c r="G3521" t="s">
        <v>23</v>
      </c>
      <c r="H3521">
        <v>15</v>
      </c>
      <c r="I3521">
        <v>94350</v>
      </c>
      <c r="J3521" t="s">
        <v>94</v>
      </c>
      <c r="K3521" t="s">
        <v>44</v>
      </c>
      <c r="L3521" t="s">
        <v>36</v>
      </c>
      <c r="M3521">
        <v>1</v>
      </c>
      <c r="N3521">
        <v>287.98</v>
      </c>
      <c r="O3521">
        <v>377.43</v>
      </c>
      <c r="P3521">
        <v>0</v>
      </c>
      <c r="Q3521">
        <v>0</v>
      </c>
      <c r="S3521">
        <v>29</v>
      </c>
      <c r="T3521">
        <v>1</v>
      </c>
      <c r="U3521">
        <v>4</v>
      </c>
      <c r="V3521">
        <v>377.43</v>
      </c>
      <c r="W3521">
        <v>13130003519</v>
      </c>
    </row>
    <row r="3522" spans="1:23" x14ac:dyDescent="0.2">
      <c r="A3522" s="1">
        <v>44798</v>
      </c>
      <c r="B3522" s="2">
        <v>0.4140625</v>
      </c>
      <c r="C3522">
        <v>4520</v>
      </c>
      <c r="D3522">
        <v>13002561</v>
      </c>
      <c r="E3522">
        <v>13</v>
      </c>
      <c r="F3522">
        <v>22589</v>
      </c>
      <c r="G3522" t="s">
        <v>23</v>
      </c>
      <c r="H3522">
        <v>18</v>
      </c>
      <c r="I3522">
        <v>79309</v>
      </c>
      <c r="J3522" t="s">
        <v>31</v>
      </c>
      <c r="K3522" t="s">
        <v>45</v>
      </c>
      <c r="L3522" t="s">
        <v>32</v>
      </c>
      <c r="M3522">
        <v>3</v>
      </c>
      <c r="N3522">
        <v>553.96</v>
      </c>
      <c r="O3522">
        <v>917.99</v>
      </c>
      <c r="P3522">
        <v>91.8</v>
      </c>
      <c r="Q3522">
        <v>91.8</v>
      </c>
      <c r="R3522" t="s">
        <v>30</v>
      </c>
      <c r="S3522">
        <v>29</v>
      </c>
      <c r="T3522">
        <v>1</v>
      </c>
      <c r="U3522">
        <v>4</v>
      </c>
      <c r="V3522">
        <v>826.19</v>
      </c>
      <c r="W3522">
        <v>13130003520</v>
      </c>
    </row>
    <row r="3523" spans="1:23" x14ac:dyDescent="0.2">
      <c r="A3523" s="1">
        <v>44784</v>
      </c>
      <c r="B3523" s="2">
        <v>0.70928240740740744</v>
      </c>
      <c r="C3523">
        <v>4521</v>
      </c>
      <c r="D3523">
        <v>13002561</v>
      </c>
      <c r="E3523">
        <v>13</v>
      </c>
      <c r="F3523">
        <v>22589</v>
      </c>
      <c r="G3523" t="s">
        <v>23</v>
      </c>
      <c r="H3523">
        <v>15</v>
      </c>
      <c r="I3523">
        <v>78151</v>
      </c>
      <c r="J3523" t="s">
        <v>96</v>
      </c>
      <c r="K3523" t="s">
        <v>60</v>
      </c>
      <c r="L3523" t="s">
        <v>36</v>
      </c>
      <c r="M3523">
        <v>1</v>
      </c>
      <c r="N3523">
        <v>211.01</v>
      </c>
      <c r="O3523">
        <v>300.81</v>
      </c>
      <c r="P3523">
        <v>15.04</v>
      </c>
      <c r="Q3523">
        <v>15.04</v>
      </c>
      <c r="R3523" t="s">
        <v>30</v>
      </c>
      <c r="S3523">
        <v>29</v>
      </c>
      <c r="T3523">
        <v>1</v>
      </c>
      <c r="U3523">
        <v>1</v>
      </c>
      <c r="V3523">
        <v>285.77</v>
      </c>
      <c r="W3523">
        <v>13130003521</v>
      </c>
    </row>
    <row r="3524" spans="1:23" x14ac:dyDescent="0.2">
      <c r="A3524" s="1">
        <v>44789</v>
      </c>
      <c r="B3524" s="2">
        <v>0.64554398148148151</v>
      </c>
      <c r="C3524">
        <v>4522</v>
      </c>
      <c r="D3524">
        <v>13002561</v>
      </c>
      <c r="E3524">
        <v>13</v>
      </c>
      <c r="F3524">
        <v>22589</v>
      </c>
      <c r="G3524" t="s">
        <v>23</v>
      </c>
      <c r="H3524">
        <v>15</v>
      </c>
      <c r="I3524">
        <v>96145</v>
      </c>
      <c r="J3524" t="s">
        <v>81</v>
      </c>
      <c r="K3524" t="s">
        <v>45</v>
      </c>
      <c r="L3524" t="s">
        <v>26</v>
      </c>
      <c r="M3524">
        <v>3</v>
      </c>
      <c r="N3524">
        <v>389.3</v>
      </c>
      <c r="O3524">
        <v>527.05999999999995</v>
      </c>
      <c r="P3524">
        <v>52.71</v>
      </c>
      <c r="Q3524">
        <v>52.71</v>
      </c>
      <c r="R3524" t="s">
        <v>30</v>
      </c>
      <c r="S3524">
        <v>29</v>
      </c>
      <c r="T3524">
        <v>1</v>
      </c>
      <c r="U3524">
        <v>1</v>
      </c>
      <c r="V3524">
        <v>474.35</v>
      </c>
      <c r="W3524">
        <v>13130003522</v>
      </c>
    </row>
    <row r="3525" spans="1:23" x14ac:dyDescent="0.2">
      <c r="A3525" s="1">
        <v>44801</v>
      </c>
      <c r="B3525" s="2">
        <v>0.36917824074074068</v>
      </c>
      <c r="C3525">
        <v>4523</v>
      </c>
      <c r="D3525">
        <v>13002561</v>
      </c>
      <c r="E3525">
        <v>13</v>
      </c>
      <c r="F3525">
        <v>22589</v>
      </c>
      <c r="G3525" t="s">
        <v>23</v>
      </c>
      <c r="H3525">
        <v>18</v>
      </c>
      <c r="I3525">
        <v>99696</v>
      </c>
      <c r="J3525" t="s">
        <v>98</v>
      </c>
      <c r="K3525" t="s">
        <v>60</v>
      </c>
      <c r="L3525" t="s">
        <v>26</v>
      </c>
      <c r="M3525">
        <v>2</v>
      </c>
      <c r="N3525">
        <v>89.25</v>
      </c>
      <c r="O3525">
        <v>144.12</v>
      </c>
      <c r="P3525">
        <v>7.21</v>
      </c>
      <c r="Q3525">
        <v>7.21</v>
      </c>
      <c r="R3525" t="s">
        <v>30</v>
      </c>
      <c r="S3525">
        <v>29</v>
      </c>
      <c r="T3525">
        <v>1</v>
      </c>
      <c r="U3525">
        <v>6</v>
      </c>
      <c r="V3525">
        <v>136.91</v>
      </c>
      <c r="W3525">
        <v>13130003523</v>
      </c>
    </row>
    <row r="3526" spans="1:23" x14ac:dyDescent="0.2">
      <c r="A3526" s="1">
        <v>44799</v>
      </c>
      <c r="B3526" s="2">
        <v>0.42557870370370371</v>
      </c>
      <c r="C3526">
        <v>4524</v>
      </c>
      <c r="D3526">
        <v>13002561</v>
      </c>
      <c r="E3526">
        <v>13</v>
      </c>
      <c r="F3526">
        <v>22589</v>
      </c>
      <c r="G3526" t="s">
        <v>23</v>
      </c>
      <c r="H3526">
        <v>15</v>
      </c>
      <c r="I3526">
        <v>50359</v>
      </c>
      <c r="J3526" t="s">
        <v>33</v>
      </c>
      <c r="K3526" t="s">
        <v>45</v>
      </c>
      <c r="L3526" t="s">
        <v>47</v>
      </c>
      <c r="M3526">
        <v>1</v>
      </c>
      <c r="N3526">
        <v>20.84</v>
      </c>
      <c r="O3526">
        <v>33.630000000000003</v>
      </c>
      <c r="P3526">
        <v>3.36</v>
      </c>
      <c r="Q3526">
        <v>3.36</v>
      </c>
      <c r="R3526" t="s">
        <v>30</v>
      </c>
      <c r="S3526">
        <v>29</v>
      </c>
      <c r="T3526">
        <v>1</v>
      </c>
      <c r="U3526">
        <v>5</v>
      </c>
      <c r="V3526">
        <v>30.27</v>
      </c>
      <c r="W3526">
        <v>13130003524</v>
      </c>
    </row>
    <row r="3527" spans="1:23" x14ac:dyDescent="0.2">
      <c r="A3527" s="1">
        <v>44785</v>
      </c>
      <c r="B3527" s="2">
        <v>0.45560185185185192</v>
      </c>
      <c r="C3527">
        <v>4525</v>
      </c>
      <c r="D3527">
        <v>13002561</v>
      </c>
      <c r="E3527">
        <v>13</v>
      </c>
      <c r="F3527">
        <v>22589</v>
      </c>
      <c r="G3527" t="s">
        <v>23</v>
      </c>
      <c r="H3527">
        <v>15</v>
      </c>
      <c r="I3527">
        <v>60788</v>
      </c>
      <c r="J3527" t="s">
        <v>111</v>
      </c>
      <c r="K3527" t="s">
        <v>28</v>
      </c>
      <c r="L3527" t="s">
        <v>39</v>
      </c>
      <c r="M3527">
        <v>2</v>
      </c>
      <c r="N3527">
        <v>423.86</v>
      </c>
      <c r="O3527">
        <v>541.08000000000004</v>
      </c>
      <c r="P3527">
        <v>0</v>
      </c>
      <c r="Q3527">
        <v>0</v>
      </c>
      <c r="S3527">
        <v>29</v>
      </c>
      <c r="T3527">
        <v>1</v>
      </c>
      <c r="U3527">
        <v>5</v>
      </c>
      <c r="V3527">
        <v>541.08000000000004</v>
      </c>
      <c r="W3527">
        <v>13130003525</v>
      </c>
    </row>
    <row r="3528" spans="1:23" x14ac:dyDescent="0.2">
      <c r="A3528" s="1">
        <v>44787</v>
      </c>
      <c r="B3528" s="2">
        <v>0.48385416666666659</v>
      </c>
      <c r="C3528">
        <v>4526</v>
      </c>
      <c r="D3528">
        <v>13002561</v>
      </c>
      <c r="E3528">
        <v>13</v>
      </c>
      <c r="F3528">
        <v>22589</v>
      </c>
      <c r="G3528" t="s">
        <v>23</v>
      </c>
      <c r="H3528">
        <v>18</v>
      </c>
      <c r="I3528">
        <v>42264</v>
      </c>
      <c r="J3528" t="s">
        <v>81</v>
      </c>
      <c r="K3528" t="s">
        <v>28</v>
      </c>
      <c r="L3528" t="s">
        <v>51</v>
      </c>
      <c r="M3528">
        <v>2</v>
      </c>
      <c r="N3528">
        <v>5.07</v>
      </c>
      <c r="O3528">
        <v>6.39</v>
      </c>
      <c r="P3528">
        <v>0.32</v>
      </c>
      <c r="Q3528">
        <v>0.32</v>
      </c>
      <c r="R3528" t="s">
        <v>30</v>
      </c>
      <c r="S3528">
        <v>29</v>
      </c>
      <c r="T3528">
        <v>1</v>
      </c>
      <c r="U3528">
        <v>3</v>
      </c>
      <c r="V3528">
        <v>6.07</v>
      </c>
      <c r="W3528">
        <v>13130003526</v>
      </c>
    </row>
    <row r="3529" spans="1:23" x14ac:dyDescent="0.2">
      <c r="A3529" s="1">
        <v>44789</v>
      </c>
      <c r="B3529" s="2">
        <v>0.52453703703703702</v>
      </c>
      <c r="C3529">
        <v>4527</v>
      </c>
      <c r="D3529">
        <v>13002561</v>
      </c>
      <c r="E3529">
        <v>13</v>
      </c>
      <c r="F3529">
        <v>22589</v>
      </c>
      <c r="G3529" t="s">
        <v>23</v>
      </c>
      <c r="H3529">
        <v>18</v>
      </c>
      <c r="I3529">
        <v>14594</v>
      </c>
      <c r="J3529" t="s">
        <v>68</v>
      </c>
      <c r="K3529" t="s">
        <v>25</v>
      </c>
      <c r="L3529" t="s">
        <v>47</v>
      </c>
      <c r="M3529">
        <v>2</v>
      </c>
      <c r="N3529">
        <v>511.88</v>
      </c>
      <c r="O3529">
        <v>778.13</v>
      </c>
      <c r="P3529">
        <v>38.909999999999997</v>
      </c>
      <c r="Q3529">
        <v>38.909999999999997</v>
      </c>
      <c r="R3529" t="s">
        <v>30</v>
      </c>
      <c r="S3529">
        <v>29</v>
      </c>
      <c r="T3529">
        <v>1</v>
      </c>
      <c r="U3529">
        <v>6</v>
      </c>
      <c r="V3529">
        <v>739.22</v>
      </c>
      <c r="W3529">
        <v>13130003527</v>
      </c>
    </row>
    <row r="3530" spans="1:23" x14ac:dyDescent="0.2">
      <c r="A3530" s="1">
        <v>44802</v>
      </c>
      <c r="B3530" s="2">
        <v>0.81917824074074075</v>
      </c>
      <c r="C3530">
        <v>4528</v>
      </c>
      <c r="D3530">
        <v>13002561</v>
      </c>
      <c r="E3530">
        <v>13</v>
      </c>
      <c r="F3530">
        <v>22589</v>
      </c>
      <c r="G3530" t="s">
        <v>23</v>
      </c>
      <c r="H3530">
        <v>15</v>
      </c>
      <c r="I3530">
        <v>78623</v>
      </c>
      <c r="J3530" t="s">
        <v>74</v>
      </c>
      <c r="K3530" t="s">
        <v>25</v>
      </c>
      <c r="L3530" t="s">
        <v>29</v>
      </c>
      <c r="M3530">
        <v>1</v>
      </c>
      <c r="N3530">
        <v>124.77</v>
      </c>
      <c r="O3530">
        <v>176.6</v>
      </c>
      <c r="P3530">
        <v>0</v>
      </c>
      <c r="Q3530">
        <v>0</v>
      </c>
      <c r="S3530">
        <v>29</v>
      </c>
      <c r="T3530">
        <v>1</v>
      </c>
      <c r="U3530">
        <v>3</v>
      </c>
      <c r="V3530">
        <v>176.6</v>
      </c>
      <c r="W3530">
        <v>13130003528</v>
      </c>
    </row>
    <row r="3531" spans="1:23" x14ac:dyDescent="0.2">
      <c r="A3531" s="1">
        <v>44786</v>
      </c>
      <c r="B3531" s="2">
        <v>0.52043981481481483</v>
      </c>
      <c r="C3531">
        <v>4529</v>
      </c>
      <c r="D3531">
        <v>13002561</v>
      </c>
      <c r="E3531">
        <v>13</v>
      </c>
      <c r="F3531">
        <v>22589</v>
      </c>
      <c r="G3531" t="s">
        <v>23</v>
      </c>
      <c r="H3531">
        <v>15</v>
      </c>
      <c r="I3531">
        <v>43771</v>
      </c>
      <c r="J3531" t="s">
        <v>41</v>
      </c>
      <c r="K3531" t="s">
        <v>44</v>
      </c>
      <c r="L3531" t="s">
        <v>47</v>
      </c>
      <c r="M3531">
        <v>1</v>
      </c>
      <c r="N3531">
        <v>456.04</v>
      </c>
      <c r="O3531">
        <v>747.48</v>
      </c>
      <c r="P3531">
        <v>37.369999999999997</v>
      </c>
      <c r="Q3531">
        <v>37.369999999999997</v>
      </c>
      <c r="R3531" t="s">
        <v>30</v>
      </c>
      <c r="S3531">
        <v>29</v>
      </c>
      <c r="T3531">
        <v>1</v>
      </c>
      <c r="U3531">
        <v>5</v>
      </c>
      <c r="V3531">
        <v>710.11</v>
      </c>
      <c r="W3531">
        <v>13130003529</v>
      </c>
    </row>
    <row r="3532" spans="1:23" x14ac:dyDescent="0.2">
      <c r="A3532" s="1">
        <v>44792</v>
      </c>
      <c r="B3532" s="2">
        <v>0.57268518518518519</v>
      </c>
      <c r="C3532">
        <v>4530</v>
      </c>
      <c r="D3532">
        <v>13002561</v>
      </c>
      <c r="E3532">
        <v>13</v>
      </c>
      <c r="F3532">
        <v>22589</v>
      </c>
      <c r="G3532" t="s">
        <v>23</v>
      </c>
      <c r="H3532">
        <v>18</v>
      </c>
      <c r="I3532">
        <v>31591</v>
      </c>
      <c r="J3532" t="s">
        <v>88</v>
      </c>
      <c r="K3532" t="s">
        <v>28</v>
      </c>
      <c r="L3532" t="s">
        <v>34</v>
      </c>
      <c r="M3532">
        <v>3</v>
      </c>
      <c r="N3532">
        <v>323.79000000000002</v>
      </c>
      <c r="O3532">
        <v>484.17</v>
      </c>
      <c r="P3532">
        <v>48.42</v>
      </c>
      <c r="Q3532">
        <v>48.42</v>
      </c>
      <c r="R3532" t="s">
        <v>30</v>
      </c>
      <c r="S3532">
        <v>29</v>
      </c>
      <c r="T3532">
        <v>1</v>
      </c>
      <c r="U3532">
        <v>5</v>
      </c>
      <c r="V3532">
        <v>435.75</v>
      </c>
      <c r="W3532">
        <v>13130003530</v>
      </c>
    </row>
    <row r="3533" spans="1:23" x14ac:dyDescent="0.2">
      <c r="A3533" s="1">
        <v>44777</v>
      </c>
      <c r="B3533" s="2">
        <v>0.51491898148148152</v>
      </c>
      <c r="C3533">
        <v>4531</v>
      </c>
      <c r="D3533">
        <v>13002561</v>
      </c>
      <c r="E3533">
        <v>13</v>
      </c>
      <c r="F3533">
        <v>22589</v>
      </c>
      <c r="G3533" t="s">
        <v>23</v>
      </c>
      <c r="H3533">
        <v>18</v>
      </c>
      <c r="I3533">
        <v>74572</v>
      </c>
      <c r="J3533" t="s">
        <v>35</v>
      </c>
      <c r="K3533" t="s">
        <v>45</v>
      </c>
      <c r="L3533" t="s">
        <v>34</v>
      </c>
      <c r="M3533">
        <v>3</v>
      </c>
      <c r="N3533">
        <v>523.04999999999995</v>
      </c>
      <c r="O3533">
        <v>742.35</v>
      </c>
      <c r="P3533">
        <v>0</v>
      </c>
      <c r="Q3533">
        <v>0</v>
      </c>
      <c r="S3533">
        <v>29</v>
      </c>
      <c r="T3533">
        <v>1</v>
      </c>
      <c r="U3533">
        <v>2</v>
      </c>
      <c r="V3533">
        <v>742.35</v>
      </c>
      <c r="W3533">
        <v>13130003531</v>
      </c>
    </row>
    <row r="3534" spans="1:23" x14ac:dyDescent="0.2">
      <c r="A3534" s="1">
        <v>44786</v>
      </c>
      <c r="B3534" s="2">
        <v>0.50615740740740744</v>
      </c>
      <c r="C3534">
        <v>4532</v>
      </c>
      <c r="D3534">
        <v>13002561</v>
      </c>
      <c r="E3534">
        <v>13</v>
      </c>
      <c r="F3534">
        <v>22589</v>
      </c>
      <c r="G3534" t="s">
        <v>23</v>
      </c>
      <c r="H3534">
        <v>15</v>
      </c>
      <c r="I3534">
        <v>45519</v>
      </c>
      <c r="J3534" t="s">
        <v>88</v>
      </c>
      <c r="K3534" t="s">
        <v>25</v>
      </c>
      <c r="L3534" t="s">
        <v>36</v>
      </c>
      <c r="M3534">
        <v>2</v>
      </c>
      <c r="N3534">
        <v>407.71</v>
      </c>
      <c r="O3534">
        <v>628.12</v>
      </c>
      <c r="P3534">
        <v>62.81</v>
      </c>
      <c r="Q3534">
        <v>62.81</v>
      </c>
      <c r="R3534" t="s">
        <v>30</v>
      </c>
      <c r="S3534">
        <v>29</v>
      </c>
      <c r="T3534">
        <v>1</v>
      </c>
      <c r="U3534">
        <v>2</v>
      </c>
      <c r="V3534">
        <v>565.30999999999995</v>
      </c>
      <c r="W3534">
        <v>13130003532</v>
      </c>
    </row>
    <row r="3535" spans="1:23" x14ac:dyDescent="0.2">
      <c r="A3535" s="1">
        <v>44798</v>
      </c>
      <c r="B3535" s="2">
        <v>0.3895601851851852</v>
      </c>
      <c r="C3535">
        <v>4533</v>
      </c>
      <c r="D3535">
        <v>13002561</v>
      </c>
      <c r="E3535">
        <v>13</v>
      </c>
      <c r="F3535">
        <v>22589</v>
      </c>
      <c r="G3535" t="s">
        <v>23</v>
      </c>
      <c r="H3535">
        <v>15</v>
      </c>
      <c r="I3535">
        <v>24212</v>
      </c>
      <c r="J3535" t="s">
        <v>103</v>
      </c>
      <c r="K3535" t="s">
        <v>38</v>
      </c>
      <c r="L3535" t="s">
        <v>51</v>
      </c>
      <c r="M3535">
        <v>3</v>
      </c>
      <c r="N3535">
        <v>181.86</v>
      </c>
      <c r="O3535">
        <v>281.22000000000003</v>
      </c>
      <c r="P3535">
        <v>14.06</v>
      </c>
      <c r="Q3535">
        <v>14.06</v>
      </c>
      <c r="R3535" t="s">
        <v>30</v>
      </c>
      <c r="S3535">
        <v>29</v>
      </c>
      <c r="T3535">
        <v>1</v>
      </c>
      <c r="U3535">
        <v>6</v>
      </c>
      <c r="V3535">
        <v>267.16000000000003</v>
      </c>
      <c r="W3535">
        <v>13130003533</v>
      </c>
    </row>
    <row r="3536" spans="1:23" x14ac:dyDescent="0.2">
      <c r="A3536" s="1">
        <v>44786</v>
      </c>
      <c r="B3536" s="2">
        <v>0.4049537037037037</v>
      </c>
      <c r="C3536">
        <v>4534</v>
      </c>
      <c r="D3536">
        <v>13002561</v>
      </c>
      <c r="E3536">
        <v>13</v>
      </c>
      <c r="F3536">
        <v>22589</v>
      </c>
      <c r="G3536" t="s">
        <v>23</v>
      </c>
      <c r="H3536">
        <v>18</v>
      </c>
      <c r="I3536">
        <v>35984</v>
      </c>
      <c r="J3536" t="s">
        <v>81</v>
      </c>
      <c r="K3536" t="s">
        <v>44</v>
      </c>
      <c r="L3536" t="s">
        <v>26</v>
      </c>
      <c r="M3536">
        <v>1</v>
      </c>
      <c r="N3536">
        <v>381.78</v>
      </c>
      <c r="O3536">
        <v>487.38</v>
      </c>
      <c r="P3536">
        <v>48.74</v>
      </c>
      <c r="Q3536">
        <v>48.74</v>
      </c>
      <c r="R3536" t="s">
        <v>30</v>
      </c>
      <c r="S3536">
        <v>29</v>
      </c>
      <c r="T3536">
        <v>1</v>
      </c>
      <c r="U3536">
        <v>5</v>
      </c>
      <c r="V3536">
        <v>438.64</v>
      </c>
      <c r="W3536">
        <v>13130003534</v>
      </c>
    </row>
    <row r="3537" spans="1:23" x14ac:dyDescent="0.2">
      <c r="A3537" s="1">
        <v>44799</v>
      </c>
      <c r="B3537" s="2">
        <v>0.83101851851851849</v>
      </c>
      <c r="C3537">
        <v>4535</v>
      </c>
      <c r="D3537">
        <v>13002561</v>
      </c>
      <c r="E3537">
        <v>13</v>
      </c>
      <c r="F3537">
        <v>22589</v>
      </c>
      <c r="G3537" t="s">
        <v>23</v>
      </c>
      <c r="H3537">
        <v>18</v>
      </c>
      <c r="I3537">
        <v>51857</v>
      </c>
      <c r="J3537" t="s">
        <v>73</v>
      </c>
      <c r="K3537" t="s">
        <v>45</v>
      </c>
      <c r="L3537" t="s">
        <v>26</v>
      </c>
      <c r="M3537">
        <v>1</v>
      </c>
      <c r="N3537">
        <v>342.46</v>
      </c>
      <c r="O3537">
        <v>429.38</v>
      </c>
      <c r="P3537">
        <v>0</v>
      </c>
      <c r="Q3537">
        <v>0</v>
      </c>
      <c r="S3537">
        <v>29</v>
      </c>
      <c r="T3537">
        <v>1</v>
      </c>
      <c r="U3537">
        <v>6</v>
      </c>
      <c r="V3537">
        <v>429.38</v>
      </c>
      <c r="W3537">
        <v>13130003535</v>
      </c>
    </row>
    <row r="3538" spans="1:23" x14ac:dyDescent="0.2">
      <c r="A3538" s="1">
        <v>44798</v>
      </c>
      <c r="B3538" s="2">
        <v>0.95057870370370368</v>
      </c>
      <c r="C3538">
        <v>4536</v>
      </c>
      <c r="D3538">
        <v>13002561</v>
      </c>
      <c r="E3538">
        <v>13</v>
      </c>
      <c r="F3538">
        <v>22589</v>
      </c>
      <c r="G3538" t="s">
        <v>23</v>
      </c>
      <c r="H3538">
        <v>18</v>
      </c>
      <c r="I3538">
        <v>85427</v>
      </c>
      <c r="J3538" t="s">
        <v>78</v>
      </c>
      <c r="K3538" t="s">
        <v>25</v>
      </c>
      <c r="L3538" t="s">
        <v>47</v>
      </c>
      <c r="M3538">
        <v>2</v>
      </c>
      <c r="N3538">
        <v>204.55</v>
      </c>
      <c r="O3538">
        <v>269.3</v>
      </c>
      <c r="P3538">
        <v>26.93</v>
      </c>
      <c r="Q3538">
        <v>26.93</v>
      </c>
      <c r="R3538" t="s">
        <v>30</v>
      </c>
      <c r="S3538">
        <v>29</v>
      </c>
      <c r="T3538">
        <v>1</v>
      </c>
      <c r="U3538">
        <v>5</v>
      </c>
      <c r="V3538">
        <v>242.37</v>
      </c>
      <c r="W3538">
        <v>13130003536</v>
      </c>
    </row>
    <row r="3539" spans="1:23" x14ac:dyDescent="0.2">
      <c r="A3539" s="1">
        <v>44798</v>
      </c>
      <c r="B3539" s="2">
        <v>0.48873842592592592</v>
      </c>
      <c r="C3539">
        <v>4537</v>
      </c>
      <c r="D3539">
        <v>13002561</v>
      </c>
      <c r="E3539">
        <v>13</v>
      </c>
      <c r="F3539">
        <v>22589</v>
      </c>
      <c r="G3539" t="s">
        <v>23</v>
      </c>
      <c r="H3539">
        <v>18</v>
      </c>
      <c r="I3539">
        <v>23735</v>
      </c>
      <c r="J3539" t="s">
        <v>49</v>
      </c>
      <c r="K3539" t="s">
        <v>44</v>
      </c>
      <c r="L3539" t="s">
        <v>34</v>
      </c>
      <c r="M3539">
        <v>3</v>
      </c>
      <c r="N3539">
        <v>76.3</v>
      </c>
      <c r="O3539">
        <v>123.43</v>
      </c>
      <c r="P3539">
        <v>6.17</v>
      </c>
      <c r="Q3539">
        <v>6.17</v>
      </c>
      <c r="R3539" t="s">
        <v>30</v>
      </c>
      <c r="S3539">
        <v>29</v>
      </c>
      <c r="T3539">
        <v>1</v>
      </c>
      <c r="U3539">
        <v>1</v>
      </c>
      <c r="V3539">
        <v>117.26</v>
      </c>
      <c r="W3539">
        <v>13130003537</v>
      </c>
    </row>
    <row r="3540" spans="1:23" x14ac:dyDescent="0.2">
      <c r="A3540" s="1">
        <v>44783</v>
      </c>
      <c r="B3540" s="2">
        <v>0.42644675925925918</v>
      </c>
      <c r="C3540">
        <v>4538</v>
      </c>
      <c r="D3540">
        <v>13002561</v>
      </c>
      <c r="E3540">
        <v>13</v>
      </c>
      <c r="F3540">
        <v>22589</v>
      </c>
      <c r="G3540" t="s">
        <v>23</v>
      </c>
      <c r="H3540">
        <v>15</v>
      </c>
      <c r="I3540">
        <v>61174</v>
      </c>
      <c r="J3540" t="s">
        <v>42</v>
      </c>
      <c r="K3540" t="s">
        <v>60</v>
      </c>
      <c r="L3540" t="s">
        <v>29</v>
      </c>
      <c r="M3540">
        <v>1</v>
      </c>
      <c r="N3540">
        <v>449.68</v>
      </c>
      <c r="O3540">
        <v>677.98</v>
      </c>
      <c r="P3540">
        <v>67.8</v>
      </c>
      <c r="Q3540">
        <v>67.8</v>
      </c>
      <c r="R3540" t="s">
        <v>30</v>
      </c>
      <c r="S3540">
        <v>29</v>
      </c>
      <c r="T3540">
        <v>1</v>
      </c>
      <c r="U3540">
        <v>5</v>
      </c>
      <c r="V3540">
        <v>610.17999999999995</v>
      </c>
      <c r="W3540">
        <v>13130003538</v>
      </c>
    </row>
    <row r="3541" spans="1:23" x14ac:dyDescent="0.2">
      <c r="A3541" s="1">
        <v>44781</v>
      </c>
      <c r="B3541" s="2">
        <v>0.47627314814814808</v>
      </c>
      <c r="C3541">
        <v>4539</v>
      </c>
      <c r="D3541">
        <v>13002561</v>
      </c>
      <c r="E3541">
        <v>13</v>
      </c>
      <c r="F3541">
        <v>22589</v>
      </c>
      <c r="G3541" t="s">
        <v>23</v>
      </c>
      <c r="H3541">
        <v>18</v>
      </c>
      <c r="I3541">
        <v>87153</v>
      </c>
      <c r="J3541" t="s">
        <v>63</v>
      </c>
      <c r="K3541" t="s">
        <v>60</v>
      </c>
      <c r="L3541" t="s">
        <v>32</v>
      </c>
      <c r="M3541">
        <v>2</v>
      </c>
      <c r="N3541">
        <v>218.84</v>
      </c>
      <c r="O3541">
        <v>298.93</v>
      </c>
      <c r="P3541">
        <v>29.89</v>
      </c>
      <c r="Q3541">
        <v>29.89</v>
      </c>
      <c r="R3541" t="s">
        <v>30</v>
      </c>
      <c r="S3541">
        <v>29</v>
      </c>
      <c r="T3541">
        <v>1</v>
      </c>
      <c r="U3541">
        <v>2</v>
      </c>
      <c r="V3541">
        <v>269.04000000000002</v>
      </c>
      <c r="W3541">
        <v>13130003539</v>
      </c>
    </row>
    <row r="3542" spans="1:23" x14ac:dyDescent="0.2">
      <c r="A3542" s="1">
        <v>44775</v>
      </c>
      <c r="B3542" s="2">
        <v>0.48607638888888888</v>
      </c>
      <c r="C3542">
        <v>4540</v>
      </c>
      <c r="D3542">
        <v>13002561</v>
      </c>
      <c r="E3542">
        <v>13</v>
      </c>
      <c r="F3542">
        <v>22589</v>
      </c>
      <c r="G3542" t="s">
        <v>23</v>
      </c>
      <c r="H3542">
        <v>18</v>
      </c>
      <c r="I3542">
        <v>91303</v>
      </c>
      <c r="J3542" t="s">
        <v>90</v>
      </c>
      <c r="K3542" t="s">
        <v>28</v>
      </c>
      <c r="L3542" t="s">
        <v>26</v>
      </c>
      <c r="M3542">
        <v>1</v>
      </c>
      <c r="N3542">
        <v>181.36</v>
      </c>
      <c r="O3542">
        <v>258.58999999999997</v>
      </c>
      <c r="P3542">
        <v>0</v>
      </c>
      <c r="Q3542">
        <v>0</v>
      </c>
      <c r="S3542">
        <v>29</v>
      </c>
      <c r="T3542">
        <v>1</v>
      </c>
      <c r="U3542">
        <v>4</v>
      </c>
      <c r="V3542">
        <v>258.58999999999997</v>
      </c>
      <c r="W3542">
        <v>13130003540</v>
      </c>
    </row>
    <row r="3543" spans="1:23" x14ac:dyDescent="0.2">
      <c r="A3543" s="1">
        <v>44779</v>
      </c>
      <c r="B3543" s="2">
        <v>0.55846064814814811</v>
      </c>
      <c r="C3543">
        <v>4541</v>
      </c>
      <c r="D3543">
        <v>13002561</v>
      </c>
      <c r="E3543">
        <v>13</v>
      </c>
      <c r="F3543">
        <v>22589</v>
      </c>
      <c r="G3543" t="s">
        <v>23</v>
      </c>
      <c r="H3543">
        <v>15</v>
      </c>
      <c r="I3543">
        <v>50766</v>
      </c>
      <c r="J3543" t="s">
        <v>59</v>
      </c>
      <c r="K3543" t="s">
        <v>38</v>
      </c>
      <c r="L3543" t="s">
        <v>29</v>
      </c>
      <c r="M3543">
        <v>3</v>
      </c>
      <c r="N3543">
        <v>568</v>
      </c>
      <c r="O3543">
        <v>713.48</v>
      </c>
      <c r="P3543">
        <v>0</v>
      </c>
      <c r="Q3543">
        <v>0</v>
      </c>
      <c r="S3543">
        <v>29</v>
      </c>
      <c r="T3543">
        <v>1</v>
      </c>
      <c r="U3543">
        <v>3</v>
      </c>
      <c r="V3543">
        <v>713.48</v>
      </c>
      <c r="W3543">
        <v>13130003541</v>
      </c>
    </row>
    <row r="3544" spans="1:23" x14ac:dyDescent="0.2">
      <c r="A3544" s="1">
        <v>44804</v>
      </c>
      <c r="B3544" s="2">
        <v>0.94885416666666667</v>
      </c>
      <c r="C3544">
        <v>4542</v>
      </c>
      <c r="D3544">
        <v>13002561</v>
      </c>
      <c r="E3544">
        <v>13</v>
      </c>
      <c r="F3544">
        <v>22589</v>
      </c>
      <c r="G3544" t="s">
        <v>23</v>
      </c>
      <c r="H3544">
        <v>18</v>
      </c>
      <c r="I3544">
        <v>89675</v>
      </c>
      <c r="J3544" t="s">
        <v>46</v>
      </c>
      <c r="K3544" t="s">
        <v>60</v>
      </c>
      <c r="L3544" t="s">
        <v>29</v>
      </c>
      <c r="M3544">
        <v>2</v>
      </c>
      <c r="N3544">
        <v>43.77</v>
      </c>
      <c r="O3544">
        <v>61.85</v>
      </c>
      <c r="P3544">
        <v>6.19</v>
      </c>
      <c r="Q3544">
        <v>6.19</v>
      </c>
      <c r="R3544" t="s">
        <v>30</v>
      </c>
      <c r="S3544">
        <v>29</v>
      </c>
      <c r="T3544">
        <v>1</v>
      </c>
      <c r="U3544">
        <v>2</v>
      </c>
      <c r="V3544">
        <v>55.66</v>
      </c>
      <c r="W3544">
        <v>13130003542</v>
      </c>
    </row>
    <row r="3545" spans="1:23" x14ac:dyDescent="0.2">
      <c r="A3545" s="1">
        <v>44793</v>
      </c>
      <c r="B3545" s="2">
        <v>0.3567939814814815</v>
      </c>
      <c r="C3545">
        <v>4543</v>
      </c>
      <c r="D3545">
        <v>13002561</v>
      </c>
      <c r="E3545">
        <v>13</v>
      </c>
      <c r="F3545">
        <v>22589</v>
      </c>
      <c r="G3545" t="s">
        <v>23</v>
      </c>
      <c r="H3545">
        <v>18</v>
      </c>
      <c r="I3545">
        <v>38724</v>
      </c>
      <c r="J3545" t="s">
        <v>127</v>
      </c>
      <c r="K3545" t="s">
        <v>38</v>
      </c>
      <c r="L3545" t="s">
        <v>39</v>
      </c>
      <c r="M3545">
        <v>2</v>
      </c>
      <c r="N3545">
        <v>7.41</v>
      </c>
      <c r="O3545">
        <v>12.22</v>
      </c>
      <c r="P3545">
        <v>0.61</v>
      </c>
      <c r="Q3545">
        <v>0.61</v>
      </c>
      <c r="R3545" t="s">
        <v>30</v>
      </c>
      <c r="S3545">
        <v>29</v>
      </c>
      <c r="T3545">
        <v>1</v>
      </c>
      <c r="U3545">
        <v>6</v>
      </c>
      <c r="V3545">
        <v>11.61</v>
      </c>
      <c r="W3545">
        <v>13130003543</v>
      </c>
    </row>
    <row r="3546" spans="1:23" x14ac:dyDescent="0.2">
      <c r="A3546" s="1">
        <v>44775</v>
      </c>
      <c r="B3546" s="2">
        <v>0.56773148148148145</v>
      </c>
      <c r="C3546">
        <v>4544</v>
      </c>
      <c r="D3546">
        <v>13002561</v>
      </c>
      <c r="E3546">
        <v>13</v>
      </c>
      <c r="F3546">
        <v>22589</v>
      </c>
      <c r="G3546" t="s">
        <v>23</v>
      </c>
      <c r="H3546">
        <v>18</v>
      </c>
      <c r="I3546">
        <v>80700</v>
      </c>
      <c r="J3546" t="s">
        <v>109</v>
      </c>
      <c r="K3546" t="s">
        <v>60</v>
      </c>
      <c r="L3546" t="s">
        <v>34</v>
      </c>
      <c r="M3546">
        <v>2</v>
      </c>
      <c r="N3546">
        <v>599.46</v>
      </c>
      <c r="O3546">
        <v>792.12</v>
      </c>
      <c r="P3546">
        <v>79.209999999999994</v>
      </c>
      <c r="Q3546">
        <v>79.209999999999994</v>
      </c>
      <c r="R3546" t="s">
        <v>30</v>
      </c>
      <c r="S3546">
        <v>29</v>
      </c>
      <c r="T3546">
        <v>1</v>
      </c>
      <c r="U3546">
        <v>2</v>
      </c>
      <c r="V3546">
        <v>712.91</v>
      </c>
      <c r="W3546">
        <v>13130003544</v>
      </c>
    </row>
    <row r="3547" spans="1:23" x14ac:dyDescent="0.2">
      <c r="A3547" s="1">
        <v>44794</v>
      </c>
      <c r="B3547" s="2">
        <v>0.79458333333333331</v>
      </c>
      <c r="C3547">
        <v>4545</v>
      </c>
      <c r="D3547">
        <v>13002561</v>
      </c>
      <c r="E3547">
        <v>13</v>
      </c>
      <c r="F3547">
        <v>22589</v>
      </c>
      <c r="G3547" t="s">
        <v>23</v>
      </c>
      <c r="H3547">
        <v>15</v>
      </c>
      <c r="I3547">
        <v>68333</v>
      </c>
      <c r="J3547" t="s">
        <v>78</v>
      </c>
      <c r="K3547" t="s">
        <v>38</v>
      </c>
      <c r="L3547" t="s">
        <v>39</v>
      </c>
      <c r="M3547">
        <v>2</v>
      </c>
      <c r="N3547">
        <v>26.96</v>
      </c>
      <c r="O3547">
        <v>38.07</v>
      </c>
      <c r="P3547">
        <v>1.9</v>
      </c>
      <c r="Q3547">
        <v>1.9</v>
      </c>
      <c r="R3547" t="s">
        <v>30</v>
      </c>
      <c r="S3547">
        <v>29</v>
      </c>
      <c r="T3547">
        <v>1</v>
      </c>
      <c r="U3547">
        <v>5</v>
      </c>
      <c r="V3547">
        <v>36.17</v>
      </c>
      <c r="W3547">
        <v>13130003545</v>
      </c>
    </row>
    <row r="3548" spans="1:23" x14ac:dyDescent="0.2">
      <c r="A3548" s="1">
        <v>44787</v>
      </c>
      <c r="B3548" s="2">
        <v>0.56320601851851848</v>
      </c>
      <c r="C3548">
        <v>4546</v>
      </c>
      <c r="D3548">
        <v>13002561</v>
      </c>
      <c r="E3548">
        <v>13</v>
      </c>
      <c r="F3548">
        <v>22589</v>
      </c>
      <c r="G3548" t="s">
        <v>23</v>
      </c>
      <c r="H3548">
        <v>18</v>
      </c>
      <c r="I3548">
        <v>99953</v>
      </c>
      <c r="J3548" t="s">
        <v>54</v>
      </c>
      <c r="K3548" t="s">
        <v>25</v>
      </c>
      <c r="L3548" t="s">
        <v>39</v>
      </c>
      <c r="M3548">
        <v>2</v>
      </c>
      <c r="N3548">
        <v>247.49</v>
      </c>
      <c r="O3548">
        <v>375.97</v>
      </c>
      <c r="P3548">
        <v>18.8</v>
      </c>
      <c r="Q3548">
        <v>18.8</v>
      </c>
      <c r="R3548" t="s">
        <v>30</v>
      </c>
      <c r="S3548">
        <v>29</v>
      </c>
      <c r="T3548">
        <v>1</v>
      </c>
      <c r="U3548">
        <v>2</v>
      </c>
      <c r="V3548">
        <v>357.17</v>
      </c>
      <c r="W3548">
        <v>13130003546</v>
      </c>
    </row>
    <row r="3549" spans="1:23" x14ac:dyDescent="0.2">
      <c r="A3549" s="1">
        <v>44774</v>
      </c>
      <c r="B3549" s="2">
        <v>0.69679398148148153</v>
      </c>
      <c r="C3549">
        <v>4547</v>
      </c>
      <c r="D3549">
        <v>13002561</v>
      </c>
      <c r="E3549">
        <v>13</v>
      </c>
      <c r="F3549">
        <v>22589</v>
      </c>
      <c r="G3549" t="s">
        <v>23</v>
      </c>
      <c r="H3549">
        <v>18</v>
      </c>
      <c r="I3549">
        <v>50069</v>
      </c>
      <c r="J3549" t="s">
        <v>126</v>
      </c>
      <c r="K3549" t="s">
        <v>25</v>
      </c>
      <c r="L3549" t="s">
        <v>26</v>
      </c>
      <c r="M3549">
        <v>1</v>
      </c>
      <c r="N3549">
        <v>178.76</v>
      </c>
      <c r="O3549">
        <v>257.22000000000003</v>
      </c>
      <c r="P3549">
        <v>12.86</v>
      </c>
      <c r="Q3549">
        <v>12.86</v>
      </c>
      <c r="R3549" t="s">
        <v>30</v>
      </c>
      <c r="S3549">
        <v>29</v>
      </c>
      <c r="T3549">
        <v>1</v>
      </c>
      <c r="U3549">
        <v>4</v>
      </c>
      <c r="V3549">
        <v>244.36</v>
      </c>
      <c r="W3549">
        <v>13130003547</v>
      </c>
    </row>
    <row r="3550" spans="1:23" x14ac:dyDescent="0.2">
      <c r="A3550" s="1">
        <v>44784</v>
      </c>
      <c r="B3550" s="2">
        <v>0.80082175925925925</v>
      </c>
      <c r="C3550">
        <v>4548</v>
      </c>
      <c r="D3550">
        <v>13002561</v>
      </c>
      <c r="E3550">
        <v>13</v>
      </c>
      <c r="F3550">
        <v>22589</v>
      </c>
      <c r="G3550" t="s">
        <v>23</v>
      </c>
      <c r="H3550">
        <v>15</v>
      </c>
      <c r="I3550">
        <v>12196</v>
      </c>
      <c r="J3550" t="s">
        <v>58</v>
      </c>
      <c r="K3550" t="s">
        <v>44</v>
      </c>
      <c r="L3550" t="s">
        <v>51</v>
      </c>
      <c r="M3550">
        <v>3</v>
      </c>
      <c r="N3550">
        <v>24.67</v>
      </c>
      <c r="O3550">
        <v>41.1</v>
      </c>
      <c r="P3550">
        <v>2.06</v>
      </c>
      <c r="Q3550">
        <v>2.06</v>
      </c>
      <c r="R3550" t="s">
        <v>30</v>
      </c>
      <c r="S3550">
        <v>29</v>
      </c>
      <c r="T3550">
        <v>1</v>
      </c>
      <c r="U3550">
        <v>2</v>
      </c>
      <c r="V3550">
        <v>39.04</v>
      </c>
      <c r="W3550">
        <v>13130003548</v>
      </c>
    </row>
    <row r="3551" spans="1:23" x14ac:dyDescent="0.2">
      <c r="A3551" s="1">
        <v>44780</v>
      </c>
      <c r="B3551" s="2">
        <v>0.43074074074074081</v>
      </c>
      <c r="C3551">
        <v>4549</v>
      </c>
      <c r="D3551">
        <v>13002561</v>
      </c>
      <c r="E3551">
        <v>13</v>
      </c>
      <c r="F3551">
        <v>22589</v>
      </c>
      <c r="G3551" t="s">
        <v>23</v>
      </c>
      <c r="H3551">
        <v>15</v>
      </c>
      <c r="I3551">
        <v>33687</v>
      </c>
      <c r="J3551" t="s">
        <v>70</v>
      </c>
      <c r="K3551" t="s">
        <v>44</v>
      </c>
      <c r="L3551" t="s">
        <v>34</v>
      </c>
      <c r="M3551">
        <v>1</v>
      </c>
      <c r="N3551">
        <v>220.19</v>
      </c>
      <c r="O3551">
        <v>311.08999999999997</v>
      </c>
      <c r="P3551">
        <v>31.11</v>
      </c>
      <c r="Q3551">
        <v>31.11</v>
      </c>
      <c r="R3551" t="s">
        <v>30</v>
      </c>
      <c r="S3551">
        <v>29</v>
      </c>
      <c r="T3551">
        <v>1</v>
      </c>
      <c r="U3551">
        <v>2</v>
      </c>
      <c r="V3551">
        <v>279.98</v>
      </c>
      <c r="W3551">
        <v>13130003549</v>
      </c>
    </row>
    <row r="3552" spans="1:23" x14ac:dyDescent="0.2">
      <c r="A3552" s="1">
        <v>44803</v>
      </c>
      <c r="B3552" s="2">
        <v>0.64834490740740736</v>
      </c>
      <c r="C3552">
        <v>4550</v>
      </c>
      <c r="D3552">
        <v>13002561</v>
      </c>
      <c r="E3552">
        <v>13</v>
      </c>
      <c r="F3552">
        <v>22589</v>
      </c>
      <c r="G3552" t="s">
        <v>23</v>
      </c>
      <c r="H3552">
        <v>18</v>
      </c>
      <c r="I3552">
        <v>42357</v>
      </c>
      <c r="J3552" t="s">
        <v>67</v>
      </c>
      <c r="K3552" t="s">
        <v>28</v>
      </c>
      <c r="L3552" t="s">
        <v>51</v>
      </c>
      <c r="M3552">
        <v>2</v>
      </c>
      <c r="N3552">
        <v>399.48</v>
      </c>
      <c r="O3552">
        <v>611.67999999999995</v>
      </c>
      <c r="P3552">
        <v>0</v>
      </c>
      <c r="Q3552">
        <v>0</v>
      </c>
      <c r="S3552">
        <v>29</v>
      </c>
      <c r="T3552">
        <v>1</v>
      </c>
      <c r="U3552">
        <v>1</v>
      </c>
      <c r="V3552">
        <v>611.67999999999995</v>
      </c>
      <c r="W3552">
        <v>13130003550</v>
      </c>
    </row>
    <row r="3553" spans="1:23" x14ac:dyDescent="0.2">
      <c r="A3553" s="1">
        <v>44795</v>
      </c>
      <c r="B3553" s="2">
        <v>0.74674768518518519</v>
      </c>
      <c r="C3553">
        <v>4551</v>
      </c>
      <c r="D3553">
        <v>13002561</v>
      </c>
      <c r="E3553">
        <v>13</v>
      </c>
      <c r="F3553">
        <v>22589</v>
      </c>
      <c r="G3553" t="s">
        <v>23</v>
      </c>
      <c r="H3553">
        <v>15</v>
      </c>
      <c r="I3553">
        <v>24415</v>
      </c>
      <c r="J3553" t="s">
        <v>59</v>
      </c>
      <c r="K3553" t="s">
        <v>28</v>
      </c>
      <c r="L3553" t="s">
        <v>47</v>
      </c>
      <c r="M3553">
        <v>1</v>
      </c>
      <c r="N3553">
        <v>166.2</v>
      </c>
      <c r="O3553">
        <v>262.44</v>
      </c>
      <c r="P3553">
        <v>13.12</v>
      </c>
      <c r="Q3553">
        <v>13.12</v>
      </c>
      <c r="R3553" t="s">
        <v>30</v>
      </c>
      <c r="S3553">
        <v>29</v>
      </c>
      <c r="T3553">
        <v>1</v>
      </c>
      <c r="U3553">
        <v>2</v>
      </c>
      <c r="V3553">
        <v>249.32</v>
      </c>
      <c r="W3553">
        <v>13130003551</v>
      </c>
    </row>
    <row r="3554" spans="1:23" x14ac:dyDescent="0.2">
      <c r="A3554" s="1">
        <v>44777</v>
      </c>
      <c r="B3554" s="2">
        <v>0.36219907407407409</v>
      </c>
      <c r="C3554">
        <v>4552</v>
      </c>
      <c r="D3554">
        <v>13002561</v>
      </c>
      <c r="E3554">
        <v>13</v>
      </c>
      <c r="F3554">
        <v>22589</v>
      </c>
      <c r="G3554" t="s">
        <v>23</v>
      </c>
      <c r="H3554">
        <v>18</v>
      </c>
      <c r="I3554">
        <v>58148</v>
      </c>
      <c r="J3554" t="s">
        <v>24</v>
      </c>
      <c r="K3554" t="s">
        <v>25</v>
      </c>
      <c r="L3554" t="s">
        <v>39</v>
      </c>
      <c r="M3554">
        <v>2</v>
      </c>
      <c r="N3554">
        <v>467.19</v>
      </c>
      <c r="O3554">
        <v>707.62</v>
      </c>
      <c r="P3554">
        <v>70.760000000000005</v>
      </c>
      <c r="Q3554">
        <v>70.760000000000005</v>
      </c>
      <c r="R3554" t="s">
        <v>30</v>
      </c>
      <c r="S3554">
        <v>29</v>
      </c>
      <c r="T3554">
        <v>1</v>
      </c>
      <c r="U3554">
        <v>3</v>
      </c>
      <c r="V3554">
        <v>636.86</v>
      </c>
      <c r="W3554">
        <v>13130003552</v>
      </c>
    </row>
    <row r="3555" spans="1:23" x14ac:dyDescent="0.2">
      <c r="A3555" s="1">
        <v>44804</v>
      </c>
      <c r="B3555" s="2">
        <v>0.51765046296296291</v>
      </c>
      <c r="C3555">
        <v>4553</v>
      </c>
      <c r="D3555">
        <v>13002561</v>
      </c>
      <c r="E3555">
        <v>13</v>
      </c>
      <c r="F3555">
        <v>22589</v>
      </c>
      <c r="G3555" t="s">
        <v>23</v>
      </c>
      <c r="H3555">
        <v>18</v>
      </c>
      <c r="I3555">
        <v>73580</v>
      </c>
      <c r="J3555" t="s">
        <v>41</v>
      </c>
      <c r="K3555" t="s">
        <v>44</v>
      </c>
      <c r="L3555" t="s">
        <v>47</v>
      </c>
      <c r="M3555">
        <v>3</v>
      </c>
      <c r="N3555">
        <v>82.26</v>
      </c>
      <c r="O3555">
        <v>108.24</v>
      </c>
      <c r="P3555">
        <v>10.82</v>
      </c>
      <c r="Q3555">
        <v>10.82</v>
      </c>
      <c r="R3555" t="s">
        <v>30</v>
      </c>
      <c r="S3555">
        <v>29</v>
      </c>
      <c r="T3555">
        <v>1</v>
      </c>
      <c r="U3555">
        <v>6</v>
      </c>
      <c r="V3555">
        <v>97.42</v>
      </c>
      <c r="W3555">
        <v>13130003553</v>
      </c>
    </row>
    <row r="3556" spans="1:23" x14ac:dyDescent="0.2">
      <c r="A3556" s="1">
        <v>44803</v>
      </c>
      <c r="B3556" s="2">
        <v>0.85199074074074077</v>
      </c>
      <c r="C3556">
        <v>4554</v>
      </c>
      <c r="D3556">
        <v>13002561</v>
      </c>
      <c r="E3556">
        <v>13</v>
      </c>
      <c r="F3556">
        <v>22589</v>
      </c>
      <c r="G3556" t="s">
        <v>23</v>
      </c>
      <c r="H3556">
        <v>18</v>
      </c>
      <c r="I3556">
        <v>12806</v>
      </c>
      <c r="J3556" t="s">
        <v>62</v>
      </c>
      <c r="K3556" t="s">
        <v>25</v>
      </c>
      <c r="L3556" t="s">
        <v>34</v>
      </c>
      <c r="M3556">
        <v>1</v>
      </c>
      <c r="N3556">
        <v>283.92</v>
      </c>
      <c r="O3556">
        <v>418</v>
      </c>
      <c r="P3556">
        <v>20.9</v>
      </c>
      <c r="Q3556">
        <v>20.9</v>
      </c>
      <c r="R3556" t="s">
        <v>30</v>
      </c>
      <c r="S3556">
        <v>29</v>
      </c>
      <c r="T3556">
        <v>1</v>
      </c>
      <c r="U3556">
        <v>2</v>
      </c>
      <c r="V3556">
        <v>397.1</v>
      </c>
      <c r="W3556">
        <v>13130003554</v>
      </c>
    </row>
    <row r="3557" spans="1:23" x14ac:dyDescent="0.2">
      <c r="A3557" s="1">
        <v>44788</v>
      </c>
      <c r="B3557" s="2">
        <v>0.76652777777777781</v>
      </c>
      <c r="C3557">
        <v>4555</v>
      </c>
      <c r="D3557">
        <v>13002561</v>
      </c>
      <c r="E3557">
        <v>13</v>
      </c>
      <c r="F3557">
        <v>22589</v>
      </c>
      <c r="G3557" t="s">
        <v>23</v>
      </c>
      <c r="H3557">
        <v>18</v>
      </c>
      <c r="I3557">
        <v>67129</v>
      </c>
      <c r="J3557" t="s">
        <v>33</v>
      </c>
      <c r="K3557" t="s">
        <v>28</v>
      </c>
      <c r="L3557" t="s">
        <v>47</v>
      </c>
      <c r="M3557">
        <v>2</v>
      </c>
      <c r="N3557">
        <v>241.92</v>
      </c>
      <c r="O3557">
        <v>355.95</v>
      </c>
      <c r="P3557">
        <v>0</v>
      </c>
      <c r="Q3557">
        <v>0</v>
      </c>
      <c r="S3557">
        <v>29</v>
      </c>
      <c r="T3557">
        <v>1</v>
      </c>
      <c r="U3557">
        <v>2</v>
      </c>
      <c r="V3557">
        <v>355.95</v>
      </c>
      <c r="W3557">
        <v>13130003555</v>
      </c>
    </row>
    <row r="3558" spans="1:23" x14ac:dyDescent="0.2">
      <c r="A3558" s="1">
        <v>44796</v>
      </c>
      <c r="B3558" s="2">
        <v>0.85840277777777774</v>
      </c>
      <c r="C3558">
        <v>4556</v>
      </c>
      <c r="D3558">
        <v>13002561</v>
      </c>
      <c r="E3558">
        <v>13</v>
      </c>
      <c r="F3558">
        <v>22589</v>
      </c>
      <c r="G3558" t="s">
        <v>23</v>
      </c>
      <c r="H3558">
        <v>18</v>
      </c>
      <c r="I3558">
        <v>21143</v>
      </c>
      <c r="J3558" t="s">
        <v>123</v>
      </c>
      <c r="K3558" t="s">
        <v>25</v>
      </c>
      <c r="L3558" t="s">
        <v>32</v>
      </c>
      <c r="M3558">
        <v>1</v>
      </c>
      <c r="N3558">
        <v>541.47</v>
      </c>
      <c r="O3558">
        <v>791.04</v>
      </c>
      <c r="P3558">
        <v>79.099999999999994</v>
      </c>
      <c r="Q3558">
        <v>79.099999999999994</v>
      </c>
      <c r="R3558" t="s">
        <v>30</v>
      </c>
      <c r="S3558">
        <v>29</v>
      </c>
      <c r="T3558">
        <v>1</v>
      </c>
      <c r="U3558">
        <v>6</v>
      </c>
      <c r="V3558">
        <v>711.94</v>
      </c>
      <c r="W3558">
        <v>13130003556</v>
      </c>
    </row>
    <row r="3559" spans="1:23" x14ac:dyDescent="0.2">
      <c r="A3559" s="1">
        <v>44783</v>
      </c>
      <c r="B3559" s="2">
        <v>0.78475694444444444</v>
      </c>
      <c r="C3559">
        <v>4557</v>
      </c>
      <c r="D3559">
        <v>13002561</v>
      </c>
      <c r="E3559">
        <v>13</v>
      </c>
      <c r="F3559">
        <v>22589</v>
      </c>
      <c r="G3559" t="s">
        <v>23</v>
      </c>
      <c r="H3559">
        <v>15</v>
      </c>
      <c r="I3559">
        <v>74155</v>
      </c>
      <c r="J3559" t="s">
        <v>105</v>
      </c>
      <c r="K3559" t="s">
        <v>25</v>
      </c>
      <c r="L3559" t="s">
        <v>34</v>
      </c>
      <c r="M3559">
        <v>3</v>
      </c>
      <c r="N3559">
        <v>474.32</v>
      </c>
      <c r="O3559">
        <v>782.55</v>
      </c>
      <c r="P3559">
        <v>39.130000000000003</v>
      </c>
      <c r="Q3559">
        <v>39.130000000000003</v>
      </c>
      <c r="R3559" t="s">
        <v>30</v>
      </c>
      <c r="S3559">
        <v>29</v>
      </c>
      <c r="T3559">
        <v>1</v>
      </c>
      <c r="U3559">
        <v>3</v>
      </c>
      <c r="V3559">
        <v>743.42</v>
      </c>
      <c r="W3559">
        <v>13130003557</v>
      </c>
    </row>
    <row r="3560" spans="1:23" x14ac:dyDescent="0.2">
      <c r="A3560" s="1">
        <v>44791</v>
      </c>
      <c r="B3560" s="2">
        <v>0.59782407407407412</v>
      </c>
      <c r="C3560">
        <v>4558</v>
      </c>
      <c r="D3560">
        <v>13002561</v>
      </c>
      <c r="E3560">
        <v>13</v>
      </c>
      <c r="F3560">
        <v>22589</v>
      </c>
      <c r="G3560" t="s">
        <v>23</v>
      </c>
      <c r="H3560">
        <v>15</v>
      </c>
      <c r="I3560">
        <v>23319</v>
      </c>
      <c r="J3560" t="s">
        <v>70</v>
      </c>
      <c r="K3560" t="s">
        <v>28</v>
      </c>
      <c r="L3560" t="s">
        <v>47</v>
      </c>
      <c r="M3560">
        <v>3</v>
      </c>
      <c r="N3560">
        <v>178.31</v>
      </c>
      <c r="O3560">
        <v>232.51</v>
      </c>
      <c r="P3560">
        <v>0</v>
      </c>
      <c r="Q3560">
        <v>0</v>
      </c>
      <c r="S3560">
        <v>29</v>
      </c>
      <c r="T3560">
        <v>1</v>
      </c>
      <c r="U3560">
        <v>2</v>
      </c>
      <c r="V3560">
        <v>232.51</v>
      </c>
      <c r="W3560">
        <v>13130003558</v>
      </c>
    </row>
    <row r="3561" spans="1:23" x14ac:dyDescent="0.2">
      <c r="A3561" s="1">
        <v>44783</v>
      </c>
      <c r="B3561" s="2">
        <v>0.72515046296296293</v>
      </c>
      <c r="C3561">
        <v>4559</v>
      </c>
      <c r="D3561">
        <v>13002561</v>
      </c>
      <c r="E3561">
        <v>13</v>
      </c>
      <c r="F3561">
        <v>22589</v>
      </c>
      <c r="G3561" t="s">
        <v>23</v>
      </c>
      <c r="H3561">
        <v>15</v>
      </c>
      <c r="I3561">
        <v>85486</v>
      </c>
      <c r="J3561" t="s">
        <v>116</v>
      </c>
      <c r="K3561" t="s">
        <v>45</v>
      </c>
      <c r="L3561" t="s">
        <v>26</v>
      </c>
      <c r="M3561">
        <v>2</v>
      </c>
      <c r="N3561">
        <v>296.58</v>
      </c>
      <c r="O3561">
        <v>463.05</v>
      </c>
      <c r="P3561">
        <v>23.15</v>
      </c>
      <c r="Q3561">
        <v>23.15</v>
      </c>
      <c r="R3561" t="s">
        <v>30</v>
      </c>
      <c r="S3561">
        <v>29</v>
      </c>
      <c r="T3561">
        <v>1</v>
      </c>
      <c r="U3561">
        <v>1</v>
      </c>
      <c r="V3561">
        <v>439.9</v>
      </c>
      <c r="W3561">
        <v>13130003559</v>
      </c>
    </row>
    <row r="3562" spans="1:23" x14ac:dyDescent="0.2">
      <c r="A3562" s="1">
        <v>44779</v>
      </c>
      <c r="B3562" s="2">
        <v>0.75957175925925924</v>
      </c>
      <c r="C3562">
        <v>4560</v>
      </c>
      <c r="D3562">
        <v>13002561</v>
      </c>
      <c r="E3562">
        <v>13</v>
      </c>
      <c r="F3562">
        <v>22589</v>
      </c>
      <c r="G3562" t="s">
        <v>23</v>
      </c>
      <c r="H3562">
        <v>18</v>
      </c>
      <c r="I3562">
        <v>15592</v>
      </c>
      <c r="J3562" t="s">
        <v>24</v>
      </c>
      <c r="K3562" t="s">
        <v>38</v>
      </c>
      <c r="L3562" t="s">
        <v>51</v>
      </c>
      <c r="M3562">
        <v>1</v>
      </c>
      <c r="N3562">
        <v>409.41</v>
      </c>
      <c r="O3562">
        <v>519.23</v>
      </c>
      <c r="P3562">
        <v>0</v>
      </c>
      <c r="Q3562">
        <v>0</v>
      </c>
      <c r="S3562">
        <v>29</v>
      </c>
      <c r="T3562">
        <v>1</v>
      </c>
      <c r="U3562">
        <v>4</v>
      </c>
      <c r="V3562">
        <v>519.23</v>
      </c>
      <c r="W3562">
        <v>13130003560</v>
      </c>
    </row>
    <row r="3563" spans="1:23" x14ac:dyDescent="0.2">
      <c r="A3563" s="1">
        <v>44783</v>
      </c>
      <c r="B3563" s="2">
        <v>0.83668981481481486</v>
      </c>
      <c r="C3563">
        <v>4561</v>
      </c>
      <c r="D3563">
        <v>13002561</v>
      </c>
      <c r="E3563">
        <v>13</v>
      </c>
      <c r="F3563">
        <v>22589</v>
      </c>
      <c r="G3563" t="s">
        <v>23</v>
      </c>
      <c r="H3563">
        <v>18</v>
      </c>
      <c r="I3563">
        <v>43004</v>
      </c>
      <c r="J3563" t="s">
        <v>59</v>
      </c>
      <c r="K3563" t="s">
        <v>44</v>
      </c>
      <c r="L3563" t="s">
        <v>29</v>
      </c>
      <c r="M3563">
        <v>2</v>
      </c>
      <c r="N3563">
        <v>524.67999999999995</v>
      </c>
      <c r="O3563">
        <v>780.34</v>
      </c>
      <c r="P3563">
        <v>0</v>
      </c>
      <c r="Q3563">
        <v>0</v>
      </c>
      <c r="S3563">
        <v>29</v>
      </c>
      <c r="T3563">
        <v>1</v>
      </c>
      <c r="U3563">
        <v>6</v>
      </c>
      <c r="V3563">
        <v>780.34</v>
      </c>
      <c r="W3563">
        <v>13130003561</v>
      </c>
    </row>
    <row r="3564" spans="1:23" x14ac:dyDescent="0.2">
      <c r="A3564" s="1">
        <v>44803</v>
      </c>
      <c r="B3564" s="2">
        <v>0.6965972222222222</v>
      </c>
      <c r="C3564">
        <v>4562</v>
      </c>
      <c r="D3564">
        <v>13002561</v>
      </c>
      <c r="E3564">
        <v>13</v>
      </c>
      <c r="F3564">
        <v>22589</v>
      </c>
      <c r="G3564" t="s">
        <v>23</v>
      </c>
      <c r="H3564">
        <v>15</v>
      </c>
      <c r="I3564">
        <v>24675</v>
      </c>
      <c r="J3564" t="s">
        <v>65</v>
      </c>
      <c r="K3564" t="s">
        <v>44</v>
      </c>
      <c r="L3564" t="s">
        <v>51</v>
      </c>
      <c r="M3564">
        <v>3</v>
      </c>
      <c r="N3564">
        <v>134.07</v>
      </c>
      <c r="O3564">
        <v>179.15</v>
      </c>
      <c r="P3564">
        <v>8.9600000000000009</v>
      </c>
      <c r="Q3564">
        <v>8.9600000000000009</v>
      </c>
      <c r="R3564" t="s">
        <v>30</v>
      </c>
      <c r="S3564">
        <v>29</v>
      </c>
      <c r="T3564">
        <v>1</v>
      </c>
      <c r="U3564">
        <v>2</v>
      </c>
      <c r="V3564">
        <v>170.19</v>
      </c>
      <c r="W3564">
        <v>13130003562</v>
      </c>
    </row>
    <row r="3565" spans="1:23" x14ac:dyDescent="0.2">
      <c r="A3565" s="1">
        <v>44793</v>
      </c>
      <c r="B3565" s="2">
        <v>0.60256944444444449</v>
      </c>
      <c r="C3565">
        <v>4563</v>
      </c>
      <c r="D3565">
        <v>13002561</v>
      </c>
      <c r="E3565">
        <v>13</v>
      </c>
      <c r="F3565">
        <v>22589</v>
      </c>
      <c r="G3565" t="s">
        <v>23</v>
      </c>
      <c r="H3565">
        <v>15</v>
      </c>
      <c r="I3565">
        <v>55717</v>
      </c>
      <c r="J3565" t="s">
        <v>105</v>
      </c>
      <c r="K3565" t="s">
        <v>44</v>
      </c>
      <c r="L3565" t="s">
        <v>32</v>
      </c>
      <c r="M3565">
        <v>1</v>
      </c>
      <c r="N3565">
        <v>562.14</v>
      </c>
      <c r="O3565">
        <v>860.25</v>
      </c>
      <c r="P3565">
        <v>0</v>
      </c>
      <c r="Q3565">
        <v>0</v>
      </c>
      <c r="S3565">
        <v>29</v>
      </c>
      <c r="T3565">
        <v>1</v>
      </c>
      <c r="U3565">
        <v>5</v>
      </c>
      <c r="V3565">
        <v>860.25</v>
      </c>
      <c r="W3565">
        <v>13130003563</v>
      </c>
    </row>
    <row r="3566" spans="1:23" x14ac:dyDescent="0.2">
      <c r="A3566" s="1">
        <v>44774</v>
      </c>
      <c r="B3566" s="2">
        <v>0.46313657407407399</v>
      </c>
      <c r="C3566">
        <v>4564</v>
      </c>
      <c r="D3566">
        <v>13002561</v>
      </c>
      <c r="E3566">
        <v>13</v>
      </c>
      <c r="F3566">
        <v>22589</v>
      </c>
      <c r="G3566" t="s">
        <v>23</v>
      </c>
      <c r="H3566">
        <v>18</v>
      </c>
      <c r="I3566">
        <v>87959</v>
      </c>
      <c r="J3566" t="s">
        <v>24</v>
      </c>
      <c r="K3566" t="s">
        <v>25</v>
      </c>
      <c r="L3566" t="s">
        <v>47</v>
      </c>
      <c r="M3566">
        <v>1</v>
      </c>
      <c r="N3566">
        <v>120.54</v>
      </c>
      <c r="O3566">
        <v>175</v>
      </c>
      <c r="P3566">
        <v>8.75</v>
      </c>
      <c r="Q3566">
        <v>8.75</v>
      </c>
      <c r="R3566" t="s">
        <v>30</v>
      </c>
      <c r="S3566">
        <v>29</v>
      </c>
      <c r="T3566">
        <v>1</v>
      </c>
      <c r="U3566">
        <v>6</v>
      </c>
      <c r="V3566">
        <v>166.25</v>
      </c>
      <c r="W3566">
        <v>13130003564</v>
      </c>
    </row>
    <row r="3567" spans="1:23" x14ac:dyDescent="0.2">
      <c r="A3567" s="1">
        <v>44776</v>
      </c>
      <c r="B3567" s="2">
        <v>0.71418981481481481</v>
      </c>
      <c r="C3567">
        <v>4565</v>
      </c>
      <c r="D3567">
        <v>13002561</v>
      </c>
      <c r="E3567">
        <v>13</v>
      </c>
      <c r="F3567">
        <v>22589</v>
      </c>
      <c r="G3567" t="s">
        <v>23</v>
      </c>
      <c r="H3567">
        <v>15</v>
      </c>
      <c r="I3567">
        <v>46268</v>
      </c>
      <c r="J3567" t="s">
        <v>114</v>
      </c>
      <c r="K3567" t="s">
        <v>25</v>
      </c>
      <c r="L3567" t="s">
        <v>34</v>
      </c>
      <c r="M3567">
        <v>1</v>
      </c>
      <c r="N3567">
        <v>379.56</v>
      </c>
      <c r="O3567">
        <v>586.79</v>
      </c>
      <c r="P3567">
        <v>58.68</v>
      </c>
      <c r="Q3567">
        <v>58.68</v>
      </c>
      <c r="R3567" t="s">
        <v>30</v>
      </c>
      <c r="S3567">
        <v>29</v>
      </c>
      <c r="T3567">
        <v>1</v>
      </c>
      <c r="U3567">
        <v>4</v>
      </c>
      <c r="V3567">
        <v>528.11</v>
      </c>
      <c r="W3567">
        <v>13130003565</v>
      </c>
    </row>
    <row r="3568" spans="1:23" x14ac:dyDescent="0.2">
      <c r="A3568" s="1">
        <v>44786</v>
      </c>
      <c r="B3568" s="2">
        <v>0.95825231481481477</v>
      </c>
      <c r="C3568">
        <v>4566</v>
      </c>
      <c r="D3568">
        <v>13002561</v>
      </c>
      <c r="E3568">
        <v>13</v>
      </c>
      <c r="F3568">
        <v>22589</v>
      </c>
      <c r="G3568" t="s">
        <v>23</v>
      </c>
      <c r="H3568">
        <v>18</v>
      </c>
      <c r="I3568">
        <v>15120</v>
      </c>
      <c r="J3568" t="s">
        <v>68</v>
      </c>
      <c r="K3568" t="s">
        <v>44</v>
      </c>
      <c r="L3568" t="s">
        <v>51</v>
      </c>
      <c r="M3568">
        <v>3</v>
      </c>
      <c r="N3568">
        <v>356.57</v>
      </c>
      <c r="O3568">
        <v>553.38</v>
      </c>
      <c r="P3568">
        <v>27.67</v>
      </c>
      <c r="Q3568">
        <v>27.67</v>
      </c>
      <c r="R3568" t="s">
        <v>30</v>
      </c>
      <c r="S3568">
        <v>29</v>
      </c>
      <c r="T3568">
        <v>1</v>
      </c>
      <c r="U3568">
        <v>2</v>
      </c>
      <c r="V3568">
        <v>525.71</v>
      </c>
      <c r="W3568">
        <v>13130003566</v>
      </c>
    </row>
    <row r="3569" spans="1:23" x14ac:dyDescent="0.2">
      <c r="A3569" s="1">
        <v>44781</v>
      </c>
      <c r="B3569" s="2">
        <v>0.43277777777777782</v>
      </c>
      <c r="C3569">
        <v>4567</v>
      </c>
      <c r="D3569">
        <v>13002561</v>
      </c>
      <c r="E3569">
        <v>13</v>
      </c>
      <c r="F3569">
        <v>22589</v>
      </c>
      <c r="G3569" t="s">
        <v>23</v>
      </c>
      <c r="H3569">
        <v>15</v>
      </c>
      <c r="I3569">
        <v>19171</v>
      </c>
      <c r="J3569" t="s">
        <v>126</v>
      </c>
      <c r="K3569" t="s">
        <v>25</v>
      </c>
      <c r="L3569" t="s">
        <v>47</v>
      </c>
      <c r="M3569">
        <v>2</v>
      </c>
      <c r="N3569">
        <v>176.14</v>
      </c>
      <c r="O3569">
        <v>222.64</v>
      </c>
      <c r="P3569">
        <v>0</v>
      </c>
      <c r="Q3569">
        <v>0</v>
      </c>
      <c r="S3569">
        <v>29</v>
      </c>
      <c r="T3569">
        <v>1</v>
      </c>
      <c r="U3569">
        <v>6</v>
      </c>
      <c r="V3569">
        <v>222.64</v>
      </c>
      <c r="W3569">
        <v>13130003567</v>
      </c>
    </row>
    <row r="3570" spans="1:23" x14ac:dyDescent="0.2">
      <c r="A3570" s="1">
        <v>44785</v>
      </c>
      <c r="B3570" s="2">
        <v>0.42405092592592591</v>
      </c>
      <c r="C3570">
        <v>4568</v>
      </c>
      <c r="D3570">
        <v>13002561</v>
      </c>
      <c r="E3570">
        <v>13</v>
      </c>
      <c r="F3570">
        <v>22589</v>
      </c>
      <c r="G3570" t="s">
        <v>23</v>
      </c>
      <c r="H3570">
        <v>18</v>
      </c>
      <c r="I3570">
        <v>53016</v>
      </c>
      <c r="J3570" t="s">
        <v>117</v>
      </c>
      <c r="K3570" t="s">
        <v>45</v>
      </c>
      <c r="L3570" t="s">
        <v>29</v>
      </c>
      <c r="M3570">
        <v>3</v>
      </c>
      <c r="N3570">
        <v>83.13</v>
      </c>
      <c r="O3570">
        <v>104.38</v>
      </c>
      <c r="P3570">
        <v>0</v>
      </c>
      <c r="Q3570">
        <v>0</v>
      </c>
      <c r="S3570">
        <v>29</v>
      </c>
      <c r="T3570">
        <v>1</v>
      </c>
      <c r="U3570">
        <v>5</v>
      </c>
      <c r="V3570">
        <v>104.38</v>
      </c>
      <c r="W3570">
        <v>13130003568</v>
      </c>
    </row>
    <row r="3571" spans="1:23" x14ac:dyDescent="0.2">
      <c r="A3571" s="1">
        <v>44802</v>
      </c>
      <c r="B3571" s="2">
        <v>0.82504629629629633</v>
      </c>
      <c r="C3571">
        <v>4569</v>
      </c>
      <c r="D3571">
        <v>13002561</v>
      </c>
      <c r="E3571">
        <v>13</v>
      </c>
      <c r="F3571">
        <v>22589</v>
      </c>
      <c r="G3571" t="s">
        <v>23</v>
      </c>
      <c r="H3571">
        <v>15</v>
      </c>
      <c r="I3571">
        <v>78548</v>
      </c>
      <c r="J3571" t="s">
        <v>79</v>
      </c>
      <c r="K3571" t="s">
        <v>45</v>
      </c>
      <c r="L3571" t="s">
        <v>47</v>
      </c>
      <c r="M3571">
        <v>2</v>
      </c>
      <c r="N3571">
        <v>10.46</v>
      </c>
      <c r="O3571">
        <v>17.329999999999998</v>
      </c>
      <c r="P3571">
        <v>0.87</v>
      </c>
      <c r="Q3571">
        <v>0.87</v>
      </c>
      <c r="R3571" t="s">
        <v>30</v>
      </c>
      <c r="S3571">
        <v>29</v>
      </c>
      <c r="T3571">
        <v>1</v>
      </c>
      <c r="U3571">
        <v>6</v>
      </c>
      <c r="V3571">
        <v>16.46</v>
      </c>
      <c r="W3571">
        <v>13130003569</v>
      </c>
    </row>
    <row r="3572" spans="1:23" x14ac:dyDescent="0.2">
      <c r="A3572" s="1">
        <v>44797</v>
      </c>
      <c r="B3572" s="2">
        <v>0.48593750000000002</v>
      </c>
      <c r="C3572">
        <v>4570</v>
      </c>
      <c r="D3572">
        <v>13002561</v>
      </c>
      <c r="E3572">
        <v>13</v>
      </c>
      <c r="F3572">
        <v>22589</v>
      </c>
      <c r="G3572" t="s">
        <v>23</v>
      </c>
      <c r="H3572">
        <v>15</v>
      </c>
      <c r="I3572">
        <v>28392</v>
      </c>
      <c r="J3572" t="s">
        <v>100</v>
      </c>
      <c r="K3572" t="s">
        <v>28</v>
      </c>
      <c r="L3572" t="s">
        <v>26</v>
      </c>
      <c r="M3572">
        <v>1</v>
      </c>
      <c r="N3572">
        <v>472.81</v>
      </c>
      <c r="O3572">
        <v>697.76</v>
      </c>
      <c r="P3572">
        <v>0</v>
      </c>
      <c r="Q3572">
        <v>0</v>
      </c>
      <c r="S3572">
        <v>29</v>
      </c>
      <c r="T3572">
        <v>1</v>
      </c>
      <c r="U3572">
        <v>5</v>
      </c>
      <c r="V3572">
        <v>697.76</v>
      </c>
      <c r="W3572">
        <v>13130003570</v>
      </c>
    </row>
    <row r="3573" spans="1:23" x14ac:dyDescent="0.2">
      <c r="A3573" s="1">
        <v>44797</v>
      </c>
      <c r="B3573" s="2">
        <v>0.35045138888888888</v>
      </c>
      <c r="C3573">
        <v>4571</v>
      </c>
      <c r="D3573">
        <v>13002561</v>
      </c>
      <c r="E3573">
        <v>13</v>
      </c>
      <c r="F3573">
        <v>22589</v>
      </c>
      <c r="G3573" t="s">
        <v>23</v>
      </c>
      <c r="H3573">
        <v>15</v>
      </c>
      <c r="I3573">
        <v>98388</v>
      </c>
      <c r="J3573" t="s">
        <v>56</v>
      </c>
      <c r="K3573" t="s">
        <v>45</v>
      </c>
      <c r="L3573" t="s">
        <v>29</v>
      </c>
      <c r="M3573">
        <v>2</v>
      </c>
      <c r="N3573">
        <v>79.959999999999994</v>
      </c>
      <c r="O3573">
        <v>132.91999999999999</v>
      </c>
      <c r="P3573">
        <v>0</v>
      </c>
      <c r="Q3573">
        <v>0</v>
      </c>
      <c r="S3573">
        <v>29</v>
      </c>
      <c r="T3573">
        <v>1</v>
      </c>
      <c r="U3573">
        <v>4</v>
      </c>
      <c r="V3573">
        <v>132.91999999999999</v>
      </c>
      <c r="W3573">
        <v>13130003571</v>
      </c>
    </row>
    <row r="3574" spans="1:23" x14ac:dyDescent="0.2">
      <c r="A3574" s="1">
        <v>44790</v>
      </c>
      <c r="B3574" s="2">
        <v>0.69206018518518519</v>
      </c>
      <c r="C3574">
        <v>4572</v>
      </c>
      <c r="D3574">
        <v>13002561</v>
      </c>
      <c r="E3574">
        <v>13</v>
      </c>
      <c r="F3574">
        <v>22589</v>
      </c>
      <c r="G3574" t="s">
        <v>23</v>
      </c>
      <c r="H3574">
        <v>15</v>
      </c>
      <c r="I3574">
        <v>79310</v>
      </c>
      <c r="J3574" t="s">
        <v>84</v>
      </c>
      <c r="K3574" t="s">
        <v>45</v>
      </c>
      <c r="L3574" t="s">
        <v>32</v>
      </c>
      <c r="M3574">
        <v>1</v>
      </c>
      <c r="N3574">
        <v>221.49</v>
      </c>
      <c r="O3574">
        <v>365.14</v>
      </c>
      <c r="P3574">
        <v>36.51</v>
      </c>
      <c r="Q3574">
        <v>36.51</v>
      </c>
      <c r="R3574" t="s">
        <v>30</v>
      </c>
      <c r="S3574">
        <v>29</v>
      </c>
      <c r="T3574">
        <v>1</v>
      </c>
      <c r="U3574">
        <v>1</v>
      </c>
      <c r="V3574">
        <v>328.63</v>
      </c>
      <c r="W3574">
        <v>13130003572</v>
      </c>
    </row>
    <row r="3575" spans="1:23" x14ac:dyDescent="0.2">
      <c r="A3575" s="1">
        <v>44791</v>
      </c>
      <c r="B3575" s="2">
        <v>0.80174768518518513</v>
      </c>
      <c r="C3575">
        <v>4573</v>
      </c>
      <c r="D3575">
        <v>13002561</v>
      </c>
      <c r="E3575">
        <v>13</v>
      </c>
      <c r="F3575">
        <v>22589</v>
      </c>
      <c r="G3575" t="s">
        <v>23</v>
      </c>
      <c r="H3575">
        <v>18</v>
      </c>
      <c r="I3575">
        <v>64441</v>
      </c>
      <c r="J3575" t="s">
        <v>123</v>
      </c>
      <c r="K3575" t="s">
        <v>60</v>
      </c>
      <c r="L3575" t="s">
        <v>34</v>
      </c>
      <c r="M3575">
        <v>2</v>
      </c>
      <c r="N3575">
        <v>394.8</v>
      </c>
      <c r="O3575">
        <v>652.42999999999995</v>
      </c>
      <c r="P3575">
        <v>0</v>
      </c>
      <c r="Q3575">
        <v>0</v>
      </c>
      <c r="S3575">
        <v>29</v>
      </c>
      <c r="T3575">
        <v>1</v>
      </c>
      <c r="U3575">
        <v>1</v>
      </c>
      <c r="V3575">
        <v>652.42999999999995</v>
      </c>
      <c r="W3575">
        <v>13130003573</v>
      </c>
    </row>
    <row r="3576" spans="1:23" x14ac:dyDescent="0.2">
      <c r="A3576" s="1">
        <v>44790</v>
      </c>
      <c r="B3576" s="2">
        <v>0.33346064814814808</v>
      </c>
      <c r="C3576">
        <v>4574</v>
      </c>
      <c r="D3576">
        <v>13002561</v>
      </c>
      <c r="E3576">
        <v>13</v>
      </c>
      <c r="F3576">
        <v>22589</v>
      </c>
      <c r="G3576" t="s">
        <v>23</v>
      </c>
      <c r="H3576">
        <v>15</v>
      </c>
      <c r="I3576">
        <v>30134</v>
      </c>
      <c r="J3576" t="s">
        <v>88</v>
      </c>
      <c r="K3576" t="s">
        <v>38</v>
      </c>
      <c r="L3576" t="s">
        <v>36</v>
      </c>
      <c r="M3576">
        <v>3</v>
      </c>
      <c r="N3576">
        <v>58.34</v>
      </c>
      <c r="O3576">
        <v>97.76</v>
      </c>
      <c r="P3576">
        <v>4.8899999999999997</v>
      </c>
      <c r="Q3576">
        <v>4.8899999999999997</v>
      </c>
      <c r="R3576" t="s">
        <v>30</v>
      </c>
      <c r="S3576">
        <v>29</v>
      </c>
      <c r="T3576">
        <v>1</v>
      </c>
      <c r="U3576">
        <v>4</v>
      </c>
      <c r="V3576">
        <v>92.87</v>
      </c>
      <c r="W3576">
        <v>13130003574</v>
      </c>
    </row>
    <row r="3577" spans="1:23" x14ac:dyDescent="0.2">
      <c r="A3577" s="1">
        <v>44791</v>
      </c>
      <c r="B3577" s="2">
        <v>0.65121527777777777</v>
      </c>
      <c r="C3577">
        <v>4575</v>
      </c>
      <c r="D3577">
        <v>13002561</v>
      </c>
      <c r="E3577">
        <v>13</v>
      </c>
      <c r="F3577">
        <v>22589</v>
      </c>
      <c r="G3577" t="s">
        <v>23</v>
      </c>
      <c r="H3577">
        <v>15</v>
      </c>
      <c r="I3577">
        <v>81633</v>
      </c>
      <c r="J3577" t="s">
        <v>94</v>
      </c>
      <c r="K3577" t="s">
        <v>45</v>
      </c>
      <c r="L3577" t="s">
        <v>39</v>
      </c>
      <c r="M3577">
        <v>2</v>
      </c>
      <c r="N3577">
        <v>523.27</v>
      </c>
      <c r="O3577">
        <v>677.44</v>
      </c>
      <c r="P3577">
        <v>67.739999999999995</v>
      </c>
      <c r="Q3577">
        <v>67.739999999999995</v>
      </c>
      <c r="R3577" t="s">
        <v>30</v>
      </c>
      <c r="S3577">
        <v>29</v>
      </c>
      <c r="T3577">
        <v>1</v>
      </c>
      <c r="U3577">
        <v>5</v>
      </c>
      <c r="V3577">
        <v>609.70000000000005</v>
      </c>
      <c r="W3577">
        <v>13130003575</v>
      </c>
    </row>
    <row r="3578" spans="1:23" x14ac:dyDescent="0.2">
      <c r="A3578" s="1">
        <v>44786</v>
      </c>
      <c r="B3578" s="2">
        <v>0.67437499999999995</v>
      </c>
      <c r="C3578">
        <v>4576</v>
      </c>
      <c r="D3578">
        <v>13002561</v>
      </c>
      <c r="E3578">
        <v>13</v>
      </c>
      <c r="F3578">
        <v>22589</v>
      </c>
      <c r="G3578" t="s">
        <v>23</v>
      </c>
      <c r="H3578">
        <v>15</v>
      </c>
      <c r="I3578">
        <v>86590</v>
      </c>
      <c r="J3578" t="s">
        <v>93</v>
      </c>
      <c r="K3578" t="s">
        <v>44</v>
      </c>
      <c r="L3578" t="s">
        <v>36</v>
      </c>
      <c r="M3578">
        <v>2</v>
      </c>
      <c r="N3578">
        <v>428.97</v>
      </c>
      <c r="O3578">
        <v>570.62</v>
      </c>
      <c r="P3578">
        <v>57.06</v>
      </c>
      <c r="Q3578">
        <v>57.06</v>
      </c>
      <c r="R3578" t="s">
        <v>30</v>
      </c>
      <c r="S3578">
        <v>29</v>
      </c>
      <c r="T3578">
        <v>1</v>
      </c>
      <c r="U3578">
        <v>1</v>
      </c>
      <c r="V3578">
        <v>513.55999999999995</v>
      </c>
      <c r="W3578">
        <v>13130003576</v>
      </c>
    </row>
    <row r="3579" spans="1:23" x14ac:dyDescent="0.2">
      <c r="A3579" s="1">
        <v>44777</v>
      </c>
      <c r="B3579" s="2">
        <v>0.9007060185185185</v>
      </c>
      <c r="C3579">
        <v>4577</v>
      </c>
      <c r="D3579">
        <v>13002561</v>
      </c>
      <c r="E3579">
        <v>13</v>
      </c>
      <c r="F3579">
        <v>22589</v>
      </c>
      <c r="G3579" t="s">
        <v>23</v>
      </c>
      <c r="H3579">
        <v>15</v>
      </c>
      <c r="I3579">
        <v>18341</v>
      </c>
      <c r="J3579" t="s">
        <v>113</v>
      </c>
      <c r="K3579" t="s">
        <v>45</v>
      </c>
      <c r="L3579" t="s">
        <v>32</v>
      </c>
      <c r="M3579">
        <v>3</v>
      </c>
      <c r="N3579">
        <v>559.94000000000005</v>
      </c>
      <c r="O3579">
        <v>731.67</v>
      </c>
      <c r="P3579">
        <v>73.17</v>
      </c>
      <c r="Q3579">
        <v>73.17</v>
      </c>
      <c r="R3579" t="s">
        <v>30</v>
      </c>
      <c r="S3579">
        <v>29</v>
      </c>
      <c r="T3579">
        <v>1</v>
      </c>
      <c r="U3579">
        <v>1</v>
      </c>
      <c r="V3579">
        <v>658.5</v>
      </c>
      <c r="W3579">
        <v>13130003577</v>
      </c>
    </row>
    <row r="3580" spans="1:23" x14ac:dyDescent="0.2">
      <c r="A3580" s="1">
        <v>44790</v>
      </c>
      <c r="B3580" s="2">
        <v>0.44692129629629629</v>
      </c>
      <c r="C3580">
        <v>4578</v>
      </c>
      <c r="D3580">
        <v>13002561</v>
      </c>
      <c r="E3580">
        <v>13</v>
      </c>
      <c r="F3580">
        <v>22589</v>
      </c>
      <c r="G3580" t="s">
        <v>23</v>
      </c>
      <c r="H3580">
        <v>15</v>
      </c>
      <c r="I3580">
        <v>92423</v>
      </c>
      <c r="J3580" t="s">
        <v>35</v>
      </c>
      <c r="K3580" t="s">
        <v>28</v>
      </c>
      <c r="L3580" t="s">
        <v>47</v>
      </c>
      <c r="M3580">
        <v>3</v>
      </c>
      <c r="N3580">
        <v>61.61</v>
      </c>
      <c r="O3580">
        <v>78.739999999999995</v>
      </c>
      <c r="P3580">
        <v>7.87</v>
      </c>
      <c r="Q3580">
        <v>7.87</v>
      </c>
      <c r="R3580" t="s">
        <v>30</v>
      </c>
      <c r="S3580">
        <v>29</v>
      </c>
      <c r="T3580">
        <v>1</v>
      </c>
      <c r="U3580">
        <v>3</v>
      </c>
      <c r="V3580">
        <v>70.87</v>
      </c>
      <c r="W3580">
        <v>13130003578</v>
      </c>
    </row>
    <row r="3581" spans="1:23" x14ac:dyDescent="0.2">
      <c r="A3581" s="1">
        <v>44791</v>
      </c>
      <c r="B3581" s="2">
        <v>0.69246527777777778</v>
      </c>
      <c r="C3581">
        <v>4579</v>
      </c>
      <c r="D3581">
        <v>13002561</v>
      </c>
      <c r="E3581">
        <v>13</v>
      </c>
      <c r="F3581">
        <v>22589</v>
      </c>
      <c r="G3581" t="s">
        <v>23</v>
      </c>
      <c r="H3581">
        <v>18</v>
      </c>
      <c r="I3581">
        <v>45500</v>
      </c>
      <c r="J3581" t="s">
        <v>85</v>
      </c>
      <c r="K3581" t="s">
        <v>45</v>
      </c>
      <c r="L3581" t="s">
        <v>26</v>
      </c>
      <c r="M3581">
        <v>3</v>
      </c>
      <c r="N3581">
        <v>215.1</v>
      </c>
      <c r="O3581">
        <v>293.63</v>
      </c>
      <c r="P3581">
        <v>14.68</v>
      </c>
      <c r="Q3581">
        <v>14.68</v>
      </c>
      <c r="R3581" t="s">
        <v>30</v>
      </c>
      <c r="S3581">
        <v>29</v>
      </c>
      <c r="T3581">
        <v>1</v>
      </c>
      <c r="U3581">
        <v>3</v>
      </c>
      <c r="V3581">
        <v>278.95</v>
      </c>
      <c r="W3581">
        <v>13130003579</v>
      </c>
    </row>
    <row r="3582" spans="1:23" x14ac:dyDescent="0.2">
      <c r="A3582" s="1">
        <v>44799</v>
      </c>
      <c r="B3582" s="2">
        <v>0.91141203703703699</v>
      </c>
      <c r="C3582">
        <v>4580</v>
      </c>
      <c r="D3582">
        <v>13002561</v>
      </c>
      <c r="E3582">
        <v>13</v>
      </c>
      <c r="F3582">
        <v>22589</v>
      </c>
      <c r="G3582" t="s">
        <v>23</v>
      </c>
      <c r="H3582">
        <v>15</v>
      </c>
      <c r="I3582">
        <v>56330</v>
      </c>
      <c r="J3582" t="s">
        <v>42</v>
      </c>
      <c r="K3582" t="s">
        <v>44</v>
      </c>
      <c r="L3582" t="s">
        <v>47</v>
      </c>
      <c r="M3582">
        <v>2</v>
      </c>
      <c r="N3582">
        <v>245.57</v>
      </c>
      <c r="O3582">
        <v>397.87</v>
      </c>
      <c r="P3582">
        <v>19.89</v>
      </c>
      <c r="Q3582">
        <v>19.89</v>
      </c>
      <c r="R3582" t="s">
        <v>30</v>
      </c>
      <c r="S3582">
        <v>29</v>
      </c>
      <c r="T3582">
        <v>1</v>
      </c>
      <c r="U3582">
        <v>6</v>
      </c>
      <c r="V3582">
        <v>377.98</v>
      </c>
      <c r="W3582">
        <v>13130003580</v>
      </c>
    </row>
    <row r="3583" spans="1:23" x14ac:dyDescent="0.2">
      <c r="A3583" s="1">
        <v>44789</v>
      </c>
      <c r="B3583" s="2">
        <v>0.76898148148148149</v>
      </c>
      <c r="C3583">
        <v>4581</v>
      </c>
      <c r="D3583">
        <v>13002561</v>
      </c>
      <c r="E3583">
        <v>13</v>
      </c>
      <c r="F3583">
        <v>22589</v>
      </c>
      <c r="G3583" t="s">
        <v>23</v>
      </c>
      <c r="H3583">
        <v>18</v>
      </c>
      <c r="I3583">
        <v>85987</v>
      </c>
      <c r="J3583" t="s">
        <v>46</v>
      </c>
      <c r="K3583" t="s">
        <v>38</v>
      </c>
      <c r="L3583" t="s">
        <v>39</v>
      </c>
      <c r="M3583">
        <v>1</v>
      </c>
      <c r="N3583">
        <v>69.430000000000007</v>
      </c>
      <c r="O3583">
        <v>92.38</v>
      </c>
      <c r="P3583">
        <v>9.24</v>
      </c>
      <c r="Q3583">
        <v>9.24</v>
      </c>
      <c r="R3583" t="s">
        <v>30</v>
      </c>
      <c r="S3583">
        <v>29</v>
      </c>
      <c r="T3583">
        <v>1</v>
      </c>
      <c r="U3583">
        <v>3</v>
      </c>
      <c r="V3583">
        <v>83.14</v>
      </c>
      <c r="W3583">
        <v>13130003581</v>
      </c>
    </row>
    <row r="3584" spans="1:23" x14ac:dyDescent="0.2">
      <c r="A3584" s="1">
        <v>44781</v>
      </c>
      <c r="B3584" s="2">
        <v>0.48412037037037042</v>
      </c>
      <c r="C3584">
        <v>4582</v>
      </c>
      <c r="D3584">
        <v>13002561</v>
      </c>
      <c r="E3584">
        <v>13</v>
      </c>
      <c r="F3584">
        <v>22589</v>
      </c>
      <c r="G3584" t="s">
        <v>23</v>
      </c>
      <c r="H3584">
        <v>18</v>
      </c>
      <c r="I3584">
        <v>23532</v>
      </c>
      <c r="J3584" t="s">
        <v>100</v>
      </c>
      <c r="K3584" t="s">
        <v>25</v>
      </c>
      <c r="L3584" t="s">
        <v>26</v>
      </c>
      <c r="M3584">
        <v>3</v>
      </c>
      <c r="N3584">
        <v>199.38</v>
      </c>
      <c r="O3584">
        <v>274.52</v>
      </c>
      <c r="P3584">
        <v>13.73</v>
      </c>
      <c r="Q3584">
        <v>13.73</v>
      </c>
      <c r="R3584" t="s">
        <v>30</v>
      </c>
      <c r="S3584">
        <v>29</v>
      </c>
      <c r="T3584">
        <v>1</v>
      </c>
      <c r="U3584">
        <v>2</v>
      </c>
      <c r="V3584">
        <v>260.79000000000002</v>
      </c>
      <c r="W3584">
        <v>13130003582</v>
      </c>
    </row>
    <row r="3585" spans="1:23" x14ac:dyDescent="0.2">
      <c r="A3585" s="1">
        <v>44792</v>
      </c>
      <c r="B3585" s="2">
        <v>0.44314814814814812</v>
      </c>
      <c r="C3585">
        <v>4583</v>
      </c>
      <c r="D3585">
        <v>13002561</v>
      </c>
      <c r="E3585">
        <v>13</v>
      </c>
      <c r="F3585">
        <v>22589</v>
      </c>
      <c r="G3585" t="s">
        <v>23</v>
      </c>
      <c r="H3585">
        <v>15</v>
      </c>
      <c r="I3585">
        <v>13788</v>
      </c>
      <c r="J3585" t="s">
        <v>98</v>
      </c>
      <c r="K3585" t="s">
        <v>45</v>
      </c>
      <c r="L3585" t="s">
        <v>39</v>
      </c>
      <c r="M3585">
        <v>3</v>
      </c>
      <c r="N3585">
        <v>124.46</v>
      </c>
      <c r="O3585">
        <v>190.84</v>
      </c>
      <c r="P3585">
        <v>19.079999999999998</v>
      </c>
      <c r="Q3585">
        <v>19.079999999999998</v>
      </c>
      <c r="R3585" t="s">
        <v>30</v>
      </c>
      <c r="S3585">
        <v>29</v>
      </c>
      <c r="T3585">
        <v>1</v>
      </c>
      <c r="U3585">
        <v>6</v>
      </c>
      <c r="V3585">
        <v>171.76</v>
      </c>
      <c r="W3585">
        <v>13130003583</v>
      </c>
    </row>
    <row r="3586" spans="1:23" x14ac:dyDescent="0.2">
      <c r="A3586" s="1">
        <v>44775</v>
      </c>
      <c r="B3586" s="2">
        <v>0.53165509259259258</v>
      </c>
      <c r="C3586">
        <v>4584</v>
      </c>
      <c r="D3586">
        <v>13002561</v>
      </c>
      <c r="E3586">
        <v>13</v>
      </c>
      <c r="F3586">
        <v>22589</v>
      </c>
      <c r="G3586" t="s">
        <v>23</v>
      </c>
      <c r="H3586">
        <v>18</v>
      </c>
      <c r="I3586">
        <v>97086</v>
      </c>
      <c r="J3586" t="s">
        <v>80</v>
      </c>
      <c r="K3586" t="s">
        <v>45</v>
      </c>
      <c r="L3586" t="s">
        <v>51</v>
      </c>
      <c r="M3586">
        <v>1</v>
      </c>
      <c r="N3586">
        <v>515.07000000000005</v>
      </c>
      <c r="O3586">
        <v>673.44</v>
      </c>
      <c r="P3586">
        <v>0</v>
      </c>
      <c r="Q3586">
        <v>0</v>
      </c>
      <c r="S3586">
        <v>29</v>
      </c>
      <c r="T3586">
        <v>1</v>
      </c>
      <c r="U3586">
        <v>3</v>
      </c>
      <c r="V3586">
        <v>673.44</v>
      </c>
      <c r="W3586">
        <v>13130003584</v>
      </c>
    </row>
    <row r="3587" spans="1:23" x14ac:dyDescent="0.2">
      <c r="A3587" s="1">
        <v>44781</v>
      </c>
      <c r="B3587" s="2">
        <v>0.56585648148148149</v>
      </c>
      <c r="C3587">
        <v>4585</v>
      </c>
      <c r="D3587">
        <v>13002561</v>
      </c>
      <c r="E3587">
        <v>13</v>
      </c>
      <c r="F3587">
        <v>22589</v>
      </c>
      <c r="G3587" t="s">
        <v>23</v>
      </c>
      <c r="H3587">
        <v>15</v>
      </c>
      <c r="I3587">
        <v>19564</v>
      </c>
      <c r="J3587" t="s">
        <v>102</v>
      </c>
      <c r="K3587" t="s">
        <v>45</v>
      </c>
      <c r="L3587" t="s">
        <v>51</v>
      </c>
      <c r="M3587">
        <v>2</v>
      </c>
      <c r="N3587">
        <v>16.7</v>
      </c>
      <c r="O3587">
        <v>26.22</v>
      </c>
      <c r="P3587">
        <v>0</v>
      </c>
      <c r="Q3587">
        <v>0</v>
      </c>
      <c r="S3587">
        <v>29</v>
      </c>
      <c r="T3587">
        <v>1</v>
      </c>
      <c r="U3587">
        <v>4</v>
      </c>
      <c r="V3587">
        <v>26.22</v>
      </c>
      <c r="W3587">
        <v>13130003585</v>
      </c>
    </row>
    <row r="3588" spans="1:23" x14ac:dyDescent="0.2">
      <c r="A3588" s="1">
        <v>44794</v>
      </c>
      <c r="B3588" s="2">
        <v>0.7230671296296296</v>
      </c>
      <c r="C3588">
        <v>4586</v>
      </c>
      <c r="D3588">
        <v>13002561</v>
      </c>
      <c r="E3588">
        <v>13</v>
      </c>
      <c r="F3588">
        <v>22589</v>
      </c>
      <c r="G3588" t="s">
        <v>23</v>
      </c>
      <c r="H3588">
        <v>15</v>
      </c>
      <c r="I3588">
        <v>70445</v>
      </c>
      <c r="J3588" t="s">
        <v>99</v>
      </c>
      <c r="K3588" t="s">
        <v>38</v>
      </c>
      <c r="L3588" t="s">
        <v>34</v>
      </c>
      <c r="M3588">
        <v>3</v>
      </c>
      <c r="N3588">
        <v>169.52</v>
      </c>
      <c r="O3588">
        <v>285.58999999999997</v>
      </c>
      <c r="P3588">
        <v>0</v>
      </c>
      <c r="Q3588">
        <v>0</v>
      </c>
      <c r="S3588">
        <v>29</v>
      </c>
      <c r="T3588">
        <v>1</v>
      </c>
      <c r="U3588">
        <v>5</v>
      </c>
      <c r="V3588">
        <v>285.58999999999997</v>
      </c>
      <c r="W3588">
        <v>13130003586</v>
      </c>
    </row>
    <row r="3589" spans="1:23" x14ac:dyDescent="0.2">
      <c r="A3589" s="1">
        <v>44792</v>
      </c>
      <c r="B3589" s="2">
        <v>0.65471064814814817</v>
      </c>
      <c r="C3589">
        <v>4587</v>
      </c>
      <c r="D3589">
        <v>13002561</v>
      </c>
      <c r="E3589">
        <v>13</v>
      </c>
      <c r="F3589">
        <v>22589</v>
      </c>
      <c r="G3589" t="s">
        <v>23</v>
      </c>
      <c r="H3589">
        <v>18</v>
      </c>
      <c r="I3589">
        <v>20849</v>
      </c>
      <c r="J3589" t="s">
        <v>112</v>
      </c>
      <c r="K3589" t="s">
        <v>44</v>
      </c>
      <c r="L3589" t="s">
        <v>39</v>
      </c>
      <c r="M3589">
        <v>3</v>
      </c>
      <c r="N3589">
        <v>432.47</v>
      </c>
      <c r="O3589">
        <v>690.18</v>
      </c>
      <c r="P3589">
        <v>0</v>
      </c>
      <c r="Q3589">
        <v>0</v>
      </c>
      <c r="S3589">
        <v>29</v>
      </c>
      <c r="T3589">
        <v>1</v>
      </c>
      <c r="U3589">
        <v>1</v>
      </c>
      <c r="V3589">
        <v>690.18</v>
      </c>
      <c r="W3589">
        <v>13130003587</v>
      </c>
    </row>
    <row r="3590" spans="1:23" x14ac:dyDescent="0.2">
      <c r="A3590" s="1">
        <v>44780</v>
      </c>
      <c r="B3590" s="2">
        <v>0.8152314814814815</v>
      </c>
      <c r="C3590">
        <v>4588</v>
      </c>
      <c r="D3590">
        <v>13002561</v>
      </c>
      <c r="E3590">
        <v>13</v>
      </c>
      <c r="F3590">
        <v>22589</v>
      </c>
      <c r="G3590" t="s">
        <v>23</v>
      </c>
      <c r="H3590">
        <v>18</v>
      </c>
      <c r="I3590">
        <v>46916</v>
      </c>
      <c r="J3590" t="s">
        <v>63</v>
      </c>
      <c r="K3590" t="s">
        <v>60</v>
      </c>
      <c r="L3590" t="s">
        <v>26</v>
      </c>
      <c r="M3590">
        <v>2</v>
      </c>
      <c r="N3590">
        <v>582.74</v>
      </c>
      <c r="O3590">
        <v>832.29</v>
      </c>
      <c r="P3590">
        <v>83.23</v>
      </c>
      <c r="Q3590">
        <v>83.23</v>
      </c>
      <c r="R3590" t="s">
        <v>30</v>
      </c>
      <c r="S3590">
        <v>29</v>
      </c>
      <c r="T3590">
        <v>1</v>
      </c>
      <c r="U3590">
        <v>6</v>
      </c>
      <c r="V3590">
        <v>749.06</v>
      </c>
      <c r="W3590">
        <v>13130003588</v>
      </c>
    </row>
    <row r="3591" spans="1:23" x14ac:dyDescent="0.2">
      <c r="A3591" s="1">
        <v>44798</v>
      </c>
      <c r="B3591" s="2">
        <v>0.6861342592592593</v>
      </c>
      <c r="C3591">
        <v>4589</v>
      </c>
      <c r="D3591">
        <v>13002561</v>
      </c>
      <c r="E3591">
        <v>13</v>
      </c>
      <c r="F3591">
        <v>22589</v>
      </c>
      <c r="G3591" t="s">
        <v>23</v>
      </c>
      <c r="H3591">
        <v>18</v>
      </c>
      <c r="I3591">
        <v>44396</v>
      </c>
      <c r="J3591" t="s">
        <v>94</v>
      </c>
      <c r="K3591" t="s">
        <v>45</v>
      </c>
      <c r="L3591" t="s">
        <v>36</v>
      </c>
      <c r="M3591">
        <v>1</v>
      </c>
      <c r="N3591">
        <v>352.14</v>
      </c>
      <c r="O3591">
        <v>510.51</v>
      </c>
      <c r="P3591">
        <v>25.53</v>
      </c>
      <c r="Q3591">
        <v>25.53</v>
      </c>
      <c r="R3591" t="s">
        <v>30</v>
      </c>
      <c r="S3591">
        <v>29</v>
      </c>
      <c r="T3591">
        <v>1</v>
      </c>
      <c r="U3591">
        <v>1</v>
      </c>
      <c r="V3591">
        <v>484.98</v>
      </c>
      <c r="W3591">
        <v>13130003589</v>
      </c>
    </row>
    <row r="3592" spans="1:23" x14ac:dyDescent="0.2">
      <c r="A3592" s="1">
        <v>44775</v>
      </c>
      <c r="B3592" s="2">
        <v>0.7634143518518518</v>
      </c>
      <c r="C3592">
        <v>4590</v>
      </c>
      <c r="D3592">
        <v>13002561</v>
      </c>
      <c r="E3592">
        <v>13</v>
      </c>
      <c r="F3592">
        <v>22589</v>
      </c>
      <c r="G3592" t="s">
        <v>23</v>
      </c>
      <c r="H3592">
        <v>18</v>
      </c>
      <c r="I3592">
        <v>27384</v>
      </c>
      <c r="J3592" t="s">
        <v>96</v>
      </c>
      <c r="K3592" t="s">
        <v>45</v>
      </c>
      <c r="L3592" t="s">
        <v>36</v>
      </c>
      <c r="M3592">
        <v>2</v>
      </c>
      <c r="N3592">
        <v>62.35</v>
      </c>
      <c r="O3592">
        <v>86.21</v>
      </c>
      <c r="P3592">
        <v>4.3099999999999996</v>
      </c>
      <c r="Q3592">
        <v>4.3099999999999996</v>
      </c>
      <c r="R3592" t="s">
        <v>30</v>
      </c>
      <c r="S3592">
        <v>29</v>
      </c>
      <c r="T3592">
        <v>1</v>
      </c>
      <c r="U3592">
        <v>1</v>
      </c>
      <c r="V3592">
        <v>81.900000000000006</v>
      </c>
      <c r="W3592">
        <v>13130003590</v>
      </c>
    </row>
    <row r="3593" spans="1:23" x14ac:dyDescent="0.2">
      <c r="A3593" s="1">
        <v>44782</v>
      </c>
      <c r="B3593" s="2">
        <v>0.46504629629629629</v>
      </c>
      <c r="C3593">
        <v>4591</v>
      </c>
      <c r="D3593">
        <v>13002561</v>
      </c>
      <c r="E3593">
        <v>13</v>
      </c>
      <c r="F3593">
        <v>22589</v>
      </c>
      <c r="G3593" t="s">
        <v>23</v>
      </c>
      <c r="H3593">
        <v>18</v>
      </c>
      <c r="I3593">
        <v>66997</v>
      </c>
      <c r="J3593" t="s">
        <v>79</v>
      </c>
      <c r="K3593" t="s">
        <v>45</v>
      </c>
      <c r="L3593" t="s">
        <v>34</v>
      </c>
      <c r="M3593">
        <v>3</v>
      </c>
      <c r="N3593">
        <v>427.3</v>
      </c>
      <c r="O3593">
        <v>658.28</v>
      </c>
      <c r="P3593">
        <v>32.909999999999997</v>
      </c>
      <c r="Q3593">
        <v>32.909999999999997</v>
      </c>
      <c r="R3593" t="s">
        <v>30</v>
      </c>
      <c r="S3593">
        <v>29</v>
      </c>
      <c r="T3593">
        <v>1</v>
      </c>
      <c r="U3593">
        <v>5</v>
      </c>
      <c r="V3593">
        <v>625.37</v>
      </c>
      <c r="W3593">
        <v>13130003591</v>
      </c>
    </row>
    <row r="3594" spans="1:23" x14ac:dyDescent="0.2">
      <c r="A3594" s="1">
        <v>44791</v>
      </c>
      <c r="B3594" s="2">
        <v>0.72982638888888884</v>
      </c>
      <c r="C3594">
        <v>4592</v>
      </c>
      <c r="D3594">
        <v>13002561</v>
      </c>
      <c r="E3594">
        <v>13</v>
      </c>
      <c r="F3594">
        <v>22589</v>
      </c>
      <c r="G3594" t="s">
        <v>23</v>
      </c>
      <c r="H3594">
        <v>18</v>
      </c>
      <c r="I3594">
        <v>50978</v>
      </c>
      <c r="J3594" t="s">
        <v>122</v>
      </c>
      <c r="K3594" t="s">
        <v>60</v>
      </c>
      <c r="L3594" t="s">
        <v>32</v>
      </c>
      <c r="M3594">
        <v>1</v>
      </c>
      <c r="N3594">
        <v>471.75</v>
      </c>
      <c r="O3594">
        <v>783.08</v>
      </c>
      <c r="P3594">
        <v>78.31</v>
      </c>
      <c r="Q3594">
        <v>78.31</v>
      </c>
      <c r="R3594" t="s">
        <v>30</v>
      </c>
      <c r="S3594">
        <v>29</v>
      </c>
      <c r="T3594">
        <v>1</v>
      </c>
      <c r="U3594">
        <v>3</v>
      </c>
      <c r="V3594">
        <v>704.77</v>
      </c>
      <c r="W3594">
        <v>13130003592</v>
      </c>
    </row>
    <row r="3595" spans="1:23" x14ac:dyDescent="0.2">
      <c r="A3595" s="1">
        <v>44779</v>
      </c>
      <c r="B3595" s="2">
        <v>0.52761574074074069</v>
      </c>
      <c r="C3595">
        <v>4593</v>
      </c>
      <c r="D3595">
        <v>13002561</v>
      </c>
      <c r="E3595">
        <v>13</v>
      </c>
      <c r="F3595">
        <v>22589</v>
      </c>
      <c r="G3595" t="s">
        <v>23</v>
      </c>
      <c r="H3595">
        <v>18</v>
      </c>
      <c r="I3595">
        <v>72177</v>
      </c>
      <c r="J3595" t="s">
        <v>37</v>
      </c>
      <c r="K3595" t="s">
        <v>28</v>
      </c>
      <c r="L3595" t="s">
        <v>39</v>
      </c>
      <c r="M3595">
        <v>1</v>
      </c>
      <c r="N3595">
        <v>429.15</v>
      </c>
      <c r="O3595">
        <v>631.58000000000004</v>
      </c>
      <c r="P3595">
        <v>0</v>
      </c>
      <c r="Q3595">
        <v>0</v>
      </c>
      <c r="S3595">
        <v>29</v>
      </c>
      <c r="T3595">
        <v>1</v>
      </c>
      <c r="U3595">
        <v>1</v>
      </c>
      <c r="V3595">
        <v>631.58000000000004</v>
      </c>
      <c r="W3595">
        <v>13130003593</v>
      </c>
    </row>
    <row r="3596" spans="1:23" x14ac:dyDescent="0.2">
      <c r="A3596" s="1">
        <v>44778</v>
      </c>
      <c r="B3596" s="2">
        <v>0.91364583333333338</v>
      </c>
      <c r="C3596">
        <v>4594</v>
      </c>
      <c r="D3596">
        <v>13002561</v>
      </c>
      <c r="E3596">
        <v>13</v>
      </c>
      <c r="F3596">
        <v>22589</v>
      </c>
      <c r="G3596" t="s">
        <v>23</v>
      </c>
      <c r="H3596">
        <v>15</v>
      </c>
      <c r="I3596">
        <v>78847</v>
      </c>
      <c r="J3596" t="s">
        <v>24</v>
      </c>
      <c r="K3596" t="s">
        <v>60</v>
      </c>
      <c r="L3596" t="s">
        <v>51</v>
      </c>
      <c r="M3596">
        <v>2</v>
      </c>
      <c r="N3596">
        <v>126.75</v>
      </c>
      <c r="O3596">
        <v>200.27</v>
      </c>
      <c r="P3596">
        <v>20.03</v>
      </c>
      <c r="Q3596">
        <v>20.03</v>
      </c>
      <c r="R3596" t="s">
        <v>30</v>
      </c>
      <c r="S3596">
        <v>29</v>
      </c>
      <c r="T3596">
        <v>1</v>
      </c>
      <c r="U3596">
        <v>2</v>
      </c>
      <c r="V3596">
        <v>180.24</v>
      </c>
      <c r="W3596">
        <v>13130003594</v>
      </c>
    </row>
    <row r="3597" spans="1:23" x14ac:dyDescent="0.2">
      <c r="A3597" s="1">
        <v>44795</v>
      </c>
      <c r="B3597" s="2">
        <v>0.48724537037037041</v>
      </c>
      <c r="C3597">
        <v>4595</v>
      </c>
      <c r="D3597">
        <v>13002561</v>
      </c>
      <c r="E3597">
        <v>13</v>
      </c>
      <c r="F3597">
        <v>22589</v>
      </c>
      <c r="G3597" t="s">
        <v>23</v>
      </c>
      <c r="H3597">
        <v>15</v>
      </c>
      <c r="I3597">
        <v>39822</v>
      </c>
      <c r="J3597" t="s">
        <v>83</v>
      </c>
      <c r="K3597" t="s">
        <v>44</v>
      </c>
      <c r="L3597" t="s">
        <v>36</v>
      </c>
      <c r="M3597">
        <v>1</v>
      </c>
      <c r="N3597">
        <v>350.69</v>
      </c>
      <c r="O3597">
        <v>496.74</v>
      </c>
      <c r="P3597">
        <v>49.67</v>
      </c>
      <c r="Q3597">
        <v>49.67</v>
      </c>
      <c r="R3597" t="s">
        <v>30</v>
      </c>
      <c r="S3597">
        <v>29</v>
      </c>
      <c r="T3597">
        <v>1</v>
      </c>
      <c r="U3597">
        <v>1</v>
      </c>
      <c r="V3597">
        <v>447.07</v>
      </c>
      <c r="W3597">
        <v>13130003595</v>
      </c>
    </row>
    <row r="3598" spans="1:23" x14ac:dyDescent="0.2">
      <c r="A3598" s="1">
        <v>44801</v>
      </c>
      <c r="B3598" s="2">
        <v>0.49747685185185192</v>
      </c>
      <c r="C3598">
        <v>4596</v>
      </c>
      <c r="D3598">
        <v>13002561</v>
      </c>
      <c r="E3598">
        <v>13</v>
      </c>
      <c r="F3598">
        <v>22589</v>
      </c>
      <c r="G3598" t="s">
        <v>23</v>
      </c>
      <c r="H3598">
        <v>15</v>
      </c>
      <c r="I3598">
        <v>89367</v>
      </c>
      <c r="J3598" t="s">
        <v>81</v>
      </c>
      <c r="K3598" t="s">
        <v>38</v>
      </c>
      <c r="L3598" t="s">
        <v>26</v>
      </c>
      <c r="M3598">
        <v>2</v>
      </c>
      <c r="N3598">
        <v>500.53</v>
      </c>
      <c r="O3598">
        <v>686</v>
      </c>
      <c r="P3598">
        <v>34.299999999999997</v>
      </c>
      <c r="Q3598">
        <v>34.299999999999997</v>
      </c>
      <c r="R3598" t="s">
        <v>30</v>
      </c>
      <c r="S3598">
        <v>29</v>
      </c>
      <c r="T3598">
        <v>1</v>
      </c>
      <c r="U3598">
        <v>5</v>
      </c>
      <c r="V3598">
        <v>651.70000000000005</v>
      </c>
      <c r="W3598">
        <v>13130003596</v>
      </c>
    </row>
    <row r="3599" spans="1:23" x14ac:dyDescent="0.2">
      <c r="A3599" s="1">
        <v>44788</v>
      </c>
      <c r="B3599" s="2">
        <v>0.7085069444444444</v>
      </c>
      <c r="C3599">
        <v>4597</v>
      </c>
      <c r="D3599">
        <v>13002561</v>
      </c>
      <c r="E3599">
        <v>13</v>
      </c>
      <c r="F3599">
        <v>22589</v>
      </c>
      <c r="G3599" t="s">
        <v>23</v>
      </c>
      <c r="H3599">
        <v>18</v>
      </c>
      <c r="I3599">
        <v>25092</v>
      </c>
      <c r="J3599" t="s">
        <v>83</v>
      </c>
      <c r="K3599" t="s">
        <v>38</v>
      </c>
      <c r="L3599" t="s">
        <v>51</v>
      </c>
      <c r="M3599">
        <v>2</v>
      </c>
      <c r="N3599">
        <v>530.86</v>
      </c>
      <c r="O3599">
        <v>804.44</v>
      </c>
      <c r="P3599">
        <v>40.22</v>
      </c>
      <c r="Q3599">
        <v>40.22</v>
      </c>
      <c r="R3599" t="s">
        <v>30</v>
      </c>
      <c r="S3599">
        <v>29</v>
      </c>
      <c r="T3599">
        <v>1</v>
      </c>
      <c r="U3599">
        <v>2</v>
      </c>
      <c r="V3599">
        <v>764.22</v>
      </c>
      <c r="W3599">
        <v>13130003597</v>
      </c>
    </row>
    <row r="3600" spans="1:23" x14ac:dyDescent="0.2">
      <c r="A3600" s="1">
        <v>44795</v>
      </c>
      <c r="B3600" s="2">
        <v>0.90332175925925928</v>
      </c>
      <c r="C3600">
        <v>4598</v>
      </c>
      <c r="D3600">
        <v>13002561</v>
      </c>
      <c r="E3600">
        <v>13</v>
      </c>
      <c r="F3600">
        <v>22589</v>
      </c>
      <c r="G3600" t="s">
        <v>23</v>
      </c>
      <c r="H3600">
        <v>15</v>
      </c>
      <c r="I3600">
        <v>77746</v>
      </c>
      <c r="J3600" t="s">
        <v>41</v>
      </c>
      <c r="K3600" t="s">
        <v>60</v>
      </c>
      <c r="L3600" t="s">
        <v>47</v>
      </c>
      <c r="M3600">
        <v>1</v>
      </c>
      <c r="N3600">
        <v>28.08</v>
      </c>
      <c r="O3600">
        <v>35.590000000000003</v>
      </c>
      <c r="P3600">
        <v>0</v>
      </c>
      <c r="Q3600">
        <v>0</v>
      </c>
      <c r="S3600">
        <v>29</v>
      </c>
      <c r="T3600">
        <v>1</v>
      </c>
      <c r="U3600">
        <v>5</v>
      </c>
      <c r="V3600">
        <v>35.590000000000003</v>
      </c>
      <c r="W3600">
        <v>13130003598</v>
      </c>
    </row>
    <row r="3601" spans="1:23" x14ac:dyDescent="0.2">
      <c r="A3601" s="1">
        <v>44778</v>
      </c>
      <c r="B3601" s="2">
        <v>0.47305555555555562</v>
      </c>
      <c r="C3601">
        <v>4599</v>
      </c>
      <c r="D3601">
        <v>13002561</v>
      </c>
      <c r="E3601">
        <v>13</v>
      </c>
      <c r="F3601">
        <v>22589</v>
      </c>
      <c r="G3601" t="s">
        <v>23</v>
      </c>
      <c r="H3601">
        <v>15</v>
      </c>
      <c r="I3601">
        <v>44684</v>
      </c>
      <c r="J3601" t="s">
        <v>42</v>
      </c>
      <c r="K3601" t="s">
        <v>28</v>
      </c>
      <c r="L3601" t="s">
        <v>34</v>
      </c>
      <c r="M3601">
        <v>3</v>
      </c>
      <c r="N3601">
        <v>207.44</v>
      </c>
      <c r="O3601">
        <v>314.29000000000002</v>
      </c>
      <c r="P3601">
        <v>0</v>
      </c>
      <c r="Q3601">
        <v>0</v>
      </c>
      <c r="S3601">
        <v>29</v>
      </c>
      <c r="T3601">
        <v>1</v>
      </c>
      <c r="U3601">
        <v>3</v>
      </c>
      <c r="V3601">
        <v>314.29000000000002</v>
      </c>
      <c r="W3601">
        <v>13130003599</v>
      </c>
    </row>
    <row r="3602" spans="1:23" x14ac:dyDescent="0.2">
      <c r="A3602" s="1">
        <v>44779</v>
      </c>
      <c r="B3602" s="2">
        <v>0.83707175925925925</v>
      </c>
      <c r="C3602">
        <v>4600</v>
      </c>
      <c r="D3602">
        <v>13002561</v>
      </c>
      <c r="E3602">
        <v>13</v>
      </c>
      <c r="F3602">
        <v>22589</v>
      </c>
      <c r="G3602" t="s">
        <v>23</v>
      </c>
      <c r="H3602">
        <v>18</v>
      </c>
      <c r="I3602">
        <v>59101</v>
      </c>
      <c r="J3602" t="s">
        <v>126</v>
      </c>
      <c r="K3602" t="s">
        <v>28</v>
      </c>
      <c r="L3602" t="s">
        <v>36</v>
      </c>
      <c r="M3602">
        <v>2</v>
      </c>
      <c r="N3602">
        <v>28.97</v>
      </c>
      <c r="O3602">
        <v>39.090000000000003</v>
      </c>
      <c r="P3602">
        <v>1.95</v>
      </c>
      <c r="Q3602">
        <v>1.95</v>
      </c>
      <c r="R3602" t="s">
        <v>30</v>
      </c>
      <c r="S3602">
        <v>29</v>
      </c>
      <c r="T3602">
        <v>1</v>
      </c>
      <c r="U3602">
        <v>3</v>
      </c>
      <c r="V3602">
        <v>37.14</v>
      </c>
      <c r="W3602">
        <v>13130003600</v>
      </c>
    </row>
    <row r="3603" spans="1:23" x14ac:dyDescent="0.2">
      <c r="A3603" s="1">
        <v>44776</v>
      </c>
      <c r="B3603" s="2">
        <v>0.46269675925925918</v>
      </c>
      <c r="C3603">
        <v>4601</v>
      </c>
      <c r="D3603">
        <v>13002561</v>
      </c>
      <c r="E3603">
        <v>13</v>
      </c>
      <c r="F3603">
        <v>22589</v>
      </c>
      <c r="G3603" t="s">
        <v>23</v>
      </c>
      <c r="H3603">
        <v>15</v>
      </c>
      <c r="I3603">
        <v>91297</v>
      </c>
      <c r="J3603" t="s">
        <v>63</v>
      </c>
      <c r="K3603" t="s">
        <v>60</v>
      </c>
      <c r="L3603" t="s">
        <v>29</v>
      </c>
      <c r="M3603">
        <v>1</v>
      </c>
      <c r="N3603">
        <v>189.63</v>
      </c>
      <c r="O3603">
        <v>245.51</v>
      </c>
      <c r="P3603">
        <v>24.55</v>
      </c>
      <c r="Q3603">
        <v>24.55</v>
      </c>
      <c r="R3603" t="s">
        <v>30</v>
      </c>
      <c r="S3603">
        <v>29</v>
      </c>
      <c r="T3603">
        <v>1</v>
      </c>
      <c r="U3603">
        <v>3</v>
      </c>
      <c r="V3603">
        <v>220.96</v>
      </c>
      <c r="W3603">
        <v>13130003601</v>
      </c>
    </row>
    <row r="3604" spans="1:23" x14ac:dyDescent="0.2">
      <c r="A3604" s="1">
        <v>44795</v>
      </c>
      <c r="B3604" s="2">
        <v>0.51275462962962959</v>
      </c>
      <c r="C3604">
        <v>4602</v>
      </c>
      <c r="D3604">
        <v>13002561</v>
      </c>
      <c r="E3604">
        <v>13</v>
      </c>
      <c r="F3604">
        <v>22589</v>
      </c>
      <c r="G3604" t="s">
        <v>23</v>
      </c>
      <c r="H3604">
        <v>18</v>
      </c>
      <c r="I3604">
        <v>29221</v>
      </c>
      <c r="J3604" t="s">
        <v>100</v>
      </c>
      <c r="K3604" t="s">
        <v>28</v>
      </c>
      <c r="L3604" t="s">
        <v>36</v>
      </c>
      <c r="M3604">
        <v>3</v>
      </c>
      <c r="N3604">
        <v>442.96</v>
      </c>
      <c r="O3604">
        <v>587.45000000000005</v>
      </c>
      <c r="P3604">
        <v>58.75</v>
      </c>
      <c r="Q3604">
        <v>58.75</v>
      </c>
      <c r="R3604" t="s">
        <v>30</v>
      </c>
      <c r="S3604">
        <v>29</v>
      </c>
      <c r="T3604">
        <v>1</v>
      </c>
      <c r="U3604">
        <v>2</v>
      </c>
      <c r="V3604">
        <v>528.70000000000005</v>
      </c>
      <c r="W3604">
        <v>13130003602</v>
      </c>
    </row>
    <row r="3605" spans="1:23" x14ac:dyDescent="0.2">
      <c r="A3605" s="1">
        <v>44794</v>
      </c>
      <c r="B3605" s="2">
        <v>0.82346064814814812</v>
      </c>
      <c r="C3605">
        <v>4603</v>
      </c>
      <c r="D3605">
        <v>13002561</v>
      </c>
      <c r="E3605">
        <v>13</v>
      </c>
      <c r="F3605">
        <v>22589</v>
      </c>
      <c r="G3605" t="s">
        <v>23</v>
      </c>
      <c r="H3605">
        <v>15</v>
      </c>
      <c r="I3605">
        <v>87619</v>
      </c>
      <c r="J3605" t="s">
        <v>117</v>
      </c>
      <c r="K3605" t="s">
        <v>25</v>
      </c>
      <c r="L3605" t="s">
        <v>47</v>
      </c>
      <c r="M3605">
        <v>2</v>
      </c>
      <c r="N3605">
        <v>122.01</v>
      </c>
      <c r="O3605">
        <v>186.95</v>
      </c>
      <c r="P3605">
        <v>9.35</v>
      </c>
      <c r="Q3605">
        <v>9.35</v>
      </c>
      <c r="R3605" t="s">
        <v>30</v>
      </c>
      <c r="S3605">
        <v>29</v>
      </c>
      <c r="T3605">
        <v>1</v>
      </c>
      <c r="U3605">
        <v>3</v>
      </c>
      <c r="V3605">
        <v>177.6</v>
      </c>
      <c r="W3605">
        <v>13130003603</v>
      </c>
    </row>
    <row r="3606" spans="1:23" x14ac:dyDescent="0.2">
      <c r="A3606" s="1">
        <v>44798</v>
      </c>
      <c r="B3606" s="2">
        <v>0.83140046296296299</v>
      </c>
      <c r="C3606">
        <v>4604</v>
      </c>
      <c r="D3606">
        <v>13002561</v>
      </c>
      <c r="E3606">
        <v>13</v>
      </c>
      <c r="F3606">
        <v>22589</v>
      </c>
      <c r="G3606" t="s">
        <v>23</v>
      </c>
      <c r="H3606">
        <v>15</v>
      </c>
      <c r="I3606">
        <v>80675</v>
      </c>
      <c r="J3606" t="s">
        <v>126</v>
      </c>
      <c r="K3606" t="s">
        <v>45</v>
      </c>
      <c r="L3606" t="s">
        <v>39</v>
      </c>
      <c r="M3606">
        <v>1</v>
      </c>
      <c r="N3606">
        <v>213.54</v>
      </c>
      <c r="O3606">
        <v>329.3</v>
      </c>
      <c r="P3606">
        <v>32.93</v>
      </c>
      <c r="Q3606">
        <v>32.93</v>
      </c>
      <c r="R3606" t="s">
        <v>30</v>
      </c>
      <c r="S3606">
        <v>29</v>
      </c>
      <c r="T3606">
        <v>1</v>
      </c>
      <c r="U3606">
        <v>4</v>
      </c>
      <c r="V3606">
        <v>296.37</v>
      </c>
      <c r="W3606">
        <v>13130003604</v>
      </c>
    </row>
    <row r="3607" spans="1:23" x14ac:dyDescent="0.2">
      <c r="A3607" s="1">
        <v>44804</v>
      </c>
      <c r="B3607" s="2">
        <v>0.78605324074074079</v>
      </c>
      <c r="C3607">
        <v>4605</v>
      </c>
      <c r="D3607">
        <v>13002561</v>
      </c>
      <c r="E3607">
        <v>13</v>
      </c>
      <c r="F3607">
        <v>22589</v>
      </c>
      <c r="G3607" t="s">
        <v>23</v>
      </c>
      <c r="H3607">
        <v>15</v>
      </c>
      <c r="I3607">
        <v>25367</v>
      </c>
      <c r="J3607" t="s">
        <v>41</v>
      </c>
      <c r="K3607" t="s">
        <v>45</v>
      </c>
      <c r="L3607" t="s">
        <v>29</v>
      </c>
      <c r="M3607">
        <v>2</v>
      </c>
      <c r="N3607">
        <v>222.74</v>
      </c>
      <c r="O3607">
        <v>301.7</v>
      </c>
      <c r="P3607">
        <v>30.17</v>
      </c>
      <c r="Q3607">
        <v>30.17</v>
      </c>
      <c r="R3607" t="s">
        <v>30</v>
      </c>
      <c r="S3607">
        <v>29</v>
      </c>
      <c r="T3607">
        <v>1</v>
      </c>
      <c r="U3607">
        <v>6</v>
      </c>
      <c r="V3607">
        <v>271.52999999999997</v>
      </c>
      <c r="W3607">
        <v>13130003605</v>
      </c>
    </row>
    <row r="3608" spans="1:23" x14ac:dyDescent="0.2">
      <c r="A3608" s="1">
        <v>44802</v>
      </c>
      <c r="B3608" s="2">
        <v>0.75542824074074078</v>
      </c>
      <c r="C3608">
        <v>4606</v>
      </c>
      <c r="D3608">
        <v>13002561</v>
      </c>
      <c r="E3608">
        <v>13</v>
      </c>
      <c r="F3608">
        <v>22589</v>
      </c>
      <c r="G3608" t="s">
        <v>23</v>
      </c>
      <c r="H3608">
        <v>15</v>
      </c>
      <c r="I3608">
        <v>10951</v>
      </c>
      <c r="J3608" t="s">
        <v>83</v>
      </c>
      <c r="K3608" t="s">
        <v>38</v>
      </c>
      <c r="L3608" t="s">
        <v>39</v>
      </c>
      <c r="M3608">
        <v>2</v>
      </c>
      <c r="N3608">
        <v>178.29</v>
      </c>
      <c r="O3608">
        <v>259.61</v>
      </c>
      <c r="P3608">
        <v>12.98</v>
      </c>
      <c r="Q3608">
        <v>12.98</v>
      </c>
      <c r="R3608" t="s">
        <v>30</v>
      </c>
      <c r="S3608">
        <v>29</v>
      </c>
      <c r="T3608">
        <v>1</v>
      </c>
      <c r="U3608">
        <v>4</v>
      </c>
      <c r="V3608">
        <v>246.63</v>
      </c>
      <c r="W3608">
        <v>13130003606</v>
      </c>
    </row>
    <row r="3609" spans="1:23" x14ac:dyDescent="0.2">
      <c r="A3609" s="1">
        <v>44782</v>
      </c>
      <c r="B3609" s="2">
        <v>0.38447916666666659</v>
      </c>
      <c r="C3609">
        <v>4607</v>
      </c>
      <c r="D3609">
        <v>13002561</v>
      </c>
      <c r="E3609">
        <v>13</v>
      </c>
      <c r="F3609">
        <v>22589</v>
      </c>
      <c r="G3609" t="s">
        <v>23</v>
      </c>
      <c r="H3609">
        <v>18</v>
      </c>
      <c r="I3609">
        <v>75263</v>
      </c>
      <c r="J3609" t="s">
        <v>72</v>
      </c>
      <c r="K3609" t="s">
        <v>45</v>
      </c>
      <c r="L3609" t="s">
        <v>47</v>
      </c>
      <c r="M3609">
        <v>1</v>
      </c>
      <c r="N3609">
        <v>262.18</v>
      </c>
      <c r="O3609">
        <v>388.49</v>
      </c>
      <c r="P3609">
        <v>38.85</v>
      </c>
      <c r="Q3609">
        <v>38.85</v>
      </c>
      <c r="R3609" t="s">
        <v>30</v>
      </c>
      <c r="S3609">
        <v>29</v>
      </c>
      <c r="T3609">
        <v>1</v>
      </c>
      <c r="U3609">
        <v>2</v>
      </c>
      <c r="V3609">
        <v>349.64</v>
      </c>
      <c r="W3609">
        <v>13130003607</v>
      </c>
    </row>
    <row r="3610" spans="1:23" x14ac:dyDescent="0.2">
      <c r="A3610" s="1">
        <v>44796</v>
      </c>
      <c r="B3610" s="2">
        <v>0.60636574074074079</v>
      </c>
      <c r="C3610">
        <v>4608</v>
      </c>
      <c r="D3610">
        <v>13002561</v>
      </c>
      <c r="E3610">
        <v>13</v>
      </c>
      <c r="F3610">
        <v>22589</v>
      </c>
      <c r="G3610" t="s">
        <v>23</v>
      </c>
      <c r="H3610">
        <v>18</v>
      </c>
      <c r="I3610">
        <v>43589</v>
      </c>
      <c r="J3610" t="s">
        <v>110</v>
      </c>
      <c r="K3610" t="s">
        <v>60</v>
      </c>
      <c r="L3610" t="s">
        <v>47</v>
      </c>
      <c r="M3610">
        <v>1</v>
      </c>
      <c r="N3610">
        <v>25.89</v>
      </c>
      <c r="O3610">
        <v>36.229999999999997</v>
      </c>
      <c r="P3610">
        <v>1.81</v>
      </c>
      <c r="Q3610">
        <v>1.81</v>
      </c>
      <c r="R3610" t="s">
        <v>30</v>
      </c>
      <c r="S3610">
        <v>29</v>
      </c>
      <c r="T3610">
        <v>1</v>
      </c>
      <c r="U3610">
        <v>3</v>
      </c>
      <c r="V3610">
        <v>34.42</v>
      </c>
      <c r="W3610">
        <v>13130003608</v>
      </c>
    </row>
    <row r="3611" spans="1:23" x14ac:dyDescent="0.2">
      <c r="A3611" s="1">
        <v>44799</v>
      </c>
      <c r="B3611" s="2">
        <v>0.73586805555555557</v>
      </c>
      <c r="C3611">
        <v>4609</v>
      </c>
      <c r="D3611">
        <v>13002561</v>
      </c>
      <c r="E3611">
        <v>13</v>
      </c>
      <c r="F3611">
        <v>22589</v>
      </c>
      <c r="G3611" t="s">
        <v>23</v>
      </c>
      <c r="H3611">
        <v>15</v>
      </c>
      <c r="I3611">
        <v>97622</v>
      </c>
      <c r="J3611" t="s">
        <v>115</v>
      </c>
      <c r="K3611" t="s">
        <v>60</v>
      </c>
      <c r="L3611" t="s">
        <v>26</v>
      </c>
      <c r="M3611">
        <v>1</v>
      </c>
      <c r="N3611">
        <v>131.82</v>
      </c>
      <c r="O3611">
        <v>182.08</v>
      </c>
      <c r="P3611">
        <v>9.1</v>
      </c>
      <c r="Q3611">
        <v>9.1</v>
      </c>
      <c r="R3611" t="s">
        <v>30</v>
      </c>
      <c r="S3611">
        <v>29</v>
      </c>
      <c r="T3611">
        <v>1</v>
      </c>
      <c r="U3611">
        <v>3</v>
      </c>
      <c r="V3611">
        <v>172.98</v>
      </c>
      <c r="W3611">
        <v>13130003609</v>
      </c>
    </row>
    <row r="3612" spans="1:23" x14ac:dyDescent="0.2">
      <c r="A3612" s="1">
        <v>44788</v>
      </c>
      <c r="B3612" s="2">
        <v>0.92858796296296298</v>
      </c>
      <c r="C3612">
        <v>4610</v>
      </c>
      <c r="D3612">
        <v>13002561</v>
      </c>
      <c r="E3612">
        <v>13</v>
      </c>
      <c r="F3612">
        <v>22589</v>
      </c>
      <c r="G3612" t="s">
        <v>23</v>
      </c>
      <c r="H3612">
        <v>18</v>
      </c>
      <c r="I3612">
        <v>84435</v>
      </c>
      <c r="J3612" t="s">
        <v>31</v>
      </c>
      <c r="K3612" t="s">
        <v>60</v>
      </c>
      <c r="L3612" t="s">
        <v>36</v>
      </c>
      <c r="M3612">
        <v>3</v>
      </c>
      <c r="N3612">
        <v>348.43</v>
      </c>
      <c r="O3612">
        <v>536.28</v>
      </c>
      <c r="P3612">
        <v>0</v>
      </c>
      <c r="Q3612">
        <v>0</v>
      </c>
      <c r="S3612">
        <v>29</v>
      </c>
      <c r="T3612">
        <v>1</v>
      </c>
      <c r="U3612">
        <v>2</v>
      </c>
      <c r="V3612">
        <v>536.28</v>
      </c>
      <c r="W3612">
        <v>13130003610</v>
      </c>
    </row>
    <row r="3613" spans="1:23" x14ac:dyDescent="0.2">
      <c r="A3613" s="1">
        <v>44796</v>
      </c>
      <c r="B3613" s="2">
        <v>0.67758101851851849</v>
      </c>
      <c r="C3613">
        <v>4611</v>
      </c>
      <c r="D3613">
        <v>13002561</v>
      </c>
      <c r="E3613">
        <v>13</v>
      </c>
      <c r="F3613">
        <v>22589</v>
      </c>
      <c r="G3613" t="s">
        <v>23</v>
      </c>
      <c r="H3613">
        <v>18</v>
      </c>
      <c r="I3613">
        <v>16317</v>
      </c>
      <c r="J3613" t="s">
        <v>111</v>
      </c>
      <c r="K3613" t="s">
        <v>45</v>
      </c>
      <c r="L3613" t="s">
        <v>26</v>
      </c>
      <c r="M3613">
        <v>1</v>
      </c>
      <c r="N3613">
        <v>310.10000000000002</v>
      </c>
      <c r="O3613">
        <v>523.84</v>
      </c>
      <c r="P3613">
        <v>26.19</v>
      </c>
      <c r="Q3613">
        <v>26.19</v>
      </c>
      <c r="R3613" t="s">
        <v>30</v>
      </c>
      <c r="S3613">
        <v>29</v>
      </c>
      <c r="T3613">
        <v>1</v>
      </c>
      <c r="U3613">
        <v>4</v>
      </c>
      <c r="V3613">
        <v>497.65</v>
      </c>
      <c r="W3613">
        <v>13130003611</v>
      </c>
    </row>
    <row r="3614" spans="1:23" x14ac:dyDescent="0.2">
      <c r="A3614" s="1">
        <v>44800</v>
      </c>
      <c r="B3614" s="2">
        <v>0.57327546296296295</v>
      </c>
      <c r="C3614">
        <v>4612</v>
      </c>
      <c r="D3614">
        <v>13002561</v>
      </c>
      <c r="E3614">
        <v>13</v>
      </c>
      <c r="F3614">
        <v>22589</v>
      </c>
      <c r="G3614" t="s">
        <v>23</v>
      </c>
      <c r="H3614">
        <v>18</v>
      </c>
      <c r="I3614">
        <v>92627</v>
      </c>
      <c r="J3614" t="s">
        <v>101</v>
      </c>
      <c r="K3614" t="s">
        <v>38</v>
      </c>
      <c r="L3614" t="s">
        <v>36</v>
      </c>
      <c r="M3614">
        <v>2</v>
      </c>
      <c r="N3614">
        <v>588.20000000000005</v>
      </c>
      <c r="O3614">
        <v>926.74</v>
      </c>
      <c r="P3614">
        <v>0</v>
      </c>
      <c r="Q3614">
        <v>0</v>
      </c>
      <c r="S3614">
        <v>29</v>
      </c>
      <c r="T3614">
        <v>1</v>
      </c>
      <c r="U3614">
        <v>2</v>
      </c>
      <c r="V3614">
        <v>926.74</v>
      </c>
      <c r="W3614">
        <v>13130003612</v>
      </c>
    </row>
    <row r="3615" spans="1:23" x14ac:dyDescent="0.2">
      <c r="A3615" s="1">
        <v>44777</v>
      </c>
      <c r="B3615" s="2">
        <v>0.60991898148148149</v>
      </c>
      <c r="C3615">
        <v>4613</v>
      </c>
      <c r="D3615">
        <v>13002561</v>
      </c>
      <c r="E3615">
        <v>13</v>
      </c>
      <c r="F3615">
        <v>22589</v>
      </c>
      <c r="G3615" t="s">
        <v>23</v>
      </c>
      <c r="H3615">
        <v>18</v>
      </c>
      <c r="I3615">
        <v>32306</v>
      </c>
      <c r="J3615" t="s">
        <v>53</v>
      </c>
      <c r="K3615" t="s">
        <v>38</v>
      </c>
      <c r="L3615" t="s">
        <v>34</v>
      </c>
      <c r="M3615">
        <v>3</v>
      </c>
      <c r="N3615">
        <v>529.27</v>
      </c>
      <c r="O3615">
        <v>675.89</v>
      </c>
      <c r="P3615">
        <v>33.79</v>
      </c>
      <c r="Q3615">
        <v>33.79</v>
      </c>
      <c r="R3615" t="s">
        <v>30</v>
      </c>
      <c r="S3615">
        <v>29</v>
      </c>
      <c r="T3615">
        <v>1</v>
      </c>
      <c r="U3615">
        <v>1</v>
      </c>
      <c r="V3615">
        <v>642.1</v>
      </c>
      <c r="W3615">
        <v>13130003613</v>
      </c>
    </row>
    <row r="3616" spans="1:23" x14ac:dyDescent="0.2">
      <c r="A3616" s="1">
        <v>44777</v>
      </c>
      <c r="B3616" s="2">
        <v>0.71793981481481484</v>
      </c>
      <c r="C3616">
        <v>4614</v>
      </c>
      <c r="D3616">
        <v>13002561</v>
      </c>
      <c r="E3616">
        <v>13</v>
      </c>
      <c r="F3616">
        <v>22589</v>
      </c>
      <c r="G3616" t="s">
        <v>23</v>
      </c>
      <c r="H3616">
        <v>18</v>
      </c>
      <c r="I3616">
        <v>28193</v>
      </c>
      <c r="J3616" t="s">
        <v>87</v>
      </c>
      <c r="K3616" t="s">
        <v>38</v>
      </c>
      <c r="L3616" t="s">
        <v>36</v>
      </c>
      <c r="M3616">
        <v>3</v>
      </c>
      <c r="N3616">
        <v>56.28</v>
      </c>
      <c r="O3616">
        <v>91.44</v>
      </c>
      <c r="P3616">
        <v>4.57</v>
      </c>
      <c r="Q3616">
        <v>4.57</v>
      </c>
      <c r="R3616" t="s">
        <v>30</v>
      </c>
      <c r="S3616">
        <v>29</v>
      </c>
      <c r="T3616">
        <v>1</v>
      </c>
      <c r="U3616">
        <v>6</v>
      </c>
      <c r="V3616">
        <v>86.87</v>
      </c>
      <c r="W3616">
        <v>13130003614</v>
      </c>
    </row>
    <row r="3617" spans="1:23" x14ac:dyDescent="0.2">
      <c r="A3617" s="1">
        <v>44779</v>
      </c>
      <c r="B3617" s="2">
        <v>0.3910763888888889</v>
      </c>
      <c r="C3617">
        <v>4615</v>
      </c>
      <c r="D3617">
        <v>13002561</v>
      </c>
      <c r="E3617">
        <v>13</v>
      </c>
      <c r="F3617">
        <v>22589</v>
      </c>
      <c r="G3617" t="s">
        <v>23</v>
      </c>
      <c r="H3617">
        <v>15</v>
      </c>
      <c r="I3617">
        <v>30580</v>
      </c>
      <c r="J3617" t="s">
        <v>122</v>
      </c>
      <c r="K3617" t="s">
        <v>44</v>
      </c>
      <c r="L3617" t="s">
        <v>32</v>
      </c>
      <c r="M3617">
        <v>2</v>
      </c>
      <c r="N3617">
        <v>590.95000000000005</v>
      </c>
      <c r="O3617">
        <v>970.46</v>
      </c>
      <c r="P3617">
        <v>0</v>
      </c>
      <c r="Q3617">
        <v>0</v>
      </c>
      <c r="S3617">
        <v>29</v>
      </c>
      <c r="T3617">
        <v>1</v>
      </c>
      <c r="U3617">
        <v>4</v>
      </c>
      <c r="V3617">
        <v>970.46</v>
      </c>
      <c r="W3617">
        <v>13130003615</v>
      </c>
    </row>
    <row r="3618" spans="1:23" x14ac:dyDescent="0.2">
      <c r="A3618" s="1">
        <v>44796</v>
      </c>
      <c r="B3618" s="2">
        <v>0.88855324074074071</v>
      </c>
      <c r="C3618">
        <v>4616</v>
      </c>
      <c r="D3618">
        <v>13002561</v>
      </c>
      <c r="E3618">
        <v>13</v>
      </c>
      <c r="F3618">
        <v>22589</v>
      </c>
      <c r="G3618" t="s">
        <v>23</v>
      </c>
      <c r="H3618">
        <v>18</v>
      </c>
      <c r="I3618">
        <v>40253</v>
      </c>
      <c r="J3618" t="s">
        <v>64</v>
      </c>
      <c r="K3618" t="s">
        <v>60</v>
      </c>
      <c r="L3618" t="s">
        <v>51</v>
      </c>
      <c r="M3618">
        <v>3</v>
      </c>
      <c r="N3618">
        <v>410.71</v>
      </c>
      <c r="O3618">
        <v>560.88</v>
      </c>
      <c r="P3618">
        <v>56.09</v>
      </c>
      <c r="Q3618">
        <v>56.09</v>
      </c>
      <c r="R3618" t="s">
        <v>30</v>
      </c>
      <c r="S3618">
        <v>29</v>
      </c>
      <c r="T3618">
        <v>1</v>
      </c>
      <c r="U3618">
        <v>5</v>
      </c>
      <c r="V3618">
        <v>504.79</v>
      </c>
      <c r="W3618">
        <v>13130003616</v>
      </c>
    </row>
    <row r="3619" spans="1:23" x14ac:dyDescent="0.2">
      <c r="A3619" s="1">
        <v>44780</v>
      </c>
      <c r="B3619" s="2">
        <v>0.79243055555555553</v>
      </c>
      <c r="C3619">
        <v>4617</v>
      </c>
      <c r="D3619">
        <v>13002561</v>
      </c>
      <c r="E3619">
        <v>13</v>
      </c>
      <c r="F3619">
        <v>22589</v>
      </c>
      <c r="G3619" t="s">
        <v>23</v>
      </c>
      <c r="H3619">
        <v>18</v>
      </c>
      <c r="I3619">
        <v>30208</v>
      </c>
      <c r="J3619" t="s">
        <v>128</v>
      </c>
      <c r="K3619" t="s">
        <v>38</v>
      </c>
      <c r="L3619" t="s">
        <v>29</v>
      </c>
      <c r="M3619">
        <v>3</v>
      </c>
      <c r="N3619">
        <v>435.16</v>
      </c>
      <c r="O3619">
        <v>692.71</v>
      </c>
      <c r="P3619">
        <v>0</v>
      </c>
      <c r="Q3619">
        <v>0</v>
      </c>
      <c r="S3619">
        <v>29</v>
      </c>
      <c r="T3619">
        <v>1</v>
      </c>
      <c r="U3619">
        <v>6</v>
      </c>
      <c r="V3619">
        <v>692.71</v>
      </c>
      <c r="W3619">
        <v>13130003617</v>
      </c>
    </row>
    <row r="3620" spans="1:23" x14ac:dyDescent="0.2">
      <c r="A3620" s="1">
        <v>44802</v>
      </c>
      <c r="B3620" s="2">
        <v>0.76658564814814811</v>
      </c>
      <c r="C3620">
        <v>4618</v>
      </c>
      <c r="D3620">
        <v>13002561</v>
      </c>
      <c r="E3620">
        <v>13</v>
      </c>
      <c r="F3620">
        <v>22589</v>
      </c>
      <c r="G3620" t="s">
        <v>23</v>
      </c>
      <c r="H3620">
        <v>15</v>
      </c>
      <c r="I3620">
        <v>10738</v>
      </c>
      <c r="J3620" t="s">
        <v>33</v>
      </c>
      <c r="K3620" t="s">
        <v>44</v>
      </c>
      <c r="L3620" t="s">
        <v>34</v>
      </c>
      <c r="M3620">
        <v>1</v>
      </c>
      <c r="N3620">
        <v>303.27999999999997</v>
      </c>
      <c r="O3620">
        <v>381.56</v>
      </c>
      <c r="P3620">
        <v>0</v>
      </c>
      <c r="Q3620">
        <v>0</v>
      </c>
      <c r="S3620">
        <v>29</v>
      </c>
      <c r="T3620">
        <v>1</v>
      </c>
      <c r="U3620">
        <v>6</v>
      </c>
      <c r="V3620">
        <v>381.56</v>
      </c>
      <c r="W3620">
        <v>13130003618</v>
      </c>
    </row>
    <row r="3621" spans="1:23" x14ac:dyDescent="0.2">
      <c r="A3621" s="1">
        <v>44800</v>
      </c>
      <c r="B3621" s="2">
        <v>0.94287037037037036</v>
      </c>
      <c r="C3621">
        <v>4619</v>
      </c>
      <c r="D3621">
        <v>13002561</v>
      </c>
      <c r="E3621">
        <v>13</v>
      </c>
      <c r="F3621">
        <v>22589</v>
      </c>
      <c r="G3621" t="s">
        <v>23</v>
      </c>
      <c r="H3621">
        <v>15</v>
      </c>
      <c r="I3621">
        <v>29425</v>
      </c>
      <c r="J3621" t="s">
        <v>92</v>
      </c>
      <c r="K3621" t="s">
        <v>38</v>
      </c>
      <c r="L3621" t="s">
        <v>34</v>
      </c>
      <c r="M3621">
        <v>1</v>
      </c>
      <c r="N3621">
        <v>554.92999999999995</v>
      </c>
      <c r="O3621">
        <v>880.21</v>
      </c>
      <c r="P3621">
        <v>0</v>
      </c>
      <c r="Q3621">
        <v>0</v>
      </c>
      <c r="S3621">
        <v>29</v>
      </c>
      <c r="T3621">
        <v>1</v>
      </c>
      <c r="U3621">
        <v>1</v>
      </c>
      <c r="V3621">
        <v>880.21</v>
      </c>
      <c r="W3621">
        <v>13130003619</v>
      </c>
    </row>
    <row r="3622" spans="1:23" x14ac:dyDescent="0.2">
      <c r="A3622" s="1">
        <v>44775</v>
      </c>
      <c r="B3622" s="2">
        <v>0.86163194444444446</v>
      </c>
      <c r="C3622">
        <v>4620</v>
      </c>
      <c r="D3622">
        <v>13002561</v>
      </c>
      <c r="E3622">
        <v>13</v>
      </c>
      <c r="F3622">
        <v>22589</v>
      </c>
      <c r="G3622" t="s">
        <v>23</v>
      </c>
      <c r="H3622">
        <v>18</v>
      </c>
      <c r="I3622">
        <v>90275</v>
      </c>
      <c r="J3622" t="s">
        <v>72</v>
      </c>
      <c r="K3622" t="s">
        <v>60</v>
      </c>
      <c r="L3622" t="s">
        <v>47</v>
      </c>
      <c r="M3622">
        <v>1</v>
      </c>
      <c r="N3622">
        <v>82.24</v>
      </c>
      <c r="O3622">
        <v>128.65</v>
      </c>
      <c r="P3622">
        <v>6.43</v>
      </c>
      <c r="Q3622">
        <v>6.43</v>
      </c>
      <c r="R3622" t="s">
        <v>30</v>
      </c>
      <c r="S3622">
        <v>29</v>
      </c>
      <c r="T3622">
        <v>1</v>
      </c>
      <c r="U3622">
        <v>3</v>
      </c>
      <c r="V3622">
        <v>122.22</v>
      </c>
      <c r="W3622">
        <v>13130003620</v>
      </c>
    </row>
    <row r="3623" spans="1:23" x14ac:dyDescent="0.2">
      <c r="A3623" s="1">
        <v>44787</v>
      </c>
      <c r="B3623" s="2">
        <v>0.84702546296296299</v>
      </c>
      <c r="C3623">
        <v>4621</v>
      </c>
      <c r="D3623">
        <v>13002561</v>
      </c>
      <c r="E3623">
        <v>13</v>
      </c>
      <c r="F3623">
        <v>22589</v>
      </c>
      <c r="G3623" t="s">
        <v>23</v>
      </c>
      <c r="H3623">
        <v>15</v>
      </c>
      <c r="I3623">
        <v>88697</v>
      </c>
      <c r="J3623" t="s">
        <v>117</v>
      </c>
      <c r="K3623" t="s">
        <v>25</v>
      </c>
      <c r="L3623" t="s">
        <v>36</v>
      </c>
      <c r="M3623">
        <v>2</v>
      </c>
      <c r="N3623">
        <v>585.6</v>
      </c>
      <c r="O3623">
        <v>747.88</v>
      </c>
      <c r="P3623">
        <v>74.790000000000006</v>
      </c>
      <c r="Q3623">
        <v>74.790000000000006</v>
      </c>
      <c r="R3623" t="s">
        <v>30</v>
      </c>
      <c r="S3623">
        <v>29</v>
      </c>
      <c r="T3623">
        <v>1</v>
      </c>
      <c r="U3623">
        <v>5</v>
      </c>
      <c r="V3623">
        <v>673.09</v>
      </c>
      <c r="W3623">
        <v>13130003621</v>
      </c>
    </row>
    <row r="3624" spans="1:23" x14ac:dyDescent="0.2">
      <c r="A3624" s="1">
        <v>44795</v>
      </c>
      <c r="B3624" s="2">
        <v>0.73223379629629626</v>
      </c>
      <c r="C3624">
        <v>4622</v>
      </c>
      <c r="D3624">
        <v>13002561</v>
      </c>
      <c r="E3624">
        <v>13</v>
      </c>
      <c r="F3624">
        <v>22589</v>
      </c>
      <c r="G3624" t="s">
        <v>23</v>
      </c>
      <c r="H3624">
        <v>15</v>
      </c>
      <c r="I3624">
        <v>19072</v>
      </c>
      <c r="J3624" t="s">
        <v>72</v>
      </c>
      <c r="K3624" t="s">
        <v>45</v>
      </c>
      <c r="L3624" t="s">
        <v>34</v>
      </c>
      <c r="M3624">
        <v>1</v>
      </c>
      <c r="N3624">
        <v>582.80999999999995</v>
      </c>
      <c r="O3624">
        <v>750.12</v>
      </c>
      <c r="P3624">
        <v>75.010000000000005</v>
      </c>
      <c r="Q3624">
        <v>75.010000000000005</v>
      </c>
      <c r="R3624" t="s">
        <v>30</v>
      </c>
      <c r="S3624">
        <v>29</v>
      </c>
      <c r="T3624">
        <v>1</v>
      </c>
      <c r="U3624">
        <v>1</v>
      </c>
      <c r="V3624">
        <v>675.11</v>
      </c>
      <c r="W3624">
        <v>13130003622</v>
      </c>
    </row>
    <row r="3625" spans="1:23" x14ac:dyDescent="0.2">
      <c r="A3625" s="1">
        <v>44791</v>
      </c>
      <c r="B3625" s="2">
        <v>0.46303240740740742</v>
      </c>
      <c r="C3625">
        <v>4623</v>
      </c>
      <c r="D3625">
        <v>13002561</v>
      </c>
      <c r="E3625">
        <v>13</v>
      </c>
      <c r="F3625">
        <v>22589</v>
      </c>
      <c r="G3625" t="s">
        <v>23</v>
      </c>
      <c r="H3625">
        <v>18</v>
      </c>
      <c r="I3625">
        <v>95069</v>
      </c>
      <c r="J3625" t="s">
        <v>77</v>
      </c>
      <c r="K3625" t="s">
        <v>45</v>
      </c>
      <c r="L3625" t="s">
        <v>34</v>
      </c>
      <c r="M3625">
        <v>1</v>
      </c>
      <c r="N3625">
        <v>320.3</v>
      </c>
      <c r="O3625">
        <v>402.08</v>
      </c>
      <c r="P3625">
        <v>40.21</v>
      </c>
      <c r="Q3625">
        <v>40.21</v>
      </c>
      <c r="R3625" t="s">
        <v>30</v>
      </c>
      <c r="S3625">
        <v>29</v>
      </c>
      <c r="T3625">
        <v>1</v>
      </c>
      <c r="U3625">
        <v>6</v>
      </c>
      <c r="V3625">
        <v>361.87</v>
      </c>
      <c r="W3625">
        <v>13130003623</v>
      </c>
    </row>
    <row r="3626" spans="1:23" x14ac:dyDescent="0.2">
      <c r="A3626" s="1">
        <v>44803</v>
      </c>
      <c r="B3626" s="2">
        <v>0.34869212962962959</v>
      </c>
      <c r="C3626">
        <v>4624</v>
      </c>
      <c r="D3626">
        <v>13002561</v>
      </c>
      <c r="E3626">
        <v>13</v>
      </c>
      <c r="F3626">
        <v>22589</v>
      </c>
      <c r="G3626" t="s">
        <v>23</v>
      </c>
      <c r="H3626">
        <v>18</v>
      </c>
      <c r="I3626">
        <v>63690</v>
      </c>
      <c r="J3626" t="s">
        <v>92</v>
      </c>
      <c r="K3626" t="s">
        <v>60</v>
      </c>
      <c r="L3626" t="s">
        <v>32</v>
      </c>
      <c r="M3626">
        <v>2</v>
      </c>
      <c r="N3626">
        <v>328.61</v>
      </c>
      <c r="O3626">
        <v>448.01</v>
      </c>
      <c r="P3626">
        <v>0</v>
      </c>
      <c r="Q3626">
        <v>0</v>
      </c>
      <c r="S3626">
        <v>29</v>
      </c>
      <c r="T3626">
        <v>1</v>
      </c>
      <c r="U3626">
        <v>1</v>
      </c>
      <c r="V3626">
        <v>448.01</v>
      </c>
      <c r="W3626">
        <v>13130003624</v>
      </c>
    </row>
    <row r="3627" spans="1:23" x14ac:dyDescent="0.2">
      <c r="A3627" s="1">
        <v>44799</v>
      </c>
      <c r="B3627" s="2">
        <v>0.63960648148148147</v>
      </c>
      <c r="C3627">
        <v>4625</v>
      </c>
      <c r="D3627">
        <v>13002561</v>
      </c>
      <c r="E3627">
        <v>13</v>
      </c>
      <c r="F3627">
        <v>22589</v>
      </c>
      <c r="G3627" t="s">
        <v>23</v>
      </c>
      <c r="H3627">
        <v>18</v>
      </c>
      <c r="I3627">
        <v>28941</v>
      </c>
      <c r="J3627" t="s">
        <v>66</v>
      </c>
      <c r="K3627" t="s">
        <v>45</v>
      </c>
      <c r="L3627" t="s">
        <v>32</v>
      </c>
      <c r="M3627">
        <v>2</v>
      </c>
      <c r="N3627">
        <v>235.52</v>
      </c>
      <c r="O3627">
        <v>370.48</v>
      </c>
      <c r="P3627">
        <v>37.049999999999997</v>
      </c>
      <c r="Q3627">
        <v>37.049999999999997</v>
      </c>
      <c r="R3627" t="s">
        <v>30</v>
      </c>
      <c r="S3627">
        <v>29</v>
      </c>
      <c r="T3627">
        <v>1</v>
      </c>
      <c r="U3627">
        <v>3</v>
      </c>
      <c r="V3627">
        <v>333.43</v>
      </c>
      <c r="W3627">
        <v>13130003625</v>
      </c>
    </row>
    <row r="3628" spans="1:23" x14ac:dyDescent="0.2">
      <c r="A3628" s="1">
        <v>44789</v>
      </c>
      <c r="B3628" s="2">
        <v>0.40181712962962962</v>
      </c>
      <c r="C3628">
        <v>4626</v>
      </c>
      <c r="D3628">
        <v>13002561</v>
      </c>
      <c r="E3628">
        <v>13</v>
      </c>
      <c r="F3628">
        <v>22589</v>
      </c>
      <c r="G3628" t="s">
        <v>23</v>
      </c>
      <c r="H3628">
        <v>18</v>
      </c>
      <c r="I3628">
        <v>72052</v>
      </c>
      <c r="J3628" t="s">
        <v>108</v>
      </c>
      <c r="K3628" t="s">
        <v>25</v>
      </c>
      <c r="L3628" t="s">
        <v>51</v>
      </c>
      <c r="M3628">
        <v>1</v>
      </c>
      <c r="N3628">
        <v>97.99</v>
      </c>
      <c r="O3628">
        <v>149.09</v>
      </c>
      <c r="P3628">
        <v>7.45</v>
      </c>
      <c r="Q3628">
        <v>7.45</v>
      </c>
      <c r="R3628" t="s">
        <v>30</v>
      </c>
      <c r="S3628">
        <v>29</v>
      </c>
      <c r="T3628">
        <v>1</v>
      </c>
      <c r="U3628">
        <v>6</v>
      </c>
      <c r="V3628">
        <v>141.63999999999999</v>
      </c>
      <c r="W3628">
        <v>13130003626</v>
      </c>
    </row>
    <row r="3629" spans="1:23" x14ac:dyDescent="0.2">
      <c r="A3629" s="1">
        <v>44796</v>
      </c>
      <c r="B3629" s="2">
        <v>0.8071990740740741</v>
      </c>
      <c r="C3629">
        <v>4627</v>
      </c>
      <c r="D3629">
        <v>13002561</v>
      </c>
      <c r="E3629">
        <v>13</v>
      </c>
      <c r="F3629">
        <v>22589</v>
      </c>
      <c r="G3629" t="s">
        <v>23</v>
      </c>
      <c r="H3629">
        <v>18</v>
      </c>
      <c r="I3629">
        <v>46494</v>
      </c>
      <c r="J3629" t="s">
        <v>94</v>
      </c>
      <c r="K3629" t="s">
        <v>38</v>
      </c>
      <c r="L3629" t="s">
        <v>34</v>
      </c>
      <c r="M3629">
        <v>2</v>
      </c>
      <c r="N3629">
        <v>539.09</v>
      </c>
      <c r="O3629">
        <v>679.02</v>
      </c>
      <c r="P3629">
        <v>0</v>
      </c>
      <c r="Q3629">
        <v>0</v>
      </c>
      <c r="S3629">
        <v>29</v>
      </c>
      <c r="T3629">
        <v>1</v>
      </c>
      <c r="U3629">
        <v>3</v>
      </c>
      <c r="V3629">
        <v>679.02</v>
      </c>
      <c r="W3629">
        <v>13130003627</v>
      </c>
    </row>
    <row r="3630" spans="1:23" x14ac:dyDescent="0.2">
      <c r="A3630" s="1">
        <v>44779</v>
      </c>
      <c r="B3630" s="2">
        <v>0.73629629629629634</v>
      </c>
      <c r="C3630">
        <v>4628</v>
      </c>
      <c r="D3630">
        <v>13002561</v>
      </c>
      <c r="E3630">
        <v>13</v>
      </c>
      <c r="F3630">
        <v>22589</v>
      </c>
      <c r="G3630" t="s">
        <v>23</v>
      </c>
      <c r="H3630">
        <v>15</v>
      </c>
      <c r="I3630">
        <v>33545</v>
      </c>
      <c r="J3630" t="s">
        <v>97</v>
      </c>
      <c r="K3630" t="s">
        <v>60</v>
      </c>
      <c r="L3630" t="s">
        <v>36</v>
      </c>
      <c r="M3630">
        <v>2</v>
      </c>
      <c r="N3630">
        <v>374.74</v>
      </c>
      <c r="O3630">
        <v>571.77</v>
      </c>
      <c r="P3630">
        <v>57.18</v>
      </c>
      <c r="Q3630">
        <v>57.18</v>
      </c>
      <c r="R3630" t="s">
        <v>30</v>
      </c>
      <c r="S3630">
        <v>29</v>
      </c>
      <c r="T3630">
        <v>1</v>
      </c>
      <c r="U3630">
        <v>5</v>
      </c>
      <c r="V3630">
        <v>514.59</v>
      </c>
      <c r="W3630">
        <v>13130003628</v>
      </c>
    </row>
    <row r="3631" spans="1:23" x14ac:dyDescent="0.2">
      <c r="A3631" s="1">
        <v>44780</v>
      </c>
      <c r="B3631" s="2">
        <v>0.56373842592592593</v>
      </c>
      <c r="C3631">
        <v>4629</v>
      </c>
      <c r="D3631">
        <v>13002561</v>
      </c>
      <c r="E3631">
        <v>13</v>
      </c>
      <c r="F3631">
        <v>22589</v>
      </c>
      <c r="G3631" t="s">
        <v>23</v>
      </c>
      <c r="H3631">
        <v>18</v>
      </c>
      <c r="I3631">
        <v>75723</v>
      </c>
      <c r="J3631" t="s">
        <v>82</v>
      </c>
      <c r="K3631" t="s">
        <v>25</v>
      </c>
      <c r="L3631" t="s">
        <v>51</v>
      </c>
      <c r="M3631">
        <v>1</v>
      </c>
      <c r="N3631">
        <v>342.91</v>
      </c>
      <c r="O3631">
        <v>457.11</v>
      </c>
      <c r="P3631">
        <v>22.86</v>
      </c>
      <c r="Q3631">
        <v>22.86</v>
      </c>
      <c r="R3631" t="s">
        <v>30</v>
      </c>
      <c r="S3631">
        <v>29</v>
      </c>
      <c r="T3631">
        <v>1</v>
      </c>
      <c r="U3631">
        <v>6</v>
      </c>
      <c r="V3631">
        <v>434.25</v>
      </c>
      <c r="W3631">
        <v>13130003629</v>
      </c>
    </row>
    <row r="3632" spans="1:23" x14ac:dyDescent="0.2">
      <c r="A3632" s="1">
        <v>44776</v>
      </c>
      <c r="B3632" s="2">
        <v>0.770625</v>
      </c>
      <c r="C3632">
        <v>4630</v>
      </c>
      <c r="D3632">
        <v>13002561</v>
      </c>
      <c r="E3632">
        <v>13</v>
      </c>
      <c r="F3632">
        <v>22589</v>
      </c>
      <c r="G3632" t="s">
        <v>23</v>
      </c>
      <c r="H3632">
        <v>15</v>
      </c>
      <c r="I3632">
        <v>75605</v>
      </c>
      <c r="J3632" t="s">
        <v>57</v>
      </c>
      <c r="K3632" t="s">
        <v>38</v>
      </c>
      <c r="L3632" t="s">
        <v>39</v>
      </c>
      <c r="M3632">
        <v>3</v>
      </c>
      <c r="N3632">
        <v>379.36</v>
      </c>
      <c r="O3632">
        <v>603.83000000000004</v>
      </c>
      <c r="P3632">
        <v>0</v>
      </c>
      <c r="Q3632">
        <v>0</v>
      </c>
      <c r="S3632">
        <v>29</v>
      </c>
      <c r="T3632">
        <v>1</v>
      </c>
      <c r="U3632">
        <v>5</v>
      </c>
      <c r="V3632">
        <v>603.83000000000004</v>
      </c>
      <c r="W3632">
        <v>13130003630</v>
      </c>
    </row>
    <row r="3633" spans="1:23" x14ac:dyDescent="0.2">
      <c r="A3633" s="1">
        <v>44794</v>
      </c>
      <c r="B3633" s="2">
        <v>0.7018981481481481</v>
      </c>
      <c r="C3633">
        <v>4631</v>
      </c>
      <c r="D3633">
        <v>13002561</v>
      </c>
      <c r="E3633">
        <v>13</v>
      </c>
      <c r="F3633">
        <v>22589</v>
      </c>
      <c r="G3633" t="s">
        <v>23</v>
      </c>
      <c r="H3633">
        <v>15</v>
      </c>
      <c r="I3633">
        <v>30751</v>
      </c>
      <c r="J3633" t="s">
        <v>96</v>
      </c>
      <c r="K3633" t="s">
        <v>38</v>
      </c>
      <c r="L3633" t="s">
        <v>26</v>
      </c>
      <c r="M3633">
        <v>2</v>
      </c>
      <c r="N3633">
        <v>146.41999999999999</v>
      </c>
      <c r="O3633">
        <v>237.35</v>
      </c>
      <c r="P3633">
        <v>0</v>
      </c>
      <c r="Q3633">
        <v>0</v>
      </c>
      <c r="S3633">
        <v>29</v>
      </c>
      <c r="T3633">
        <v>1</v>
      </c>
      <c r="U3633">
        <v>2</v>
      </c>
      <c r="V3633">
        <v>237.35</v>
      </c>
      <c r="W3633">
        <v>13130003631</v>
      </c>
    </row>
    <row r="3634" spans="1:23" x14ac:dyDescent="0.2">
      <c r="A3634" s="1">
        <v>44780</v>
      </c>
      <c r="B3634" s="2">
        <v>0.92186342592592596</v>
      </c>
      <c r="C3634">
        <v>4632</v>
      </c>
      <c r="D3634">
        <v>13002561</v>
      </c>
      <c r="E3634">
        <v>13</v>
      </c>
      <c r="F3634">
        <v>22589</v>
      </c>
      <c r="G3634" t="s">
        <v>23</v>
      </c>
      <c r="H3634">
        <v>18</v>
      </c>
      <c r="I3634">
        <v>30609</v>
      </c>
      <c r="J3634" t="s">
        <v>56</v>
      </c>
      <c r="K3634" t="s">
        <v>44</v>
      </c>
      <c r="L3634" t="s">
        <v>29</v>
      </c>
      <c r="M3634">
        <v>3</v>
      </c>
      <c r="N3634">
        <v>155.71</v>
      </c>
      <c r="O3634">
        <v>202.45</v>
      </c>
      <c r="P3634">
        <v>0</v>
      </c>
      <c r="Q3634">
        <v>0</v>
      </c>
      <c r="S3634">
        <v>29</v>
      </c>
      <c r="T3634">
        <v>1</v>
      </c>
      <c r="U3634">
        <v>3</v>
      </c>
      <c r="V3634">
        <v>202.45</v>
      </c>
      <c r="W3634">
        <v>13130003632</v>
      </c>
    </row>
    <row r="3635" spans="1:23" x14ac:dyDescent="0.2">
      <c r="A3635" s="1">
        <v>44789</v>
      </c>
      <c r="B3635" s="2">
        <v>0.49269675925925932</v>
      </c>
      <c r="C3635">
        <v>4633</v>
      </c>
      <c r="D3635">
        <v>13002561</v>
      </c>
      <c r="E3635">
        <v>13</v>
      </c>
      <c r="F3635">
        <v>22589</v>
      </c>
      <c r="G3635" t="s">
        <v>23</v>
      </c>
      <c r="H3635">
        <v>15</v>
      </c>
      <c r="I3635">
        <v>25698</v>
      </c>
      <c r="J3635" t="s">
        <v>123</v>
      </c>
      <c r="K3635" t="s">
        <v>44</v>
      </c>
      <c r="L3635" t="s">
        <v>47</v>
      </c>
      <c r="M3635">
        <v>1</v>
      </c>
      <c r="N3635">
        <v>369.73</v>
      </c>
      <c r="O3635">
        <v>506.97</v>
      </c>
      <c r="P3635">
        <v>50.7</v>
      </c>
      <c r="Q3635">
        <v>50.7</v>
      </c>
      <c r="R3635" t="s">
        <v>30</v>
      </c>
      <c r="S3635">
        <v>29</v>
      </c>
      <c r="T3635">
        <v>1</v>
      </c>
      <c r="U3635">
        <v>5</v>
      </c>
      <c r="V3635">
        <v>456.27</v>
      </c>
      <c r="W3635">
        <v>13130003633</v>
      </c>
    </row>
    <row r="3636" spans="1:23" x14ac:dyDescent="0.2">
      <c r="A3636" s="1">
        <v>44789</v>
      </c>
      <c r="B3636" s="2">
        <v>0.65179398148148149</v>
      </c>
      <c r="C3636">
        <v>4634</v>
      </c>
      <c r="D3636">
        <v>13002561</v>
      </c>
      <c r="E3636">
        <v>13</v>
      </c>
      <c r="F3636">
        <v>22589</v>
      </c>
      <c r="G3636" t="s">
        <v>23</v>
      </c>
      <c r="H3636">
        <v>15</v>
      </c>
      <c r="I3636">
        <v>41738</v>
      </c>
      <c r="J3636" t="s">
        <v>87</v>
      </c>
      <c r="K3636" t="s">
        <v>45</v>
      </c>
      <c r="L3636" t="s">
        <v>29</v>
      </c>
      <c r="M3636">
        <v>3</v>
      </c>
      <c r="N3636">
        <v>568.95000000000005</v>
      </c>
      <c r="O3636">
        <v>725.9</v>
      </c>
      <c r="P3636">
        <v>36.299999999999997</v>
      </c>
      <c r="Q3636">
        <v>36.299999999999997</v>
      </c>
      <c r="R3636" t="s">
        <v>30</v>
      </c>
      <c r="S3636">
        <v>29</v>
      </c>
      <c r="T3636">
        <v>1</v>
      </c>
      <c r="U3636">
        <v>6</v>
      </c>
      <c r="V3636">
        <v>689.6</v>
      </c>
      <c r="W3636">
        <v>13130003634</v>
      </c>
    </row>
    <row r="3637" spans="1:23" x14ac:dyDescent="0.2">
      <c r="A3637" s="1">
        <v>44791</v>
      </c>
      <c r="B3637" s="2">
        <v>0.5763194444444445</v>
      </c>
      <c r="C3637">
        <v>4635</v>
      </c>
      <c r="D3637">
        <v>13002561</v>
      </c>
      <c r="E3637">
        <v>13</v>
      </c>
      <c r="F3637">
        <v>22589</v>
      </c>
      <c r="G3637" t="s">
        <v>23</v>
      </c>
      <c r="H3637">
        <v>15</v>
      </c>
      <c r="I3637">
        <v>89401</v>
      </c>
      <c r="J3637" t="s">
        <v>98</v>
      </c>
      <c r="K3637" t="s">
        <v>25</v>
      </c>
      <c r="L3637" t="s">
        <v>47</v>
      </c>
      <c r="M3637">
        <v>1</v>
      </c>
      <c r="N3637">
        <v>315.05</v>
      </c>
      <c r="O3637">
        <v>482.48</v>
      </c>
      <c r="P3637">
        <v>0</v>
      </c>
      <c r="Q3637">
        <v>0</v>
      </c>
      <c r="S3637">
        <v>29</v>
      </c>
      <c r="T3637">
        <v>1</v>
      </c>
      <c r="U3637">
        <v>6</v>
      </c>
      <c r="V3637">
        <v>482.48</v>
      </c>
      <c r="W3637">
        <v>13130003635</v>
      </c>
    </row>
    <row r="3638" spans="1:23" x14ac:dyDescent="0.2">
      <c r="A3638" s="1">
        <v>44785</v>
      </c>
      <c r="B3638" s="2">
        <v>0.79684027777777777</v>
      </c>
      <c r="C3638">
        <v>4636</v>
      </c>
      <c r="D3638">
        <v>13002561</v>
      </c>
      <c r="E3638">
        <v>13</v>
      </c>
      <c r="F3638">
        <v>22589</v>
      </c>
      <c r="G3638" t="s">
        <v>23</v>
      </c>
      <c r="H3638">
        <v>18</v>
      </c>
      <c r="I3638">
        <v>34123</v>
      </c>
      <c r="J3638" t="s">
        <v>105</v>
      </c>
      <c r="K3638" t="s">
        <v>60</v>
      </c>
      <c r="L3638" t="s">
        <v>39</v>
      </c>
      <c r="M3638">
        <v>1</v>
      </c>
      <c r="N3638">
        <v>376.78</v>
      </c>
      <c r="O3638">
        <v>534.05999999999995</v>
      </c>
      <c r="P3638">
        <v>53.41</v>
      </c>
      <c r="Q3638">
        <v>53.41</v>
      </c>
      <c r="R3638" t="s">
        <v>30</v>
      </c>
      <c r="S3638">
        <v>29</v>
      </c>
      <c r="T3638">
        <v>1</v>
      </c>
      <c r="U3638">
        <v>3</v>
      </c>
      <c r="V3638">
        <v>480.65</v>
      </c>
      <c r="W3638">
        <v>13130003636</v>
      </c>
    </row>
    <row r="3639" spans="1:23" x14ac:dyDescent="0.2">
      <c r="A3639" s="1">
        <v>44789</v>
      </c>
      <c r="B3639" s="2">
        <v>0.85706018518518523</v>
      </c>
      <c r="C3639">
        <v>4637</v>
      </c>
      <c r="D3639">
        <v>13002561</v>
      </c>
      <c r="E3639">
        <v>13</v>
      </c>
      <c r="F3639">
        <v>22589</v>
      </c>
      <c r="G3639" t="s">
        <v>23</v>
      </c>
      <c r="H3639">
        <v>15</v>
      </c>
      <c r="I3639">
        <v>63606</v>
      </c>
      <c r="J3639" t="s">
        <v>73</v>
      </c>
      <c r="K3639" t="s">
        <v>25</v>
      </c>
      <c r="L3639" t="s">
        <v>51</v>
      </c>
      <c r="M3639">
        <v>1</v>
      </c>
      <c r="N3639">
        <v>541.48</v>
      </c>
      <c r="O3639">
        <v>734.7</v>
      </c>
      <c r="P3639">
        <v>0</v>
      </c>
      <c r="Q3639">
        <v>0</v>
      </c>
      <c r="S3639">
        <v>29</v>
      </c>
      <c r="T3639">
        <v>1</v>
      </c>
      <c r="U3639">
        <v>6</v>
      </c>
      <c r="V3639">
        <v>734.7</v>
      </c>
      <c r="W3639">
        <v>13130003637</v>
      </c>
    </row>
    <row r="3640" spans="1:23" x14ac:dyDescent="0.2">
      <c r="A3640" s="1">
        <v>44803</v>
      </c>
      <c r="B3640" s="2">
        <v>0.87777777777777777</v>
      </c>
      <c r="C3640">
        <v>4638</v>
      </c>
      <c r="D3640">
        <v>13002561</v>
      </c>
      <c r="E3640">
        <v>13</v>
      </c>
      <c r="F3640">
        <v>22589</v>
      </c>
      <c r="G3640" t="s">
        <v>23</v>
      </c>
      <c r="H3640">
        <v>15</v>
      </c>
      <c r="I3640">
        <v>11620</v>
      </c>
      <c r="J3640" t="s">
        <v>69</v>
      </c>
      <c r="K3640" t="s">
        <v>38</v>
      </c>
      <c r="L3640" t="s">
        <v>39</v>
      </c>
      <c r="M3640">
        <v>3</v>
      </c>
      <c r="N3640">
        <v>153.72</v>
      </c>
      <c r="O3640">
        <v>256.04000000000002</v>
      </c>
      <c r="P3640">
        <v>12.8</v>
      </c>
      <c r="Q3640">
        <v>12.8</v>
      </c>
      <c r="R3640" t="s">
        <v>30</v>
      </c>
      <c r="S3640">
        <v>29</v>
      </c>
      <c r="T3640">
        <v>1</v>
      </c>
      <c r="U3640">
        <v>6</v>
      </c>
      <c r="V3640">
        <v>243.24</v>
      </c>
      <c r="W3640">
        <v>13130003638</v>
      </c>
    </row>
    <row r="3641" spans="1:23" x14ac:dyDescent="0.2">
      <c r="A3641" s="1">
        <v>44796</v>
      </c>
      <c r="B3641" s="2">
        <v>0.63368055555555558</v>
      </c>
      <c r="C3641">
        <v>4639</v>
      </c>
      <c r="D3641">
        <v>13002561</v>
      </c>
      <c r="E3641">
        <v>13</v>
      </c>
      <c r="F3641">
        <v>22589</v>
      </c>
      <c r="G3641" t="s">
        <v>23</v>
      </c>
      <c r="H3641">
        <v>15</v>
      </c>
      <c r="I3641">
        <v>68044</v>
      </c>
      <c r="J3641" t="s">
        <v>24</v>
      </c>
      <c r="K3641" t="s">
        <v>28</v>
      </c>
      <c r="L3641" t="s">
        <v>39</v>
      </c>
      <c r="M3641">
        <v>3</v>
      </c>
      <c r="N3641">
        <v>141.13</v>
      </c>
      <c r="O3641">
        <v>228.34</v>
      </c>
      <c r="P3641">
        <v>0</v>
      </c>
      <c r="Q3641">
        <v>0</v>
      </c>
      <c r="S3641">
        <v>29</v>
      </c>
      <c r="T3641">
        <v>1</v>
      </c>
      <c r="U3641">
        <v>5</v>
      </c>
      <c r="V3641">
        <v>228.34</v>
      </c>
      <c r="W3641">
        <v>13130003639</v>
      </c>
    </row>
    <row r="3642" spans="1:23" x14ac:dyDescent="0.2">
      <c r="A3642" s="1">
        <v>44774</v>
      </c>
      <c r="B3642" s="2">
        <v>0.63347222222222221</v>
      </c>
      <c r="C3642">
        <v>4640</v>
      </c>
      <c r="D3642">
        <v>13002561</v>
      </c>
      <c r="E3642">
        <v>13</v>
      </c>
      <c r="F3642">
        <v>22589</v>
      </c>
      <c r="G3642" t="s">
        <v>23</v>
      </c>
      <c r="H3642">
        <v>18</v>
      </c>
      <c r="I3642">
        <v>83107</v>
      </c>
      <c r="J3642" t="s">
        <v>70</v>
      </c>
      <c r="K3642" t="s">
        <v>38</v>
      </c>
      <c r="L3642" t="s">
        <v>32</v>
      </c>
      <c r="M3642">
        <v>2</v>
      </c>
      <c r="N3642">
        <v>224.76</v>
      </c>
      <c r="O3642">
        <v>355.31</v>
      </c>
      <c r="P3642">
        <v>17.77</v>
      </c>
      <c r="Q3642">
        <v>17.77</v>
      </c>
      <c r="R3642" t="s">
        <v>30</v>
      </c>
      <c r="S3642">
        <v>29</v>
      </c>
      <c r="T3642">
        <v>1</v>
      </c>
      <c r="U3642">
        <v>4</v>
      </c>
      <c r="V3642">
        <v>337.54</v>
      </c>
      <c r="W3642">
        <v>13130003640</v>
      </c>
    </row>
    <row r="3643" spans="1:23" x14ac:dyDescent="0.2">
      <c r="A3643" s="1">
        <v>44776</v>
      </c>
      <c r="B3643" s="2">
        <v>0.82356481481481481</v>
      </c>
      <c r="C3643">
        <v>4641</v>
      </c>
      <c r="D3643">
        <v>13002561</v>
      </c>
      <c r="E3643">
        <v>13</v>
      </c>
      <c r="F3643">
        <v>22589</v>
      </c>
      <c r="G3643" t="s">
        <v>23</v>
      </c>
      <c r="H3643">
        <v>15</v>
      </c>
      <c r="I3643">
        <v>17488</v>
      </c>
      <c r="J3643" t="s">
        <v>77</v>
      </c>
      <c r="K3643" t="s">
        <v>38</v>
      </c>
      <c r="L3643" t="s">
        <v>47</v>
      </c>
      <c r="M3643">
        <v>3</v>
      </c>
      <c r="N3643">
        <v>237.06</v>
      </c>
      <c r="O3643">
        <v>310.57</v>
      </c>
      <c r="P3643">
        <v>15.53</v>
      </c>
      <c r="Q3643">
        <v>15.53</v>
      </c>
      <c r="R3643" t="s">
        <v>30</v>
      </c>
      <c r="S3643">
        <v>29</v>
      </c>
      <c r="T3643">
        <v>1</v>
      </c>
      <c r="U3643">
        <v>3</v>
      </c>
      <c r="V3643">
        <v>295.04000000000002</v>
      </c>
      <c r="W3643">
        <v>13130003641</v>
      </c>
    </row>
    <row r="3644" spans="1:23" x14ac:dyDescent="0.2">
      <c r="A3644" s="1">
        <v>44790</v>
      </c>
      <c r="B3644" s="2">
        <v>0.61565972222222221</v>
      </c>
      <c r="C3644">
        <v>4642</v>
      </c>
      <c r="D3644">
        <v>13002561</v>
      </c>
      <c r="E3644">
        <v>13</v>
      </c>
      <c r="F3644">
        <v>22589</v>
      </c>
      <c r="G3644" t="s">
        <v>23</v>
      </c>
      <c r="H3644">
        <v>15</v>
      </c>
      <c r="I3644">
        <v>40165</v>
      </c>
      <c r="J3644" t="s">
        <v>59</v>
      </c>
      <c r="K3644" t="s">
        <v>38</v>
      </c>
      <c r="L3644" t="s">
        <v>32</v>
      </c>
      <c r="M3644">
        <v>1</v>
      </c>
      <c r="N3644">
        <v>422.09</v>
      </c>
      <c r="O3644">
        <v>558.05999999999995</v>
      </c>
      <c r="P3644">
        <v>27.9</v>
      </c>
      <c r="Q3644">
        <v>27.9</v>
      </c>
      <c r="R3644" t="s">
        <v>30</v>
      </c>
      <c r="S3644">
        <v>29</v>
      </c>
      <c r="T3644">
        <v>1</v>
      </c>
      <c r="U3644">
        <v>6</v>
      </c>
      <c r="V3644">
        <v>530.16</v>
      </c>
      <c r="W3644">
        <v>13130003642</v>
      </c>
    </row>
    <row r="3645" spans="1:23" x14ac:dyDescent="0.2">
      <c r="A3645" s="1">
        <v>44784</v>
      </c>
      <c r="B3645" s="2">
        <v>0.39414351851851848</v>
      </c>
      <c r="C3645">
        <v>4643</v>
      </c>
      <c r="D3645">
        <v>13002561</v>
      </c>
      <c r="E3645">
        <v>13</v>
      </c>
      <c r="F3645">
        <v>22589</v>
      </c>
      <c r="G3645" t="s">
        <v>23</v>
      </c>
      <c r="H3645">
        <v>15</v>
      </c>
      <c r="I3645">
        <v>45134</v>
      </c>
      <c r="J3645" t="s">
        <v>105</v>
      </c>
      <c r="K3645" t="s">
        <v>45</v>
      </c>
      <c r="L3645" t="s">
        <v>51</v>
      </c>
      <c r="M3645">
        <v>2</v>
      </c>
      <c r="N3645">
        <v>210.29</v>
      </c>
      <c r="O3645">
        <v>333.97</v>
      </c>
      <c r="P3645">
        <v>16.7</v>
      </c>
      <c r="Q3645">
        <v>16.7</v>
      </c>
      <c r="R3645" t="s">
        <v>30</v>
      </c>
      <c r="S3645">
        <v>29</v>
      </c>
      <c r="T3645">
        <v>1</v>
      </c>
      <c r="U3645">
        <v>2</v>
      </c>
      <c r="V3645">
        <v>317.27</v>
      </c>
      <c r="W3645">
        <v>13130003643</v>
      </c>
    </row>
    <row r="3646" spans="1:23" x14ac:dyDescent="0.2">
      <c r="A3646" s="1">
        <v>44801</v>
      </c>
      <c r="B3646" s="2">
        <v>0.54237268518518522</v>
      </c>
      <c r="C3646">
        <v>4644</v>
      </c>
      <c r="D3646">
        <v>13002561</v>
      </c>
      <c r="E3646">
        <v>13</v>
      </c>
      <c r="F3646">
        <v>22589</v>
      </c>
      <c r="G3646" t="s">
        <v>23</v>
      </c>
      <c r="H3646">
        <v>15</v>
      </c>
      <c r="I3646">
        <v>61804</v>
      </c>
      <c r="J3646" t="s">
        <v>118</v>
      </c>
      <c r="K3646" t="s">
        <v>25</v>
      </c>
      <c r="L3646" t="s">
        <v>29</v>
      </c>
      <c r="M3646">
        <v>1</v>
      </c>
      <c r="N3646">
        <v>402.77</v>
      </c>
      <c r="O3646">
        <v>554.41</v>
      </c>
      <c r="P3646">
        <v>55.44</v>
      </c>
      <c r="Q3646">
        <v>55.44</v>
      </c>
      <c r="R3646" t="s">
        <v>30</v>
      </c>
      <c r="S3646">
        <v>29</v>
      </c>
      <c r="T3646">
        <v>1</v>
      </c>
      <c r="U3646">
        <v>6</v>
      </c>
      <c r="V3646">
        <v>498.97</v>
      </c>
      <c r="W3646">
        <v>13130003644</v>
      </c>
    </row>
    <row r="3647" spans="1:23" x14ac:dyDescent="0.2">
      <c r="A3647" s="1">
        <v>44801</v>
      </c>
      <c r="B3647" s="2">
        <v>0.44951388888888888</v>
      </c>
      <c r="C3647">
        <v>4645</v>
      </c>
      <c r="D3647">
        <v>13002561</v>
      </c>
      <c r="E3647">
        <v>13</v>
      </c>
      <c r="F3647">
        <v>22589</v>
      </c>
      <c r="G3647" t="s">
        <v>23</v>
      </c>
      <c r="H3647">
        <v>18</v>
      </c>
      <c r="I3647">
        <v>43622</v>
      </c>
      <c r="J3647" t="s">
        <v>65</v>
      </c>
      <c r="K3647" t="s">
        <v>45</v>
      </c>
      <c r="L3647" t="s">
        <v>26</v>
      </c>
      <c r="M3647">
        <v>3</v>
      </c>
      <c r="N3647">
        <v>377.96</v>
      </c>
      <c r="O3647">
        <v>579.59</v>
      </c>
      <c r="P3647">
        <v>0</v>
      </c>
      <c r="Q3647">
        <v>0</v>
      </c>
      <c r="S3647">
        <v>29</v>
      </c>
      <c r="T3647">
        <v>1</v>
      </c>
      <c r="U3647">
        <v>4</v>
      </c>
      <c r="V3647">
        <v>579.59</v>
      </c>
      <c r="W3647">
        <v>13130003645</v>
      </c>
    </row>
    <row r="3648" spans="1:23" x14ac:dyDescent="0.2">
      <c r="A3648" s="1">
        <v>44796</v>
      </c>
      <c r="B3648" s="2">
        <v>0.54776620370370366</v>
      </c>
      <c r="C3648">
        <v>4646</v>
      </c>
      <c r="D3648">
        <v>13002561</v>
      </c>
      <c r="E3648">
        <v>13</v>
      </c>
      <c r="F3648">
        <v>22589</v>
      </c>
      <c r="G3648" t="s">
        <v>23</v>
      </c>
      <c r="H3648">
        <v>18</v>
      </c>
      <c r="I3648">
        <v>64643</v>
      </c>
      <c r="J3648" t="s">
        <v>90</v>
      </c>
      <c r="K3648" t="s">
        <v>28</v>
      </c>
      <c r="L3648" t="s">
        <v>32</v>
      </c>
      <c r="M3648">
        <v>2</v>
      </c>
      <c r="N3648">
        <v>517.84</v>
      </c>
      <c r="O3648">
        <v>736.9</v>
      </c>
      <c r="P3648">
        <v>36.840000000000003</v>
      </c>
      <c r="Q3648">
        <v>36.840000000000003</v>
      </c>
      <c r="R3648" t="s">
        <v>30</v>
      </c>
      <c r="S3648">
        <v>29</v>
      </c>
      <c r="T3648">
        <v>1</v>
      </c>
      <c r="U3648">
        <v>5</v>
      </c>
      <c r="V3648">
        <v>700.06</v>
      </c>
      <c r="W3648">
        <v>13130003646</v>
      </c>
    </row>
    <row r="3649" spans="1:23" x14ac:dyDescent="0.2">
      <c r="A3649" s="1">
        <v>44775</v>
      </c>
      <c r="B3649" s="2">
        <v>0.57420138888888894</v>
      </c>
      <c r="C3649">
        <v>4647</v>
      </c>
      <c r="D3649">
        <v>13002561</v>
      </c>
      <c r="E3649">
        <v>13</v>
      </c>
      <c r="F3649">
        <v>22589</v>
      </c>
      <c r="G3649" t="s">
        <v>23</v>
      </c>
      <c r="H3649">
        <v>15</v>
      </c>
      <c r="I3649">
        <v>66192</v>
      </c>
      <c r="J3649" t="s">
        <v>58</v>
      </c>
      <c r="K3649" t="s">
        <v>44</v>
      </c>
      <c r="L3649" t="s">
        <v>51</v>
      </c>
      <c r="M3649">
        <v>2</v>
      </c>
      <c r="N3649">
        <v>596.27</v>
      </c>
      <c r="O3649">
        <v>832.69</v>
      </c>
      <c r="P3649">
        <v>41.63</v>
      </c>
      <c r="Q3649">
        <v>41.63</v>
      </c>
      <c r="R3649" t="s">
        <v>30</v>
      </c>
      <c r="S3649">
        <v>29</v>
      </c>
      <c r="T3649">
        <v>1</v>
      </c>
      <c r="U3649">
        <v>6</v>
      </c>
      <c r="V3649">
        <v>791.06</v>
      </c>
      <c r="W3649">
        <v>13130003647</v>
      </c>
    </row>
    <row r="3650" spans="1:23" x14ac:dyDescent="0.2">
      <c r="A3650" s="1">
        <v>44788</v>
      </c>
      <c r="B3650" s="2">
        <v>0.69866898148148149</v>
      </c>
      <c r="C3650">
        <v>4648</v>
      </c>
      <c r="D3650">
        <v>13002561</v>
      </c>
      <c r="E3650">
        <v>13</v>
      </c>
      <c r="F3650">
        <v>22589</v>
      </c>
      <c r="G3650" t="s">
        <v>23</v>
      </c>
      <c r="H3650">
        <v>18</v>
      </c>
      <c r="I3650">
        <v>23710</v>
      </c>
      <c r="J3650" t="s">
        <v>112</v>
      </c>
      <c r="K3650" t="s">
        <v>38</v>
      </c>
      <c r="L3650" t="s">
        <v>26</v>
      </c>
      <c r="M3650">
        <v>2</v>
      </c>
      <c r="N3650">
        <v>139.84</v>
      </c>
      <c r="O3650">
        <v>209.12</v>
      </c>
      <c r="P3650">
        <v>10.46</v>
      </c>
      <c r="Q3650">
        <v>10.46</v>
      </c>
      <c r="R3650" t="s">
        <v>30</v>
      </c>
      <c r="S3650">
        <v>29</v>
      </c>
      <c r="T3650">
        <v>1</v>
      </c>
      <c r="U3650">
        <v>4</v>
      </c>
      <c r="V3650">
        <v>198.66</v>
      </c>
      <c r="W3650">
        <v>13130003648</v>
      </c>
    </row>
    <row r="3651" spans="1:23" x14ac:dyDescent="0.2">
      <c r="A3651" s="1">
        <v>44794</v>
      </c>
      <c r="B3651" s="2">
        <v>0.37175925925925918</v>
      </c>
      <c r="C3651">
        <v>4649</v>
      </c>
      <c r="D3651">
        <v>13002561</v>
      </c>
      <c r="E3651">
        <v>13</v>
      </c>
      <c r="F3651">
        <v>22589</v>
      </c>
      <c r="G3651" t="s">
        <v>23</v>
      </c>
      <c r="H3651">
        <v>15</v>
      </c>
      <c r="I3651">
        <v>16519</v>
      </c>
      <c r="J3651" t="s">
        <v>110</v>
      </c>
      <c r="K3651" t="s">
        <v>44</v>
      </c>
      <c r="L3651" t="s">
        <v>29</v>
      </c>
      <c r="M3651">
        <v>2</v>
      </c>
      <c r="N3651">
        <v>191.78</v>
      </c>
      <c r="O3651">
        <v>280.2</v>
      </c>
      <c r="P3651">
        <v>0</v>
      </c>
      <c r="Q3651">
        <v>0</v>
      </c>
      <c r="S3651">
        <v>29</v>
      </c>
      <c r="T3651">
        <v>1</v>
      </c>
      <c r="U3651">
        <v>2</v>
      </c>
      <c r="V3651">
        <v>280.2</v>
      </c>
      <c r="W3651">
        <v>13130003649</v>
      </c>
    </row>
    <row r="3652" spans="1:23" x14ac:dyDescent="0.2">
      <c r="A3652" s="1">
        <v>44800</v>
      </c>
      <c r="B3652" s="2">
        <v>0.84018518518518515</v>
      </c>
      <c r="C3652">
        <v>4650</v>
      </c>
      <c r="D3652">
        <v>13002561</v>
      </c>
      <c r="E3652">
        <v>13</v>
      </c>
      <c r="F3652">
        <v>22589</v>
      </c>
      <c r="G3652" t="s">
        <v>23</v>
      </c>
      <c r="H3652">
        <v>15</v>
      </c>
      <c r="I3652">
        <v>53749</v>
      </c>
      <c r="J3652" t="s">
        <v>50</v>
      </c>
      <c r="K3652" t="s">
        <v>60</v>
      </c>
      <c r="L3652" t="s">
        <v>34</v>
      </c>
      <c r="M3652">
        <v>1</v>
      </c>
      <c r="N3652">
        <v>584.37</v>
      </c>
      <c r="O3652">
        <v>966.96</v>
      </c>
      <c r="P3652">
        <v>96.7</v>
      </c>
      <c r="Q3652">
        <v>96.7</v>
      </c>
      <c r="R3652" t="s">
        <v>30</v>
      </c>
      <c r="S3652">
        <v>29</v>
      </c>
      <c r="T3652">
        <v>1</v>
      </c>
      <c r="U3652">
        <v>5</v>
      </c>
      <c r="V3652">
        <v>870.26</v>
      </c>
      <c r="W3652">
        <v>13130003650</v>
      </c>
    </row>
    <row r="3653" spans="1:23" x14ac:dyDescent="0.2">
      <c r="A3653" s="1">
        <v>44775</v>
      </c>
      <c r="B3653" s="2">
        <v>0.81202546296296296</v>
      </c>
      <c r="C3653">
        <v>4651</v>
      </c>
      <c r="D3653">
        <v>13002561</v>
      </c>
      <c r="E3653">
        <v>13</v>
      </c>
      <c r="F3653">
        <v>22589</v>
      </c>
      <c r="G3653" t="s">
        <v>23</v>
      </c>
      <c r="H3653">
        <v>15</v>
      </c>
      <c r="I3653">
        <v>25118</v>
      </c>
      <c r="J3653" t="s">
        <v>114</v>
      </c>
      <c r="K3653" t="s">
        <v>38</v>
      </c>
      <c r="L3653" t="s">
        <v>39</v>
      </c>
      <c r="M3653">
        <v>1</v>
      </c>
      <c r="N3653">
        <v>347.38</v>
      </c>
      <c r="O3653">
        <v>518.58000000000004</v>
      </c>
      <c r="P3653">
        <v>25.93</v>
      </c>
      <c r="Q3653">
        <v>25.93</v>
      </c>
      <c r="R3653" t="s">
        <v>30</v>
      </c>
      <c r="S3653">
        <v>29</v>
      </c>
      <c r="T3653">
        <v>1</v>
      </c>
      <c r="U3653">
        <v>3</v>
      </c>
      <c r="V3653">
        <v>492.65</v>
      </c>
      <c r="W3653">
        <v>13130003651</v>
      </c>
    </row>
    <row r="3654" spans="1:23" x14ac:dyDescent="0.2">
      <c r="A3654" s="1">
        <v>44798</v>
      </c>
      <c r="B3654" s="2">
        <v>0.61781249999999999</v>
      </c>
      <c r="C3654">
        <v>4652</v>
      </c>
      <c r="D3654">
        <v>13002561</v>
      </c>
      <c r="E3654">
        <v>13</v>
      </c>
      <c r="F3654">
        <v>22589</v>
      </c>
      <c r="G3654" t="s">
        <v>23</v>
      </c>
      <c r="H3654">
        <v>18</v>
      </c>
      <c r="I3654">
        <v>28060</v>
      </c>
      <c r="J3654" t="s">
        <v>103</v>
      </c>
      <c r="K3654" t="s">
        <v>45</v>
      </c>
      <c r="L3654" t="s">
        <v>39</v>
      </c>
      <c r="M3654">
        <v>1</v>
      </c>
      <c r="N3654">
        <v>470.47</v>
      </c>
      <c r="O3654">
        <v>740.26</v>
      </c>
      <c r="P3654">
        <v>74.03</v>
      </c>
      <c r="Q3654">
        <v>74.03</v>
      </c>
      <c r="R3654" t="s">
        <v>30</v>
      </c>
      <c r="S3654">
        <v>29</v>
      </c>
      <c r="T3654">
        <v>1</v>
      </c>
      <c r="U3654">
        <v>5</v>
      </c>
      <c r="V3654">
        <v>666.23</v>
      </c>
      <c r="W3654">
        <v>13130003652</v>
      </c>
    </row>
    <row r="3655" spans="1:23" x14ac:dyDescent="0.2">
      <c r="A3655" s="1">
        <v>44777</v>
      </c>
      <c r="B3655" s="2">
        <v>0.49562499999999998</v>
      </c>
      <c r="C3655">
        <v>4653</v>
      </c>
      <c r="D3655">
        <v>13002561</v>
      </c>
      <c r="E3655">
        <v>13</v>
      </c>
      <c r="F3655">
        <v>22589</v>
      </c>
      <c r="G3655" t="s">
        <v>23</v>
      </c>
      <c r="H3655">
        <v>18</v>
      </c>
      <c r="I3655">
        <v>68421</v>
      </c>
      <c r="J3655" t="s">
        <v>57</v>
      </c>
      <c r="K3655" t="s">
        <v>45</v>
      </c>
      <c r="L3655" t="s">
        <v>32</v>
      </c>
      <c r="M3655">
        <v>1</v>
      </c>
      <c r="N3655">
        <v>419.81</v>
      </c>
      <c r="O3655">
        <v>636.38</v>
      </c>
      <c r="P3655">
        <v>31.82</v>
      </c>
      <c r="Q3655">
        <v>31.82</v>
      </c>
      <c r="R3655" t="s">
        <v>30</v>
      </c>
      <c r="S3655">
        <v>29</v>
      </c>
      <c r="T3655">
        <v>1</v>
      </c>
      <c r="U3655">
        <v>2</v>
      </c>
      <c r="V3655">
        <v>604.55999999999995</v>
      </c>
      <c r="W3655">
        <v>13130003653</v>
      </c>
    </row>
    <row r="3656" spans="1:23" x14ac:dyDescent="0.2">
      <c r="A3656" s="1">
        <v>44790</v>
      </c>
      <c r="B3656" s="2">
        <v>0.79682870370370373</v>
      </c>
      <c r="C3656">
        <v>4654</v>
      </c>
      <c r="D3656">
        <v>13002561</v>
      </c>
      <c r="E3656">
        <v>13</v>
      </c>
      <c r="F3656">
        <v>22589</v>
      </c>
      <c r="G3656" t="s">
        <v>23</v>
      </c>
      <c r="H3656">
        <v>18</v>
      </c>
      <c r="I3656">
        <v>41209</v>
      </c>
      <c r="J3656" t="s">
        <v>98</v>
      </c>
      <c r="K3656" t="s">
        <v>45</v>
      </c>
      <c r="L3656" t="s">
        <v>36</v>
      </c>
      <c r="M3656">
        <v>1</v>
      </c>
      <c r="N3656">
        <v>366.2</v>
      </c>
      <c r="O3656">
        <v>561.19000000000005</v>
      </c>
      <c r="P3656">
        <v>56.12</v>
      </c>
      <c r="Q3656">
        <v>56.12</v>
      </c>
      <c r="R3656" t="s">
        <v>30</v>
      </c>
      <c r="S3656">
        <v>29</v>
      </c>
      <c r="T3656">
        <v>1</v>
      </c>
      <c r="U3656">
        <v>5</v>
      </c>
      <c r="V3656">
        <v>505.07</v>
      </c>
      <c r="W3656">
        <v>13130003654</v>
      </c>
    </row>
    <row r="3657" spans="1:23" x14ac:dyDescent="0.2">
      <c r="A3657" s="1">
        <v>44788</v>
      </c>
      <c r="B3657" s="2">
        <v>0.68795138888888885</v>
      </c>
      <c r="C3657">
        <v>4655</v>
      </c>
      <c r="D3657">
        <v>13002561</v>
      </c>
      <c r="E3657">
        <v>13</v>
      </c>
      <c r="F3657">
        <v>22589</v>
      </c>
      <c r="G3657" t="s">
        <v>23</v>
      </c>
      <c r="H3657">
        <v>15</v>
      </c>
      <c r="I3657">
        <v>17436</v>
      </c>
      <c r="J3657" t="s">
        <v>124</v>
      </c>
      <c r="K3657" t="s">
        <v>25</v>
      </c>
      <c r="L3657" t="s">
        <v>29</v>
      </c>
      <c r="M3657">
        <v>1</v>
      </c>
      <c r="N3657">
        <v>334.71</v>
      </c>
      <c r="O3657">
        <v>448.57</v>
      </c>
      <c r="P3657">
        <v>22.43</v>
      </c>
      <c r="Q3657">
        <v>22.43</v>
      </c>
      <c r="R3657" t="s">
        <v>30</v>
      </c>
      <c r="S3657">
        <v>29</v>
      </c>
      <c r="T3657">
        <v>1</v>
      </c>
      <c r="U3657">
        <v>2</v>
      </c>
      <c r="V3657">
        <v>426.14</v>
      </c>
      <c r="W3657">
        <v>13130003655</v>
      </c>
    </row>
    <row r="3658" spans="1:23" x14ac:dyDescent="0.2">
      <c r="A3658" s="1">
        <v>44802</v>
      </c>
      <c r="B3658" s="2">
        <v>0.42160879629629627</v>
      </c>
      <c r="C3658">
        <v>4656</v>
      </c>
      <c r="D3658">
        <v>13002561</v>
      </c>
      <c r="E3658">
        <v>13</v>
      </c>
      <c r="F3658">
        <v>22589</v>
      </c>
      <c r="G3658" t="s">
        <v>23</v>
      </c>
      <c r="H3658">
        <v>15</v>
      </c>
      <c r="I3658">
        <v>36453</v>
      </c>
      <c r="J3658" t="s">
        <v>79</v>
      </c>
      <c r="K3658" t="s">
        <v>28</v>
      </c>
      <c r="L3658" t="s">
        <v>39</v>
      </c>
      <c r="M3658">
        <v>3</v>
      </c>
      <c r="N3658">
        <v>153.47</v>
      </c>
      <c r="O3658">
        <v>220.2</v>
      </c>
      <c r="P3658">
        <v>11.01</v>
      </c>
      <c r="Q3658">
        <v>11.01</v>
      </c>
      <c r="R3658" t="s">
        <v>30</v>
      </c>
      <c r="S3658">
        <v>29</v>
      </c>
      <c r="T3658">
        <v>1</v>
      </c>
      <c r="U3658">
        <v>3</v>
      </c>
      <c r="V3658">
        <v>209.19</v>
      </c>
      <c r="W3658">
        <v>13130003656</v>
      </c>
    </row>
    <row r="3659" spans="1:23" x14ac:dyDescent="0.2">
      <c r="A3659" s="1">
        <v>44782</v>
      </c>
      <c r="B3659" s="2">
        <v>0.74380787037037033</v>
      </c>
      <c r="C3659">
        <v>4657</v>
      </c>
      <c r="D3659">
        <v>13002561</v>
      </c>
      <c r="E3659">
        <v>13</v>
      </c>
      <c r="F3659">
        <v>22589</v>
      </c>
      <c r="G3659" t="s">
        <v>23</v>
      </c>
      <c r="H3659">
        <v>15</v>
      </c>
      <c r="I3659">
        <v>87341</v>
      </c>
      <c r="J3659" t="s">
        <v>42</v>
      </c>
      <c r="K3659" t="s">
        <v>60</v>
      </c>
      <c r="L3659" t="s">
        <v>34</v>
      </c>
      <c r="M3659">
        <v>1</v>
      </c>
      <c r="N3659">
        <v>279.26</v>
      </c>
      <c r="O3659">
        <v>397.68</v>
      </c>
      <c r="P3659">
        <v>19.88</v>
      </c>
      <c r="Q3659">
        <v>19.88</v>
      </c>
      <c r="R3659" t="s">
        <v>30</v>
      </c>
      <c r="S3659">
        <v>29</v>
      </c>
      <c r="T3659">
        <v>1</v>
      </c>
      <c r="U3659">
        <v>2</v>
      </c>
      <c r="V3659">
        <v>377.8</v>
      </c>
      <c r="W3659">
        <v>13130003657</v>
      </c>
    </row>
    <row r="3660" spans="1:23" x14ac:dyDescent="0.2">
      <c r="A3660" s="1">
        <v>44794</v>
      </c>
      <c r="B3660" s="2">
        <v>0.47129629629629632</v>
      </c>
      <c r="C3660">
        <v>4658</v>
      </c>
      <c r="D3660">
        <v>13002561</v>
      </c>
      <c r="E3660">
        <v>13</v>
      </c>
      <c r="F3660">
        <v>22589</v>
      </c>
      <c r="G3660" t="s">
        <v>23</v>
      </c>
      <c r="H3660">
        <v>15</v>
      </c>
      <c r="I3660">
        <v>22773</v>
      </c>
      <c r="J3660" t="s">
        <v>70</v>
      </c>
      <c r="K3660" t="s">
        <v>44</v>
      </c>
      <c r="L3660" t="s">
        <v>32</v>
      </c>
      <c r="M3660">
        <v>3</v>
      </c>
      <c r="N3660">
        <v>520.22</v>
      </c>
      <c r="O3660">
        <v>756.29</v>
      </c>
      <c r="P3660">
        <v>75.63</v>
      </c>
      <c r="Q3660">
        <v>75.63</v>
      </c>
      <c r="R3660" t="s">
        <v>30</v>
      </c>
      <c r="S3660">
        <v>29</v>
      </c>
      <c r="T3660">
        <v>1</v>
      </c>
      <c r="U3660">
        <v>5</v>
      </c>
      <c r="V3660">
        <v>680.66</v>
      </c>
      <c r="W3660">
        <v>13130003658</v>
      </c>
    </row>
    <row r="3661" spans="1:23" x14ac:dyDescent="0.2">
      <c r="A3661" s="1">
        <v>44784</v>
      </c>
      <c r="B3661" s="2">
        <v>0.41263888888888889</v>
      </c>
      <c r="C3661">
        <v>4659</v>
      </c>
      <c r="D3661">
        <v>13002561</v>
      </c>
      <c r="E3661">
        <v>13</v>
      </c>
      <c r="F3661">
        <v>22589</v>
      </c>
      <c r="G3661" t="s">
        <v>23</v>
      </c>
      <c r="H3661">
        <v>15</v>
      </c>
      <c r="I3661">
        <v>13267</v>
      </c>
      <c r="J3661" t="s">
        <v>77</v>
      </c>
      <c r="K3661" t="s">
        <v>44</v>
      </c>
      <c r="L3661" t="s">
        <v>26</v>
      </c>
      <c r="M3661">
        <v>1</v>
      </c>
      <c r="N3661">
        <v>61.93</v>
      </c>
      <c r="O3661">
        <v>94.71</v>
      </c>
      <c r="P3661">
        <v>0</v>
      </c>
      <c r="Q3661">
        <v>0</v>
      </c>
      <c r="S3661">
        <v>29</v>
      </c>
      <c r="T3661">
        <v>1</v>
      </c>
      <c r="U3661">
        <v>3</v>
      </c>
      <c r="V3661">
        <v>94.71</v>
      </c>
      <c r="W3661">
        <v>13130003659</v>
      </c>
    </row>
    <row r="3662" spans="1:23" x14ac:dyDescent="0.2">
      <c r="A3662" s="1">
        <v>44791</v>
      </c>
      <c r="B3662" s="2">
        <v>0.39363425925925932</v>
      </c>
      <c r="C3662">
        <v>4660</v>
      </c>
      <c r="D3662">
        <v>13002561</v>
      </c>
      <c r="E3662">
        <v>13</v>
      </c>
      <c r="F3662">
        <v>22589</v>
      </c>
      <c r="G3662" t="s">
        <v>23</v>
      </c>
      <c r="H3662">
        <v>15</v>
      </c>
      <c r="I3662">
        <v>59084</v>
      </c>
      <c r="J3662" t="s">
        <v>108</v>
      </c>
      <c r="K3662" t="s">
        <v>44</v>
      </c>
      <c r="L3662" t="s">
        <v>39</v>
      </c>
      <c r="M3662">
        <v>1</v>
      </c>
      <c r="N3662">
        <v>373.88</v>
      </c>
      <c r="O3662">
        <v>625.51</v>
      </c>
      <c r="P3662">
        <v>62.55</v>
      </c>
      <c r="Q3662">
        <v>62.55</v>
      </c>
      <c r="R3662" t="s">
        <v>30</v>
      </c>
      <c r="S3662">
        <v>29</v>
      </c>
      <c r="T3662">
        <v>1</v>
      </c>
      <c r="U3662">
        <v>3</v>
      </c>
      <c r="V3662">
        <v>562.96</v>
      </c>
      <c r="W3662">
        <v>13130003660</v>
      </c>
    </row>
    <row r="3663" spans="1:23" x14ac:dyDescent="0.2">
      <c r="A3663" s="1">
        <v>44799</v>
      </c>
      <c r="B3663" s="2">
        <v>0.54509259259259257</v>
      </c>
      <c r="C3663">
        <v>4661</v>
      </c>
      <c r="D3663">
        <v>13002561</v>
      </c>
      <c r="E3663">
        <v>13</v>
      </c>
      <c r="F3663">
        <v>22589</v>
      </c>
      <c r="G3663" t="s">
        <v>23</v>
      </c>
      <c r="H3663">
        <v>15</v>
      </c>
      <c r="I3663">
        <v>43789</v>
      </c>
      <c r="J3663" t="s">
        <v>37</v>
      </c>
      <c r="K3663" t="s">
        <v>60</v>
      </c>
      <c r="L3663" t="s">
        <v>39</v>
      </c>
      <c r="M3663">
        <v>1</v>
      </c>
      <c r="N3663">
        <v>237.96</v>
      </c>
      <c r="O3663">
        <v>344.67</v>
      </c>
      <c r="P3663">
        <v>17.23</v>
      </c>
      <c r="Q3663">
        <v>17.23</v>
      </c>
      <c r="R3663" t="s">
        <v>30</v>
      </c>
      <c r="S3663">
        <v>29</v>
      </c>
      <c r="T3663">
        <v>1</v>
      </c>
      <c r="U3663">
        <v>4</v>
      </c>
      <c r="V3663">
        <v>327.44</v>
      </c>
      <c r="W3663">
        <v>13130003661</v>
      </c>
    </row>
    <row r="3664" spans="1:23" x14ac:dyDescent="0.2">
      <c r="A3664" s="1">
        <v>44796</v>
      </c>
      <c r="B3664" s="2">
        <v>0.84156249999999999</v>
      </c>
      <c r="C3664">
        <v>4662</v>
      </c>
      <c r="D3664">
        <v>13002561</v>
      </c>
      <c r="E3664">
        <v>13</v>
      </c>
      <c r="F3664">
        <v>22589</v>
      </c>
      <c r="G3664" t="s">
        <v>23</v>
      </c>
      <c r="H3664">
        <v>15</v>
      </c>
      <c r="I3664">
        <v>17937</v>
      </c>
      <c r="J3664" t="s">
        <v>111</v>
      </c>
      <c r="K3664" t="s">
        <v>45</v>
      </c>
      <c r="L3664" t="s">
        <v>47</v>
      </c>
      <c r="M3664">
        <v>2</v>
      </c>
      <c r="N3664">
        <v>270.66000000000003</v>
      </c>
      <c r="O3664">
        <v>392.26</v>
      </c>
      <c r="P3664">
        <v>0</v>
      </c>
      <c r="Q3664">
        <v>0</v>
      </c>
      <c r="S3664">
        <v>29</v>
      </c>
      <c r="T3664">
        <v>1</v>
      </c>
      <c r="U3664">
        <v>4</v>
      </c>
      <c r="V3664">
        <v>392.26</v>
      </c>
      <c r="W3664">
        <v>13130003662</v>
      </c>
    </row>
    <row r="3665" spans="1:23" x14ac:dyDescent="0.2">
      <c r="A3665" s="1">
        <v>44776</v>
      </c>
      <c r="B3665" s="2">
        <v>0.87672453703703701</v>
      </c>
      <c r="C3665">
        <v>4663</v>
      </c>
      <c r="D3665">
        <v>13002561</v>
      </c>
      <c r="E3665">
        <v>13</v>
      </c>
      <c r="F3665">
        <v>22589</v>
      </c>
      <c r="G3665" t="s">
        <v>23</v>
      </c>
      <c r="H3665">
        <v>18</v>
      </c>
      <c r="I3665">
        <v>32089</v>
      </c>
      <c r="J3665" t="s">
        <v>107</v>
      </c>
      <c r="K3665" t="s">
        <v>28</v>
      </c>
      <c r="L3665" t="s">
        <v>32</v>
      </c>
      <c r="M3665">
        <v>2</v>
      </c>
      <c r="N3665">
        <v>222.38</v>
      </c>
      <c r="O3665">
        <v>295.01</v>
      </c>
      <c r="P3665">
        <v>14.75</v>
      </c>
      <c r="Q3665">
        <v>14.75</v>
      </c>
      <c r="R3665" t="s">
        <v>30</v>
      </c>
      <c r="S3665">
        <v>29</v>
      </c>
      <c r="T3665">
        <v>1</v>
      </c>
      <c r="U3665">
        <v>4</v>
      </c>
      <c r="V3665">
        <v>280.26</v>
      </c>
      <c r="W3665">
        <v>13130003663</v>
      </c>
    </row>
    <row r="3666" spans="1:23" x14ac:dyDescent="0.2">
      <c r="A3666" s="1">
        <v>44795</v>
      </c>
      <c r="B3666" s="2">
        <v>0.62984953703703705</v>
      </c>
      <c r="C3666">
        <v>4664</v>
      </c>
      <c r="D3666">
        <v>13002561</v>
      </c>
      <c r="E3666">
        <v>13</v>
      </c>
      <c r="F3666">
        <v>22589</v>
      </c>
      <c r="G3666" t="s">
        <v>23</v>
      </c>
      <c r="H3666">
        <v>18</v>
      </c>
      <c r="I3666">
        <v>47029</v>
      </c>
      <c r="J3666" t="s">
        <v>113</v>
      </c>
      <c r="K3666" t="s">
        <v>45</v>
      </c>
      <c r="L3666" t="s">
        <v>26</v>
      </c>
      <c r="M3666">
        <v>2</v>
      </c>
      <c r="N3666">
        <v>562.79</v>
      </c>
      <c r="O3666">
        <v>956</v>
      </c>
      <c r="P3666">
        <v>95.6</v>
      </c>
      <c r="Q3666">
        <v>95.6</v>
      </c>
      <c r="R3666" t="s">
        <v>30</v>
      </c>
      <c r="S3666">
        <v>29</v>
      </c>
      <c r="T3666">
        <v>1</v>
      </c>
      <c r="U3666">
        <v>3</v>
      </c>
      <c r="V3666">
        <v>860.4</v>
      </c>
      <c r="W3666">
        <v>13130003664</v>
      </c>
    </row>
    <row r="3667" spans="1:23" x14ac:dyDescent="0.2">
      <c r="A3667" s="1">
        <v>44781</v>
      </c>
      <c r="B3667" s="2">
        <v>0.62253472222222217</v>
      </c>
      <c r="C3667">
        <v>4665</v>
      </c>
      <c r="D3667">
        <v>13002561</v>
      </c>
      <c r="E3667">
        <v>13</v>
      </c>
      <c r="F3667">
        <v>22589</v>
      </c>
      <c r="G3667" t="s">
        <v>23</v>
      </c>
      <c r="H3667">
        <v>15</v>
      </c>
      <c r="I3667">
        <v>43582</v>
      </c>
      <c r="J3667" t="s">
        <v>123</v>
      </c>
      <c r="K3667" t="s">
        <v>44</v>
      </c>
      <c r="L3667" t="s">
        <v>29</v>
      </c>
      <c r="M3667">
        <v>2</v>
      </c>
      <c r="N3667">
        <v>456.82</v>
      </c>
      <c r="O3667">
        <v>775.92</v>
      </c>
      <c r="P3667">
        <v>77.59</v>
      </c>
      <c r="Q3667">
        <v>77.59</v>
      </c>
      <c r="R3667" t="s">
        <v>30</v>
      </c>
      <c r="S3667">
        <v>29</v>
      </c>
      <c r="T3667">
        <v>1</v>
      </c>
      <c r="U3667">
        <v>3</v>
      </c>
      <c r="V3667">
        <v>698.33</v>
      </c>
      <c r="W3667">
        <v>13130003665</v>
      </c>
    </row>
    <row r="3668" spans="1:23" x14ac:dyDescent="0.2">
      <c r="A3668" s="1">
        <v>44796</v>
      </c>
      <c r="B3668" s="2">
        <v>0.93465277777777778</v>
      </c>
      <c r="C3668">
        <v>4666</v>
      </c>
      <c r="D3668">
        <v>13002561</v>
      </c>
      <c r="E3668">
        <v>13</v>
      </c>
      <c r="F3668">
        <v>22589</v>
      </c>
      <c r="G3668" t="s">
        <v>23</v>
      </c>
      <c r="H3668">
        <v>15</v>
      </c>
      <c r="I3668">
        <v>29516</v>
      </c>
      <c r="J3668" t="s">
        <v>79</v>
      </c>
      <c r="K3668" t="s">
        <v>44</v>
      </c>
      <c r="L3668" t="s">
        <v>34</v>
      </c>
      <c r="M3668">
        <v>1</v>
      </c>
      <c r="N3668">
        <v>399.87</v>
      </c>
      <c r="O3668">
        <v>632.45000000000005</v>
      </c>
      <c r="P3668">
        <v>0</v>
      </c>
      <c r="Q3668">
        <v>0</v>
      </c>
      <c r="S3668">
        <v>29</v>
      </c>
      <c r="T3668">
        <v>1</v>
      </c>
      <c r="U3668">
        <v>3</v>
      </c>
      <c r="V3668">
        <v>632.45000000000005</v>
      </c>
      <c r="W3668">
        <v>13130003666</v>
      </c>
    </row>
    <row r="3669" spans="1:23" x14ac:dyDescent="0.2">
      <c r="A3669" s="1">
        <v>44797</v>
      </c>
      <c r="B3669" s="2">
        <v>0.8614236111111111</v>
      </c>
      <c r="C3669">
        <v>4667</v>
      </c>
      <c r="D3669">
        <v>13002561</v>
      </c>
      <c r="E3669">
        <v>13</v>
      </c>
      <c r="F3669">
        <v>22589</v>
      </c>
      <c r="G3669" t="s">
        <v>23</v>
      </c>
      <c r="H3669">
        <v>18</v>
      </c>
      <c r="I3669">
        <v>98486</v>
      </c>
      <c r="J3669" t="s">
        <v>73</v>
      </c>
      <c r="K3669" t="s">
        <v>38</v>
      </c>
      <c r="L3669" t="s">
        <v>34</v>
      </c>
      <c r="M3669">
        <v>2</v>
      </c>
      <c r="N3669">
        <v>30.34</v>
      </c>
      <c r="O3669">
        <v>48.29</v>
      </c>
      <c r="P3669">
        <v>4.83</v>
      </c>
      <c r="Q3669">
        <v>4.83</v>
      </c>
      <c r="R3669" t="s">
        <v>30</v>
      </c>
      <c r="S3669">
        <v>29</v>
      </c>
      <c r="T3669">
        <v>1</v>
      </c>
      <c r="U3669">
        <v>3</v>
      </c>
      <c r="V3669">
        <v>43.46</v>
      </c>
      <c r="W3669">
        <v>13130003667</v>
      </c>
    </row>
    <row r="3670" spans="1:23" x14ac:dyDescent="0.2">
      <c r="A3670" s="1">
        <v>44791</v>
      </c>
      <c r="B3670" s="2">
        <v>0.88756944444444441</v>
      </c>
      <c r="C3670">
        <v>4668</v>
      </c>
      <c r="D3670">
        <v>13002561</v>
      </c>
      <c r="E3670">
        <v>13</v>
      </c>
      <c r="F3670">
        <v>22589</v>
      </c>
      <c r="G3670" t="s">
        <v>23</v>
      </c>
      <c r="H3670">
        <v>18</v>
      </c>
      <c r="I3670">
        <v>81475</v>
      </c>
      <c r="J3670" t="s">
        <v>94</v>
      </c>
      <c r="K3670" t="s">
        <v>45</v>
      </c>
      <c r="L3670" t="s">
        <v>34</v>
      </c>
      <c r="M3670">
        <v>1</v>
      </c>
      <c r="N3670">
        <v>426</v>
      </c>
      <c r="O3670">
        <v>604.45000000000005</v>
      </c>
      <c r="P3670">
        <v>0</v>
      </c>
      <c r="Q3670">
        <v>0</v>
      </c>
      <c r="S3670">
        <v>29</v>
      </c>
      <c r="T3670">
        <v>1</v>
      </c>
      <c r="U3670">
        <v>2</v>
      </c>
      <c r="V3670">
        <v>604.45000000000005</v>
      </c>
      <c r="W3670">
        <v>13130003668</v>
      </c>
    </row>
    <row r="3671" spans="1:23" x14ac:dyDescent="0.2">
      <c r="A3671" s="1">
        <v>44776</v>
      </c>
      <c r="B3671" s="2">
        <v>0.60909722222222218</v>
      </c>
      <c r="C3671">
        <v>4669</v>
      </c>
      <c r="D3671">
        <v>13002561</v>
      </c>
      <c r="E3671">
        <v>13</v>
      </c>
      <c r="F3671">
        <v>22589</v>
      </c>
      <c r="G3671" t="s">
        <v>23</v>
      </c>
      <c r="H3671">
        <v>15</v>
      </c>
      <c r="I3671">
        <v>58738</v>
      </c>
      <c r="J3671" t="s">
        <v>125</v>
      </c>
      <c r="K3671" t="s">
        <v>28</v>
      </c>
      <c r="L3671" t="s">
        <v>36</v>
      </c>
      <c r="M3671">
        <v>2</v>
      </c>
      <c r="N3671">
        <v>182.33</v>
      </c>
      <c r="O3671">
        <v>291.29000000000002</v>
      </c>
      <c r="P3671">
        <v>14.56</v>
      </c>
      <c r="Q3671">
        <v>14.56</v>
      </c>
      <c r="R3671" t="s">
        <v>30</v>
      </c>
      <c r="S3671">
        <v>29</v>
      </c>
      <c r="T3671">
        <v>1</v>
      </c>
      <c r="U3671">
        <v>1</v>
      </c>
      <c r="V3671">
        <v>276.73</v>
      </c>
      <c r="W3671">
        <v>13130003669</v>
      </c>
    </row>
    <row r="3672" spans="1:23" x14ac:dyDescent="0.2">
      <c r="A3672" s="1">
        <v>44790</v>
      </c>
      <c r="B3672" s="2">
        <v>0.6290972222222222</v>
      </c>
      <c r="C3672">
        <v>4670</v>
      </c>
      <c r="D3672">
        <v>13002561</v>
      </c>
      <c r="E3672">
        <v>13</v>
      </c>
      <c r="F3672">
        <v>22589</v>
      </c>
      <c r="G3672" t="s">
        <v>23</v>
      </c>
      <c r="H3672">
        <v>15</v>
      </c>
      <c r="I3672">
        <v>95420</v>
      </c>
      <c r="J3672" t="s">
        <v>96</v>
      </c>
      <c r="K3672" t="s">
        <v>25</v>
      </c>
      <c r="L3672" t="s">
        <v>34</v>
      </c>
      <c r="M3672">
        <v>2</v>
      </c>
      <c r="N3672">
        <v>491.75</v>
      </c>
      <c r="O3672">
        <v>678.81</v>
      </c>
      <c r="P3672">
        <v>0</v>
      </c>
      <c r="Q3672">
        <v>0</v>
      </c>
      <c r="S3672">
        <v>29</v>
      </c>
      <c r="T3672">
        <v>1</v>
      </c>
      <c r="U3672">
        <v>3</v>
      </c>
      <c r="V3672">
        <v>678.81</v>
      </c>
      <c r="W3672">
        <v>13130003670</v>
      </c>
    </row>
    <row r="3673" spans="1:23" x14ac:dyDescent="0.2">
      <c r="A3673" s="1">
        <v>44795</v>
      </c>
      <c r="B3673" s="2">
        <v>0.56914351851851852</v>
      </c>
      <c r="C3673">
        <v>4671</v>
      </c>
      <c r="D3673">
        <v>13002561</v>
      </c>
      <c r="E3673">
        <v>13</v>
      </c>
      <c r="F3673">
        <v>22589</v>
      </c>
      <c r="G3673" t="s">
        <v>23</v>
      </c>
      <c r="H3673">
        <v>18</v>
      </c>
      <c r="I3673">
        <v>76767</v>
      </c>
      <c r="J3673" t="s">
        <v>127</v>
      </c>
      <c r="K3673" t="s">
        <v>38</v>
      </c>
      <c r="L3673" t="s">
        <v>36</v>
      </c>
      <c r="M3673">
        <v>3</v>
      </c>
      <c r="N3673">
        <v>46.14</v>
      </c>
      <c r="O3673">
        <v>65.59</v>
      </c>
      <c r="P3673">
        <v>0</v>
      </c>
      <c r="Q3673">
        <v>0</v>
      </c>
      <c r="S3673">
        <v>29</v>
      </c>
      <c r="T3673">
        <v>1</v>
      </c>
      <c r="U3673">
        <v>5</v>
      </c>
      <c r="V3673">
        <v>65.59</v>
      </c>
      <c r="W3673">
        <v>13130003671</v>
      </c>
    </row>
    <row r="3674" spans="1:23" x14ac:dyDescent="0.2">
      <c r="A3674" s="1">
        <v>44793</v>
      </c>
      <c r="B3674" s="2">
        <v>0.75229166666666669</v>
      </c>
      <c r="C3674">
        <v>4672</v>
      </c>
      <c r="D3674">
        <v>13002561</v>
      </c>
      <c r="E3674">
        <v>13</v>
      </c>
      <c r="F3674">
        <v>22589</v>
      </c>
      <c r="G3674" t="s">
        <v>23</v>
      </c>
      <c r="H3674">
        <v>15</v>
      </c>
      <c r="I3674">
        <v>19200</v>
      </c>
      <c r="J3674" t="s">
        <v>92</v>
      </c>
      <c r="K3674" t="s">
        <v>60</v>
      </c>
      <c r="L3674" t="s">
        <v>29</v>
      </c>
      <c r="M3674">
        <v>1</v>
      </c>
      <c r="N3674">
        <v>371</v>
      </c>
      <c r="O3674">
        <v>552.59</v>
      </c>
      <c r="P3674">
        <v>55.26</v>
      </c>
      <c r="Q3674">
        <v>55.26</v>
      </c>
      <c r="R3674" t="s">
        <v>30</v>
      </c>
      <c r="S3674">
        <v>29</v>
      </c>
      <c r="T3674">
        <v>1</v>
      </c>
      <c r="U3674">
        <v>1</v>
      </c>
      <c r="V3674">
        <v>497.33</v>
      </c>
      <c r="W3674">
        <v>13130003672</v>
      </c>
    </row>
    <row r="3675" spans="1:23" x14ac:dyDescent="0.2">
      <c r="A3675" s="1">
        <v>44797</v>
      </c>
      <c r="B3675" s="2">
        <v>0.37802083333333331</v>
      </c>
      <c r="C3675">
        <v>4673</v>
      </c>
      <c r="D3675">
        <v>13002561</v>
      </c>
      <c r="E3675">
        <v>13</v>
      </c>
      <c r="F3675">
        <v>22589</v>
      </c>
      <c r="G3675" t="s">
        <v>23</v>
      </c>
      <c r="H3675">
        <v>18</v>
      </c>
      <c r="I3675">
        <v>66171</v>
      </c>
      <c r="J3675" t="s">
        <v>91</v>
      </c>
      <c r="K3675" t="s">
        <v>28</v>
      </c>
      <c r="L3675" t="s">
        <v>47</v>
      </c>
      <c r="M3675">
        <v>3</v>
      </c>
      <c r="N3675">
        <v>252.58</v>
      </c>
      <c r="O3675">
        <v>427.89</v>
      </c>
      <c r="P3675">
        <v>42.79</v>
      </c>
      <c r="Q3675">
        <v>42.79</v>
      </c>
      <c r="R3675" t="s">
        <v>30</v>
      </c>
      <c r="S3675">
        <v>29</v>
      </c>
      <c r="T3675">
        <v>1</v>
      </c>
      <c r="U3675">
        <v>3</v>
      </c>
      <c r="V3675">
        <v>385.1</v>
      </c>
      <c r="W3675">
        <v>13130003673</v>
      </c>
    </row>
    <row r="3676" spans="1:23" x14ac:dyDescent="0.2">
      <c r="A3676" s="1">
        <v>44794</v>
      </c>
      <c r="B3676" s="2">
        <v>0.87078703703703708</v>
      </c>
      <c r="C3676">
        <v>4674</v>
      </c>
      <c r="D3676">
        <v>13002561</v>
      </c>
      <c r="E3676">
        <v>13</v>
      </c>
      <c r="F3676">
        <v>22589</v>
      </c>
      <c r="G3676" t="s">
        <v>23</v>
      </c>
      <c r="H3676">
        <v>18</v>
      </c>
      <c r="I3676">
        <v>61336</v>
      </c>
      <c r="J3676" t="s">
        <v>31</v>
      </c>
      <c r="K3676" t="s">
        <v>38</v>
      </c>
      <c r="L3676" t="s">
        <v>47</v>
      </c>
      <c r="M3676">
        <v>3</v>
      </c>
      <c r="N3676">
        <v>469.09</v>
      </c>
      <c r="O3676">
        <v>715.92</v>
      </c>
      <c r="P3676">
        <v>71.59</v>
      </c>
      <c r="Q3676">
        <v>71.59</v>
      </c>
      <c r="R3676" t="s">
        <v>30</v>
      </c>
      <c r="S3676">
        <v>29</v>
      </c>
      <c r="T3676">
        <v>1</v>
      </c>
      <c r="U3676">
        <v>1</v>
      </c>
      <c r="V3676">
        <v>644.33000000000004</v>
      </c>
      <c r="W3676">
        <v>13130003674</v>
      </c>
    </row>
    <row r="3677" spans="1:23" x14ac:dyDescent="0.2">
      <c r="A3677" s="1">
        <v>44800</v>
      </c>
      <c r="B3677" s="2">
        <v>0.92114583333333333</v>
      </c>
      <c r="C3677">
        <v>4675</v>
      </c>
      <c r="D3677">
        <v>13002561</v>
      </c>
      <c r="E3677">
        <v>13</v>
      </c>
      <c r="F3677">
        <v>22589</v>
      </c>
      <c r="G3677" t="s">
        <v>23</v>
      </c>
      <c r="H3677">
        <v>18</v>
      </c>
      <c r="I3677">
        <v>67434</v>
      </c>
      <c r="J3677" t="s">
        <v>74</v>
      </c>
      <c r="K3677" t="s">
        <v>25</v>
      </c>
      <c r="L3677" t="s">
        <v>34</v>
      </c>
      <c r="M3677">
        <v>1</v>
      </c>
      <c r="N3677">
        <v>519.38</v>
      </c>
      <c r="O3677">
        <v>688.01</v>
      </c>
      <c r="P3677">
        <v>34.4</v>
      </c>
      <c r="Q3677">
        <v>34.4</v>
      </c>
      <c r="R3677" t="s">
        <v>30</v>
      </c>
      <c r="S3677">
        <v>29</v>
      </c>
      <c r="T3677">
        <v>1</v>
      </c>
      <c r="U3677">
        <v>2</v>
      </c>
      <c r="V3677">
        <v>653.61</v>
      </c>
      <c r="W3677">
        <v>13130003675</v>
      </c>
    </row>
    <row r="3678" spans="1:23" x14ac:dyDescent="0.2">
      <c r="A3678" s="1">
        <v>44799</v>
      </c>
      <c r="B3678" s="2">
        <v>0.95156249999999998</v>
      </c>
      <c r="C3678">
        <v>4676</v>
      </c>
      <c r="D3678">
        <v>13002561</v>
      </c>
      <c r="E3678">
        <v>13</v>
      </c>
      <c r="F3678">
        <v>22589</v>
      </c>
      <c r="G3678" t="s">
        <v>23</v>
      </c>
      <c r="H3678">
        <v>15</v>
      </c>
      <c r="I3678">
        <v>35093</v>
      </c>
      <c r="J3678" t="s">
        <v>98</v>
      </c>
      <c r="K3678" t="s">
        <v>28</v>
      </c>
      <c r="L3678" t="s">
        <v>29</v>
      </c>
      <c r="M3678">
        <v>2</v>
      </c>
      <c r="N3678">
        <v>428.7</v>
      </c>
      <c r="O3678">
        <v>654.19000000000005</v>
      </c>
      <c r="P3678">
        <v>32.71</v>
      </c>
      <c r="Q3678">
        <v>32.71</v>
      </c>
      <c r="R3678" t="s">
        <v>30</v>
      </c>
      <c r="S3678">
        <v>29</v>
      </c>
      <c r="T3678">
        <v>1</v>
      </c>
      <c r="U3678">
        <v>6</v>
      </c>
      <c r="V3678">
        <v>621.48</v>
      </c>
      <c r="W3678">
        <v>13130003676</v>
      </c>
    </row>
    <row r="3679" spans="1:23" x14ac:dyDescent="0.2">
      <c r="A3679" s="1">
        <v>44784</v>
      </c>
      <c r="B3679" s="2">
        <v>0.86896990740740743</v>
      </c>
      <c r="C3679">
        <v>4677</v>
      </c>
      <c r="D3679">
        <v>13002561</v>
      </c>
      <c r="E3679">
        <v>13</v>
      </c>
      <c r="F3679">
        <v>22589</v>
      </c>
      <c r="G3679" t="s">
        <v>23</v>
      </c>
      <c r="H3679">
        <v>15</v>
      </c>
      <c r="I3679">
        <v>47209</v>
      </c>
      <c r="J3679" t="s">
        <v>62</v>
      </c>
      <c r="K3679" t="s">
        <v>45</v>
      </c>
      <c r="L3679" t="s">
        <v>34</v>
      </c>
      <c r="M3679">
        <v>2</v>
      </c>
      <c r="N3679">
        <v>505.14</v>
      </c>
      <c r="O3679">
        <v>658.51</v>
      </c>
      <c r="P3679">
        <v>32.93</v>
      </c>
      <c r="Q3679">
        <v>32.93</v>
      </c>
      <c r="R3679" t="s">
        <v>30</v>
      </c>
      <c r="S3679">
        <v>29</v>
      </c>
      <c r="T3679">
        <v>1</v>
      </c>
      <c r="U3679">
        <v>1</v>
      </c>
      <c r="V3679">
        <v>625.58000000000004</v>
      </c>
      <c r="W3679">
        <v>13130003677</v>
      </c>
    </row>
    <row r="3680" spans="1:23" x14ac:dyDescent="0.2">
      <c r="A3680" s="1">
        <v>44785</v>
      </c>
      <c r="B3680" s="2">
        <v>0.49064814814814822</v>
      </c>
      <c r="C3680">
        <v>4678</v>
      </c>
      <c r="D3680">
        <v>13002561</v>
      </c>
      <c r="E3680">
        <v>13</v>
      </c>
      <c r="F3680">
        <v>22589</v>
      </c>
      <c r="G3680" t="s">
        <v>23</v>
      </c>
      <c r="H3680">
        <v>18</v>
      </c>
      <c r="I3680">
        <v>45636</v>
      </c>
      <c r="J3680" t="s">
        <v>103</v>
      </c>
      <c r="K3680" t="s">
        <v>28</v>
      </c>
      <c r="L3680" t="s">
        <v>34</v>
      </c>
      <c r="M3680">
        <v>2</v>
      </c>
      <c r="N3680">
        <v>572.54999999999995</v>
      </c>
      <c r="O3680">
        <v>732.17</v>
      </c>
      <c r="P3680">
        <v>36.61</v>
      </c>
      <c r="Q3680">
        <v>36.61</v>
      </c>
      <c r="R3680" t="s">
        <v>30</v>
      </c>
      <c r="S3680">
        <v>29</v>
      </c>
      <c r="T3680">
        <v>1</v>
      </c>
      <c r="U3680">
        <v>1</v>
      </c>
      <c r="V3680">
        <v>695.56</v>
      </c>
      <c r="W3680">
        <v>13130003678</v>
      </c>
    </row>
    <row r="3681" spans="1:23" x14ac:dyDescent="0.2">
      <c r="A3681" s="1">
        <v>44784</v>
      </c>
      <c r="B3681" s="2">
        <v>0.92819444444444443</v>
      </c>
      <c r="C3681">
        <v>4679</v>
      </c>
      <c r="D3681">
        <v>13002561</v>
      </c>
      <c r="E3681">
        <v>13</v>
      </c>
      <c r="F3681">
        <v>22589</v>
      </c>
      <c r="G3681" t="s">
        <v>23</v>
      </c>
      <c r="H3681">
        <v>18</v>
      </c>
      <c r="I3681">
        <v>92840</v>
      </c>
      <c r="J3681" t="s">
        <v>126</v>
      </c>
      <c r="K3681" t="s">
        <v>28</v>
      </c>
      <c r="L3681" t="s">
        <v>47</v>
      </c>
      <c r="M3681">
        <v>1</v>
      </c>
      <c r="N3681">
        <v>194.52</v>
      </c>
      <c r="O3681">
        <v>249.31</v>
      </c>
      <c r="P3681">
        <v>24.93</v>
      </c>
      <c r="Q3681">
        <v>24.93</v>
      </c>
      <c r="R3681" t="s">
        <v>30</v>
      </c>
      <c r="S3681">
        <v>29</v>
      </c>
      <c r="T3681">
        <v>1</v>
      </c>
      <c r="U3681">
        <v>1</v>
      </c>
      <c r="V3681">
        <v>224.38</v>
      </c>
      <c r="W3681">
        <v>13130003679</v>
      </c>
    </row>
    <row r="3682" spans="1:23" x14ac:dyDescent="0.2">
      <c r="A3682" s="1">
        <v>44775</v>
      </c>
      <c r="B3682" s="2">
        <v>0.88223379629629628</v>
      </c>
      <c r="C3682">
        <v>4680</v>
      </c>
      <c r="D3682">
        <v>13002561</v>
      </c>
      <c r="E3682">
        <v>13</v>
      </c>
      <c r="F3682">
        <v>22589</v>
      </c>
      <c r="G3682" t="s">
        <v>23</v>
      </c>
      <c r="H3682">
        <v>18</v>
      </c>
      <c r="I3682">
        <v>63894</v>
      </c>
      <c r="J3682" t="s">
        <v>53</v>
      </c>
      <c r="K3682" t="s">
        <v>44</v>
      </c>
      <c r="L3682" t="s">
        <v>36</v>
      </c>
      <c r="M3682">
        <v>2</v>
      </c>
      <c r="N3682">
        <v>134.30000000000001</v>
      </c>
      <c r="O3682">
        <v>207.5</v>
      </c>
      <c r="P3682">
        <v>10.38</v>
      </c>
      <c r="Q3682">
        <v>10.38</v>
      </c>
      <c r="R3682" t="s">
        <v>30</v>
      </c>
      <c r="S3682">
        <v>29</v>
      </c>
      <c r="T3682">
        <v>1</v>
      </c>
      <c r="U3682">
        <v>1</v>
      </c>
      <c r="V3682">
        <v>197.12</v>
      </c>
      <c r="W3682">
        <v>13130003680</v>
      </c>
    </row>
    <row r="3683" spans="1:23" x14ac:dyDescent="0.2">
      <c r="A3683" s="1">
        <v>44786</v>
      </c>
      <c r="B3683" s="2">
        <v>0.55843750000000003</v>
      </c>
      <c r="C3683">
        <v>4681</v>
      </c>
      <c r="D3683">
        <v>13002561</v>
      </c>
      <c r="E3683">
        <v>13</v>
      </c>
      <c r="F3683">
        <v>22589</v>
      </c>
      <c r="G3683" t="s">
        <v>23</v>
      </c>
      <c r="H3683">
        <v>18</v>
      </c>
      <c r="I3683">
        <v>46476</v>
      </c>
      <c r="J3683" t="s">
        <v>50</v>
      </c>
      <c r="K3683" t="s">
        <v>25</v>
      </c>
      <c r="L3683" t="s">
        <v>51</v>
      </c>
      <c r="M3683">
        <v>3</v>
      </c>
      <c r="N3683">
        <v>408.79</v>
      </c>
      <c r="O3683">
        <v>582.29</v>
      </c>
      <c r="P3683">
        <v>58.23</v>
      </c>
      <c r="Q3683">
        <v>58.23</v>
      </c>
      <c r="R3683" t="s">
        <v>30</v>
      </c>
      <c r="S3683">
        <v>29</v>
      </c>
      <c r="T3683">
        <v>1</v>
      </c>
      <c r="U3683">
        <v>4</v>
      </c>
      <c r="V3683">
        <v>524.05999999999995</v>
      </c>
      <c r="W3683">
        <v>13130003681</v>
      </c>
    </row>
    <row r="3684" spans="1:23" x14ac:dyDescent="0.2">
      <c r="A3684" s="1">
        <v>44790</v>
      </c>
      <c r="B3684" s="2">
        <v>0.41627314814814809</v>
      </c>
      <c r="C3684">
        <v>4682</v>
      </c>
      <c r="D3684">
        <v>13002561</v>
      </c>
      <c r="E3684">
        <v>13</v>
      </c>
      <c r="F3684">
        <v>22589</v>
      </c>
      <c r="G3684" t="s">
        <v>23</v>
      </c>
      <c r="H3684">
        <v>18</v>
      </c>
      <c r="I3684">
        <v>43697</v>
      </c>
      <c r="J3684" t="s">
        <v>52</v>
      </c>
      <c r="K3684" t="s">
        <v>38</v>
      </c>
      <c r="L3684" t="s">
        <v>26</v>
      </c>
      <c r="M3684">
        <v>1</v>
      </c>
      <c r="N3684">
        <v>20.68</v>
      </c>
      <c r="O3684">
        <v>34.78</v>
      </c>
      <c r="P3684">
        <v>1.74</v>
      </c>
      <c r="Q3684">
        <v>1.74</v>
      </c>
      <c r="R3684" t="s">
        <v>30</v>
      </c>
      <c r="S3684">
        <v>29</v>
      </c>
      <c r="T3684">
        <v>1</v>
      </c>
      <c r="U3684">
        <v>2</v>
      </c>
      <c r="V3684">
        <v>33.04</v>
      </c>
      <c r="W3684">
        <v>13130003682</v>
      </c>
    </row>
    <row r="3685" spans="1:23" x14ac:dyDescent="0.2">
      <c r="A3685" s="1">
        <v>44786</v>
      </c>
      <c r="B3685" s="2">
        <v>0.59591435185185182</v>
      </c>
      <c r="C3685">
        <v>4683</v>
      </c>
      <c r="D3685">
        <v>13002561</v>
      </c>
      <c r="E3685">
        <v>13</v>
      </c>
      <c r="F3685">
        <v>22589</v>
      </c>
      <c r="G3685" t="s">
        <v>23</v>
      </c>
      <c r="H3685">
        <v>15</v>
      </c>
      <c r="I3685">
        <v>92808</v>
      </c>
      <c r="J3685" t="s">
        <v>84</v>
      </c>
      <c r="K3685" t="s">
        <v>45</v>
      </c>
      <c r="L3685" t="s">
        <v>29</v>
      </c>
      <c r="M3685">
        <v>1</v>
      </c>
      <c r="N3685">
        <v>393.99</v>
      </c>
      <c r="O3685">
        <v>513.32000000000005</v>
      </c>
      <c r="P3685">
        <v>0</v>
      </c>
      <c r="Q3685">
        <v>0</v>
      </c>
      <c r="S3685">
        <v>29</v>
      </c>
      <c r="T3685">
        <v>1</v>
      </c>
      <c r="U3685">
        <v>3</v>
      </c>
      <c r="V3685">
        <v>513.32000000000005</v>
      </c>
      <c r="W3685">
        <v>13130003683</v>
      </c>
    </row>
    <row r="3686" spans="1:23" x14ac:dyDescent="0.2">
      <c r="A3686" s="1">
        <v>44775</v>
      </c>
      <c r="B3686" s="2">
        <v>0.44548611111111108</v>
      </c>
      <c r="C3686">
        <v>4684</v>
      </c>
      <c r="D3686">
        <v>13002561</v>
      </c>
      <c r="E3686">
        <v>13</v>
      </c>
      <c r="F3686">
        <v>22589</v>
      </c>
      <c r="G3686" t="s">
        <v>23</v>
      </c>
      <c r="H3686">
        <v>15</v>
      </c>
      <c r="I3686">
        <v>63340</v>
      </c>
      <c r="J3686" t="s">
        <v>116</v>
      </c>
      <c r="K3686" t="s">
        <v>25</v>
      </c>
      <c r="L3686" t="s">
        <v>51</v>
      </c>
      <c r="M3686">
        <v>2</v>
      </c>
      <c r="N3686">
        <v>462.86</v>
      </c>
      <c r="O3686">
        <v>710.62</v>
      </c>
      <c r="P3686">
        <v>35.53</v>
      </c>
      <c r="Q3686">
        <v>35.53</v>
      </c>
      <c r="R3686" t="s">
        <v>30</v>
      </c>
      <c r="S3686">
        <v>29</v>
      </c>
      <c r="T3686">
        <v>1</v>
      </c>
      <c r="U3686">
        <v>1</v>
      </c>
      <c r="V3686">
        <v>675.09</v>
      </c>
      <c r="W3686">
        <v>13130003684</v>
      </c>
    </row>
    <row r="3687" spans="1:23" x14ac:dyDescent="0.2">
      <c r="A3687" s="1">
        <v>44785</v>
      </c>
      <c r="B3687" s="2">
        <v>0.89828703703703705</v>
      </c>
      <c r="C3687">
        <v>4685</v>
      </c>
      <c r="D3687">
        <v>13002561</v>
      </c>
      <c r="E3687">
        <v>13</v>
      </c>
      <c r="F3687">
        <v>22589</v>
      </c>
      <c r="G3687" t="s">
        <v>23</v>
      </c>
      <c r="H3687">
        <v>15</v>
      </c>
      <c r="I3687">
        <v>11743</v>
      </c>
      <c r="J3687" t="s">
        <v>103</v>
      </c>
      <c r="K3687" t="s">
        <v>45</v>
      </c>
      <c r="L3687" t="s">
        <v>39</v>
      </c>
      <c r="M3687">
        <v>2</v>
      </c>
      <c r="N3687">
        <v>405.55</v>
      </c>
      <c r="O3687">
        <v>621.97</v>
      </c>
      <c r="P3687">
        <v>62.2</v>
      </c>
      <c r="Q3687">
        <v>62.2</v>
      </c>
      <c r="R3687" t="s">
        <v>30</v>
      </c>
      <c r="S3687">
        <v>29</v>
      </c>
      <c r="T3687">
        <v>1</v>
      </c>
      <c r="U3687">
        <v>4</v>
      </c>
      <c r="V3687">
        <v>559.77</v>
      </c>
      <c r="W3687">
        <v>13130003685</v>
      </c>
    </row>
    <row r="3688" spans="1:23" x14ac:dyDescent="0.2">
      <c r="A3688" s="1">
        <v>44782</v>
      </c>
      <c r="B3688" s="2">
        <v>0.67118055555555556</v>
      </c>
      <c r="C3688">
        <v>4686</v>
      </c>
      <c r="D3688">
        <v>13002561</v>
      </c>
      <c r="E3688">
        <v>13</v>
      </c>
      <c r="F3688">
        <v>22589</v>
      </c>
      <c r="G3688" t="s">
        <v>23</v>
      </c>
      <c r="H3688">
        <v>15</v>
      </c>
      <c r="I3688">
        <v>44375</v>
      </c>
      <c r="J3688" t="s">
        <v>98</v>
      </c>
      <c r="K3688" t="s">
        <v>25</v>
      </c>
      <c r="L3688" t="s">
        <v>39</v>
      </c>
      <c r="M3688">
        <v>3</v>
      </c>
      <c r="N3688">
        <v>542.88</v>
      </c>
      <c r="O3688">
        <v>830.06</v>
      </c>
      <c r="P3688">
        <v>0</v>
      </c>
      <c r="Q3688">
        <v>0</v>
      </c>
      <c r="S3688">
        <v>29</v>
      </c>
      <c r="T3688">
        <v>1</v>
      </c>
      <c r="U3688">
        <v>3</v>
      </c>
      <c r="V3688">
        <v>830.06</v>
      </c>
      <c r="W3688">
        <v>13130003686</v>
      </c>
    </row>
    <row r="3689" spans="1:23" x14ac:dyDescent="0.2">
      <c r="A3689" s="1">
        <v>44796</v>
      </c>
      <c r="B3689" s="2">
        <v>0.87250000000000005</v>
      </c>
      <c r="C3689">
        <v>4687</v>
      </c>
      <c r="D3689">
        <v>13002561</v>
      </c>
      <c r="E3689">
        <v>13</v>
      </c>
      <c r="F3689">
        <v>22589</v>
      </c>
      <c r="G3689" t="s">
        <v>23</v>
      </c>
      <c r="H3689">
        <v>15</v>
      </c>
      <c r="I3689">
        <v>49844</v>
      </c>
      <c r="J3689" t="s">
        <v>63</v>
      </c>
      <c r="K3689" t="s">
        <v>25</v>
      </c>
      <c r="L3689" t="s">
        <v>26</v>
      </c>
      <c r="M3689">
        <v>1</v>
      </c>
      <c r="N3689">
        <v>124.21</v>
      </c>
      <c r="O3689">
        <v>183.02</v>
      </c>
      <c r="P3689">
        <v>0</v>
      </c>
      <c r="Q3689">
        <v>0</v>
      </c>
      <c r="S3689">
        <v>29</v>
      </c>
      <c r="T3689">
        <v>1</v>
      </c>
      <c r="U3689">
        <v>5</v>
      </c>
      <c r="V3689">
        <v>183.02</v>
      </c>
      <c r="W3689">
        <v>13130003687</v>
      </c>
    </row>
    <row r="3690" spans="1:23" x14ac:dyDescent="0.2">
      <c r="A3690" s="1">
        <v>44803</v>
      </c>
      <c r="B3690" s="2">
        <v>0.3646875</v>
      </c>
      <c r="C3690">
        <v>4688</v>
      </c>
      <c r="D3690">
        <v>13002561</v>
      </c>
      <c r="E3690">
        <v>13</v>
      </c>
      <c r="F3690">
        <v>22589</v>
      </c>
      <c r="G3690" t="s">
        <v>23</v>
      </c>
      <c r="H3690">
        <v>18</v>
      </c>
      <c r="I3690">
        <v>51677</v>
      </c>
      <c r="J3690" t="s">
        <v>82</v>
      </c>
      <c r="K3690" t="s">
        <v>25</v>
      </c>
      <c r="L3690" t="s">
        <v>29</v>
      </c>
      <c r="M3690">
        <v>2</v>
      </c>
      <c r="N3690">
        <v>172.23</v>
      </c>
      <c r="O3690">
        <v>288.33999999999997</v>
      </c>
      <c r="P3690">
        <v>0</v>
      </c>
      <c r="Q3690">
        <v>0</v>
      </c>
      <c r="S3690">
        <v>29</v>
      </c>
      <c r="T3690">
        <v>1</v>
      </c>
      <c r="U3690">
        <v>5</v>
      </c>
      <c r="V3690">
        <v>288.33999999999997</v>
      </c>
      <c r="W3690">
        <v>13130003688</v>
      </c>
    </row>
    <row r="3691" spans="1:23" x14ac:dyDescent="0.2">
      <c r="A3691" s="1">
        <v>44789</v>
      </c>
      <c r="B3691" s="2">
        <v>0.8439699074074074</v>
      </c>
      <c r="C3691">
        <v>4689</v>
      </c>
      <c r="D3691">
        <v>13002561</v>
      </c>
      <c r="E3691">
        <v>13</v>
      </c>
      <c r="F3691">
        <v>22589</v>
      </c>
      <c r="G3691" t="s">
        <v>23</v>
      </c>
      <c r="H3691">
        <v>18</v>
      </c>
      <c r="I3691">
        <v>81549</v>
      </c>
      <c r="J3691" t="s">
        <v>83</v>
      </c>
      <c r="K3691" t="s">
        <v>28</v>
      </c>
      <c r="L3691" t="s">
        <v>36</v>
      </c>
      <c r="M3691">
        <v>2</v>
      </c>
      <c r="N3691">
        <v>327.42</v>
      </c>
      <c r="O3691">
        <v>482.6</v>
      </c>
      <c r="P3691">
        <v>0</v>
      </c>
      <c r="Q3691">
        <v>0</v>
      </c>
      <c r="S3691">
        <v>29</v>
      </c>
      <c r="T3691">
        <v>1</v>
      </c>
      <c r="U3691">
        <v>1</v>
      </c>
      <c r="V3691">
        <v>482.6</v>
      </c>
      <c r="W3691">
        <v>13130003689</v>
      </c>
    </row>
    <row r="3692" spans="1:23" x14ac:dyDescent="0.2">
      <c r="A3692" s="1">
        <v>44776</v>
      </c>
      <c r="B3692" s="2">
        <v>0.43836805555555558</v>
      </c>
      <c r="C3692">
        <v>4690</v>
      </c>
      <c r="D3692">
        <v>13002561</v>
      </c>
      <c r="E3692">
        <v>13</v>
      </c>
      <c r="F3692">
        <v>22589</v>
      </c>
      <c r="G3692" t="s">
        <v>23</v>
      </c>
      <c r="H3692">
        <v>18</v>
      </c>
      <c r="I3692">
        <v>44690</v>
      </c>
      <c r="J3692" t="s">
        <v>112</v>
      </c>
      <c r="K3692" t="s">
        <v>60</v>
      </c>
      <c r="L3692" t="s">
        <v>39</v>
      </c>
      <c r="M3692">
        <v>2</v>
      </c>
      <c r="N3692">
        <v>17.329999999999998</v>
      </c>
      <c r="O3692">
        <v>28.49</v>
      </c>
      <c r="P3692">
        <v>2.85</v>
      </c>
      <c r="Q3692">
        <v>2.85</v>
      </c>
      <c r="R3692" t="s">
        <v>30</v>
      </c>
      <c r="S3692">
        <v>29</v>
      </c>
      <c r="T3692">
        <v>1</v>
      </c>
      <c r="U3692">
        <v>6</v>
      </c>
      <c r="V3692">
        <v>25.64</v>
      </c>
      <c r="W3692">
        <v>13130003690</v>
      </c>
    </row>
    <row r="3693" spans="1:23" x14ac:dyDescent="0.2">
      <c r="A3693" s="1">
        <v>44804</v>
      </c>
      <c r="B3693" s="2">
        <v>0.94761574074074073</v>
      </c>
      <c r="C3693">
        <v>4691</v>
      </c>
      <c r="D3693">
        <v>13002561</v>
      </c>
      <c r="E3693">
        <v>13</v>
      </c>
      <c r="F3693">
        <v>22589</v>
      </c>
      <c r="G3693" t="s">
        <v>23</v>
      </c>
      <c r="H3693">
        <v>18</v>
      </c>
      <c r="I3693">
        <v>14892</v>
      </c>
      <c r="J3693" t="s">
        <v>91</v>
      </c>
      <c r="K3693" t="s">
        <v>28</v>
      </c>
      <c r="L3693" t="s">
        <v>39</v>
      </c>
      <c r="M3693">
        <v>1</v>
      </c>
      <c r="N3693">
        <v>462.08</v>
      </c>
      <c r="O3693">
        <v>710.47</v>
      </c>
      <c r="P3693">
        <v>0</v>
      </c>
      <c r="Q3693">
        <v>0</v>
      </c>
      <c r="S3693">
        <v>29</v>
      </c>
      <c r="T3693">
        <v>1</v>
      </c>
      <c r="U3693">
        <v>5</v>
      </c>
      <c r="V3693">
        <v>710.47</v>
      </c>
      <c r="W3693">
        <v>13130003691</v>
      </c>
    </row>
    <row r="3694" spans="1:23" x14ac:dyDescent="0.2">
      <c r="A3694" s="1">
        <v>44799</v>
      </c>
      <c r="B3694" s="2">
        <v>0.89819444444444441</v>
      </c>
      <c r="C3694">
        <v>4692</v>
      </c>
      <c r="D3694">
        <v>13002561</v>
      </c>
      <c r="E3694">
        <v>13</v>
      </c>
      <c r="F3694">
        <v>22589</v>
      </c>
      <c r="G3694" t="s">
        <v>23</v>
      </c>
      <c r="H3694">
        <v>15</v>
      </c>
      <c r="I3694">
        <v>48917</v>
      </c>
      <c r="J3694" t="s">
        <v>66</v>
      </c>
      <c r="K3694" t="s">
        <v>44</v>
      </c>
      <c r="L3694" t="s">
        <v>26</v>
      </c>
      <c r="M3694">
        <v>3</v>
      </c>
      <c r="N3694">
        <v>242.49</v>
      </c>
      <c r="O3694">
        <v>311.54000000000002</v>
      </c>
      <c r="P3694">
        <v>15.58</v>
      </c>
      <c r="Q3694">
        <v>15.58</v>
      </c>
      <c r="R3694" t="s">
        <v>30</v>
      </c>
      <c r="S3694">
        <v>29</v>
      </c>
      <c r="T3694">
        <v>1</v>
      </c>
      <c r="U3694">
        <v>2</v>
      </c>
      <c r="V3694">
        <v>295.95999999999998</v>
      </c>
      <c r="W3694">
        <v>13130003692</v>
      </c>
    </row>
    <row r="3695" spans="1:23" x14ac:dyDescent="0.2">
      <c r="A3695" s="1">
        <v>44802</v>
      </c>
      <c r="B3695" s="2">
        <v>0.34943287037037041</v>
      </c>
      <c r="C3695">
        <v>4693</v>
      </c>
      <c r="D3695">
        <v>13002561</v>
      </c>
      <c r="E3695">
        <v>13</v>
      </c>
      <c r="F3695">
        <v>22589</v>
      </c>
      <c r="G3695" t="s">
        <v>23</v>
      </c>
      <c r="H3695">
        <v>15</v>
      </c>
      <c r="I3695">
        <v>12744</v>
      </c>
      <c r="J3695" t="s">
        <v>35</v>
      </c>
      <c r="K3695" t="s">
        <v>25</v>
      </c>
      <c r="L3695" t="s">
        <v>26</v>
      </c>
      <c r="M3695">
        <v>2</v>
      </c>
      <c r="N3695">
        <v>262.56</v>
      </c>
      <c r="O3695">
        <v>433.63</v>
      </c>
      <c r="P3695">
        <v>0</v>
      </c>
      <c r="Q3695">
        <v>0</v>
      </c>
      <c r="S3695">
        <v>29</v>
      </c>
      <c r="T3695">
        <v>1</v>
      </c>
      <c r="U3695">
        <v>3</v>
      </c>
      <c r="V3695">
        <v>433.63</v>
      </c>
      <c r="W3695">
        <v>13130003693</v>
      </c>
    </row>
    <row r="3696" spans="1:23" x14ac:dyDescent="0.2">
      <c r="A3696" s="1">
        <v>44781</v>
      </c>
      <c r="B3696" s="2">
        <v>0.90043981481481483</v>
      </c>
      <c r="C3696">
        <v>4694</v>
      </c>
      <c r="D3696">
        <v>13002561</v>
      </c>
      <c r="E3696">
        <v>13</v>
      </c>
      <c r="F3696">
        <v>22589</v>
      </c>
      <c r="G3696" t="s">
        <v>23</v>
      </c>
      <c r="H3696">
        <v>15</v>
      </c>
      <c r="I3696">
        <v>74493</v>
      </c>
      <c r="J3696" t="s">
        <v>109</v>
      </c>
      <c r="K3696" t="s">
        <v>60</v>
      </c>
      <c r="L3696" t="s">
        <v>26</v>
      </c>
      <c r="M3696">
        <v>3</v>
      </c>
      <c r="N3696">
        <v>84.92</v>
      </c>
      <c r="O3696">
        <v>142.54</v>
      </c>
      <c r="P3696">
        <v>14.25</v>
      </c>
      <c r="Q3696">
        <v>14.25</v>
      </c>
      <c r="R3696" t="s">
        <v>30</v>
      </c>
      <c r="S3696">
        <v>29</v>
      </c>
      <c r="T3696">
        <v>1</v>
      </c>
      <c r="U3696">
        <v>6</v>
      </c>
      <c r="V3696">
        <v>128.29</v>
      </c>
      <c r="W3696">
        <v>13130003694</v>
      </c>
    </row>
    <row r="3697" spans="1:23" x14ac:dyDescent="0.2">
      <c r="A3697" s="1">
        <v>44786</v>
      </c>
      <c r="B3697" s="2">
        <v>0.68758101851851849</v>
      </c>
      <c r="C3697">
        <v>4695</v>
      </c>
      <c r="D3697">
        <v>13002561</v>
      </c>
      <c r="E3697">
        <v>13</v>
      </c>
      <c r="F3697">
        <v>22589</v>
      </c>
      <c r="G3697" t="s">
        <v>23</v>
      </c>
      <c r="H3697">
        <v>18</v>
      </c>
      <c r="I3697">
        <v>46366</v>
      </c>
      <c r="J3697" t="s">
        <v>128</v>
      </c>
      <c r="K3697" t="s">
        <v>28</v>
      </c>
      <c r="L3697" t="s">
        <v>39</v>
      </c>
      <c r="M3697">
        <v>3</v>
      </c>
      <c r="N3697">
        <v>433.48</v>
      </c>
      <c r="O3697">
        <v>554.42999999999995</v>
      </c>
      <c r="P3697">
        <v>55.44</v>
      </c>
      <c r="Q3697">
        <v>55.44</v>
      </c>
      <c r="R3697" t="s">
        <v>30</v>
      </c>
      <c r="S3697">
        <v>29</v>
      </c>
      <c r="T3697">
        <v>1</v>
      </c>
      <c r="U3697">
        <v>3</v>
      </c>
      <c r="V3697">
        <v>498.99</v>
      </c>
      <c r="W3697">
        <v>13130003695</v>
      </c>
    </row>
    <row r="3698" spans="1:23" x14ac:dyDescent="0.2">
      <c r="A3698" s="1">
        <v>44801</v>
      </c>
      <c r="B3698" s="2">
        <v>0.73775462962962968</v>
      </c>
      <c r="C3698">
        <v>4696</v>
      </c>
      <c r="D3698">
        <v>13002561</v>
      </c>
      <c r="E3698">
        <v>13</v>
      </c>
      <c r="F3698">
        <v>22589</v>
      </c>
      <c r="G3698" t="s">
        <v>23</v>
      </c>
      <c r="H3698">
        <v>18</v>
      </c>
      <c r="I3698">
        <v>82944</v>
      </c>
      <c r="J3698" t="s">
        <v>93</v>
      </c>
      <c r="K3698" t="s">
        <v>45</v>
      </c>
      <c r="L3698" t="s">
        <v>39</v>
      </c>
      <c r="M3698">
        <v>1</v>
      </c>
      <c r="N3698">
        <v>495.14</v>
      </c>
      <c r="O3698">
        <v>715.45</v>
      </c>
      <c r="P3698">
        <v>0</v>
      </c>
      <c r="Q3698">
        <v>0</v>
      </c>
      <c r="S3698">
        <v>29</v>
      </c>
      <c r="T3698">
        <v>1</v>
      </c>
      <c r="U3698">
        <v>3</v>
      </c>
      <c r="V3698">
        <v>715.45</v>
      </c>
      <c r="W3698">
        <v>13130003696</v>
      </c>
    </row>
    <row r="3699" spans="1:23" x14ac:dyDescent="0.2">
      <c r="A3699" s="1">
        <v>44777</v>
      </c>
      <c r="B3699" s="2">
        <v>0.54991898148148144</v>
      </c>
      <c r="C3699">
        <v>4697</v>
      </c>
      <c r="D3699">
        <v>13002561</v>
      </c>
      <c r="E3699">
        <v>13</v>
      </c>
      <c r="F3699">
        <v>22589</v>
      </c>
      <c r="G3699" t="s">
        <v>23</v>
      </c>
      <c r="H3699">
        <v>18</v>
      </c>
      <c r="I3699">
        <v>33853</v>
      </c>
      <c r="J3699" t="s">
        <v>24</v>
      </c>
      <c r="K3699" t="s">
        <v>60</v>
      </c>
      <c r="L3699" t="s">
        <v>39</v>
      </c>
      <c r="M3699">
        <v>3</v>
      </c>
      <c r="N3699">
        <v>333.14</v>
      </c>
      <c r="O3699">
        <v>476.49</v>
      </c>
      <c r="P3699">
        <v>0</v>
      </c>
      <c r="Q3699">
        <v>0</v>
      </c>
      <c r="S3699">
        <v>29</v>
      </c>
      <c r="T3699">
        <v>1</v>
      </c>
      <c r="U3699">
        <v>2</v>
      </c>
      <c r="V3699">
        <v>476.49</v>
      </c>
      <c r="W3699">
        <v>13130003697</v>
      </c>
    </row>
    <row r="3700" spans="1:23" x14ac:dyDescent="0.2">
      <c r="A3700" s="1">
        <v>44799</v>
      </c>
      <c r="B3700" s="2">
        <v>0.92262731481481486</v>
      </c>
      <c r="C3700">
        <v>4698</v>
      </c>
      <c r="D3700">
        <v>13002561</v>
      </c>
      <c r="E3700">
        <v>13</v>
      </c>
      <c r="F3700">
        <v>22589</v>
      </c>
      <c r="G3700" t="s">
        <v>23</v>
      </c>
      <c r="H3700">
        <v>18</v>
      </c>
      <c r="I3700">
        <v>85593</v>
      </c>
      <c r="J3700" t="s">
        <v>27</v>
      </c>
      <c r="K3700" t="s">
        <v>44</v>
      </c>
      <c r="L3700" t="s">
        <v>26</v>
      </c>
      <c r="M3700">
        <v>1</v>
      </c>
      <c r="N3700">
        <v>449.33</v>
      </c>
      <c r="O3700">
        <v>616.67999999999995</v>
      </c>
      <c r="P3700">
        <v>0</v>
      </c>
      <c r="Q3700">
        <v>0</v>
      </c>
      <c r="S3700">
        <v>29</v>
      </c>
      <c r="T3700">
        <v>1</v>
      </c>
      <c r="U3700">
        <v>5</v>
      </c>
      <c r="V3700">
        <v>616.67999999999995</v>
      </c>
      <c r="W3700">
        <v>13130003698</v>
      </c>
    </row>
    <row r="3701" spans="1:23" x14ac:dyDescent="0.2">
      <c r="A3701" s="1">
        <v>44777</v>
      </c>
      <c r="B3701" s="2">
        <v>0.94456018518518514</v>
      </c>
      <c r="C3701">
        <v>4699</v>
      </c>
      <c r="D3701">
        <v>13002561</v>
      </c>
      <c r="E3701">
        <v>13</v>
      </c>
      <c r="F3701">
        <v>22589</v>
      </c>
      <c r="G3701" t="s">
        <v>23</v>
      </c>
      <c r="H3701">
        <v>18</v>
      </c>
      <c r="I3701">
        <v>88875</v>
      </c>
      <c r="J3701" t="s">
        <v>115</v>
      </c>
      <c r="K3701" t="s">
        <v>25</v>
      </c>
      <c r="L3701" t="s">
        <v>36</v>
      </c>
      <c r="M3701">
        <v>1</v>
      </c>
      <c r="N3701">
        <v>234.95</v>
      </c>
      <c r="O3701">
        <v>349.73</v>
      </c>
      <c r="P3701">
        <v>34.97</v>
      </c>
      <c r="Q3701">
        <v>34.97</v>
      </c>
      <c r="R3701" t="s">
        <v>30</v>
      </c>
      <c r="S3701">
        <v>29</v>
      </c>
      <c r="T3701">
        <v>1</v>
      </c>
      <c r="U3701">
        <v>1</v>
      </c>
      <c r="V3701">
        <v>314.76</v>
      </c>
      <c r="W3701">
        <v>13130003699</v>
      </c>
    </row>
    <row r="3702" spans="1:23" x14ac:dyDescent="0.2">
      <c r="A3702" s="1">
        <v>44776</v>
      </c>
      <c r="B3702" s="2">
        <v>0.73069444444444442</v>
      </c>
      <c r="C3702">
        <v>4700</v>
      </c>
      <c r="D3702">
        <v>13002561</v>
      </c>
      <c r="E3702">
        <v>13</v>
      </c>
      <c r="F3702">
        <v>22589</v>
      </c>
      <c r="G3702" t="s">
        <v>23</v>
      </c>
      <c r="H3702">
        <v>18</v>
      </c>
      <c r="I3702">
        <v>41063</v>
      </c>
      <c r="J3702" t="s">
        <v>106</v>
      </c>
      <c r="K3702" t="s">
        <v>28</v>
      </c>
      <c r="L3702" t="s">
        <v>36</v>
      </c>
      <c r="M3702">
        <v>2</v>
      </c>
      <c r="N3702">
        <v>339.35</v>
      </c>
      <c r="O3702">
        <v>524.15</v>
      </c>
      <c r="P3702">
        <v>26.21</v>
      </c>
      <c r="Q3702">
        <v>26.21</v>
      </c>
      <c r="R3702" t="s">
        <v>30</v>
      </c>
      <c r="S3702">
        <v>29</v>
      </c>
      <c r="T3702">
        <v>1</v>
      </c>
      <c r="U3702">
        <v>1</v>
      </c>
      <c r="V3702">
        <v>497.94</v>
      </c>
      <c r="W3702">
        <v>13130003700</v>
      </c>
    </row>
    <row r="3703" spans="1:23" x14ac:dyDescent="0.2">
      <c r="A3703" s="1">
        <v>44782</v>
      </c>
      <c r="B3703" s="2">
        <v>0.47638888888888892</v>
      </c>
      <c r="C3703">
        <v>4701</v>
      </c>
      <c r="D3703">
        <v>13002561</v>
      </c>
      <c r="E3703">
        <v>13</v>
      </c>
      <c r="F3703">
        <v>22589</v>
      </c>
      <c r="G3703" t="s">
        <v>23</v>
      </c>
      <c r="H3703">
        <v>18</v>
      </c>
      <c r="I3703">
        <v>72817</v>
      </c>
      <c r="J3703" t="s">
        <v>107</v>
      </c>
      <c r="K3703" t="s">
        <v>44</v>
      </c>
      <c r="L3703" t="s">
        <v>39</v>
      </c>
      <c r="M3703">
        <v>3</v>
      </c>
      <c r="N3703">
        <v>185.94</v>
      </c>
      <c r="O3703">
        <v>300.36</v>
      </c>
      <c r="P3703">
        <v>15.02</v>
      </c>
      <c r="Q3703">
        <v>15.02</v>
      </c>
      <c r="R3703" t="s">
        <v>30</v>
      </c>
      <c r="S3703">
        <v>29</v>
      </c>
      <c r="T3703">
        <v>1</v>
      </c>
      <c r="U3703">
        <v>5</v>
      </c>
      <c r="V3703">
        <v>285.33999999999997</v>
      </c>
      <c r="W3703">
        <v>13130003701</v>
      </c>
    </row>
    <row r="3704" spans="1:23" x14ac:dyDescent="0.2">
      <c r="A3704" s="1">
        <v>44799</v>
      </c>
      <c r="B3704" s="2">
        <v>0.38133101851851853</v>
      </c>
      <c r="C3704">
        <v>4702</v>
      </c>
      <c r="D3704">
        <v>13002561</v>
      </c>
      <c r="E3704">
        <v>13</v>
      </c>
      <c r="F3704">
        <v>22589</v>
      </c>
      <c r="G3704" t="s">
        <v>23</v>
      </c>
      <c r="H3704">
        <v>18</v>
      </c>
      <c r="I3704">
        <v>57168</v>
      </c>
      <c r="J3704" t="s">
        <v>77</v>
      </c>
      <c r="K3704" t="s">
        <v>44</v>
      </c>
      <c r="L3704" t="s">
        <v>29</v>
      </c>
      <c r="M3704">
        <v>1</v>
      </c>
      <c r="N3704">
        <v>37.54</v>
      </c>
      <c r="O3704">
        <v>62.59</v>
      </c>
      <c r="P3704">
        <v>6.26</v>
      </c>
      <c r="Q3704">
        <v>6.26</v>
      </c>
      <c r="R3704" t="s">
        <v>30</v>
      </c>
      <c r="S3704">
        <v>29</v>
      </c>
      <c r="T3704">
        <v>1</v>
      </c>
      <c r="U3704">
        <v>1</v>
      </c>
      <c r="V3704">
        <v>56.33</v>
      </c>
      <c r="W3704">
        <v>13130003702</v>
      </c>
    </row>
    <row r="3705" spans="1:23" x14ac:dyDescent="0.2">
      <c r="A3705" s="1">
        <v>44784</v>
      </c>
      <c r="B3705" s="2">
        <v>0.4284722222222222</v>
      </c>
      <c r="C3705">
        <v>4703</v>
      </c>
      <c r="D3705">
        <v>13002561</v>
      </c>
      <c r="E3705">
        <v>13</v>
      </c>
      <c r="F3705">
        <v>22589</v>
      </c>
      <c r="G3705" t="s">
        <v>23</v>
      </c>
      <c r="H3705">
        <v>18</v>
      </c>
      <c r="I3705">
        <v>86857</v>
      </c>
      <c r="J3705" t="s">
        <v>76</v>
      </c>
      <c r="K3705" t="s">
        <v>28</v>
      </c>
      <c r="L3705" t="s">
        <v>32</v>
      </c>
      <c r="M3705">
        <v>1</v>
      </c>
      <c r="N3705">
        <v>481.08</v>
      </c>
      <c r="O3705">
        <v>605.85</v>
      </c>
      <c r="P3705">
        <v>0</v>
      </c>
      <c r="Q3705">
        <v>0</v>
      </c>
      <c r="S3705">
        <v>29</v>
      </c>
      <c r="T3705">
        <v>1</v>
      </c>
      <c r="U3705">
        <v>3</v>
      </c>
      <c r="V3705">
        <v>605.85</v>
      </c>
      <c r="W3705">
        <v>13130003703</v>
      </c>
    </row>
    <row r="3706" spans="1:23" x14ac:dyDescent="0.2">
      <c r="A3706" s="1">
        <v>44784</v>
      </c>
      <c r="B3706" s="2">
        <v>0.44618055555555558</v>
      </c>
      <c r="C3706">
        <v>4704</v>
      </c>
      <c r="D3706">
        <v>13002561</v>
      </c>
      <c r="E3706">
        <v>13</v>
      </c>
      <c r="F3706">
        <v>22589</v>
      </c>
      <c r="G3706" t="s">
        <v>23</v>
      </c>
      <c r="H3706">
        <v>15</v>
      </c>
      <c r="I3706">
        <v>27849</v>
      </c>
      <c r="J3706" t="s">
        <v>61</v>
      </c>
      <c r="K3706" t="s">
        <v>28</v>
      </c>
      <c r="L3706" t="s">
        <v>29</v>
      </c>
      <c r="M3706">
        <v>3</v>
      </c>
      <c r="N3706">
        <v>253.08</v>
      </c>
      <c r="O3706">
        <v>353.85</v>
      </c>
      <c r="P3706">
        <v>0</v>
      </c>
      <c r="Q3706">
        <v>0</v>
      </c>
      <c r="S3706">
        <v>29</v>
      </c>
      <c r="T3706">
        <v>1</v>
      </c>
      <c r="U3706">
        <v>2</v>
      </c>
      <c r="V3706">
        <v>353.85</v>
      </c>
      <c r="W3706">
        <v>13130003704</v>
      </c>
    </row>
    <row r="3707" spans="1:23" x14ac:dyDescent="0.2">
      <c r="A3707" s="1">
        <v>44787</v>
      </c>
      <c r="B3707" s="2">
        <v>0.7933796296296296</v>
      </c>
      <c r="C3707">
        <v>4705</v>
      </c>
      <c r="D3707">
        <v>13002561</v>
      </c>
      <c r="E3707">
        <v>13</v>
      </c>
      <c r="F3707">
        <v>22589</v>
      </c>
      <c r="G3707" t="s">
        <v>23</v>
      </c>
      <c r="H3707">
        <v>15</v>
      </c>
      <c r="I3707">
        <v>99705</v>
      </c>
      <c r="J3707" t="s">
        <v>117</v>
      </c>
      <c r="K3707" t="s">
        <v>60</v>
      </c>
      <c r="L3707" t="s">
        <v>39</v>
      </c>
      <c r="M3707">
        <v>2</v>
      </c>
      <c r="N3707">
        <v>89.79</v>
      </c>
      <c r="O3707">
        <v>147.72999999999999</v>
      </c>
      <c r="P3707">
        <v>0</v>
      </c>
      <c r="Q3707">
        <v>0</v>
      </c>
      <c r="S3707">
        <v>29</v>
      </c>
      <c r="T3707">
        <v>1</v>
      </c>
      <c r="U3707">
        <v>5</v>
      </c>
      <c r="V3707">
        <v>147.72999999999999</v>
      </c>
      <c r="W3707">
        <v>13130003705</v>
      </c>
    </row>
    <row r="3708" spans="1:23" x14ac:dyDescent="0.2">
      <c r="A3708" s="1">
        <v>44782</v>
      </c>
      <c r="B3708" s="2">
        <v>0.5366319444444444</v>
      </c>
      <c r="C3708">
        <v>4706</v>
      </c>
      <c r="D3708">
        <v>13002561</v>
      </c>
      <c r="E3708">
        <v>13</v>
      </c>
      <c r="F3708">
        <v>22589</v>
      </c>
      <c r="G3708" t="s">
        <v>23</v>
      </c>
      <c r="H3708">
        <v>15</v>
      </c>
      <c r="I3708">
        <v>43068</v>
      </c>
      <c r="J3708" t="s">
        <v>41</v>
      </c>
      <c r="K3708" t="s">
        <v>25</v>
      </c>
      <c r="L3708" t="s">
        <v>32</v>
      </c>
      <c r="M3708">
        <v>2</v>
      </c>
      <c r="N3708">
        <v>286.86</v>
      </c>
      <c r="O3708">
        <v>424.08</v>
      </c>
      <c r="P3708">
        <v>21.2</v>
      </c>
      <c r="Q3708">
        <v>21.2</v>
      </c>
      <c r="R3708" t="s">
        <v>30</v>
      </c>
      <c r="S3708">
        <v>29</v>
      </c>
      <c r="T3708">
        <v>1</v>
      </c>
      <c r="U3708">
        <v>6</v>
      </c>
      <c r="V3708">
        <v>402.88</v>
      </c>
      <c r="W3708">
        <v>13130003706</v>
      </c>
    </row>
    <row r="3709" spans="1:23" x14ac:dyDescent="0.2">
      <c r="A3709" s="1">
        <v>44778</v>
      </c>
      <c r="B3709" s="2">
        <v>0.61805555555555558</v>
      </c>
      <c r="C3709">
        <v>4707</v>
      </c>
      <c r="D3709">
        <v>13002561</v>
      </c>
      <c r="E3709">
        <v>13</v>
      </c>
      <c r="F3709">
        <v>22589</v>
      </c>
      <c r="G3709" t="s">
        <v>23</v>
      </c>
      <c r="H3709">
        <v>18</v>
      </c>
      <c r="I3709">
        <v>59129</v>
      </c>
      <c r="J3709" t="s">
        <v>66</v>
      </c>
      <c r="K3709" t="s">
        <v>25</v>
      </c>
      <c r="L3709" t="s">
        <v>26</v>
      </c>
      <c r="M3709">
        <v>2</v>
      </c>
      <c r="N3709">
        <v>421.58</v>
      </c>
      <c r="O3709">
        <v>551.51</v>
      </c>
      <c r="P3709">
        <v>0</v>
      </c>
      <c r="Q3709">
        <v>0</v>
      </c>
      <c r="S3709">
        <v>29</v>
      </c>
      <c r="T3709">
        <v>1</v>
      </c>
      <c r="U3709">
        <v>4</v>
      </c>
      <c r="V3709">
        <v>551.51</v>
      </c>
      <c r="W3709">
        <v>13130003707</v>
      </c>
    </row>
    <row r="3710" spans="1:23" x14ac:dyDescent="0.2">
      <c r="A3710" s="1">
        <v>44790</v>
      </c>
      <c r="B3710" s="2">
        <v>0.75582175925925921</v>
      </c>
      <c r="C3710">
        <v>4708</v>
      </c>
      <c r="D3710">
        <v>13002561</v>
      </c>
      <c r="E3710">
        <v>13</v>
      </c>
      <c r="F3710">
        <v>22589</v>
      </c>
      <c r="G3710" t="s">
        <v>23</v>
      </c>
      <c r="H3710">
        <v>15</v>
      </c>
      <c r="I3710">
        <v>78852</v>
      </c>
      <c r="J3710" t="s">
        <v>128</v>
      </c>
      <c r="K3710" t="s">
        <v>28</v>
      </c>
      <c r="L3710" t="s">
        <v>36</v>
      </c>
      <c r="M3710">
        <v>1</v>
      </c>
      <c r="N3710">
        <v>384.7</v>
      </c>
      <c r="O3710">
        <v>599.92999999999995</v>
      </c>
      <c r="P3710">
        <v>59.99</v>
      </c>
      <c r="Q3710">
        <v>59.99</v>
      </c>
      <c r="R3710" t="s">
        <v>30</v>
      </c>
      <c r="S3710">
        <v>29</v>
      </c>
      <c r="T3710">
        <v>1</v>
      </c>
      <c r="U3710">
        <v>1</v>
      </c>
      <c r="V3710">
        <v>539.94000000000005</v>
      </c>
      <c r="W3710">
        <v>13130003708</v>
      </c>
    </row>
    <row r="3711" spans="1:23" x14ac:dyDescent="0.2">
      <c r="A3711" s="1">
        <v>44796</v>
      </c>
      <c r="B3711" s="2">
        <v>0.71511574074074069</v>
      </c>
      <c r="C3711">
        <v>4709</v>
      </c>
      <c r="D3711">
        <v>13002561</v>
      </c>
      <c r="E3711">
        <v>13</v>
      </c>
      <c r="F3711">
        <v>22589</v>
      </c>
      <c r="G3711" t="s">
        <v>23</v>
      </c>
      <c r="H3711">
        <v>18</v>
      </c>
      <c r="I3711">
        <v>43283</v>
      </c>
      <c r="J3711" t="s">
        <v>128</v>
      </c>
      <c r="K3711" t="s">
        <v>25</v>
      </c>
      <c r="L3711" t="s">
        <v>26</v>
      </c>
      <c r="M3711">
        <v>1</v>
      </c>
      <c r="N3711">
        <v>365.66</v>
      </c>
      <c r="O3711">
        <v>578.67999999999995</v>
      </c>
      <c r="P3711">
        <v>0</v>
      </c>
      <c r="Q3711">
        <v>0</v>
      </c>
      <c r="S3711">
        <v>29</v>
      </c>
      <c r="T3711">
        <v>1</v>
      </c>
      <c r="U3711">
        <v>2</v>
      </c>
      <c r="V3711">
        <v>578.67999999999995</v>
      </c>
      <c r="W3711">
        <v>13130003709</v>
      </c>
    </row>
    <row r="3712" spans="1:23" x14ac:dyDescent="0.2">
      <c r="A3712" s="1">
        <v>44780</v>
      </c>
      <c r="B3712" s="2">
        <v>0.83702546296296299</v>
      </c>
      <c r="C3712">
        <v>4710</v>
      </c>
      <c r="D3712">
        <v>13002561</v>
      </c>
      <c r="E3712">
        <v>13</v>
      </c>
      <c r="F3712">
        <v>22589</v>
      </c>
      <c r="G3712" t="s">
        <v>23</v>
      </c>
      <c r="H3712">
        <v>18</v>
      </c>
      <c r="I3712">
        <v>36104</v>
      </c>
      <c r="J3712" t="s">
        <v>116</v>
      </c>
      <c r="K3712" t="s">
        <v>45</v>
      </c>
      <c r="L3712" t="s">
        <v>47</v>
      </c>
      <c r="M3712">
        <v>3</v>
      </c>
      <c r="N3712">
        <v>5.67</v>
      </c>
      <c r="O3712">
        <v>9.52</v>
      </c>
      <c r="P3712">
        <v>0.48</v>
      </c>
      <c r="Q3712">
        <v>0.48</v>
      </c>
      <c r="R3712" t="s">
        <v>30</v>
      </c>
      <c r="S3712">
        <v>29</v>
      </c>
      <c r="T3712">
        <v>1</v>
      </c>
      <c r="U3712">
        <v>1</v>
      </c>
      <c r="V3712">
        <v>9.0399999999999991</v>
      </c>
      <c r="W3712">
        <v>13130003710</v>
      </c>
    </row>
    <row r="3713" spans="1:23" x14ac:dyDescent="0.2">
      <c r="A3713" s="1">
        <v>44784</v>
      </c>
      <c r="B3713" s="2">
        <v>0.49523148148148149</v>
      </c>
      <c r="C3713">
        <v>4711</v>
      </c>
      <c r="D3713">
        <v>13002561</v>
      </c>
      <c r="E3713">
        <v>13</v>
      </c>
      <c r="F3713">
        <v>22589</v>
      </c>
      <c r="G3713" t="s">
        <v>23</v>
      </c>
      <c r="H3713">
        <v>15</v>
      </c>
      <c r="I3713">
        <v>44706</v>
      </c>
      <c r="J3713" t="s">
        <v>40</v>
      </c>
      <c r="K3713" t="s">
        <v>44</v>
      </c>
      <c r="L3713" t="s">
        <v>51</v>
      </c>
      <c r="M3713">
        <v>2</v>
      </c>
      <c r="N3713">
        <v>497.25</v>
      </c>
      <c r="O3713">
        <v>819.64</v>
      </c>
      <c r="P3713">
        <v>0</v>
      </c>
      <c r="Q3713">
        <v>0</v>
      </c>
      <c r="S3713">
        <v>29</v>
      </c>
      <c r="T3713">
        <v>1</v>
      </c>
      <c r="U3713">
        <v>3</v>
      </c>
      <c r="V3713">
        <v>819.64</v>
      </c>
      <c r="W3713">
        <v>13130003711</v>
      </c>
    </row>
    <row r="3714" spans="1:23" x14ac:dyDescent="0.2">
      <c r="A3714" s="1">
        <v>44786</v>
      </c>
      <c r="B3714" s="2">
        <v>0.35549768518518521</v>
      </c>
      <c r="C3714">
        <v>4712</v>
      </c>
      <c r="D3714">
        <v>13002561</v>
      </c>
      <c r="E3714">
        <v>13</v>
      </c>
      <c r="F3714">
        <v>22589</v>
      </c>
      <c r="G3714" t="s">
        <v>23</v>
      </c>
      <c r="H3714">
        <v>18</v>
      </c>
      <c r="I3714">
        <v>60136</v>
      </c>
      <c r="J3714" t="s">
        <v>77</v>
      </c>
      <c r="K3714" t="s">
        <v>38</v>
      </c>
      <c r="L3714" t="s">
        <v>39</v>
      </c>
      <c r="M3714">
        <v>3</v>
      </c>
      <c r="N3714">
        <v>208.62</v>
      </c>
      <c r="O3714">
        <v>269.51</v>
      </c>
      <c r="P3714">
        <v>13.48</v>
      </c>
      <c r="Q3714">
        <v>13.48</v>
      </c>
      <c r="R3714" t="s">
        <v>30</v>
      </c>
      <c r="S3714">
        <v>29</v>
      </c>
      <c r="T3714">
        <v>1</v>
      </c>
      <c r="U3714">
        <v>1</v>
      </c>
      <c r="V3714">
        <v>256.02999999999997</v>
      </c>
      <c r="W3714">
        <v>13130003712</v>
      </c>
    </row>
    <row r="3715" spans="1:23" x14ac:dyDescent="0.2">
      <c r="A3715" s="1">
        <v>44798</v>
      </c>
      <c r="B3715" s="2">
        <v>0.82414351851851853</v>
      </c>
      <c r="C3715">
        <v>4713</v>
      </c>
      <c r="D3715">
        <v>13002561</v>
      </c>
      <c r="E3715">
        <v>13</v>
      </c>
      <c r="F3715">
        <v>22589</v>
      </c>
      <c r="G3715" t="s">
        <v>23</v>
      </c>
      <c r="H3715">
        <v>18</v>
      </c>
      <c r="I3715">
        <v>64813</v>
      </c>
      <c r="J3715" t="s">
        <v>61</v>
      </c>
      <c r="K3715" t="s">
        <v>28</v>
      </c>
      <c r="L3715" t="s">
        <v>39</v>
      </c>
      <c r="M3715">
        <v>1</v>
      </c>
      <c r="N3715">
        <v>485.3</v>
      </c>
      <c r="O3715">
        <v>782.82</v>
      </c>
      <c r="P3715">
        <v>39.14</v>
      </c>
      <c r="Q3715">
        <v>39.14</v>
      </c>
      <c r="R3715" t="s">
        <v>30</v>
      </c>
      <c r="S3715">
        <v>29</v>
      </c>
      <c r="T3715">
        <v>1</v>
      </c>
      <c r="U3715">
        <v>6</v>
      </c>
      <c r="V3715">
        <v>743.68</v>
      </c>
      <c r="W3715">
        <v>13130003713</v>
      </c>
    </row>
    <row r="3716" spans="1:23" x14ac:dyDescent="0.2">
      <c r="A3716" s="1">
        <v>44785</v>
      </c>
      <c r="B3716" s="2">
        <v>0.44787037037037042</v>
      </c>
      <c r="C3716">
        <v>4714</v>
      </c>
      <c r="D3716">
        <v>13002561</v>
      </c>
      <c r="E3716">
        <v>13</v>
      </c>
      <c r="F3716">
        <v>22589</v>
      </c>
      <c r="G3716" t="s">
        <v>23</v>
      </c>
      <c r="H3716">
        <v>18</v>
      </c>
      <c r="I3716">
        <v>68778</v>
      </c>
      <c r="J3716" t="s">
        <v>59</v>
      </c>
      <c r="K3716" t="s">
        <v>28</v>
      </c>
      <c r="L3716" t="s">
        <v>26</v>
      </c>
      <c r="M3716">
        <v>3</v>
      </c>
      <c r="N3716">
        <v>125.71</v>
      </c>
      <c r="O3716">
        <v>208.28</v>
      </c>
      <c r="P3716">
        <v>10.41</v>
      </c>
      <c r="Q3716">
        <v>10.41</v>
      </c>
      <c r="R3716" t="s">
        <v>30</v>
      </c>
      <c r="S3716">
        <v>29</v>
      </c>
      <c r="T3716">
        <v>1</v>
      </c>
      <c r="U3716">
        <v>4</v>
      </c>
      <c r="V3716">
        <v>197.87</v>
      </c>
      <c r="W3716">
        <v>13130003714</v>
      </c>
    </row>
    <row r="3717" spans="1:23" x14ac:dyDescent="0.2">
      <c r="A3717" s="1">
        <v>44778</v>
      </c>
      <c r="B3717" s="2">
        <v>0.50135416666666666</v>
      </c>
      <c r="C3717">
        <v>4715</v>
      </c>
      <c r="D3717">
        <v>13002561</v>
      </c>
      <c r="E3717">
        <v>13</v>
      </c>
      <c r="F3717">
        <v>22589</v>
      </c>
      <c r="G3717" t="s">
        <v>23</v>
      </c>
      <c r="H3717">
        <v>18</v>
      </c>
      <c r="I3717">
        <v>70049</v>
      </c>
      <c r="J3717" t="s">
        <v>70</v>
      </c>
      <c r="K3717" t="s">
        <v>28</v>
      </c>
      <c r="L3717" t="s">
        <v>29</v>
      </c>
      <c r="M3717">
        <v>1</v>
      </c>
      <c r="N3717">
        <v>310.18</v>
      </c>
      <c r="O3717">
        <v>482.78</v>
      </c>
      <c r="P3717">
        <v>48.28</v>
      </c>
      <c r="Q3717">
        <v>48.28</v>
      </c>
      <c r="R3717" t="s">
        <v>30</v>
      </c>
      <c r="S3717">
        <v>29</v>
      </c>
      <c r="T3717">
        <v>1</v>
      </c>
      <c r="U3717">
        <v>3</v>
      </c>
      <c r="V3717">
        <v>434.5</v>
      </c>
      <c r="W3717">
        <v>13130003715</v>
      </c>
    </row>
    <row r="3718" spans="1:23" x14ac:dyDescent="0.2">
      <c r="A3718" s="1">
        <v>44798</v>
      </c>
      <c r="B3718" s="2">
        <v>0.3753009259259259</v>
      </c>
      <c r="C3718">
        <v>4716</v>
      </c>
      <c r="D3718">
        <v>13002561</v>
      </c>
      <c r="E3718">
        <v>13</v>
      </c>
      <c r="F3718">
        <v>22589</v>
      </c>
      <c r="G3718" t="s">
        <v>23</v>
      </c>
      <c r="H3718">
        <v>18</v>
      </c>
      <c r="I3718">
        <v>31007</v>
      </c>
      <c r="J3718" t="s">
        <v>115</v>
      </c>
      <c r="K3718" t="s">
        <v>60</v>
      </c>
      <c r="L3718" t="s">
        <v>36</v>
      </c>
      <c r="M3718">
        <v>3</v>
      </c>
      <c r="N3718">
        <v>389.58</v>
      </c>
      <c r="O3718">
        <v>617.39</v>
      </c>
      <c r="P3718">
        <v>61.74</v>
      </c>
      <c r="Q3718">
        <v>61.74</v>
      </c>
      <c r="R3718" t="s">
        <v>30</v>
      </c>
      <c r="S3718">
        <v>29</v>
      </c>
      <c r="T3718">
        <v>1</v>
      </c>
      <c r="U3718">
        <v>2</v>
      </c>
      <c r="V3718">
        <v>555.65</v>
      </c>
      <c r="W3718">
        <v>13130003716</v>
      </c>
    </row>
    <row r="3719" spans="1:23" x14ac:dyDescent="0.2">
      <c r="A3719" s="1">
        <v>44780</v>
      </c>
      <c r="B3719" s="2">
        <v>0.3662037037037037</v>
      </c>
      <c r="C3719">
        <v>4717</v>
      </c>
      <c r="D3719">
        <v>13002561</v>
      </c>
      <c r="E3719">
        <v>13</v>
      </c>
      <c r="F3719">
        <v>22589</v>
      </c>
      <c r="G3719" t="s">
        <v>23</v>
      </c>
      <c r="H3719">
        <v>18</v>
      </c>
      <c r="I3719">
        <v>92779</v>
      </c>
      <c r="J3719" t="s">
        <v>100</v>
      </c>
      <c r="K3719" t="s">
        <v>45</v>
      </c>
      <c r="L3719" t="s">
        <v>29</v>
      </c>
      <c r="M3719">
        <v>3</v>
      </c>
      <c r="N3719">
        <v>136.72</v>
      </c>
      <c r="O3719">
        <v>221.03</v>
      </c>
      <c r="P3719">
        <v>22.1</v>
      </c>
      <c r="Q3719">
        <v>22.1</v>
      </c>
      <c r="R3719" t="s">
        <v>30</v>
      </c>
      <c r="S3719">
        <v>29</v>
      </c>
      <c r="T3719">
        <v>1</v>
      </c>
      <c r="U3719">
        <v>2</v>
      </c>
      <c r="V3719">
        <v>198.93</v>
      </c>
      <c r="W3719">
        <v>13130003717</v>
      </c>
    </row>
    <row r="3720" spans="1:23" x14ac:dyDescent="0.2">
      <c r="A3720" s="1">
        <v>44792</v>
      </c>
      <c r="B3720" s="2">
        <v>0.68473379629629627</v>
      </c>
      <c r="C3720">
        <v>4718</v>
      </c>
      <c r="D3720">
        <v>13002561</v>
      </c>
      <c r="E3720">
        <v>13</v>
      </c>
      <c r="F3720">
        <v>22589</v>
      </c>
      <c r="G3720" t="s">
        <v>23</v>
      </c>
      <c r="H3720">
        <v>15</v>
      </c>
      <c r="I3720">
        <v>38983</v>
      </c>
      <c r="J3720" t="s">
        <v>24</v>
      </c>
      <c r="K3720" t="s">
        <v>60</v>
      </c>
      <c r="L3720" t="s">
        <v>51</v>
      </c>
      <c r="M3720">
        <v>3</v>
      </c>
      <c r="N3720">
        <v>589.79</v>
      </c>
      <c r="O3720">
        <v>986.7</v>
      </c>
      <c r="P3720">
        <v>49.34</v>
      </c>
      <c r="Q3720">
        <v>49.34</v>
      </c>
      <c r="R3720" t="s">
        <v>30</v>
      </c>
      <c r="S3720">
        <v>29</v>
      </c>
      <c r="T3720">
        <v>1</v>
      </c>
      <c r="U3720">
        <v>5</v>
      </c>
      <c r="V3720">
        <v>937.36</v>
      </c>
      <c r="W3720">
        <v>13130003718</v>
      </c>
    </row>
    <row r="3721" spans="1:23" x14ac:dyDescent="0.2">
      <c r="A3721" s="1">
        <v>44791</v>
      </c>
      <c r="B3721" s="2">
        <v>0.85018518518518515</v>
      </c>
      <c r="C3721">
        <v>4719</v>
      </c>
      <c r="D3721">
        <v>13002561</v>
      </c>
      <c r="E3721">
        <v>13</v>
      </c>
      <c r="F3721">
        <v>22589</v>
      </c>
      <c r="G3721" t="s">
        <v>23</v>
      </c>
      <c r="H3721">
        <v>18</v>
      </c>
      <c r="I3721">
        <v>20481</v>
      </c>
      <c r="J3721" t="s">
        <v>116</v>
      </c>
      <c r="K3721" t="s">
        <v>45</v>
      </c>
      <c r="L3721" t="s">
        <v>29</v>
      </c>
      <c r="M3721">
        <v>1</v>
      </c>
      <c r="N3721">
        <v>451.45</v>
      </c>
      <c r="O3721">
        <v>567.08000000000004</v>
      </c>
      <c r="P3721">
        <v>0</v>
      </c>
      <c r="Q3721">
        <v>0</v>
      </c>
      <c r="S3721">
        <v>29</v>
      </c>
      <c r="T3721">
        <v>1</v>
      </c>
      <c r="U3721">
        <v>1</v>
      </c>
      <c r="V3721">
        <v>567.08000000000004</v>
      </c>
      <c r="W3721">
        <v>13130003719</v>
      </c>
    </row>
    <row r="3722" spans="1:23" x14ac:dyDescent="0.2">
      <c r="A3722" s="1">
        <v>44781</v>
      </c>
      <c r="B3722" s="2">
        <v>0.82342592592592589</v>
      </c>
      <c r="C3722">
        <v>4720</v>
      </c>
      <c r="D3722">
        <v>13002561</v>
      </c>
      <c r="E3722">
        <v>13</v>
      </c>
      <c r="F3722">
        <v>22589</v>
      </c>
      <c r="G3722" t="s">
        <v>23</v>
      </c>
      <c r="H3722">
        <v>15</v>
      </c>
      <c r="I3722">
        <v>13715</v>
      </c>
      <c r="J3722" t="s">
        <v>125</v>
      </c>
      <c r="K3722" t="s">
        <v>28</v>
      </c>
      <c r="L3722" t="s">
        <v>39</v>
      </c>
      <c r="M3722">
        <v>1</v>
      </c>
      <c r="N3722">
        <v>188.49</v>
      </c>
      <c r="O3722">
        <v>266.54000000000002</v>
      </c>
      <c r="P3722">
        <v>0</v>
      </c>
      <c r="Q3722">
        <v>0</v>
      </c>
      <c r="S3722">
        <v>29</v>
      </c>
      <c r="T3722">
        <v>1</v>
      </c>
      <c r="U3722">
        <v>2</v>
      </c>
      <c r="V3722">
        <v>266.54000000000002</v>
      </c>
      <c r="W3722">
        <v>13130003720</v>
      </c>
    </row>
    <row r="3723" spans="1:23" x14ac:dyDescent="0.2">
      <c r="A3723" s="1">
        <v>44792</v>
      </c>
      <c r="B3723" s="2">
        <v>0.68420138888888893</v>
      </c>
      <c r="C3723">
        <v>4721</v>
      </c>
      <c r="D3723">
        <v>13002561</v>
      </c>
      <c r="E3723">
        <v>13</v>
      </c>
      <c r="F3723">
        <v>22589</v>
      </c>
      <c r="G3723" t="s">
        <v>23</v>
      </c>
      <c r="H3723">
        <v>15</v>
      </c>
      <c r="I3723">
        <v>91818</v>
      </c>
      <c r="J3723" t="s">
        <v>104</v>
      </c>
      <c r="K3723" t="s">
        <v>25</v>
      </c>
      <c r="L3723" t="s">
        <v>36</v>
      </c>
      <c r="M3723">
        <v>2</v>
      </c>
      <c r="N3723">
        <v>211.64</v>
      </c>
      <c r="O3723">
        <v>336.14</v>
      </c>
      <c r="P3723">
        <v>0</v>
      </c>
      <c r="Q3723">
        <v>0</v>
      </c>
      <c r="S3723">
        <v>29</v>
      </c>
      <c r="T3723">
        <v>1</v>
      </c>
      <c r="U3723">
        <v>1</v>
      </c>
      <c r="V3723">
        <v>336.14</v>
      </c>
      <c r="W3723">
        <v>13130003721</v>
      </c>
    </row>
    <row r="3724" spans="1:23" x14ac:dyDescent="0.2">
      <c r="A3724" s="1">
        <v>44787</v>
      </c>
      <c r="B3724" s="2">
        <v>0.94488425925925923</v>
      </c>
      <c r="C3724">
        <v>4722</v>
      </c>
      <c r="D3724">
        <v>13002561</v>
      </c>
      <c r="E3724">
        <v>13</v>
      </c>
      <c r="F3724">
        <v>22589</v>
      </c>
      <c r="G3724" t="s">
        <v>23</v>
      </c>
      <c r="H3724">
        <v>15</v>
      </c>
      <c r="I3724">
        <v>37442</v>
      </c>
      <c r="J3724" t="s">
        <v>87</v>
      </c>
      <c r="K3724" t="s">
        <v>38</v>
      </c>
      <c r="L3724" t="s">
        <v>36</v>
      </c>
      <c r="M3724">
        <v>1</v>
      </c>
      <c r="N3724">
        <v>544.4</v>
      </c>
      <c r="O3724">
        <v>887.37</v>
      </c>
      <c r="P3724">
        <v>0</v>
      </c>
      <c r="Q3724">
        <v>0</v>
      </c>
      <c r="S3724">
        <v>29</v>
      </c>
      <c r="T3724">
        <v>1</v>
      </c>
      <c r="U3724">
        <v>1</v>
      </c>
      <c r="V3724">
        <v>887.37</v>
      </c>
      <c r="W3724">
        <v>13130003722</v>
      </c>
    </row>
    <row r="3725" spans="1:23" x14ac:dyDescent="0.2">
      <c r="A3725" s="1">
        <v>44775</v>
      </c>
      <c r="B3725" s="2">
        <v>0.41164351851851849</v>
      </c>
      <c r="C3725">
        <v>4723</v>
      </c>
      <c r="D3725">
        <v>13002561</v>
      </c>
      <c r="E3725">
        <v>13</v>
      </c>
      <c r="F3725">
        <v>22589</v>
      </c>
      <c r="G3725" t="s">
        <v>23</v>
      </c>
      <c r="H3725">
        <v>18</v>
      </c>
      <c r="I3725">
        <v>51844</v>
      </c>
      <c r="J3725" t="s">
        <v>56</v>
      </c>
      <c r="K3725" t="s">
        <v>38</v>
      </c>
      <c r="L3725" t="s">
        <v>34</v>
      </c>
      <c r="M3725">
        <v>2</v>
      </c>
      <c r="N3725">
        <v>216.35</v>
      </c>
      <c r="O3725">
        <v>347.95</v>
      </c>
      <c r="P3725">
        <v>34.799999999999997</v>
      </c>
      <c r="Q3725">
        <v>34.799999999999997</v>
      </c>
      <c r="R3725" t="s">
        <v>30</v>
      </c>
      <c r="S3725">
        <v>29</v>
      </c>
      <c r="T3725">
        <v>1</v>
      </c>
      <c r="U3725">
        <v>2</v>
      </c>
      <c r="V3725">
        <v>313.14999999999998</v>
      </c>
      <c r="W3725">
        <v>13130003723</v>
      </c>
    </row>
    <row r="3726" spans="1:23" x14ac:dyDescent="0.2">
      <c r="A3726" s="1">
        <v>44792</v>
      </c>
      <c r="B3726" s="2">
        <v>0.89398148148148149</v>
      </c>
      <c r="C3726">
        <v>4724</v>
      </c>
      <c r="D3726">
        <v>13002561</v>
      </c>
      <c r="E3726">
        <v>13</v>
      </c>
      <c r="F3726">
        <v>22589</v>
      </c>
      <c r="G3726" t="s">
        <v>23</v>
      </c>
      <c r="H3726">
        <v>15</v>
      </c>
      <c r="I3726">
        <v>74339</v>
      </c>
      <c r="J3726" t="s">
        <v>69</v>
      </c>
      <c r="K3726" t="s">
        <v>60</v>
      </c>
      <c r="L3726" t="s">
        <v>32</v>
      </c>
      <c r="M3726">
        <v>2</v>
      </c>
      <c r="N3726">
        <v>125.27</v>
      </c>
      <c r="O3726">
        <v>191.77</v>
      </c>
      <c r="P3726">
        <v>19.18</v>
      </c>
      <c r="Q3726">
        <v>19.18</v>
      </c>
      <c r="R3726" t="s">
        <v>30</v>
      </c>
      <c r="S3726">
        <v>29</v>
      </c>
      <c r="T3726">
        <v>1</v>
      </c>
      <c r="U3726">
        <v>3</v>
      </c>
      <c r="V3726">
        <v>172.59</v>
      </c>
      <c r="W3726">
        <v>13130003724</v>
      </c>
    </row>
    <row r="3727" spans="1:23" x14ac:dyDescent="0.2">
      <c r="A3727" s="1">
        <v>44798</v>
      </c>
      <c r="B3727" s="2">
        <v>0.64423611111111112</v>
      </c>
      <c r="C3727">
        <v>4725</v>
      </c>
      <c r="D3727">
        <v>13002561</v>
      </c>
      <c r="E3727">
        <v>13</v>
      </c>
      <c r="F3727">
        <v>22589</v>
      </c>
      <c r="G3727" t="s">
        <v>23</v>
      </c>
      <c r="H3727">
        <v>18</v>
      </c>
      <c r="I3727">
        <v>17093</v>
      </c>
      <c r="J3727" t="s">
        <v>53</v>
      </c>
      <c r="K3727" t="s">
        <v>25</v>
      </c>
      <c r="L3727" t="s">
        <v>36</v>
      </c>
      <c r="M3727">
        <v>2</v>
      </c>
      <c r="N3727">
        <v>480.97</v>
      </c>
      <c r="O3727">
        <v>680.64</v>
      </c>
      <c r="P3727">
        <v>68.06</v>
      </c>
      <c r="Q3727">
        <v>68.06</v>
      </c>
      <c r="R3727" t="s">
        <v>30</v>
      </c>
      <c r="S3727">
        <v>29</v>
      </c>
      <c r="T3727">
        <v>1</v>
      </c>
      <c r="U3727">
        <v>6</v>
      </c>
      <c r="V3727">
        <v>612.58000000000004</v>
      </c>
      <c r="W3727">
        <v>13130003725</v>
      </c>
    </row>
    <row r="3728" spans="1:23" x14ac:dyDescent="0.2">
      <c r="A3728" s="1">
        <v>44794</v>
      </c>
      <c r="B3728" s="2">
        <v>0.78537037037037039</v>
      </c>
      <c r="C3728">
        <v>4726</v>
      </c>
      <c r="D3728">
        <v>13002561</v>
      </c>
      <c r="E3728">
        <v>13</v>
      </c>
      <c r="F3728">
        <v>22589</v>
      </c>
      <c r="G3728" t="s">
        <v>23</v>
      </c>
      <c r="H3728">
        <v>18</v>
      </c>
      <c r="I3728">
        <v>45662</v>
      </c>
      <c r="J3728" t="s">
        <v>70</v>
      </c>
      <c r="K3728" t="s">
        <v>38</v>
      </c>
      <c r="L3728" t="s">
        <v>34</v>
      </c>
      <c r="M3728">
        <v>3</v>
      </c>
      <c r="N3728">
        <v>300.42</v>
      </c>
      <c r="O3728">
        <v>454.89</v>
      </c>
      <c r="P3728">
        <v>22.74</v>
      </c>
      <c r="Q3728">
        <v>22.74</v>
      </c>
      <c r="R3728" t="s">
        <v>30</v>
      </c>
      <c r="S3728">
        <v>29</v>
      </c>
      <c r="T3728">
        <v>1</v>
      </c>
      <c r="U3728">
        <v>1</v>
      </c>
      <c r="V3728">
        <v>432.15</v>
      </c>
      <c r="W3728">
        <v>13130003726</v>
      </c>
    </row>
    <row r="3729" spans="1:23" x14ac:dyDescent="0.2">
      <c r="A3729" s="1">
        <v>44790</v>
      </c>
      <c r="B3729" s="2">
        <v>0.92037037037037039</v>
      </c>
      <c r="C3729">
        <v>4727</v>
      </c>
      <c r="D3729">
        <v>13002561</v>
      </c>
      <c r="E3729">
        <v>13</v>
      </c>
      <c r="F3729">
        <v>22589</v>
      </c>
      <c r="G3729" t="s">
        <v>23</v>
      </c>
      <c r="H3729">
        <v>15</v>
      </c>
      <c r="I3729">
        <v>74460</v>
      </c>
      <c r="J3729" t="s">
        <v>50</v>
      </c>
      <c r="K3729" t="s">
        <v>38</v>
      </c>
      <c r="L3729" t="s">
        <v>36</v>
      </c>
      <c r="M3729">
        <v>1</v>
      </c>
      <c r="N3729">
        <v>556.49</v>
      </c>
      <c r="O3729">
        <v>792.14</v>
      </c>
      <c r="P3729">
        <v>39.61</v>
      </c>
      <c r="Q3729">
        <v>39.61</v>
      </c>
      <c r="R3729" t="s">
        <v>30</v>
      </c>
      <c r="S3729">
        <v>29</v>
      </c>
      <c r="T3729">
        <v>1</v>
      </c>
      <c r="U3729">
        <v>4</v>
      </c>
      <c r="V3729">
        <v>752.53</v>
      </c>
      <c r="W3729">
        <v>13130003727</v>
      </c>
    </row>
    <row r="3730" spans="1:23" x14ac:dyDescent="0.2">
      <c r="A3730" s="1">
        <v>44789</v>
      </c>
      <c r="B3730" s="2">
        <v>0.64979166666666666</v>
      </c>
      <c r="C3730">
        <v>4728</v>
      </c>
      <c r="D3730">
        <v>13002561</v>
      </c>
      <c r="E3730">
        <v>13</v>
      </c>
      <c r="F3730">
        <v>22589</v>
      </c>
      <c r="G3730" t="s">
        <v>23</v>
      </c>
      <c r="H3730">
        <v>15</v>
      </c>
      <c r="I3730">
        <v>85243</v>
      </c>
      <c r="J3730" t="s">
        <v>122</v>
      </c>
      <c r="K3730" t="s">
        <v>25</v>
      </c>
      <c r="L3730" t="s">
        <v>32</v>
      </c>
      <c r="M3730">
        <v>3</v>
      </c>
      <c r="N3730">
        <v>77.48</v>
      </c>
      <c r="O3730">
        <v>108.98</v>
      </c>
      <c r="P3730">
        <v>0</v>
      </c>
      <c r="Q3730">
        <v>0</v>
      </c>
      <c r="S3730">
        <v>29</v>
      </c>
      <c r="T3730">
        <v>1</v>
      </c>
      <c r="U3730">
        <v>2</v>
      </c>
      <c r="V3730">
        <v>108.98</v>
      </c>
      <c r="W3730">
        <v>13130003728</v>
      </c>
    </row>
    <row r="3731" spans="1:23" x14ac:dyDescent="0.2">
      <c r="A3731" s="1">
        <v>44790</v>
      </c>
      <c r="B3731" s="2">
        <v>0.49391203703703701</v>
      </c>
      <c r="C3731">
        <v>4729</v>
      </c>
      <c r="D3731">
        <v>13002561</v>
      </c>
      <c r="E3731">
        <v>13</v>
      </c>
      <c r="F3731">
        <v>22589</v>
      </c>
      <c r="G3731" t="s">
        <v>23</v>
      </c>
      <c r="H3731">
        <v>18</v>
      </c>
      <c r="I3731">
        <v>24412</v>
      </c>
      <c r="J3731" t="s">
        <v>41</v>
      </c>
      <c r="K3731" t="s">
        <v>45</v>
      </c>
      <c r="L3731" t="s">
        <v>26</v>
      </c>
      <c r="M3731">
        <v>2</v>
      </c>
      <c r="N3731">
        <v>168.64</v>
      </c>
      <c r="O3731">
        <v>230.7</v>
      </c>
      <c r="P3731">
        <v>23.07</v>
      </c>
      <c r="Q3731">
        <v>23.07</v>
      </c>
      <c r="R3731" t="s">
        <v>30</v>
      </c>
      <c r="S3731">
        <v>29</v>
      </c>
      <c r="T3731">
        <v>1</v>
      </c>
      <c r="U3731">
        <v>2</v>
      </c>
      <c r="V3731">
        <v>207.63</v>
      </c>
      <c r="W3731">
        <v>13130003729</v>
      </c>
    </row>
    <row r="3732" spans="1:23" x14ac:dyDescent="0.2">
      <c r="A3732" s="1">
        <v>44791</v>
      </c>
      <c r="B3732" s="2">
        <v>0.8</v>
      </c>
      <c r="C3732">
        <v>4730</v>
      </c>
      <c r="D3732">
        <v>13002561</v>
      </c>
      <c r="E3732">
        <v>13</v>
      </c>
      <c r="F3732">
        <v>22589</v>
      </c>
      <c r="G3732" t="s">
        <v>23</v>
      </c>
      <c r="H3732">
        <v>15</v>
      </c>
      <c r="I3732">
        <v>78839</v>
      </c>
      <c r="J3732" t="s">
        <v>58</v>
      </c>
      <c r="K3732" t="s">
        <v>25</v>
      </c>
      <c r="L3732" t="s">
        <v>29</v>
      </c>
      <c r="M3732">
        <v>1</v>
      </c>
      <c r="N3732">
        <v>354.58</v>
      </c>
      <c r="O3732">
        <v>490.45</v>
      </c>
      <c r="P3732">
        <v>24.52</v>
      </c>
      <c r="Q3732">
        <v>24.52</v>
      </c>
      <c r="R3732" t="s">
        <v>30</v>
      </c>
      <c r="S3732">
        <v>29</v>
      </c>
      <c r="T3732">
        <v>1</v>
      </c>
      <c r="U3732">
        <v>5</v>
      </c>
      <c r="V3732">
        <v>465.93</v>
      </c>
      <c r="W3732">
        <v>13130003730</v>
      </c>
    </row>
    <row r="3733" spans="1:23" x14ac:dyDescent="0.2">
      <c r="A3733" s="1">
        <v>44793</v>
      </c>
      <c r="B3733" s="2">
        <v>0.74839120370370371</v>
      </c>
      <c r="C3733">
        <v>4731</v>
      </c>
      <c r="D3733">
        <v>13002561</v>
      </c>
      <c r="E3733">
        <v>13</v>
      </c>
      <c r="F3733">
        <v>22589</v>
      </c>
      <c r="G3733" t="s">
        <v>23</v>
      </c>
      <c r="H3733">
        <v>15</v>
      </c>
      <c r="I3733">
        <v>62418</v>
      </c>
      <c r="J3733" t="s">
        <v>91</v>
      </c>
      <c r="K3733" t="s">
        <v>28</v>
      </c>
      <c r="L3733" t="s">
        <v>34</v>
      </c>
      <c r="M3733">
        <v>2</v>
      </c>
      <c r="N3733">
        <v>34.72</v>
      </c>
      <c r="O3733">
        <v>49.19</v>
      </c>
      <c r="P3733">
        <v>2.46</v>
      </c>
      <c r="Q3733">
        <v>2.46</v>
      </c>
      <c r="R3733" t="s">
        <v>30</v>
      </c>
      <c r="S3733">
        <v>29</v>
      </c>
      <c r="T3733">
        <v>1</v>
      </c>
      <c r="U3733">
        <v>3</v>
      </c>
      <c r="V3733">
        <v>46.73</v>
      </c>
      <c r="W3733">
        <v>13130003731</v>
      </c>
    </row>
    <row r="3734" spans="1:23" x14ac:dyDescent="0.2">
      <c r="A3734" s="1">
        <v>44800</v>
      </c>
      <c r="B3734" s="2">
        <v>0.94543981481481476</v>
      </c>
      <c r="C3734">
        <v>4732</v>
      </c>
      <c r="D3734">
        <v>13002561</v>
      </c>
      <c r="E3734">
        <v>13</v>
      </c>
      <c r="F3734">
        <v>22589</v>
      </c>
      <c r="G3734" t="s">
        <v>23</v>
      </c>
      <c r="H3734">
        <v>15</v>
      </c>
      <c r="I3734">
        <v>10212</v>
      </c>
      <c r="J3734" t="s">
        <v>114</v>
      </c>
      <c r="K3734" t="s">
        <v>44</v>
      </c>
      <c r="L3734" t="s">
        <v>26</v>
      </c>
      <c r="M3734">
        <v>1</v>
      </c>
      <c r="N3734">
        <v>178.82</v>
      </c>
      <c r="O3734">
        <v>260.2</v>
      </c>
      <c r="P3734">
        <v>13.01</v>
      </c>
      <c r="Q3734">
        <v>13.01</v>
      </c>
      <c r="R3734" t="s">
        <v>30</v>
      </c>
      <c r="S3734">
        <v>29</v>
      </c>
      <c r="T3734">
        <v>1</v>
      </c>
      <c r="U3734">
        <v>2</v>
      </c>
      <c r="V3734">
        <v>247.19</v>
      </c>
      <c r="W3734">
        <v>13130003732</v>
      </c>
    </row>
    <row r="3735" spans="1:23" x14ac:dyDescent="0.2">
      <c r="A3735" s="1">
        <v>44804</v>
      </c>
      <c r="B3735" s="2">
        <v>0.5753125</v>
      </c>
      <c r="C3735">
        <v>4733</v>
      </c>
      <c r="D3735">
        <v>13002561</v>
      </c>
      <c r="E3735">
        <v>13</v>
      </c>
      <c r="F3735">
        <v>22589</v>
      </c>
      <c r="G3735" t="s">
        <v>23</v>
      </c>
      <c r="H3735">
        <v>15</v>
      </c>
      <c r="I3735">
        <v>58797</v>
      </c>
      <c r="J3735" t="s">
        <v>93</v>
      </c>
      <c r="K3735" t="s">
        <v>60</v>
      </c>
      <c r="L3735" t="s">
        <v>36</v>
      </c>
      <c r="M3735">
        <v>1</v>
      </c>
      <c r="N3735">
        <v>376.2</v>
      </c>
      <c r="O3735">
        <v>551.12</v>
      </c>
      <c r="P3735">
        <v>0</v>
      </c>
      <c r="Q3735">
        <v>0</v>
      </c>
      <c r="S3735">
        <v>29</v>
      </c>
      <c r="T3735">
        <v>1</v>
      </c>
      <c r="U3735">
        <v>1</v>
      </c>
      <c r="V3735">
        <v>551.12</v>
      </c>
      <c r="W3735">
        <v>13130003733</v>
      </c>
    </row>
    <row r="3736" spans="1:23" x14ac:dyDescent="0.2">
      <c r="A3736" s="1">
        <v>44782</v>
      </c>
      <c r="B3736" s="2">
        <v>0.67761574074074071</v>
      </c>
      <c r="C3736">
        <v>4734</v>
      </c>
      <c r="D3736">
        <v>13002561</v>
      </c>
      <c r="E3736">
        <v>13</v>
      </c>
      <c r="F3736">
        <v>22589</v>
      </c>
      <c r="G3736" t="s">
        <v>23</v>
      </c>
      <c r="H3736">
        <v>15</v>
      </c>
      <c r="I3736">
        <v>53164</v>
      </c>
      <c r="J3736" t="s">
        <v>68</v>
      </c>
      <c r="K3736" t="s">
        <v>44</v>
      </c>
      <c r="L3736" t="s">
        <v>36</v>
      </c>
      <c r="M3736">
        <v>2</v>
      </c>
      <c r="N3736">
        <v>218.01</v>
      </c>
      <c r="O3736">
        <v>299.27</v>
      </c>
      <c r="P3736">
        <v>0</v>
      </c>
      <c r="Q3736">
        <v>0</v>
      </c>
      <c r="S3736">
        <v>29</v>
      </c>
      <c r="T3736">
        <v>1</v>
      </c>
      <c r="U3736">
        <v>3</v>
      </c>
      <c r="V3736">
        <v>299.27</v>
      </c>
      <c r="W3736">
        <v>13130003734</v>
      </c>
    </row>
    <row r="3737" spans="1:23" x14ac:dyDescent="0.2">
      <c r="A3737" s="1">
        <v>44800</v>
      </c>
      <c r="B3737" s="2">
        <v>0.71542824074074074</v>
      </c>
      <c r="C3737">
        <v>4735</v>
      </c>
      <c r="D3737">
        <v>13002561</v>
      </c>
      <c r="E3737">
        <v>13</v>
      </c>
      <c r="F3737">
        <v>22589</v>
      </c>
      <c r="G3737" t="s">
        <v>23</v>
      </c>
      <c r="H3737">
        <v>15</v>
      </c>
      <c r="I3737">
        <v>59647</v>
      </c>
      <c r="J3737" t="s">
        <v>59</v>
      </c>
      <c r="K3737" t="s">
        <v>38</v>
      </c>
      <c r="L3737" t="s">
        <v>32</v>
      </c>
      <c r="M3737">
        <v>1</v>
      </c>
      <c r="N3737">
        <v>597.57000000000005</v>
      </c>
      <c r="O3737">
        <v>869.46</v>
      </c>
      <c r="P3737">
        <v>0</v>
      </c>
      <c r="Q3737">
        <v>0</v>
      </c>
      <c r="S3737">
        <v>29</v>
      </c>
      <c r="T3737">
        <v>1</v>
      </c>
      <c r="U3737">
        <v>2</v>
      </c>
      <c r="V3737">
        <v>869.46</v>
      </c>
      <c r="W3737">
        <v>13130003735</v>
      </c>
    </row>
    <row r="3738" spans="1:23" x14ac:dyDescent="0.2">
      <c r="A3738" s="1">
        <v>44777</v>
      </c>
      <c r="B3738" s="2">
        <v>0.4868865740740741</v>
      </c>
      <c r="C3738">
        <v>4736</v>
      </c>
      <c r="D3738">
        <v>13002561</v>
      </c>
      <c r="E3738">
        <v>13</v>
      </c>
      <c r="F3738">
        <v>22589</v>
      </c>
      <c r="G3738" t="s">
        <v>23</v>
      </c>
      <c r="H3738">
        <v>15</v>
      </c>
      <c r="I3738">
        <v>60410</v>
      </c>
      <c r="J3738" t="s">
        <v>46</v>
      </c>
      <c r="K3738" t="s">
        <v>25</v>
      </c>
      <c r="L3738" t="s">
        <v>29</v>
      </c>
      <c r="M3738">
        <v>1</v>
      </c>
      <c r="N3738">
        <v>82.08</v>
      </c>
      <c r="O3738">
        <v>126.74</v>
      </c>
      <c r="P3738">
        <v>6.34</v>
      </c>
      <c r="Q3738">
        <v>6.34</v>
      </c>
      <c r="R3738" t="s">
        <v>30</v>
      </c>
      <c r="S3738">
        <v>29</v>
      </c>
      <c r="T3738">
        <v>1</v>
      </c>
      <c r="U3738">
        <v>2</v>
      </c>
      <c r="V3738">
        <v>120.4</v>
      </c>
      <c r="W3738">
        <v>13130003736</v>
      </c>
    </row>
    <row r="3739" spans="1:23" x14ac:dyDescent="0.2">
      <c r="A3739" s="1">
        <v>44787</v>
      </c>
      <c r="B3739" s="2">
        <v>0.64888888888888885</v>
      </c>
      <c r="C3739">
        <v>4737</v>
      </c>
      <c r="D3739">
        <v>13002561</v>
      </c>
      <c r="E3739">
        <v>13</v>
      </c>
      <c r="F3739">
        <v>22589</v>
      </c>
      <c r="G3739" t="s">
        <v>23</v>
      </c>
      <c r="H3739">
        <v>15</v>
      </c>
      <c r="I3739">
        <v>58876</v>
      </c>
      <c r="J3739" t="s">
        <v>43</v>
      </c>
      <c r="K3739" t="s">
        <v>45</v>
      </c>
      <c r="L3739" t="s">
        <v>51</v>
      </c>
      <c r="M3739">
        <v>1</v>
      </c>
      <c r="N3739">
        <v>258.7</v>
      </c>
      <c r="O3739">
        <v>361.08</v>
      </c>
      <c r="P3739">
        <v>36.11</v>
      </c>
      <c r="Q3739">
        <v>36.11</v>
      </c>
      <c r="R3739" t="s">
        <v>30</v>
      </c>
      <c r="S3739">
        <v>29</v>
      </c>
      <c r="T3739">
        <v>1</v>
      </c>
      <c r="U3739">
        <v>4</v>
      </c>
      <c r="V3739">
        <v>324.97000000000003</v>
      </c>
      <c r="W3739">
        <v>13130003737</v>
      </c>
    </row>
    <row r="3740" spans="1:23" x14ac:dyDescent="0.2">
      <c r="A3740" s="1">
        <v>44785</v>
      </c>
      <c r="B3740" s="2">
        <v>0.812962962962963</v>
      </c>
      <c r="C3740">
        <v>4738</v>
      </c>
      <c r="D3740">
        <v>13002561</v>
      </c>
      <c r="E3740">
        <v>13</v>
      </c>
      <c r="F3740">
        <v>22589</v>
      </c>
      <c r="G3740" t="s">
        <v>23</v>
      </c>
      <c r="H3740">
        <v>15</v>
      </c>
      <c r="I3740">
        <v>62526</v>
      </c>
      <c r="J3740" t="s">
        <v>105</v>
      </c>
      <c r="K3740" t="s">
        <v>38</v>
      </c>
      <c r="L3740" t="s">
        <v>47</v>
      </c>
      <c r="M3740">
        <v>3</v>
      </c>
      <c r="N3740">
        <v>84.38</v>
      </c>
      <c r="O3740">
        <v>123.22</v>
      </c>
      <c r="P3740">
        <v>12.32</v>
      </c>
      <c r="Q3740">
        <v>12.32</v>
      </c>
      <c r="R3740" t="s">
        <v>30</v>
      </c>
      <c r="S3740">
        <v>29</v>
      </c>
      <c r="T3740">
        <v>1</v>
      </c>
      <c r="U3740">
        <v>6</v>
      </c>
      <c r="V3740">
        <v>110.9</v>
      </c>
      <c r="W3740">
        <v>13130003738</v>
      </c>
    </row>
    <row r="3741" spans="1:23" x14ac:dyDescent="0.2">
      <c r="A3741" s="1">
        <v>44791</v>
      </c>
      <c r="B3741" s="2">
        <v>0.94959490740740737</v>
      </c>
      <c r="C3741">
        <v>4739</v>
      </c>
      <c r="D3741">
        <v>13002561</v>
      </c>
      <c r="E3741">
        <v>13</v>
      </c>
      <c r="F3741">
        <v>22589</v>
      </c>
      <c r="G3741" t="s">
        <v>23</v>
      </c>
      <c r="H3741">
        <v>18</v>
      </c>
      <c r="I3741">
        <v>91949</v>
      </c>
      <c r="J3741" t="s">
        <v>115</v>
      </c>
      <c r="K3741" t="s">
        <v>45</v>
      </c>
      <c r="L3741" t="s">
        <v>36</v>
      </c>
      <c r="M3741">
        <v>1</v>
      </c>
      <c r="N3741">
        <v>63.71</v>
      </c>
      <c r="O3741">
        <v>95.02</v>
      </c>
      <c r="P3741">
        <v>9.5</v>
      </c>
      <c r="Q3741">
        <v>9.5</v>
      </c>
      <c r="R3741" t="s">
        <v>30</v>
      </c>
      <c r="S3741">
        <v>29</v>
      </c>
      <c r="T3741">
        <v>1</v>
      </c>
      <c r="U3741">
        <v>1</v>
      </c>
      <c r="V3741">
        <v>85.52</v>
      </c>
      <c r="W3741">
        <v>13130003739</v>
      </c>
    </row>
    <row r="3742" spans="1:23" x14ac:dyDescent="0.2">
      <c r="A3742" s="1">
        <v>44791</v>
      </c>
      <c r="B3742" s="2">
        <v>0.72922453703703705</v>
      </c>
      <c r="C3742">
        <v>4740</v>
      </c>
      <c r="D3742">
        <v>13002561</v>
      </c>
      <c r="E3742">
        <v>13</v>
      </c>
      <c r="F3742">
        <v>22589</v>
      </c>
      <c r="G3742" t="s">
        <v>23</v>
      </c>
      <c r="H3742">
        <v>18</v>
      </c>
      <c r="I3742">
        <v>36076</v>
      </c>
      <c r="J3742" t="s">
        <v>109</v>
      </c>
      <c r="K3742" t="s">
        <v>28</v>
      </c>
      <c r="L3742" t="s">
        <v>51</v>
      </c>
      <c r="M3742">
        <v>3</v>
      </c>
      <c r="N3742">
        <v>315.92</v>
      </c>
      <c r="O3742">
        <v>403.7</v>
      </c>
      <c r="P3742">
        <v>40.369999999999997</v>
      </c>
      <c r="Q3742">
        <v>40.369999999999997</v>
      </c>
      <c r="R3742" t="s">
        <v>30</v>
      </c>
      <c r="S3742">
        <v>29</v>
      </c>
      <c r="T3742">
        <v>1</v>
      </c>
      <c r="U3742">
        <v>5</v>
      </c>
      <c r="V3742">
        <v>363.33</v>
      </c>
      <c r="W3742">
        <v>13130003740</v>
      </c>
    </row>
    <row r="3743" spans="1:23" x14ac:dyDescent="0.2">
      <c r="A3743" s="1">
        <v>44781</v>
      </c>
      <c r="B3743" s="2">
        <v>0.57672453703703708</v>
      </c>
      <c r="C3743">
        <v>4741</v>
      </c>
      <c r="D3743">
        <v>13002561</v>
      </c>
      <c r="E3743">
        <v>13</v>
      </c>
      <c r="F3743">
        <v>22589</v>
      </c>
      <c r="G3743" t="s">
        <v>23</v>
      </c>
      <c r="H3743">
        <v>15</v>
      </c>
      <c r="I3743">
        <v>29373</v>
      </c>
      <c r="J3743" t="s">
        <v>106</v>
      </c>
      <c r="K3743" t="s">
        <v>44</v>
      </c>
      <c r="L3743" t="s">
        <v>32</v>
      </c>
      <c r="M3743">
        <v>2</v>
      </c>
      <c r="N3743">
        <v>213.01</v>
      </c>
      <c r="O3743">
        <v>294.27999999999997</v>
      </c>
      <c r="P3743">
        <v>29.43</v>
      </c>
      <c r="Q3743">
        <v>29.43</v>
      </c>
      <c r="R3743" t="s">
        <v>30</v>
      </c>
      <c r="S3743">
        <v>29</v>
      </c>
      <c r="T3743">
        <v>1</v>
      </c>
      <c r="U3743">
        <v>3</v>
      </c>
      <c r="V3743">
        <v>264.85000000000002</v>
      </c>
      <c r="W3743">
        <v>13130003741</v>
      </c>
    </row>
    <row r="3744" spans="1:23" x14ac:dyDescent="0.2">
      <c r="A3744" s="1">
        <v>44778</v>
      </c>
      <c r="B3744" s="2">
        <v>0.40199074074074082</v>
      </c>
      <c r="C3744">
        <v>4742</v>
      </c>
      <c r="D3744">
        <v>13002561</v>
      </c>
      <c r="E3744">
        <v>13</v>
      </c>
      <c r="F3744">
        <v>22589</v>
      </c>
      <c r="G3744" t="s">
        <v>23</v>
      </c>
      <c r="H3744">
        <v>15</v>
      </c>
      <c r="I3744">
        <v>23264</v>
      </c>
      <c r="J3744" t="s">
        <v>24</v>
      </c>
      <c r="K3744" t="s">
        <v>25</v>
      </c>
      <c r="L3744" t="s">
        <v>36</v>
      </c>
      <c r="M3744">
        <v>1</v>
      </c>
      <c r="N3744">
        <v>115.05</v>
      </c>
      <c r="O3744">
        <v>189.13</v>
      </c>
      <c r="P3744">
        <v>18.91</v>
      </c>
      <c r="Q3744">
        <v>18.91</v>
      </c>
      <c r="R3744" t="s">
        <v>30</v>
      </c>
      <c r="S3744">
        <v>29</v>
      </c>
      <c r="T3744">
        <v>1</v>
      </c>
      <c r="U3744">
        <v>1</v>
      </c>
      <c r="V3744">
        <v>170.22</v>
      </c>
      <c r="W3744">
        <v>13130003742</v>
      </c>
    </row>
    <row r="3745" spans="1:23" x14ac:dyDescent="0.2">
      <c r="A3745" s="1">
        <v>44779</v>
      </c>
      <c r="B3745" s="2">
        <v>0.41781249999999998</v>
      </c>
      <c r="C3745">
        <v>4743</v>
      </c>
      <c r="D3745">
        <v>13002561</v>
      </c>
      <c r="E3745">
        <v>13</v>
      </c>
      <c r="F3745">
        <v>22589</v>
      </c>
      <c r="G3745" t="s">
        <v>23</v>
      </c>
      <c r="H3745">
        <v>18</v>
      </c>
      <c r="I3745">
        <v>70141</v>
      </c>
      <c r="J3745" t="s">
        <v>123</v>
      </c>
      <c r="K3745" t="s">
        <v>28</v>
      </c>
      <c r="L3745" t="s">
        <v>51</v>
      </c>
      <c r="M3745">
        <v>1</v>
      </c>
      <c r="N3745">
        <v>102.55</v>
      </c>
      <c r="O3745">
        <v>131.18</v>
      </c>
      <c r="P3745">
        <v>13.12</v>
      </c>
      <c r="Q3745">
        <v>13.12</v>
      </c>
      <c r="R3745" t="s">
        <v>30</v>
      </c>
      <c r="S3745">
        <v>29</v>
      </c>
      <c r="T3745">
        <v>1</v>
      </c>
      <c r="U3745">
        <v>4</v>
      </c>
      <c r="V3745">
        <v>118.06</v>
      </c>
      <c r="W3745">
        <v>13130003743</v>
      </c>
    </row>
    <row r="3746" spans="1:23" x14ac:dyDescent="0.2">
      <c r="A3746" s="1">
        <v>44796</v>
      </c>
      <c r="B3746" s="2">
        <v>0.81042824074074071</v>
      </c>
      <c r="C3746">
        <v>4744</v>
      </c>
      <c r="D3746">
        <v>13002561</v>
      </c>
      <c r="E3746">
        <v>13</v>
      </c>
      <c r="F3746">
        <v>22589</v>
      </c>
      <c r="G3746" t="s">
        <v>23</v>
      </c>
      <c r="H3746">
        <v>15</v>
      </c>
      <c r="I3746">
        <v>97385</v>
      </c>
      <c r="J3746" t="s">
        <v>114</v>
      </c>
      <c r="K3746" t="s">
        <v>45</v>
      </c>
      <c r="L3746" t="s">
        <v>36</v>
      </c>
      <c r="M3746">
        <v>2</v>
      </c>
      <c r="N3746">
        <v>231.59</v>
      </c>
      <c r="O3746">
        <v>355.38</v>
      </c>
      <c r="P3746">
        <v>35.54</v>
      </c>
      <c r="Q3746">
        <v>35.54</v>
      </c>
      <c r="R3746" t="s">
        <v>30</v>
      </c>
      <c r="S3746">
        <v>29</v>
      </c>
      <c r="T3746">
        <v>1</v>
      </c>
      <c r="U3746">
        <v>5</v>
      </c>
      <c r="V3746">
        <v>319.83999999999997</v>
      </c>
      <c r="W3746">
        <v>13130003744</v>
      </c>
    </row>
    <row r="3747" spans="1:23" x14ac:dyDescent="0.2">
      <c r="A3747" s="1">
        <v>44802</v>
      </c>
      <c r="B3747" s="2">
        <v>0.93179398148148151</v>
      </c>
      <c r="C3747">
        <v>4745</v>
      </c>
      <c r="D3747">
        <v>13002561</v>
      </c>
      <c r="E3747">
        <v>13</v>
      </c>
      <c r="F3747">
        <v>22589</v>
      </c>
      <c r="G3747" t="s">
        <v>23</v>
      </c>
      <c r="H3747">
        <v>15</v>
      </c>
      <c r="I3747">
        <v>70638</v>
      </c>
      <c r="J3747" t="s">
        <v>27</v>
      </c>
      <c r="K3747" t="s">
        <v>38</v>
      </c>
      <c r="L3747" t="s">
        <v>34</v>
      </c>
      <c r="M3747">
        <v>1</v>
      </c>
      <c r="N3747">
        <v>193.02</v>
      </c>
      <c r="O3747">
        <v>257.26</v>
      </c>
      <c r="P3747">
        <v>25.73</v>
      </c>
      <c r="Q3747">
        <v>25.73</v>
      </c>
      <c r="R3747" t="s">
        <v>30</v>
      </c>
      <c r="S3747">
        <v>29</v>
      </c>
      <c r="T3747">
        <v>1</v>
      </c>
      <c r="U3747">
        <v>5</v>
      </c>
      <c r="V3747">
        <v>231.53</v>
      </c>
      <c r="W3747">
        <v>13130003745</v>
      </c>
    </row>
    <row r="3748" spans="1:23" x14ac:dyDescent="0.2">
      <c r="A3748" s="1">
        <v>44801</v>
      </c>
      <c r="B3748" s="2">
        <v>0.64151620370370366</v>
      </c>
      <c r="C3748">
        <v>4746</v>
      </c>
      <c r="D3748">
        <v>13002561</v>
      </c>
      <c r="E3748">
        <v>13</v>
      </c>
      <c r="F3748">
        <v>22589</v>
      </c>
      <c r="G3748" t="s">
        <v>23</v>
      </c>
      <c r="H3748">
        <v>18</v>
      </c>
      <c r="I3748">
        <v>60848</v>
      </c>
      <c r="J3748" t="s">
        <v>99</v>
      </c>
      <c r="K3748" t="s">
        <v>44</v>
      </c>
      <c r="L3748" t="s">
        <v>51</v>
      </c>
      <c r="M3748">
        <v>3</v>
      </c>
      <c r="N3748">
        <v>92.03</v>
      </c>
      <c r="O3748">
        <v>149.02000000000001</v>
      </c>
      <c r="P3748">
        <v>0</v>
      </c>
      <c r="Q3748">
        <v>0</v>
      </c>
      <c r="S3748">
        <v>29</v>
      </c>
      <c r="T3748">
        <v>1</v>
      </c>
      <c r="U3748">
        <v>2</v>
      </c>
      <c r="V3748">
        <v>149.02000000000001</v>
      </c>
      <c r="W3748">
        <v>13130003746</v>
      </c>
    </row>
    <row r="3749" spans="1:23" x14ac:dyDescent="0.2">
      <c r="A3749" s="1">
        <v>44799</v>
      </c>
      <c r="B3749" s="2">
        <v>0.33561342592592591</v>
      </c>
      <c r="C3749">
        <v>4747</v>
      </c>
      <c r="D3749">
        <v>13002561</v>
      </c>
      <c r="E3749">
        <v>13</v>
      </c>
      <c r="F3749">
        <v>22589</v>
      </c>
      <c r="G3749" t="s">
        <v>23</v>
      </c>
      <c r="H3749">
        <v>15</v>
      </c>
      <c r="I3749">
        <v>93898</v>
      </c>
      <c r="J3749" t="s">
        <v>106</v>
      </c>
      <c r="K3749" t="s">
        <v>44</v>
      </c>
      <c r="L3749" t="s">
        <v>32</v>
      </c>
      <c r="M3749">
        <v>1</v>
      </c>
      <c r="N3749">
        <v>113.21</v>
      </c>
      <c r="O3749">
        <v>185.71</v>
      </c>
      <c r="P3749">
        <v>9.2899999999999991</v>
      </c>
      <c r="Q3749">
        <v>9.2899999999999991</v>
      </c>
      <c r="R3749" t="s">
        <v>30</v>
      </c>
      <c r="S3749">
        <v>29</v>
      </c>
      <c r="T3749">
        <v>1</v>
      </c>
      <c r="U3749">
        <v>4</v>
      </c>
      <c r="V3749">
        <v>176.42</v>
      </c>
      <c r="W3749">
        <v>13130003747</v>
      </c>
    </row>
    <row r="3750" spans="1:23" x14ac:dyDescent="0.2">
      <c r="A3750" s="1">
        <v>44775</v>
      </c>
      <c r="B3750" s="2">
        <v>0.57392361111111112</v>
      </c>
      <c r="C3750">
        <v>4748</v>
      </c>
      <c r="D3750">
        <v>13002561</v>
      </c>
      <c r="E3750">
        <v>13</v>
      </c>
      <c r="F3750">
        <v>22589</v>
      </c>
      <c r="G3750" t="s">
        <v>23</v>
      </c>
      <c r="H3750">
        <v>18</v>
      </c>
      <c r="I3750">
        <v>97130</v>
      </c>
      <c r="J3750" t="s">
        <v>75</v>
      </c>
      <c r="K3750" t="s">
        <v>25</v>
      </c>
      <c r="L3750" t="s">
        <v>29</v>
      </c>
      <c r="M3750">
        <v>1</v>
      </c>
      <c r="N3750">
        <v>210.02</v>
      </c>
      <c r="O3750">
        <v>322.95</v>
      </c>
      <c r="P3750">
        <v>0</v>
      </c>
      <c r="Q3750">
        <v>0</v>
      </c>
      <c r="S3750">
        <v>29</v>
      </c>
      <c r="T3750">
        <v>1</v>
      </c>
      <c r="U3750">
        <v>4</v>
      </c>
      <c r="V3750">
        <v>322.95</v>
      </c>
      <c r="W3750">
        <v>13130003748</v>
      </c>
    </row>
    <row r="3751" spans="1:23" x14ac:dyDescent="0.2">
      <c r="A3751" s="1">
        <v>44782</v>
      </c>
      <c r="B3751" s="2">
        <v>0.92629629629629628</v>
      </c>
      <c r="C3751">
        <v>4749</v>
      </c>
      <c r="D3751">
        <v>13002561</v>
      </c>
      <c r="E3751">
        <v>13</v>
      </c>
      <c r="F3751">
        <v>22589</v>
      </c>
      <c r="G3751" t="s">
        <v>23</v>
      </c>
      <c r="H3751">
        <v>18</v>
      </c>
      <c r="I3751">
        <v>32625</v>
      </c>
      <c r="J3751" t="s">
        <v>116</v>
      </c>
      <c r="K3751" t="s">
        <v>25</v>
      </c>
      <c r="L3751" t="s">
        <v>47</v>
      </c>
      <c r="M3751">
        <v>2</v>
      </c>
      <c r="N3751">
        <v>451.42</v>
      </c>
      <c r="O3751">
        <v>567.01</v>
      </c>
      <c r="P3751">
        <v>56.7</v>
      </c>
      <c r="Q3751">
        <v>56.7</v>
      </c>
      <c r="R3751" t="s">
        <v>30</v>
      </c>
      <c r="S3751">
        <v>29</v>
      </c>
      <c r="T3751">
        <v>1</v>
      </c>
      <c r="U3751">
        <v>2</v>
      </c>
      <c r="V3751">
        <v>510.31</v>
      </c>
      <c r="W3751">
        <v>13130003749</v>
      </c>
    </row>
    <row r="3752" spans="1:23" x14ac:dyDescent="0.2">
      <c r="A3752" s="1">
        <v>44799</v>
      </c>
      <c r="B3752" s="2">
        <v>0.71240740740740738</v>
      </c>
      <c r="C3752">
        <v>4750</v>
      </c>
      <c r="D3752">
        <v>13002561</v>
      </c>
      <c r="E3752">
        <v>13</v>
      </c>
      <c r="F3752">
        <v>22589</v>
      </c>
      <c r="G3752" t="s">
        <v>23</v>
      </c>
      <c r="H3752">
        <v>15</v>
      </c>
      <c r="I3752">
        <v>60837</v>
      </c>
      <c r="J3752" t="s">
        <v>66</v>
      </c>
      <c r="K3752" t="s">
        <v>38</v>
      </c>
      <c r="L3752" t="s">
        <v>39</v>
      </c>
      <c r="M3752">
        <v>3</v>
      </c>
      <c r="N3752">
        <v>110.46</v>
      </c>
      <c r="O3752">
        <v>155.6</v>
      </c>
      <c r="P3752">
        <v>15.56</v>
      </c>
      <c r="Q3752">
        <v>15.56</v>
      </c>
      <c r="R3752" t="s">
        <v>30</v>
      </c>
      <c r="S3752">
        <v>29</v>
      </c>
      <c r="T3752">
        <v>1</v>
      </c>
      <c r="U3752">
        <v>6</v>
      </c>
      <c r="V3752">
        <v>140.04</v>
      </c>
      <c r="W3752">
        <v>13130003750</v>
      </c>
    </row>
    <row r="3753" spans="1:23" x14ac:dyDescent="0.2">
      <c r="A3753" s="1">
        <v>44796</v>
      </c>
      <c r="B3753" s="2">
        <v>0.43714120370370368</v>
      </c>
      <c r="C3753">
        <v>4751</v>
      </c>
      <c r="D3753">
        <v>13002561</v>
      </c>
      <c r="E3753">
        <v>13</v>
      </c>
      <c r="F3753">
        <v>22589</v>
      </c>
      <c r="G3753" t="s">
        <v>23</v>
      </c>
      <c r="H3753">
        <v>18</v>
      </c>
      <c r="I3753">
        <v>61116</v>
      </c>
      <c r="J3753" t="s">
        <v>115</v>
      </c>
      <c r="K3753" t="s">
        <v>44</v>
      </c>
      <c r="L3753" t="s">
        <v>47</v>
      </c>
      <c r="M3753">
        <v>2</v>
      </c>
      <c r="N3753">
        <v>112.04</v>
      </c>
      <c r="O3753">
        <v>184.27</v>
      </c>
      <c r="P3753">
        <v>18.43</v>
      </c>
      <c r="Q3753">
        <v>18.43</v>
      </c>
      <c r="R3753" t="s">
        <v>30</v>
      </c>
      <c r="S3753">
        <v>29</v>
      </c>
      <c r="T3753">
        <v>1</v>
      </c>
      <c r="U3753">
        <v>5</v>
      </c>
      <c r="V3753">
        <v>165.84</v>
      </c>
      <c r="W3753">
        <v>13130003751</v>
      </c>
    </row>
    <row r="3754" spans="1:23" x14ac:dyDescent="0.2">
      <c r="A3754" s="1">
        <v>44790</v>
      </c>
      <c r="B3754" s="2">
        <v>0.92853009259259256</v>
      </c>
      <c r="C3754">
        <v>4752</v>
      </c>
      <c r="D3754">
        <v>13002561</v>
      </c>
      <c r="E3754">
        <v>13</v>
      </c>
      <c r="F3754">
        <v>22589</v>
      </c>
      <c r="G3754" t="s">
        <v>23</v>
      </c>
      <c r="H3754">
        <v>15</v>
      </c>
      <c r="I3754">
        <v>74765</v>
      </c>
      <c r="J3754" t="s">
        <v>118</v>
      </c>
      <c r="K3754" t="s">
        <v>38</v>
      </c>
      <c r="L3754" t="s">
        <v>39</v>
      </c>
      <c r="M3754">
        <v>2</v>
      </c>
      <c r="N3754">
        <v>160.36000000000001</v>
      </c>
      <c r="O3754">
        <v>235.87</v>
      </c>
      <c r="P3754">
        <v>23.59</v>
      </c>
      <c r="Q3754">
        <v>23.59</v>
      </c>
      <c r="R3754" t="s">
        <v>30</v>
      </c>
      <c r="S3754">
        <v>29</v>
      </c>
      <c r="T3754">
        <v>1</v>
      </c>
      <c r="U3754">
        <v>6</v>
      </c>
      <c r="V3754">
        <v>212.28</v>
      </c>
      <c r="W3754">
        <v>13130003752</v>
      </c>
    </row>
    <row r="3755" spans="1:23" x14ac:dyDescent="0.2">
      <c r="A3755" s="1">
        <v>44786</v>
      </c>
      <c r="B3755" s="2">
        <v>0.51969907407407412</v>
      </c>
      <c r="C3755">
        <v>4753</v>
      </c>
      <c r="D3755">
        <v>13002561</v>
      </c>
      <c r="E3755">
        <v>13</v>
      </c>
      <c r="F3755">
        <v>22589</v>
      </c>
      <c r="G3755" t="s">
        <v>23</v>
      </c>
      <c r="H3755">
        <v>18</v>
      </c>
      <c r="I3755">
        <v>10134</v>
      </c>
      <c r="J3755" t="s">
        <v>91</v>
      </c>
      <c r="K3755" t="s">
        <v>45</v>
      </c>
      <c r="L3755" t="s">
        <v>26</v>
      </c>
      <c r="M3755">
        <v>3</v>
      </c>
      <c r="N3755">
        <v>492.55</v>
      </c>
      <c r="O3755">
        <v>716.1</v>
      </c>
      <c r="P3755">
        <v>35.799999999999997</v>
      </c>
      <c r="Q3755">
        <v>35.799999999999997</v>
      </c>
      <c r="R3755" t="s">
        <v>30</v>
      </c>
      <c r="S3755">
        <v>29</v>
      </c>
      <c r="T3755">
        <v>1</v>
      </c>
      <c r="U3755">
        <v>2</v>
      </c>
      <c r="V3755">
        <v>680.3</v>
      </c>
      <c r="W3755">
        <v>13130003753</v>
      </c>
    </row>
    <row r="3756" spans="1:23" x14ac:dyDescent="0.2">
      <c r="A3756" s="1">
        <v>44790</v>
      </c>
      <c r="B3756" s="2">
        <v>0.48348379629629629</v>
      </c>
      <c r="C3756">
        <v>4754</v>
      </c>
      <c r="D3756">
        <v>13002561</v>
      </c>
      <c r="E3756">
        <v>13</v>
      </c>
      <c r="F3756">
        <v>22589</v>
      </c>
      <c r="G3756" t="s">
        <v>23</v>
      </c>
      <c r="H3756">
        <v>18</v>
      </c>
      <c r="I3756">
        <v>87711</v>
      </c>
      <c r="J3756" t="s">
        <v>89</v>
      </c>
      <c r="K3756" t="s">
        <v>38</v>
      </c>
      <c r="L3756" t="s">
        <v>36</v>
      </c>
      <c r="M3756">
        <v>3</v>
      </c>
      <c r="N3756">
        <v>260.11</v>
      </c>
      <c r="O3756">
        <v>385.57</v>
      </c>
      <c r="P3756">
        <v>0</v>
      </c>
      <c r="Q3756">
        <v>0</v>
      </c>
      <c r="S3756">
        <v>29</v>
      </c>
      <c r="T3756">
        <v>1</v>
      </c>
      <c r="U3756">
        <v>6</v>
      </c>
      <c r="V3756">
        <v>385.57</v>
      </c>
      <c r="W3756">
        <v>13130003754</v>
      </c>
    </row>
    <row r="3757" spans="1:23" x14ac:dyDescent="0.2">
      <c r="A3757" s="1">
        <v>44774</v>
      </c>
      <c r="B3757" s="2">
        <v>0.67848379629629629</v>
      </c>
      <c r="C3757">
        <v>4755</v>
      </c>
      <c r="D3757">
        <v>13002561</v>
      </c>
      <c r="E3757">
        <v>13</v>
      </c>
      <c r="F3757">
        <v>22589</v>
      </c>
      <c r="G3757" t="s">
        <v>23</v>
      </c>
      <c r="H3757">
        <v>18</v>
      </c>
      <c r="I3757">
        <v>42726</v>
      </c>
      <c r="J3757" t="s">
        <v>61</v>
      </c>
      <c r="K3757" t="s">
        <v>25</v>
      </c>
      <c r="L3757" t="s">
        <v>29</v>
      </c>
      <c r="M3757">
        <v>2</v>
      </c>
      <c r="N3757">
        <v>490.91</v>
      </c>
      <c r="O3757">
        <v>729.45</v>
      </c>
      <c r="P3757">
        <v>0</v>
      </c>
      <c r="Q3757">
        <v>0</v>
      </c>
      <c r="S3757">
        <v>29</v>
      </c>
      <c r="T3757">
        <v>1</v>
      </c>
      <c r="U3757">
        <v>1</v>
      </c>
      <c r="V3757">
        <v>729.45</v>
      </c>
      <c r="W3757">
        <v>13130003755</v>
      </c>
    </row>
    <row r="3758" spans="1:23" x14ac:dyDescent="0.2">
      <c r="A3758" s="1">
        <v>44791</v>
      </c>
      <c r="B3758" s="2">
        <v>0.47057870370370369</v>
      </c>
      <c r="C3758">
        <v>4756</v>
      </c>
      <c r="D3758">
        <v>13002561</v>
      </c>
      <c r="E3758">
        <v>13</v>
      </c>
      <c r="F3758">
        <v>22589</v>
      </c>
      <c r="G3758" t="s">
        <v>23</v>
      </c>
      <c r="H3758">
        <v>18</v>
      </c>
      <c r="I3758">
        <v>54878</v>
      </c>
      <c r="J3758" t="s">
        <v>76</v>
      </c>
      <c r="K3758" t="s">
        <v>28</v>
      </c>
      <c r="L3758" t="s">
        <v>34</v>
      </c>
      <c r="M3758">
        <v>2</v>
      </c>
      <c r="N3758">
        <v>359.63</v>
      </c>
      <c r="O3758">
        <v>584.04</v>
      </c>
      <c r="P3758">
        <v>58.4</v>
      </c>
      <c r="Q3758">
        <v>58.4</v>
      </c>
      <c r="R3758" t="s">
        <v>30</v>
      </c>
      <c r="S3758">
        <v>29</v>
      </c>
      <c r="T3758">
        <v>1</v>
      </c>
      <c r="U3758">
        <v>4</v>
      </c>
      <c r="V3758">
        <v>525.64</v>
      </c>
      <c r="W3758">
        <v>13130003756</v>
      </c>
    </row>
    <row r="3759" spans="1:23" x14ac:dyDescent="0.2">
      <c r="A3759" s="1">
        <v>44789</v>
      </c>
      <c r="B3759" s="2">
        <v>0.84285879629629634</v>
      </c>
      <c r="C3759">
        <v>4757</v>
      </c>
      <c r="D3759">
        <v>13002561</v>
      </c>
      <c r="E3759">
        <v>13</v>
      </c>
      <c r="F3759">
        <v>22589</v>
      </c>
      <c r="G3759" t="s">
        <v>23</v>
      </c>
      <c r="H3759">
        <v>18</v>
      </c>
      <c r="I3759">
        <v>72822</v>
      </c>
      <c r="J3759" t="s">
        <v>27</v>
      </c>
      <c r="K3759" t="s">
        <v>38</v>
      </c>
      <c r="L3759" t="s">
        <v>39</v>
      </c>
      <c r="M3759">
        <v>3</v>
      </c>
      <c r="N3759">
        <v>368.88</v>
      </c>
      <c r="O3759">
        <v>617.25</v>
      </c>
      <c r="P3759">
        <v>61.73</v>
      </c>
      <c r="Q3759">
        <v>61.73</v>
      </c>
      <c r="R3759" t="s">
        <v>30</v>
      </c>
      <c r="S3759">
        <v>29</v>
      </c>
      <c r="T3759">
        <v>1</v>
      </c>
      <c r="U3759">
        <v>4</v>
      </c>
      <c r="V3759">
        <v>555.52</v>
      </c>
      <c r="W3759">
        <v>13130003757</v>
      </c>
    </row>
    <row r="3760" spans="1:23" x14ac:dyDescent="0.2">
      <c r="A3760" s="1">
        <v>44797</v>
      </c>
      <c r="B3760" s="2">
        <v>0.74793981481481486</v>
      </c>
      <c r="C3760">
        <v>4758</v>
      </c>
      <c r="D3760">
        <v>13002561</v>
      </c>
      <c r="E3760">
        <v>13</v>
      </c>
      <c r="F3760">
        <v>22589</v>
      </c>
      <c r="G3760" t="s">
        <v>23</v>
      </c>
      <c r="H3760">
        <v>15</v>
      </c>
      <c r="I3760">
        <v>93940</v>
      </c>
      <c r="J3760" t="s">
        <v>121</v>
      </c>
      <c r="K3760" t="s">
        <v>44</v>
      </c>
      <c r="L3760" t="s">
        <v>47</v>
      </c>
      <c r="M3760">
        <v>3</v>
      </c>
      <c r="N3760">
        <v>367.53</v>
      </c>
      <c r="O3760">
        <v>602.26</v>
      </c>
      <c r="P3760">
        <v>0</v>
      </c>
      <c r="Q3760">
        <v>0</v>
      </c>
      <c r="S3760">
        <v>29</v>
      </c>
      <c r="T3760">
        <v>1</v>
      </c>
      <c r="U3760">
        <v>5</v>
      </c>
      <c r="V3760">
        <v>602.26</v>
      </c>
      <c r="W3760">
        <v>13130003758</v>
      </c>
    </row>
    <row r="3761" spans="1:23" x14ac:dyDescent="0.2">
      <c r="A3761" s="1">
        <v>44790</v>
      </c>
      <c r="B3761" s="2">
        <v>0.51366898148148143</v>
      </c>
      <c r="C3761">
        <v>4759</v>
      </c>
      <c r="D3761">
        <v>13002561</v>
      </c>
      <c r="E3761">
        <v>13</v>
      </c>
      <c r="F3761">
        <v>22589</v>
      </c>
      <c r="G3761" t="s">
        <v>23</v>
      </c>
      <c r="H3761">
        <v>15</v>
      </c>
      <c r="I3761">
        <v>78004</v>
      </c>
      <c r="J3761" t="s">
        <v>82</v>
      </c>
      <c r="K3761" t="s">
        <v>28</v>
      </c>
      <c r="L3761" t="s">
        <v>34</v>
      </c>
      <c r="M3761">
        <v>2</v>
      </c>
      <c r="N3761">
        <v>257.98</v>
      </c>
      <c r="O3761">
        <v>389.2</v>
      </c>
      <c r="P3761">
        <v>0</v>
      </c>
      <c r="Q3761">
        <v>0</v>
      </c>
      <c r="S3761">
        <v>29</v>
      </c>
      <c r="T3761">
        <v>1</v>
      </c>
      <c r="U3761">
        <v>1</v>
      </c>
      <c r="V3761">
        <v>389.2</v>
      </c>
      <c r="W3761">
        <v>13130003759</v>
      </c>
    </row>
    <row r="3762" spans="1:23" x14ac:dyDescent="0.2">
      <c r="A3762" s="1">
        <v>44789</v>
      </c>
      <c r="B3762" s="2">
        <v>0.82162037037037039</v>
      </c>
      <c r="C3762">
        <v>4760</v>
      </c>
      <c r="D3762">
        <v>13002561</v>
      </c>
      <c r="E3762">
        <v>13</v>
      </c>
      <c r="F3762">
        <v>22589</v>
      </c>
      <c r="G3762" t="s">
        <v>23</v>
      </c>
      <c r="H3762">
        <v>15</v>
      </c>
      <c r="I3762">
        <v>16987</v>
      </c>
      <c r="J3762" t="s">
        <v>57</v>
      </c>
      <c r="K3762" t="s">
        <v>25</v>
      </c>
      <c r="L3762" t="s">
        <v>36</v>
      </c>
      <c r="M3762">
        <v>3</v>
      </c>
      <c r="N3762">
        <v>425.99</v>
      </c>
      <c r="O3762">
        <v>662.15</v>
      </c>
      <c r="P3762">
        <v>0</v>
      </c>
      <c r="Q3762">
        <v>0</v>
      </c>
      <c r="S3762">
        <v>29</v>
      </c>
      <c r="T3762">
        <v>1</v>
      </c>
      <c r="U3762">
        <v>2</v>
      </c>
      <c r="V3762">
        <v>662.15</v>
      </c>
      <c r="W3762">
        <v>13130003760</v>
      </c>
    </row>
    <row r="3763" spans="1:23" x14ac:dyDescent="0.2">
      <c r="A3763" s="1">
        <v>44796</v>
      </c>
      <c r="B3763" s="2">
        <v>0.51879629629629631</v>
      </c>
      <c r="C3763">
        <v>4761</v>
      </c>
      <c r="D3763">
        <v>13002561</v>
      </c>
      <c r="E3763">
        <v>13</v>
      </c>
      <c r="F3763">
        <v>22589</v>
      </c>
      <c r="G3763" t="s">
        <v>23</v>
      </c>
      <c r="H3763">
        <v>18</v>
      </c>
      <c r="I3763">
        <v>43514</v>
      </c>
      <c r="J3763" t="s">
        <v>91</v>
      </c>
      <c r="K3763" t="s">
        <v>25</v>
      </c>
      <c r="L3763" t="s">
        <v>34</v>
      </c>
      <c r="M3763">
        <v>1</v>
      </c>
      <c r="N3763">
        <v>385.29</v>
      </c>
      <c r="O3763">
        <v>625.65</v>
      </c>
      <c r="P3763">
        <v>0</v>
      </c>
      <c r="Q3763">
        <v>0</v>
      </c>
      <c r="S3763">
        <v>29</v>
      </c>
      <c r="T3763">
        <v>1</v>
      </c>
      <c r="U3763">
        <v>5</v>
      </c>
      <c r="V3763">
        <v>625.65</v>
      </c>
      <c r="W3763">
        <v>13130003761</v>
      </c>
    </row>
    <row r="3764" spans="1:23" x14ac:dyDescent="0.2">
      <c r="A3764" s="1">
        <v>44793</v>
      </c>
      <c r="B3764" s="2">
        <v>0.65109953703703705</v>
      </c>
      <c r="C3764">
        <v>4762</v>
      </c>
      <c r="D3764">
        <v>13002561</v>
      </c>
      <c r="E3764">
        <v>13</v>
      </c>
      <c r="F3764">
        <v>22589</v>
      </c>
      <c r="G3764" t="s">
        <v>23</v>
      </c>
      <c r="H3764">
        <v>18</v>
      </c>
      <c r="I3764">
        <v>60314</v>
      </c>
      <c r="J3764" t="s">
        <v>84</v>
      </c>
      <c r="K3764" t="s">
        <v>38</v>
      </c>
      <c r="L3764" t="s">
        <v>32</v>
      </c>
      <c r="M3764">
        <v>1</v>
      </c>
      <c r="N3764">
        <v>533.61</v>
      </c>
      <c r="O3764">
        <v>833.32</v>
      </c>
      <c r="P3764">
        <v>41.67</v>
      </c>
      <c r="Q3764">
        <v>41.67</v>
      </c>
      <c r="R3764" t="s">
        <v>30</v>
      </c>
      <c r="S3764">
        <v>29</v>
      </c>
      <c r="T3764">
        <v>1</v>
      </c>
      <c r="U3764">
        <v>1</v>
      </c>
      <c r="V3764">
        <v>791.65</v>
      </c>
      <c r="W3764">
        <v>13130003762</v>
      </c>
    </row>
    <row r="3765" spans="1:23" x14ac:dyDescent="0.2">
      <c r="A3765" s="1">
        <v>44776</v>
      </c>
      <c r="B3765" s="2">
        <v>0.65699074074074071</v>
      </c>
      <c r="C3765">
        <v>4763</v>
      </c>
      <c r="D3765">
        <v>13002561</v>
      </c>
      <c r="E3765">
        <v>13</v>
      </c>
      <c r="F3765">
        <v>22589</v>
      </c>
      <c r="G3765" t="s">
        <v>23</v>
      </c>
      <c r="H3765">
        <v>15</v>
      </c>
      <c r="I3765">
        <v>38216</v>
      </c>
      <c r="J3765" t="s">
        <v>122</v>
      </c>
      <c r="K3765" t="s">
        <v>45</v>
      </c>
      <c r="L3765" t="s">
        <v>51</v>
      </c>
      <c r="M3765">
        <v>2</v>
      </c>
      <c r="N3765">
        <v>117.95</v>
      </c>
      <c r="O3765">
        <v>196.1</v>
      </c>
      <c r="P3765">
        <v>19.61</v>
      </c>
      <c r="Q3765">
        <v>19.61</v>
      </c>
      <c r="R3765" t="s">
        <v>30</v>
      </c>
      <c r="S3765">
        <v>29</v>
      </c>
      <c r="T3765">
        <v>1</v>
      </c>
      <c r="U3765">
        <v>5</v>
      </c>
      <c r="V3765">
        <v>176.49</v>
      </c>
      <c r="W3765">
        <v>13130003763</v>
      </c>
    </row>
    <row r="3766" spans="1:23" x14ac:dyDescent="0.2">
      <c r="A3766" s="1">
        <v>44781</v>
      </c>
      <c r="B3766" s="2">
        <v>0.54799768518518521</v>
      </c>
      <c r="C3766">
        <v>4764</v>
      </c>
      <c r="D3766">
        <v>13002561</v>
      </c>
      <c r="E3766">
        <v>13</v>
      </c>
      <c r="F3766">
        <v>22589</v>
      </c>
      <c r="G3766" t="s">
        <v>23</v>
      </c>
      <c r="H3766">
        <v>18</v>
      </c>
      <c r="I3766">
        <v>67175</v>
      </c>
      <c r="J3766" t="s">
        <v>119</v>
      </c>
      <c r="K3766" t="s">
        <v>45</v>
      </c>
      <c r="L3766" t="s">
        <v>29</v>
      </c>
      <c r="M3766">
        <v>3</v>
      </c>
      <c r="N3766">
        <v>589.66</v>
      </c>
      <c r="O3766">
        <v>762.18</v>
      </c>
      <c r="P3766">
        <v>0</v>
      </c>
      <c r="Q3766">
        <v>0</v>
      </c>
      <c r="S3766">
        <v>29</v>
      </c>
      <c r="T3766">
        <v>1</v>
      </c>
      <c r="U3766">
        <v>5</v>
      </c>
      <c r="V3766">
        <v>762.18</v>
      </c>
      <c r="W3766">
        <v>13130003764</v>
      </c>
    </row>
    <row r="3767" spans="1:23" x14ac:dyDescent="0.2">
      <c r="A3767" s="1">
        <v>44784</v>
      </c>
      <c r="B3767" s="2">
        <v>0.5744097222222222</v>
      </c>
      <c r="C3767">
        <v>4765</v>
      </c>
      <c r="D3767">
        <v>13002561</v>
      </c>
      <c r="E3767">
        <v>13</v>
      </c>
      <c r="F3767">
        <v>22589</v>
      </c>
      <c r="G3767" t="s">
        <v>23</v>
      </c>
      <c r="H3767">
        <v>18</v>
      </c>
      <c r="I3767">
        <v>10026</v>
      </c>
      <c r="J3767" t="s">
        <v>68</v>
      </c>
      <c r="K3767" t="s">
        <v>28</v>
      </c>
      <c r="L3767" t="s">
        <v>51</v>
      </c>
      <c r="M3767">
        <v>3</v>
      </c>
      <c r="N3767">
        <v>282.02</v>
      </c>
      <c r="O3767">
        <v>478.34</v>
      </c>
      <c r="P3767">
        <v>0</v>
      </c>
      <c r="Q3767">
        <v>0</v>
      </c>
      <c r="S3767">
        <v>29</v>
      </c>
      <c r="T3767">
        <v>1</v>
      </c>
      <c r="U3767">
        <v>1</v>
      </c>
      <c r="V3767">
        <v>478.34</v>
      </c>
      <c r="W3767">
        <v>13130003765</v>
      </c>
    </row>
    <row r="3768" spans="1:23" x14ac:dyDescent="0.2">
      <c r="A3768" s="1">
        <v>44797</v>
      </c>
      <c r="B3768" s="2">
        <v>0.64952546296296299</v>
      </c>
      <c r="C3768">
        <v>4766</v>
      </c>
      <c r="D3768">
        <v>13002561</v>
      </c>
      <c r="E3768">
        <v>13</v>
      </c>
      <c r="F3768">
        <v>22589</v>
      </c>
      <c r="G3768" t="s">
        <v>23</v>
      </c>
      <c r="H3768">
        <v>18</v>
      </c>
      <c r="I3768">
        <v>59560</v>
      </c>
      <c r="J3768" t="s">
        <v>33</v>
      </c>
      <c r="K3768" t="s">
        <v>38</v>
      </c>
      <c r="L3768" t="s">
        <v>51</v>
      </c>
      <c r="M3768">
        <v>1</v>
      </c>
      <c r="N3768">
        <v>89.03</v>
      </c>
      <c r="O3768">
        <v>131.26</v>
      </c>
      <c r="P3768">
        <v>13.13</v>
      </c>
      <c r="Q3768">
        <v>13.13</v>
      </c>
      <c r="R3768" t="s">
        <v>30</v>
      </c>
      <c r="S3768">
        <v>29</v>
      </c>
      <c r="T3768">
        <v>1</v>
      </c>
      <c r="U3768">
        <v>3</v>
      </c>
      <c r="V3768">
        <v>118.13</v>
      </c>
      <c r="W3768">
        <v>13130003766</v>
      </c>
    </row>
    <row r="3769" spans="1:23" x14ac:dyDescent="0.2">
      <c r="A3769" s="1">
        <v>44795</v>
      </c>
      <c r="B3769" s="2">
        <v>0.42738425925925932</v>
      </c>
      <c r="C3769">
        <v>4767</v>
      </c>
      <c r="D3769">
        <v>13002561</v>
      </c>
      <c r="E3769">
        <v>13</v>
      </c>
      <c r="F3769">
        <v>22589</v>
      </c>
      <c r="G3769" t="s">
        <v>23</v>
      </c>
      <c r="H3769">
        <v>18</v>
      </c>
      <c r="I3769">
        <v>38661</v>
      </c>
      <c r="J3769" t="s">
        <v>89</v>
      </c>
      <c r="K3769" t="s">
        <v>60</v>
      </c>
      <c r="L3769" t="s">
        <v>47</v>
      </c>
      <c r="M3769">
        <v>3</v>
      </c>
      <c r="N3769">
        <v>365.63</v>
      </c>
      <c r="O3769">
        <v>600.98</v>
      </c>
      <c r="P3769">
        <v>0</v>
      </c>
      <c r="Q3769">
        <v>0</v>
      </c>
      <c r="S3769">
        <v>29</v>
      </c>
      <c r="T3769">
        <v>1</v>
      </c>
      <c r="U3769">
        <v>1</v>
      </c>
      <c r="V3769">
        <v>600.98</v>
      </c>
      <c r="W3769">
        <v>13130003767</v>
      </c>
    </row>
    <row r="3770" spans="1:23" x14ac:dyDescent="0.2">
      <c r="A3770" s="1">
        <v>44780</v>
      </c>
      <c r="B3770" s="2">
        <v>0.40613425925925928</v>
      </c>
      <c r="C3770">
        <v>4768</v>
      </c>
      <c r="D3770">
        <v>13002561</v>
      </c>
      <c r="E3770">
        <v>13</v>
      </c>
      <c r="F3770">
        <v>22589</v>
      </c>
      <c r="G3770" t="s">
        <v>23</v>
      </c>
      <c r="H3770">
        <v>18</v>
      </c>
      <c r="I3770">
        <v>12970</v>
      </c>
      <c r="J3770" t="s">
        <v>72</v>
      </c>
      <c r="K3770" t="s">
        <v>28</v>
      </c>
      <c r="L3770" t="s">
        <v>29</v>
      </c>
      <c r="M3770">
        <v>3</v>
      </c>
      <c r="N3770">
        <v>400.68</v>
      </c>
      <c r="O3770">
        <v>638.32000000000005</v>
      </c>
      <c r="P3770">
        <v>63.83</v>
      </c>
      <c r="Q3770">
        <v>63.83</v>
      </c>
      <c r="R3770" t="s">
        <v>30</v>
      </c>
      <c r="S3770">
        <v>29</v>
      </c>
      <c r="T3770">
        <v>1</v>
      </c>
      <c r="U3770">
        <v>3</v>
      </c>
      <c r="V3770">
        <v>574.49</v>
      </c>
      <c r="W3770">
        <v>13130003768</v>
      </c>
    </row>
    <row r="3771" spans="1:23" x14ac:dyDescent="0.2">
      <c r="A3771" s="1">
        <v>44792</v>
      </c>
      <c r="B3771" s="2">
        <v>0.77976851851851847</v>
      </c>
      <c r="C3771">
        <v>4769</v>
      </c>
      <c r="D3771">
        <v>13002561</v>
      </c>
      <c r="E3771">
        <v>13</v>
      </c>
      <c r="F3771">
        <v>22589</v>
      </c>
      <c r="G3771" t="s">
        <v>23</v>
      </c>
      <c r="H3771">
        <v>18</v>
      </c>
      <c r="I3771">
        <v>46278</v>
      </c>
      <c r="J3771" t="s">
        <v>83</v>
      </c>
      <c r="K3771" t="s">
        <v>44</v>
      </c>
      <c r="L3771" t="s">
        <v>36</v>
      </c>
      <c r="M3771">
        <v>3</v>
      </c>
      <c r="N3771">
        <v>6.42</v>
      </c>
      <c r="O3771">
        <v>10.3</v>
      </c>
      <c r="P3771">
        <v>0.52</v>
      </c>
      <c r="Q3771">
        <v>0.52</v>
      </c>
      <c r="R3771" t="s">
        <v>30</v>
      </c>
      <c r="S3771">
        <v>29</v>
      </c>
      <c r="T3771">
        <v>1</v>
      </c>
      <c r="U3771">
        <v>2</v>
      </c>
      <c r="V3771">
        <v>9.7799999999999994</v>
      </c>
      <c r="W3771">
        <v>13130003769</v>
      </c>
    </row>
    <row r="3772" spans="1:23" x14ac:dyDescent="0.2">
      <c r="A3772" s="1">
        <v>44779</v>
      </c>
      <c r="B3772" s="2">
        <v>0.49562499999999998</v>
      </c>
      <c r="C3772">
        <v>4770</v>
      </c>
      <c r="D3772">
        <v>13002561</v>
      </c>
      <c r="E3772">
        <v>13</v>
      </c>
      <c r="F3772">
        <v>22589</v>
      </c>
      <c r="G3772" t="s">
        <v>23</v>
      </c>
      <c r="H3772">
        <v>15</v>
      </c>
      <c r="I3772">
        <v>43388</v>
      </c>
      <c r="J3772" t="s">
        <v>128</v>
      </c>
      <c r="K3772" t="s">
        <v>60</v>
      </c>
      <c r="L3772" t="s">
        <v>47</v>
      </c>
      <c r="M3772">
        <v>1</v>
      </c>
      <c r="N3772">
        <v>72.459999999999994</v>
      </c>
      <c r="O3772">
        <v>95.36</v>
      </c>
      <c r="P3772">
        <v>4.7699999999999996</v>
      </c>
      <c r="Q3772">
        <v>4.7699999999999996</v>
      </c>
      <c r="R3772" t="s">
        <v>30</v>
      </c>
      <c r="S3772">
        <v>29</v>
      </c>
      <c r="T3772">
        <v>1</v>
      </c>
      <c r="U3772">
        <v>3</v>
      </c>
      <c r="V3772">
        <v>90.59</v>
      </c>
      <c r="W3772">
        <v>13130003770</v>
      </c>
    </row>
    <row r="3773" spans="1:23" x14ac:dyDescent="0.2">
      <c r="A3773" s="1">
        <v>44798</v>
      </c>
      <c r="B3773" s="2">
        <v>0.95832175925925922</v>
      </c>
      <c r="C3773">
        <v>4771</v>
      </c>
      <c r="D3773">
        <v>13002561</v>
      </c>
      <c r="E3773">
        <v>13</v>
      </c>
      <c r="F3773">
        <v>22589</v>
      </c>
      <c r="G3773" t="s">
        <v>23</v>
      </c>
      <c r="H3773">
        <v>15</v>
      </c>
      <c r="I3773">
        <v>91508</v>
      </c>
      <c r="J3773" t="s">
        <v>126</v>
      </c>
      <c r="K3773" t="s">
        <v>38</v>
      </c>
      <c r="L3773" t="s">
        <v>34</v>
      </c>
      <c r="M3773">
        <v>2</v>
      </c>
      <c r="N3773">
        <v>270.27</v>
      </c>
      <c r="O3773">
        <v>430.32</v>
      </c>
      <c r="P3773">
        <v>21.52</v>
      </c>
      <c r="Q3773">
        <v>21.52</v>
      </c>
      <c r="R3773" t="s">
        <v>30</v>
      </c>
      <c r="S3773">
        <v>29</v>
      </c>
      <c r="T3773">
        <v>1</v>
      </c>
      <c r="U3773">
        <v>1</v>
      </c>
      <c r="V3773">
        <v>408.8</v>
      </c>
      <c r="W3773">
        <v>13130003771</v>
      </c>
    </row>
    <row r="3774" spans="1:23" x14ac:dyDescent="0.2">
      <c r="A3774" s="1">
        <v>44777</v>
      </c>
      <c r="B3774" s="2">
        <v>0.71253472222222225</v>
      </c>
      <c r="C3774">
        <v>4772</v>
      </c>
      <c r="D3774">
        <v>13002561</v>
      </c>
      <c r="E3774">
        <v>13</v>
      </c>
      <c r="F3774">
        <v>22589</v>
      </c>
      <c r="G3774" t="s">
        <v>23</v>
      </c>
      <c r="H3774">
        <v>18</v>
      </c>
      <c r="I3774">
        <v>68277</v>
      </c>
      <c r="J3774" t="s">
        <v>82</v>
      </c>
      <c r="K3774" t="s">
        <v>44</v>
      </c>
      <c r="L3774" t="s">
        <v>39</v>
      </c>
      <c r="M3774">
        <v>3</v>
      </c>
      <c r="N3774">
        <v>583.01</v>
      </c>
      <c r="O3774">
        <v>922.64</v>
      </c>
      <c r="P3774">
        <v>46.13</v>
      </c>
      <c r="Q3774">
        <v>46.13</v>
      </c>
      <c r="R3774" t="s">
        <v>30</v>
      </c>
      <c r="S3774">
        <v>29</v>
      </c>
      <c r="T3774">
        <v>1</v>
      </c>
      <c r="U3774">
        <v>1</v>
      </c>
      <c r="V3774">
        <v>876.51</v>
      </c>
      <c r="W3774">
        <v>13130003772</v>
      </c>
    </row>
    <row r="3775" spans="1:23" x14ac:dyDescent="0.2">
      <c r="A3775" s="1">
        <v>44775</v>
      </c>
      <c r="B3775" s="2">
        <v>0.46159722222222221</v>
      </c>
      <c r="C3775">
        <v>4773</v>
      </c>
      <c r="D3775">
        <v>13002561</v>
      </c>
      <c r="E3775">
        <v>13</v>
      </c>
      <c r="F3775">
        <v>22589</v>
      </c>
      <c r="G3775" t="s">
        <v>23</v>
      </c>
      <c r="H3775">
        <v>15</v>
      </c>
      <c r="I3775">
        <v>19491</v>
      </c>
      <c r="J3775" t="s">
        <v>81</v>
      </c>
      <c r="K3775" t="s">
        <v>60</v>
      </c>
      <c r="L3775" t="s">
        <v>34</v>
      </c>
      <c r="M3775">
        <v>2</v>
      </c>
      <c r="N3775">
        <v>577.89</v>
      </c>
      <c r="O3775">
        <v>827.45</v>
      </c>
      <c r="P3775">
        <v>0</v>
      </c>
      <c r="Q3775">
        <v>0</v>
      </c>
      <c r="S3775">
        <v>29</v>
      </c>
      <c r="T3775">
        <v>1</v>
      </c>
      <c r="U3775">
        <v>1</v>
      </c>
      <c r="V3775">
        <v>827.45</v>
      </c>
      <c r="W3775">
        <v>13130003773</v>
      </c>
    </row>
    <row r="3776" spans="1:23" x14ac:dyDescent="0.2">
      <c r="A3776" s="1">
        <v>44787</v>
      </c>
      <c r="B3776" s="2">
        <v>0.95152777777777775</v>
      </c>
      <c r="C3776">
        <v>4774</v>
      </c>
      <c r="D3776">
        <v>13002561</v>
      </c>
      <c r="E3776">
        <v>13</v>
      </c>
      <c r="F3776">
        <v>22589</v>
      </c>
      <c r="G3776" t="s">
        <v>23</v>
      </c>
      <c r="H3776">
        <v>15</v>
      </c>
      <c r="I3776">
        <v>52084</v>
      </c>
      <c r="J3776" t="s">
        <v>52</v>
      </c>
      <c r="K3776" t="s">
        <v>25</v>
      </c>
      <c r="L3776" t="s">
        <v>29</v>
      </c>
      <c r="M3776">
        <v>3</v>
      </c>
      <c r="N3776">
        <v>346.15</v>
      </c>
      <c r="O3776">
        <v>476.21</v>
      </c>
      <c r="P3776">
        <v>47.62</v>
      </c>
      <c r="Q3776">
        <v>47.62</v>
      </c>
      <c r="R3776" t="s">
        <v>30</v>
      </c>
      <c r="S3776">
        <v>29</v>
      </c>
      <c r="T3776">
        <v>1</v>
      </c>
      <c r="U3776">
        <v>4</v>
      </c>
      <c r="V3776">
        <v>428.59</v>
      </c>
      <c r="W3776">
        <v>13130003774</v>
      </c>
    </row>
    <row r="3777" spans="1:23" x14ac:dyDescent="0.2">
      <c r="A3777" s="1">
        <v>44788</v>
      </c>
      <c r="B3777" s="2">
        <v>0.53984953703703709</v>
      </c>
      <c r="C3777">
        <v>4775</v>
      </c>
      <c r="D3777">
        <v>13002561</v>
      </c>
      <c r="E3777">
        <v>13</v>
      </c>
      <c r="F3777">
        <v>22589</v>
      </c>
      <c r="G3777" t="s">
        <v>23</v>
      </c>
      <c r="H3777">
        <v>15</v>
      </c>
      <c r="I3777">
        <v>18644</v>
      </c>
      <c r="J3777" t="s">
        <v>59</v>
      </c>
      <c r="K3777" t="s">
        <v>45</v>
      </c>
      <c r="L3777" t="s">
        <v>47</v>
      </c>
      <c r="M3777">
        <v>2</v>
      </c>
      <c r="N3777">
        <v>528.77</v>
      </c>
      <c r="O3777">
        <v>693.63</v>
      </c>
      <c r="P3777">
        <v>34.68</v>
      </c>
      <c r="Q3777">
        <v>34.68</v>
      </c>
      <c r="R3777" t="s">
        <v>30</v>
      </c>
      <c r="S3777">
        <v>29</v>
      </c>
      <c r="T3777">
        <v>1</v>
      </c>
      <c r="U3777">
        <v>3</v>
      </c>
      <c r="V3777">
        <v>658.95</v>
      </c>
      <c r="W3777">
        <v>13130003775</v>
      </c>
    </row>
    <row r="3778" spans="1:23" x14ac:dyDescent="0.2">
      <c r="A3778" s="1">
        <v>44795</v>
      </c>
      <c r="B3778" s="2">
        <v>0.67155092592592591</v>
      </c>
      <c r="C3778">
        <v>4776</v>
      </c>
      <c r="D3778">
        <v>13002561</v>
      </c>
      <c r="E3778">
        <v>13</v>
      </c>
      <c r="F3778">
        <v>22589</v>
      </c>
      <c r="G3778" t="s">
        <v>23</v>
      </c>
      <c r="H3778">
        <v>15</v>
      </c>
      <c r="I3778">
        <v>19281</v>
      </c>
      <c r="J3778" t="s">
        <v>111</v>
      </c>
      <c r="K3778" t="s">
        <v>38</v>
      </c>
      <c r="L3778" t="s">
        <v>26</v>
      </c>
      <c r="M3778">
        <v>3</v>
      </c>
      <c r="N3778">
        <v>156.22999999999999</v>
      </c>
      <c r="O3778">
        <v>215.05</v>
      </c>
      <c r="P3778">
        <v>21.51</v>
      </c>
      <c r="Q3778">
        <v>21.51</v>
      </c>
      <c r="R3778" t="s">
        <v>30</v>
      </c>
      <c r="S3778">
        <v>29</v>
      </c>
      <c r="T3778">
        <v>1</v>
      </c>
      <c r="U3778">
        <v>5</v>
      </c>
      <c r="V3778">
        <v>193.54</v>
      </c>
      <c r="W3778">
        <v>13130003776</v>
      </c>
    </row>
    <row r="3779" spans="1:23" x14ac:dyDescent="0.2">
      <c r="A3779" s="1">
        <v>44804</v>
      </c>
      <c r="B3779" s="2">
        <v>0.61608796296296298</v>
      </c>
      <c r="C3779">
        <v>4777</v>
      </c>
      <c r="D3779">
        <v>13002561</v>
      </c>
      <c r="E3779">
        <v>13</v>
      </c>
      <c r="F3779">
        <v>22589</v>
      </c>
      <c r="G3779" t="s">
        <v>23</v>
      </c>
      <c r="H3779">
        <v>18</v>
      </c>
      <c r="I3779">
        <v>62181</v>
      </c>
      <c r="J3779" t="s">
        <v>72</v>
      </c>
      <c r="K3779" t="s">
        <v>28</v>
      </c>
      <c r="L3779" t="s">
        <v>51</v>
      </c>
      <c r="M3779">
        <v>3</v>
      </c>
      <c r="N3779">
        <v>237.58</v>
      </c>
      <c r="O3779">
        <v>347.92</v>
      </c>
      <c r="P3779">
        <v>0</v>
      </c>
      <c r="Q3779">
        <v>0</v>
      </c>
      <c r="S3779">
        <v>29</v>
      </c>
      <c r="T3779">
        <v>1</v>
      </c>
      <c r="U3779">
        <v>1</v>
      </c>
      <c r="V3779">
        <v>347.92</v>
      </c>
      <c r="W3779">
        <v>13130003777</v>
      </c>
    </row>
    <row r="3780" spans="1:23" x14ac:dyDescent="0.2">
      <c r="A3780" s="1">
        <v>44793</v>
      </c>
      <c r="B3780" s="2">
        <v>0.94</v>
      </c>
      <c r="C3780">
        <v>4778</v>
      </c>
      <c r="D3780">
        <v>13002561</v>
      </c>
      <c r="E3780">
        <v>13</v>
      </c>
      <c r="F3780">
        <v>22589</v>
      </c>
      <c r="G3780" t="s">
        <v>23</v>
      </c>
      <c r="H3780">
        <v>15</v>
      </c>
      <c r="I3780">
        <v>33417</v>
      </c>
      <c r="J3780" t="s">
        <v>103</v>
      </c>
      <c r="K3780" t="s">
        <v>44</v>
      </c>
      <c r="L3780" t="s">
        <v>34</v>
      </c>
      <c r="M3780">
        <v>2</v>
      </c>
      <c r="N3780">
        <v>466.33</v>
      </c>
      <c r="O3780">
        <v>607.88</v>
      </c>
      <c r="P3780">
        <v>60.79</v>
      </c>
      <c r="Q3780">
        <v>60.79</v>
      </c>
      <c r="R3780" t="s">
        <v>30</v>
      </c>
      <c r="S3780">
        <v>29</v>
      </c>
      <c r="T3780">
        <v>1</v>
      </c>
      <c r="U3780">
        <v>5</v>
      </c>
      <c r="V3780">
        <v>547.09</v>
      </c>
      <c r="W3780">
        <v>13130003778</v>
      </c>
    </row>
    <row r="3781" spans="1:23" x14ac:dyDescent="0.2">
      <c r="A3781" s="1">
        <v>44775</v>
      </c>
      <c r="B3781" s="2">
        <v>0.47708333333333341</v>
      </c>
      <c r="C3781">
        <v>4779</v>
      </c>
      <c r="D3781">
        <v>13002561</v>
      </c>
      <c r="E3781">
        <v>13</v>
      </c>
      <c r="F3781">
        <v>22589</v>
      </c>
      <c r="G3781" t="s">
        <v>23</v>
      </c>
      <c r="H3781">
        <v>15</v>
      </c>
      <c r="I3781">
        <v>71636</v>
      </c>
      <c r="J3781" t="s">
        <v>72</v>
      </c>
      <c r="K3781" t="s">
        <v>60</v>
      </c>
      <c r="L3781" t="s">
        <v>51</v>
      </c>
      <c r="M3781">
        <v>2</v>
      </c>
      <c r="N3781">
        <v>429.96</v>
      </c>
      <c r="O3781">
        <v>648.04</v>
      </c>
      <c r="P3781">
        <v>0</v>
      </c>
      <c r="Q3781">
        <v>0</v>
      </c>
      <c r="S3781">
        <v>29</v>
      </c>
      <c r="T3781">
        <v>1</v>
      </c>
      <c r="U3781">
        <v>3</v>
      </c>
      <c r="V3781">
        <v>648.04</v>
      </c>
      <c r="W3781">
        <v>13130003779</v>
      </c>
    </row>
    <row r="3782" spans="1:23" x14ac:dyDescent="0.2">
      <c r="A3782" s="1">
        <v>44785</v>
      </c>
      <c r="B3782" s="2">
        <v>0.5376967592592593</v>
      </c>
      <c r="C3782">
        <v>4780</v>
      </c>
      <c r="D3782">
        <v>13002561</v>
      </c>
      <c r="E3782">
        <v>13</v>
      </c>
      <c r="F3782">
        <v>22589</v>
      </c>
      <c r="G3782" t="s">
        <v>23</v>
      </c>
      <c r="H3782">
        <v>18</v>
      </c>
      <c r="I3782">
        <v>47678</v>
      </c>
      <c r="J3782" t="s">
        <v>53</v>
      </c>
      <c r="K3782" t="s">
        <v>45</v>
      </c>
      <c r="L3782" t="s">
        <v>47</v>
      </c>
      <c r="M3782">
        <v>1</v>
      </c>
      <c r="N3782">
        <v>151.47</v>
      </c>
      <c r="O3782">
        <v>234.92</v>
      </c>
      <c r="P3782">
        <v>11.75</v>
      </c>
      <c r="Q3782">
        <v>11.75</v>
      </c>
      <c r="R3782" t="s">
        <v>30</v>
      </c>
      <c r="S3782">
        <v>29</v>
      </c>
      <c r="T3782">
        <v>1</v>
      </c>
      <c r="U3782">
        <v>3</v>
      </c>
      <c r="V3782">
        <v>223.17</v>
      </c>
      <c r="W3782">
        <v>13130003780</v>
      </c>
    </row>
    <row r="3783" spans="1:23" x14ac:dyDescent="0.2">
      <c r="A3783" s="1">
        <v>44794</v>
      </c>
      <c r="B3783" s="2">
        <v>0.61839120370370371</v>
      </c>
      <c r="C3783">
        <v>4781</v>
      </c>
      <c r="D3783">
        <v>13002561</v>
      </c>
      <c r="E3783">
        <v>13</v>
      </c>
      <c r="F3783">
        <v>22589</v>
      </c>
      <c r="G3783" t="s">
        <v>23</v>
      </c>
      <c r="H3783">
        <v>15</v>
      </c>
      <c r="I3783">
        <v>19830</v>
      </c>
      <c r="J3783" t="s">
        <v>63</v>
      </c>
      <c r="K3783" t="s">
        <v>28</v>
      </c>
      <c r="L3783" t="s">
        <v>36</v>
      </c>
      <c r="M3783">
        <v>3</v>
      </c>
      <c r="N3783">
        <v>330.28</v>
      </c>
      <c r="O3783">
        <v>481.68</v>
      </c>
      <c r="P3783">
        <v>0</v>
      </c>
      <c r="Q3783">
        <v>0</v>
      </c>
      <c r="S3783">
        <v>29</v>
      </c>
      <c r="T3783">
        <v>1</v>
      </c>
      <c r="U3783">
        <v>6</v>
      </c>
      <c r="V3783">
        <v>481.68</v>
      </c>
      <c r="W3783">
        <v>13130003781</v>
      </c>
    </row>
    <row r="3784" spans="1:23" x14ac:dyDescent="0.2">
      <c r="A3784" s="1">
        <v>44785</v>
      </c>
      <c r="B3784" s="2">
        <v>0.53111111111111109</v>
      </c>
      <c r="C3784">
        <v>4782</v>
      </c>
      <c r="D3784">
        <v>13002561</v>
      </c>
      <c r="E3784">
        <v>13</v>
      </c>
      <c r="F3784">
        <v>22589</v>
      </c>
      <c r="G3784" t="s">
        <v>23</v>
      </c>
      <c r="H3784">
        <v>18</v>
      </c>
      <c r="I3784">
        <v>78460</v>
      </c>
      <c r="J3784" t="s">
        <v>62</v>
      </c>
      <c r="K3784" t="s">
        <v>60</v>
      </c>
      <c r="L3784" t="s">
        <v>26</v>
      </c>
      <c r="M3784">
        <v>1</v>
      </c>
      <c r="N3784">
        <v>347.96</v>
      </c>
      <c r="O3784">
        <v>454.31</v>
      </c>
      <c r="P3784">
        <v>22.72</v>
      </c>
      <c r="Q3784">
        <v>22.72</v>
      </c>
      <c r="R3784" t="s">
        <v>30</v>
      </c>
      <c r="S3784">
        <v>29</v>
      </c>
      <c r="T3784">
        <v>1</v>
      </c>
      <c r="U3784">
        <v>5</v>
      </c>
      <c r="V3784">
        <v>431.59</v>
      </c>
      <c r="W3784">
        <v>13130003782</v>
      </c>
    </row>
    <row r="3785" spans="1:23" x14ac:dyDescent="0.2">
      <c r="A3785" s="1">
        <v>44782</v>
      </c>
      <c r="B3785" s="2">
        <v>0.93883101851851847</v>
      </c>
      <c r="C3785">
        <v>4783</v>
      </c>
      <c r="D3785">
        <v>13002561</v>
      </c>
      <c r="E3785">
        <v>13</v>
      </c>
      <c r="F3785">
        <v>22589</v>
      </c>
      <c r="G3785" t="s">
        <v>23</v>
      </c>
      <c r="H3785">
        <v>15</v>
      </c>
      <c r="I3785">
        <v>97714</v>
      </c>
      <c r="J3785" t="s">
        <v>55</v>
      </c>
      <c r="K3785" t="s">
        <v>60</v>
      </c>
      <c r="L3785" t="s">
        <v>39</v>
      </c>
      <c r="M3785">
        <v>2</v>
      </c>
      <c r="N3785">
        <v>423.11</v>
      </c>
      <c r="O3785">
        <v>582.46</v>
      </c>
      <c r="P3785">
        <v>58.25</v>
      </c>
      <c r="Q3785">
        <v>58.25</v>
      </c>
      <c r="R3785" t="s">
        <v>30</v>
      </c>
      <c r="S3785">
        <v>29</v>
      </c>
      <c r="T3785">
        <v>1</v>
      </c>
      <c r="U3785">
        <v>2</v>
      </c>
      <c r="V3785">
        <v>524.21</v>
      </c>
      <c r="W3785">
        <v>13130003783</v>
      </c>
    </row>
    <row r="3786" spans="1:23" x14ac:dyDescent="0.2">
      <c r="A3786" s="1">
        <v>44796</v>
      </c>
      <c r="B3786" s="2">
        <v>0.44298611111111108</v>
      </c>
      <c r="C3786">
        <v>4784</v>
      </c>
      <c r="D3786">
        <v>13002561</v>
      </c>
      <c r="E3786">
        <v>13</v>
      </c>
      <c r="F3786">
        <v>22589</v>
      </c>
      <c r="G3786" t="s">
        <v>23</v>
      </c>
      <c r="H3786">
        <v>15</v>
      </c>
      <c r="I3786">
        <v>60087</v>
      </c>
      <c r="J3786" t="s">
        <v>76</v>
      </c>
      <c r="K3786" t="s">
        <v>45</v>
      </c>
      <c r="L3786" t="s">
        <v>29</v>
      </c>
      <c r="M3786">
        <v>3</v>
      </c>
      <c r="N3786">
        <v>556.34</v>
      </c>
      <c r="O3786">
        <v>724.67</v>
      </c>
      <c r="P3786">
        <v>0</v>
      </c>
      <c r="Q3786">
        <v>0</v>
      </c>
      <c r="S3786">
        <v>29</v>
      </c>
      <c r="T3786">
        <v>1</v>
      </c>
      <c r="U3786">
        <v>3</v>
      </c>
      <c r="V3786">
        <v>724.67</v>
      </c>
      <c r="W3786">
        <v>13130003784</v>
      </c>
    </row>
    <row r="3787" spans="1:23" x14ac:dyDescent="0.2">
      <c r="A3787" s="1">
        <v>44785</v>
      </c>
      <c r="B3787" s="2">
        <v>0.73773148148148149</v>
      </c>
      <c r="C3787">
        <v>4785</v>
      </c>
      <c r="D3787">
        <v>13002561</v>
      </c>
      <c r="E3787">
        <v>13</v>
      </c>
      <c r="F3787">
        <v>22589</v>
      </c>
      <c r="G3787" t="s">
        <v>23</v>
      </c>
      <c r="H3787">
        <v>18</v>
      </c>
      <c r="I3787">
        <v>10802</v>
      </c>
      <c r="J3787" t="s">
        <v>74</v>
      </c>
      <c r="K3787" t="s">
        <v>60</v>
      </c>
      <c r="L3787" t="s">
        <v>39</v>
      </c>
      <c r="M3787">
        <v>2</v>
      </c>
      <c r="N3787">
        <v>347.58</v>
      </c>
      <c r="O3787">
        <v>537.04999999999995</v>
      </c>
      <c r="P3787">
        <v>53.7</v>
      </c>
      <c r="Q3787">
        <v>53.7</v>
      </c>
      <c r="R3787" t="s">
        <v>30</v>
      </c>
      <c r="S3787">
        <v>29</v>
      </c>
      <c r="T3787">
        <v>1</v>
      </c>
      <c r="U3787">
        <v>1</v>
      </c>
      <c r="V3787">
        <v>483.35</v>
      </c>
      <c r="W3787">
        <v>13130003785</v>
      </c>
    </row>
    <row r="3788" spans="1:23" x14ac:dyDescent="0.2">
      <c r="A3788" s="1">
        <v>44784</v>
      </c>
      <c r="B3788" s="2">
        <v>0.59534722222222225</v>
      </c>
      <c r="C3788">
        <v>4786</v>
      </c>
      <c r="D3788">
        <v>13002561</v>
      </c>
      <c r="E3788">
        <v>13</v>
      </c>
      <c r="F3788">
        <v>22589</v>
      </c>
      <c r="G3788" t="s">
        <v>23</v>
      </c>
      <c r="H3788">
        <v>15</v>
      </c>
      <c r="I3788">
        <v>84511</v>
      </c>
      <c r="J3788" t="s">
        <v>62</v>
      </c>
      <c r="K3788" t="s">
        <v>38</v>
      </c>
      <c r="L3788" t="s">
        <v>47</v>
      </c>
      <c r="M3788">
        <v>1</v>
      </c>
      <c r="N3788">
        <v>521.5</v>
      </c>
      <c r="O3788">
        <v>744.16</v>
      </c>
      <c r="P3788">
        <v>37.21</v>
      </c>
      <c r="Q3788">
        <v>37.21</v>
      </c>
      <c r="R3788" t="s">
        <v>30</v>
      </c>
      <c r="S3788">
        <v>29</v>
      </c>
      <c r="T3788">
        <v>1</v>
      </c>
      <c r="U3788">
        <v>6</v>
      </c>
      <c r="V3788">
        <v>706.95</v>
      </c>
      <c r="W3788">
        <v>13130003786</v>
      </c>
    </row>
    <row r="3789" spans="1:23" x14ac:dyDescent="0.2">
      <c r="A3789" s="1">
        <v>44789</v>
      </c>
      <c r="B3789" s="2">
        <v>0.68347222222222226</v>
      </c>
      <c r="C3789">
        <v>4787</v>
      </c>
      <c r="D3789">
        <v>13002561</v>
      </c>
      <c r="E3789">
        <v>13</v>
      </c>
      <c r="F3789">
        <v>22589</v>
      </c>
      <c r="G3789" t="s">
        <v>23</v>
      </c>
      <c r="H3789">
        <v>15</v>
      </c>
      <c r="I3789">
        <v>97051</v>
      </c>
      <c r="J3789" t="s">
        <v>127</v>
      </c>
      <c r="K3789" t="s">
        <v>28</v>
      </c>
      <c r="L3789" t="s">
        <v>51</v>
      </c>
      <c r="M3789">
        <v>1</v>
      </c>
      <c r="N3789">
        <v>209.63</v>
      </c>
      <c r="O3789">
        <v>281.56</v>
      </c>
      <c r="P3789">
        <v>28.16</v>
      </c>
      <c r="Q3789">
        <v>28.16</v>
      </c>
      <c r="R3789" t="s">
        <v>30</v>
      </c>
      <c r="S3789">
        <v>29</v>
      </c>
      <c r="T3789">
        <v>1</v>
      </c>
      <c r="U3789">
        <v>5</v>
      </c>
      <c r="V3789">
        <v>253.4</v>
      </c>
      <c r="W3789">
        <v>13130003787</v>
      </c>
    </row>
    <row r="3790" spans="1:23" x14ac:dyDescent="0.2">
      <c r="A3790" s="1">
        <v>44786</v>
      </c>
      <c r="B3790" s="2">
        <v>0.69377314814814817</v>
      </c>
      <c r="C3790">
        <v>4788</v>
      </c>
      <c r="D3790">
        <v>13002561</v>
      </c>
      <c r="E3790">
        <v>13</v>
      </c>
      <c r="F3790">
        <v>22589</v>
      </c>
      <c r="G3790" t="s">
        <v>23</v>
      </c>
      <c r="H3790">
        <v>15</v>
      </c>
      <c r="I3790">
        <v>93391</v>
      </c>
      <c r="J3790" t="s">
        <v>43</v>
      </c>
      <c r="K3790" t="s">
        <v>45</v>
      </c>
      <c r="L3790" t="s">
        <v>34</v>
      </c>
      <c r="M3790">
        <v>2</v>
      </c>
      <c r="N3790">
        <v>414.09</v>
      </c>
      <c r="O3790">
        <v>620.03</v>
      </c>
      <c r="P3790">
        <v>31</v>
      </c>
      <c r="Q3790">
        <v>31</v>
      </c>
      <c r="R3790" t="s">
        <v>30</v>
      </c>
      <c r="S3790">
        <v>29</v>
      </c>
      <c r="T3790">
        <v>1</v>
      </c>
      <c r="U3790">
        <v>2</v>
      </c>
      <c r="V3790">
        <v>589.03</v>
      </c>
      <c r="W3790">
        <v>13130003788</v>
      </c>
    </row>
    <row r="3791" spans="1:23" x14ac:dyDescent="0.2">
      <c r="A3791" s="1">
        <v>44780</v>
      </c>
      <c r="B3791" s="2">
        <v>0.40457175925925931</v>
      </c>
      <c r="C3791">
        <v>4789</v>
      </c>
      <c r="D3791">
        <v>13002561</v>
      </c>
      <c r="E3791">
        <v>13</v>
      </c>
      <c r="F3791">
        <v>22589</v>
      </c>
      <c r="G3791" t="s">
        <v>23</v>
      </c>
      <c r="H3791">
        <v>18</v>
      </c>
      <c r="I3791">
        <v>29042</v>
      </c>
      <c r="J3791" t="s">
        <v>84</v>
      </c>
      <c r="K3791" t="s">
        <v>28</v>
      </c>
      <c r="L3791" t="s">
        <v>39</v>
      </c>
      <c r="M3791">
        <v>3</v>
      </c>
      <c r="N3791">
        <v>203.42</v>
      </c>
      <c r="O3791">
        <v>315.01</v>
      </c>
      <c r="P3791">
        <v>31.5</v>
      </c>
      <c r="Q3791">
        <v>31.5</v>
      </c>
      <c r="R3791" t="s">
        <v>30</v>
      </c>
      <c r="S3791">
        <v>29</v>
      </c>
      <c r="T3791">
        <v>1</v>
      </c>
      <c r="U3791">
        <v>2</v>
      </c>
      <c r="V3791">
        <v>283.51</v>
      </c>
      <c r="W3791">
        <v>13130003789</v>
      </c>
    </row>
    <row r="3792" spans="1:23" x14ac:dyDescent="0.2">
      <c r="A3792" s="1">
        <v>44775</v>
      </c>
      <c r="B3792" s="2">
        <v>0.58796296296296291</v>
      </c>
      <c r="C3792">
        <v>4790</v>
      </c>
      <c r="D3792">
        <v>13002561</v>
      </c>
      <c r="E3792">
        <v>13</v>
      </c>
      <c r="F3792">
        <v>22589</v>
      </c>
      <c r="G3792" t="s">
        <v>23</v>
      </c>
      <c r="H3792">
        <v>15</v>
      </c>
      <c r="I3792">
        <v>16041</v>
      </c>
      <c r="J3792" t="s">
        <v>93</v>
      </c>
      <c r="K3792" t="s">
        <v>45</v>
      </c>
      <c r="L3792" t="s">
        <v>34</v>
      </c>
      <c r="M3792">
        <v>1</v>
      </c>
      <c r="N3792">
        <v>227.17</v>
      </c>
      <c r="O3792">
        <v>331.55</v>
      </c>
      <c r="P3792">
        <v>0</v>
      </c>
      <c r="Q3792">
        <v>0</v>
      </c>
      <c r="S3792">
        <v>29</v>
      </c>
      <c r="T3792">
        <v>1</v>
      </c>
      <c r="U3792">
        <v>3</v>
      </c>
      <c r="V3792">
        <v>331.55</v>
      </c>
      <c r="W3792">
        <v>13130003790</v>
      </c>
    </row>
    <row r="3793" spans="1:23" x14ac:dyDescent="0.2">
      <c r="A3793" s="1">
        <v>44782</v>
      </c>
      <c r="B3793" s="2">
        <v>0.63479166666666664</v>
      </c>
      <c r="C3793">
        <v>4791</v>
      </c>
      <c r="D3793">
        <v>13002561</v>
      </c>
      <c r="E3793">
        <v>13</v>
      </c>
      <c r="F3793">
        <v>22589</v>
      </c>
      <c r="G3793" t="s">
        <v>23</v>
      </c>
      <c r="H3793">
        <v>15</v>
      </c>
      <c r="I3793">
        <v>15869</v>
      </c>
      <c r="J3793" t="s">
        <v>123</v>
      </c>
      <c r="K3793" t="s">
        <v>45</v>
      </c>
      <c r="L3793" t="s">
        <v>32</v>
      </c>
      <c r="M3793">
        <v>1</v>
      </c>
      <c r="N3793">
        <v>131.57</v>
      </c>
      <c r="O3793">
        <v>168.61</v>
      </c>
      <c r="P3793">
        <v>0</v>
      </c>
      <c r="Q3793">
        <v>0</v>
      </c>
      <c r="S3793">
        <v>29</v>
      </c>
      <c r="T3793">
        <v>1</v>
      </c>
      <c r="U3793">
        <v>1</v>
      </c>
      <c r="V3793">
        <v>168.61</v>
      </c>
      <c r="W3793">
        <v>13130003791</v>
      </c>
    </row>
    <row r="3794" spans="1:23" x14ac:dyDescent="0.2">
      <c r="A3794" s="1">
        <v>44794</v>
      </c>
      <c r="B3794" s="2">
        <v>0.88533564814814814</v>
      </c>
      <c r="C3794">
        <v>4792</v>
      </c>
      <c r="D3794">
        <v>13002561</v>
      </c>
      <c r="E3794">
        <v>13</v>
      </c>
      <c r="F3794">
        <v>22589</v>
      </c>
      <c r="G3794" t="s">
        <v>23</v>
      </c>
      <c r="H3794">
        <v>15</v>
      </c>
      <c r="I3794">
        <v>94895</v>
      </c>
      <c r="J3794" t="s">
        <v>69</v>
      </c>
      <c r="K3794" t="s">
        <v>45</v>
      </c>
      <c r="L3794" t="s">
        <v>36</v>
      </c>
      <c r="M3794">
        <v>1</v>
      </c>
      <c r="N3794">
        <v>226.54</v>
      </c>
      <c r="O3794">
        <v>298.81</v>
      </c>
      <c r="P3794">
        <v>29.88</v>
      </c>
      <c r="Q3794">
        <v>29.88</v>
      </c>
      <c r="R3794" t="s">
        <v>30</v>
      </c>
      <c r="S3794">
        <v>29</v>
      </c>
      <c r="T3794">
        <v>1</v>
      </c>
      <c r="U3794">
        <v>3</v>
      </c>
      <c r="V3794">
        <v>268.93</v>
      </c>
      <c r="W3794">
        <v>13130003792</v>
      </c>
    </row>
    <row r="3795" spans="1:23" x14ac:dyDescent="0.2">
      <c r="A3795" s="1">
        <v>44776</v>
      </c>
      <c r="B3795" s="2">
        <v>0.84483796296296299</v>
      </c>
      <c r="C3795">
        <v>4793</v>
      </c>
      <c r="D3795">
        <v>13002561</v>
      </c>
      <c r="E3795">
        <v>13</v>
      </c>
      <c r="F3795">
        <v>22589</v>
      </c>
      <c r="G3795" t="s">
        <v>23</v>
      </c>
      <c r="H3795">
        <v>15</v>
      </c>
      <c r="I3795">
        <v>23144</v>
      </c>
      <c r="J3795" t="s">
        <v>123</v>
      </c>
      <c r="K3795" t="s">
        <v>44</v>
      </c>
      <c r="L3795" t="s">
        <v>39</v>
      </c>
      <c r="M3795">
        <v>1</v>
      </c>
      <c r="N3795">
        <v>22.8</v>
      </c>
      <c r="O3795">
        <v>33.380000000000003</v>
      </c>
      <c r="P3795">
        <v>0</v>
      </c>
      <c r="Q3795">
        <v>0</v>
      </c>
      <c r="S3795">
        <v>29</v>
      </c>
      <c r="T3795">
        <v>1</v>
      </c>
      <c r="U3795">
        <v>2</v>
      </c>
      <c r="V3795">
        <v>33.380000000000003</v>
      </c>
      <c r="W3795">
        <v>13130003793</v>
      </c>
    </row>
    <row r="3796" spans="1:23" x14ac:dyDescent="0.2">
      <c r="A3796" s="1">
        <v>44797</v>
      </c>
      <c r="B3796" s="2">
        <v>0.44427083333333328</v>
      </c>
      <c r="C3796">
        <v>4794</v>
      </c>
      <c r="D3796">
        <v>13002561</v>
      </c>
      <c r="E3796">
        <v>13</v>
      </c>
      <c r="F3796">
        <v>22589</v>
      </c>
      <c r="G3796" t="s">
        <v>23</v>
      </c>
      <c r="H3796">
        <v>18</v>
      </c>
      <c r="I3796">
        <v>60281</v>
      </c>
      <c r="J3796" t="s">
        <v>93</v>
      </c>
      <c r="K3796" t="s">
        <v>25</v>
      </c>
      <c r="L3796" t="s">
        <v>39</v>
      </c>
      <c r="M3796">
        <v>2</v>
      </c>
      <c r="N3796">
        <v>274.49</v>
      </c>
      <c r="O3796">
        <v>362.24</v>
      </c>
      <c r="P3796">
        <v>0</v>
      </c>
      <c r="Q3796">
        <v>0</v>
      </c>
      <c r="S3796">
        <v>29</v>
      </c>
      <c r="T3796">
        <v>1</v>
      </c>
      <c r="U3796">
        <v>2</v>
      </c>
      <c r="V3796">
        <v>362.24</v>
      </c>
      <c r="W3796">
        <v>13130003794</v>
      </c>
    </row>
    <row r="3797" spans="1:23" x14ac:dyDescent="0.2">
      <c r="A3797" s="1">
        <v>44787</v>
      </c>
      <c r="B3797" s="2">
        <v>0.94672453703703707</v>
      </c>
      <c r="C3797">
        <v>4795</v>
      </c>
      <c r="D3797">
        <v>13002561</v>
      </c>
      <c r="E3797">
        <v>13</v>
      </c>
      <c r="F3797">
        <v>22589</v>
      </c>
      <c r="G3797" t="s">
        <v>23</v>
      </c>
      <c r="H3797">
        <v>15</v>
      </c>
      <c r="I3797">
        <v>81840</v>
      </c>
      <c r="J3797" t="s">
        <v>68</v>
      </c>
      <c r="K3797" t="s">
        <v>25</v>
      </c>
      <c r="L3797" t="s">
        <v>39</v>
      </c>
      <c r="M3797">
        <v>1</v>
      </c>
      <c r="N3797">
        <v>289.3</v>
      </c>
      <c r="O3797">
        <v>476.77</v>
      </c>
      <c r="P3797">
        <v>23.84</v>
      </c>
      <c r="Q3797">
        <v>23.84</v>
      </c>
      <c r="R3797" t="s">
        <v>30</v>
      </c>
      <c r="S3797">
        <v>29</v>
      </c>
      <c r="T3797">
        <v>1</v>
      </c>
      <c r="U3797">
        <v>2</v>
      </c>
      <c r="V3797">
        <v>452.93</v>
      </c>
      <c r="W3797">
        <v>13130003795</v>
      </c>
    </row>
    <row r="3798" spans="1:23" x14ac:dyDescent="0.2">
      <c r="A3798" s="1">
        <v>44788</v>
      </c>
      <c r="B3798" s="2">
        <v>0.70321759259259264</v>
      </c>
      <c r="C3798">
        <v>4796</v>
      </c>
      <c r="D3798">
        <v>13002561</v>
      </c>
      <c r="E3798">
        <v>13</v>
      </c>
      <c r="F3798">
        <v>22589</v>
      </c>
      <c r="G3798" t="s">
        <v>23</v>
      </c>
      <c r="H3798">
        <v>15</v>
      </c>
      <c r="I3798">
        <v>31465</v>
      </c>
      <c r="J3798" t="s">
        <v>41</v>
      </c>
      <c r="K3798" t="s">
        <v>25</v>
      </c>
      <c r="L3798" t="s">
        <v>51</v>
      </c>
      <c r="M3798">
        <v>1</v>
      </c>
      <c r="N3798">
        <v>505.91</v>
      </c>
      <c r="O3798">
        <v>805.28</v>
      </c>
      <c r="P3798">
        <v>40.26</v>
      </c>
      <c r="Q3798">
        <v>40.26</v>
      </c>
      <c r="R3798" t="s">
        <v>30</v>
      </c>
      <c r="S3798">
        <v>29</v>
      </c>
      <c r="T3798">
        <v>1</v>
      </c>
      <c r="U3798">
        <v>3</v>
      </c>
      <c r="V3798">
        <v>765.02</v>
      </c>
      <c r="W3798">
        <v>13130003796</v>
      </c>
    </row>
    <row r="3799" spans="1:23" x14ac:dyDescent="0.2">
      <c r="A3799" s="1">
        <v>44780</v>
      </c>
      <c r="B3799" s="2">
        <v>0.56123842592592588</v>
      </c>
      <c r="C3799">
        <v>4797</v>
      </c>
      <c r="D3799">
        <v>13002561</v>
      </c>
      <c r="E3799">
        <v>13</v>
      </c>
      <c r="F3799">
        <v>22589</v>
      </c>
      <c r="G3799" t="s">
        <v>23</v>
      </c>
      <c r="H3799">
        <v>15</v>
      </c>
      <c r="I3799">
        <v>23279</v>
      </c>
      <c r="J3799" t="s">
        <v>74</v>
      </c>
      <c r="K3799" t="s">
        <v>60</v>
      </c>
      <c r="L3799" t="s">
        <v>34</v>
      </c>
      <c r="M3799">
        <v>1</v>
      </c>
      <c r="N3799">
        <v>383.59</v>
      </c>
      <c r="O3799">
        <v>645.65</v>
      </c>
      <c r="P3799">
        <v>64.56</v>
      </c>
      <c r="Q3799">
        <v>64.56</v>
      </c>
      <c r="R3799" t="s">
        <v>30</v>
      </c>
      <c r="S3799">
        <v>29</v>
      </c>
      <c r="T3799">
        <v>1</v>
      </c>
      <c r="U3799">
        <v>4</v>
      </c>
      <c r="V3799">
        <v>581.09</v>
      </c>
      <c r="W3799">
        <v>13130003797</v>
      </c>
    </row>
    <row r="3800" spans="1:23" x14ac:dyDescent="0.2">
      <c r="A3800" s="1">
        <v>44783</v>
      </c>
      <c r="B3800" s="2">
        <v>0.49534722222222222</v>
      </c>
      <c r="C3800">
        <v>4798</v>
      </c>
      <c r="D3800">
        <v>13002561</v>
      </c>
      <c r="E3800">
        <v>13</v>
      </c>
      <c r="F3800">
        <v>22589</v>
      </c>
      <c r="G3800" t="s">
        <v>23</v>
      </c>
      <c r="H3800">
        <v>15</v>
      </c>
      <c r="I3800">
        <v>54348</v>
      </c>
      <c r="J3800" t="s">
        <v>72</v>
      </c>
      <c r="K3800" t="s">
        <v>25</v>
      </c>
      <c r="L3800" t="s">
        <v>39</v>
      </c>
      <c r="M3800">
        <v>3</v>
      </c>
      <c r="N3800">
        <v>573.39</v>
      </c>
      <c r="O3800">
        <v>741.34</v>
      </c>
      <c r="P3800">
        <v>0</v>
      </c>
      <c r="Q3800">
        <v>0</v>
      </c>
      <c r="S3800">
        <v>29</v>
      </c>
      <c r="T3800">
        <v>1</v>
      </c>
      <c r="U3800">
        <v>1</v>
      </c>
      <c r="V3800">
        <v>741.34</v>
      </c>
      <c r="W3800">
        <v>13130003798</v>
      </c>
    </row>
    <row r="3801" spans="1:23" x14ac:dyDescent="0.2">
      <c r="A3801" s="1">
        <v>44780</v>
      </c>
      <c r="B3801" s="2">
        <v>0.51543981481481482</v>
      </c>
      <c r="C3801">
        <v>4799</v>
      </c>
      <c r="D3801">
        <v>13002561</v>
      </c>
      <c r="E3801">
        <v>13</v>
      </c>
      <c r="F3801">
        <v>22589</v>
      </c>
      <c r="G3801" t="s">
        <v>23</v>
      </c>
      <c r="H3801">
        <v>15</v>
      </c>
      <c r="I3801">
        <v>59572</v>
      </c>
      <c r="J3801" t="s">
        <v>65</v>
      </c>
      <c r="K3801" t="s">
        <v>25</v>
      </c>
      <c r="L3801" t="s">
        <v>34</v>
      </c>
      <c r="M3801">
        <v>3</v>
      </c>
      <c r="N3801">
        <v>20.99</v>
      </c>
      <c r="O3801">
        <v>26.76</v>
      </c>
      <c r="P3801">
        <v>1.34</v>
      </c>
      <c r="Q3801">
        <v>1.34</v>
      </c>
      <c r="R3801" t="s">
        <v>30</v>
      </c>
      <c r="S3801">
        <v>29</v>
      </c>
      <c r="T3801">
        <v>1</v>
      </c>
      <c r="U3801">
        <v>3</v>
      </c>
      <c r="V3801">
        <v>25.42</v>
      </c>
      <c r="W3801">
        <v>13130003799</v>
      </c>
    </row>
    <row r="3802" spans="1:23" x14ac:dyDescent="0.2">
      <c r="A3802" s="1">
        <v>44777</v>
      </c>
      <c r="B3802" s="2">
        <v>0.94684027777777779</v>
      </c>
      <c r="C3802">
        <v>4800</v>
      </c>
      <c r="D3802">
        <v>13002561</v>
      </c>
      <c r="E3802">
        <v>13</v>
      </c>
      <c r="F3802">
        <v>22589</v>
      </c>
      <c r="G3802" t="s">
        <v>23</v>
      </c>
      <c r="H3802">
        <v>18</v>
      </c>
      <c r="I3802">
        <v>73618</v>
      </c>
      <c r="J3802" t="s">
        <v>62</v>
      </c>
      <c r="K3802" t="s">
        <v>38</v>
      </c>
      <c r="L3802" t="s">
        <v>32</v>
      </c>
      <c r="M3802">
        <v>3</v>
      </c>
      <c r="N3802">
        <v>50.73</v>
      </c>
      <c r="O3802">
        <v>68.08</v>
      </c>
      <c r="P3802">
        <v>3.4</v>
      </c>
      <c r="Q3802">
        <v>3.4</v>
      </c>
      <c r="R3802" t="s">
        <v>30</v>
      </c>
      <c r="S3802">
        <v>29</v>
      </c>
      <c r="T3802">
        <v>1</v>
      </c>
      <c r="U3802">
        <v>2</v>
      </c>
      <c r="V3802">
        <v>64.680000000000007</v>
      </c>
      <c r="W3802">
        <v>13130003800</v>
      </c>
    </row>
    <row r="3803" spans="1:23" x14ac:dyDescent="0.2">
      <c r="A3803" s="1">
        <v>44795</v>
      </c>
      <c r="B3803" s="2">
        <v>0.72039351851851852</v>
      </c>
      <c r="C3803">
        <v>4801</v>
      </c>
      <c r="D3803">
        <v>13002561</v>
      </c>
      <c r="E3803">
        <v>13</v>
      </c>
      <c r="F3803">
        <v>22589</v>
      </c>
      <c r="G3803" t="s">
        <v>23</v>
      </c>
      <c r="H3803">
        <v>18</v>
      </c>
      <c r="I3803">
        <v>32875</v>
      </c>
      <c r="J3803" t="s">
        <v>52</v>
      </c>
      <c r="K3803" t="s">
        <v>28</v>
      </c>
      <c r="L3803" t="s">
        <v>36</v>
      </c>
      <c r="M3803">
        <v>1</v>
      </c>
      <c r="N3803">
        <v>193.39</v>
      </c>
      <c r="O3803">
        <v>317.26</v>
      </c>
      <c r="P3803">
        <v>15.86</v>
      </c>
      <c r="Q3803">
        <v>15.86</v>
      </c>
      <c r="R3803" t="s">
        <v>30</v>
      </c>
      <c r="S3803">
        <v>29</v>
      </c>
      <c r="T3803">
        <v>1</v>
      </c>
      <c r="U3803">
        <v>4</v>
      </c>
      <c r="V3803">
        <v>301.39999999999998</v>
      </c>
      <c r="W3803">
        <v>13130003801</v>
      </c>
    </row>
    <row r="3804" spans="1:23" x14ac:dyDescent="0.2">
      <c r="A3804" s="1">
        <v>44792</v>
      </c>
      <c r="B3804" s="2">
        <v>0.65266203703703707</v>
      </c>
      <c r="C3804">
        <v>4802</v>
      </c>
      <c r="D3804">
        <v>13002561</v>
      </c>
      <c r="E3804">
        <v>13</v>
      </c>
      <c r="F3804">
        <v>22589</v>
      </c>
      <c r="G3804" t="s">
        <v>23</v>
      </c>
      <c r="H3804">
        <v>15</v>
      </c>
      <c r="I3804">
        <v>15403</v>
      </c>
      <c r="J3804" t="s">
        <v>104</v>
      </c>
      <c r="K3804" t="s">
        <v>25</v>
      </c>
      <c r="L3804" t="s">
        <v>26</v>
      </c>
      <c r="M3804">
        <v>2</v>
      </c>
      <c r="N3804">
        <v>26.54</v>
      </c>
      <c r="O3804">
        <v>39.770000000000003</v>
      </c>
      <c r="P3804">
        <v>3.98</v>
      </c>
      <c r="Q3804">
        <v>3.98</v>
      </c>
      <c r="R3804" t="s">
        <v>30</v>
      </c>
      <c r="S3804">
        <v>29</v>
      </c>
      <c r="T3804">
        <v>1</v>
      </c>
      <c r="U3804">
        <v>2</v>
      </c>
      <c r="V3804">
        <v>35.79</v>
      </c>
      <c r="W3804">
        <v>13130003802</v>
      </c>
    </row>
    <row r="3805" spans="1:23" x14ac:dyDescent="0.2">
      <c r="A3805" s="1">
        <v>44798</v>
      </c>
      <c r="B3805" s="2">
        <v>0.91260416666666666</v>
      </c>
      <c r="C3805">
        <v>4803</v>
      </c>
      <c r="D3805">
        <v>13002561</v>
      </c>
      <c r="E3805">
        <v>13</v>
      </c>
      <c r="F3805">
        <v>22589</v>
      </c>
      <c r="G3805" t="s">
        <v>23</v>
      </c>
      <c r="H3805">
        <v>18</v>
      </c>
      <c r="I3805">
        <v>95256</v>
      </c>
      <c r="J3805" t="s">
        <v>91</v>
      </c>
      <c r="K3805" t="s">
        <v>44</v>
      </c>
      <c r="L3805" t="s">
        <v>47</v>
      </c>
      <c r="M3805">
        <v>2</v>
      </c>
      <c r="N3805">
        <v>457.33</v>
      </c>
      <c r="O3805">
        <v>589.87</v>
      </c>
      <c r="P3805">
        <v>29.49</v>
      </c>
      <c r="Q3805">
        <v>29.49</v>
      </c>
      <c r="R3805" t="s">
        <v>30</v>
      </c>
      <c r="S3805">
        <v>29</v>
      </c>
      <c r="T3805">
        <v>1</v>
      </c>
      <c r="U3805">
        <v>2</v>
      </c>
      <c r="V3805">
        <v>560.38</v>
      </c>
      <c r="W3805">
        <v>13130003803</v>
      </c>
    </row>
    <row r="3806" spans="1:23" x14ac:dyDescent="0.2">
      <c r="A3806" s="1">
        <v>44795</v>
      </c>
      <c r="B3806" s="2">
        <v>0.42350694444444442</v>
      </c>
      <c r="C3806">
        <v>4804</v>
      </c>
      <c r="D3806">
        <v>13002561</v>
      </c>
      <c r="E3806">
        <v>13</v>
      </c>
      <c r="F3806">
        <v>22589</v>
      </c>
      <c r="G3806" t="s">
        <v>23</v>
      </c>
      <c r="H3806">
        <v>15</v>
      </c>
      <c r="I3806">
        <v>57799</v>
      </c>
      <c r="J3806" t="s">
        <v>65</v>
      </c>
      <c r="K3806" t="s">
        <v>28</v>
      </c>
      <c r="L3806" t="s">
        <v>36</v>
      </c>
      <c r="M3806">
        <v>3</v>
      </c>
      <c r="N3806">
        <v>301.54000000000002</v>
      </c>
      <c r="O3806">
        <v>468.27</v>
      </c>
      <c r="P3806">
        <v>23.41</v>
      </c>
      <c r="Q3806">
        <v>23.41</v>
      </c>
      <c r="R3806" t="s">
        <v>30</v>
      </c>
      <c r="S3806">
        <v>29</v>
      </c>
      <c r="T3806">
        <v>1</v>
      </c>
      <c r="U3806">
        <v>5</v>
      </c>
      <c r="V3806">
        <v>444.86</v>
      </c>
      <c r="W3806">
        <v>13130003804</v>
      </c>
    </row>
    <row r="3807" spans="1:23" x14ac:dyDescent="0.2">
      <c r="A3807" s="1">
        <v>44786</v>
      </c>
      <c r="B3807" s="2">
        <v>0.81516203703703705</v>
      </c>
      <c r="C3807">
        <v>4805</v>
      </c>
      <c r="D3807">
        <v>13002561</v>
      </c>
      <c r="E3807">
        <v>13</v>
      </c>
      <c r="F3807">
        <v>22589</v>
      </c>
      <c r="G3807" t="s">
        <v>23</v>
      </c>
      <c r="H3807">
        <v>15</v>
      </c>
      <c r="I3807">
        <v>11372</v>
      </c>
      <c r="J3807" t="s">
        <v>56</v>
      </c>
      <c r="K3807" t="s">
        <v>25</v>
      </c>
      <c r="L3807" t="s">
        <v>39</v>
      </c>
      <c r="M3807">
        <v>3</v>
      </c>
      <c r="N3807">
        <v>383.07</v>
      </c>
      <c r="O3807">
        <v>632.69000000000005</v>
      </c>
      <c r="P3807">
        <v>0</v>
      </c>
      <c r="Q3807">
        <v>0</v>
      </c>
      <c r="S3807">
        <v>29</v>
      </c>
      <c r="T3807">
        <v>1</v>
      </c>
      <c r="U3807">
        <v>4</v>
      </c>
      <c r="V3807">
        <v>632.69000000000005</v>
      </c>
      <c r="W3807">
        <v>13130003805</v>
      </c>
    </row>
    <row r="3808" spans="1:23" x14ac:dyDescent="0.2">
      <c r="A3808" s="1">
        <v>44789</v>
      </c>
      <c r="B3808" s="2">
        <v>0.64353009259259264</v>
      </c>
      <c r="C3808">
        <v>4806</v>
      </c>
      <c r="D3808">
        <v>13002561</v>
      </c>
      <c r="E3808">
        <v>13</v>
      </c>
      <c r="F3808">
        <v>22589</v>
      </c>
      <c r="G3808" t="s">
        <v>23</v>
      </c>
      <c r="H3808">
        <v>15</v>
      </c>
      <c r="I3808">
        <v>78675</v>
      </c>
      <c r="J3808" t="s">
        <v>108</v>
      </c>
      <c r="K3808" t="s">
        <v>25</v>
      </c>
      <c r="L3808" t="s">
        <v>39</v>
      </c>
      <c r="M3808">
        <v>3</v>
      </c>
      <c r="N3808">
        <v>148.26</v>
      </c>
      <c r="O3808">
        <v>240.3</v>
      </c>
      <c r="P3808">
        <v>24.03</v>
      </c>
      <c r="Q3808">
        <v>24.03</v>
      </c>
      <c r="R3808" t="s">
        <v>30</v>
      </c>
      <c r="S3808">
        <v>29</v>
      </c>
      <c r="T3808">
        <v>1</v>
      </c>
      <c r="U3808">
        <v>1</v>
      </c>
      <c r="V3808">
        <v>216.27</v>
      </c>
      <c r="W3808">
        <v>13130003806</v>
      </c>
    </row>
    <row r="3809" spans="1:23" x14ac:dyDescent="0.2">
      <c r="A3809" s="1">
        <v>44800</v>
      </c>
      <c r="B3809" s="2">
        <v>0.39591435185185192</v>
      </c>
      <c r="C3809">
        <v>4807</v>
      </c>
      <c r="D3809">
        <v>13002561</v>
      </c>
      <c r="E3809">
        <v>13</v>
      </c>
      <c r="F3809">
        <v>22589</v>
      </c>
      <c r="G3809" t="s">
        <v>23</v>
      </c>
      <c r="H3809">
        <v>18</v>
      </c>
      <c r="I3809">
        <v>12799</v>
      </c>
      <c r="J3809" t="s">
        <v>73</v>
      </c>
      <c r="K3809" t="s">
        <v>45</v>
      </c>
      <c r="L3809" t="s">
        <v>51</v>
      </c>
      <c r="M3809">
        <v>2</v>
      </c>
      <c r="N3809">
        <v>453.29</v>
      </c>
      <c r="O3809">
        <v>725.66</v>
      </c>
      <c r="P3809">
        <v>0</v>
      </c>
      <c r="Q3809">
        <v>0</v>
      </c>
      <c r="S3809">
        <v>29</v>
      </c>
      <c r="T3809">
        <v>1</v>
      </c>
      <c r="U3809">
        <v>3</v>
      </c>
      <c r="V3809">
        <v>725.66</v>
      </c>
      <c r="W3809">
        <v>13130003807</v>
      </c>
    </row>
    <row r="3810" spans="1:23" x14ac:dyDescent="0.2">
      <c r="A3810" s="1">
        <v>44775</v>
      </c>
      <c r="B3810" s="2">
        <v>0.77940972222222227</v>
      </c>
      <c r="C3810">
        <v>4808</v>
      </c>
      <c r="D3810">
        <v>13002561</v>
      </c>
      <c r="E3810">
        <v>13</v>
      </c>
      <c r="F3810">
        <v>22589</v>
      </c>
      <c r="G3810" t="s">
        <v>23</v>
      </c>
      <c r="H3810">
        <v>15</v>
      </c>
      <c r="I3810">
        <v>40925</v>
      </c>
      <c r="J3810" t="s">
        <v>117</v>
      </c>
      <c r="K3810" t="s">
        <v>45</v>
      </c>
      <c r="L3810" t="s">
        <v>47</v>
      </c>
      <c r="M3810">
        <v>2</v>
      </c>
      <c r="N3810">
        <v>90.49</v>
      </c>
      <c r="O3810">
        <v>124.01</v>
      </c>
      <c r="P3810">
        <v>0</v>
      </c>
      <c r="Q3810">
        <v>0</v>
      </c>
      <c r="S3810">
        <v>29</v>
      </c>
      <c r="T3810">
        <v>1</v>
      </c>
      <c r="U3810">
        <v>1</v>
      </c>
      <c r="V3810">
        <v>124.01</v>
      </c>
      <c r="W3810">
        <v>13130003808</v>
      </c>
    </row>
    <row r="3811" spans="1:23" x14ac:dyDescent="0.2">
      <c r="A3811" s="1">
        <v>44804</v>
      </c>
      <c r="B3811" s="2">
        <v>0.38546296296296301</v>
      </c>
      <c r="C3811">
        <v>4809</v>
      </c>
      <c r="D3811">
        <v>13002561</v>
      </c>
      <c r="E3811">
        <v>13</v>
      </c>
      <c r="F3811">
        <v>22589</v>
      </c>
      <c r="G3811" t="s">
        <v>23</v>
      </c>
      <c r="H3811">
        <v>18</v>
      </c>
      <c r="I3811">
        <v>65026</v>
      </c>
      <c r="J3811" t="s">
        <v>123</v>
      </c>
      <c r="K3811" t="s">
        <v>44</v>
      </c>
      <c r="L3811" t="s">
        <v>26</v>
      </c>
      <c r="M3811">
        <v>1</v>
      </c>
      <c r="N3811">
        <v>503.38</v>
      </c>
      <c r="O3811">
        <v>755.88</v>
      </c>
      <c r="P3811">
        <v>0</v>
      </c>
      <c r="Q3811">
        <v>0</v>
      </c>
      <c r="S3811">
        <v>29</v>
      </c>
      <c r="T3811">
        <v>1</v>
      </c>
      <c r="U3811">
        <v>1</v>
      </c>
      <c r="V3811">
        <v>755.88</v>
      </c>
      <c r="W3811">
        <v>13130003809</v>
      </c>
    </row>
    <row r="3812" spans="1:23" x14ac:dyDescent="0.2">
      <c r="A3812" s="1">
        <v>44798</v>
      </c>
      <c r="B3812" s="2">
        <v>0.70915509259259257</v>
      </c>
      <c r="C3812">
        <v>4810</v>
      </c>
      <c r="D3812">
        <v>13002561</v>
      </c>
      <c r="E3812">
        <v>13</v>
      </c>
      <c r="F3812">
        <v>22589</v>
      </c>
      <c r="G3812" t="s">
        <v>23</v>
      </c>
      <c r="H3812">
        <v>18</v>
      </c>
      <c r="I3812">
        <v>28846</v>
      </c>
      <c r="J3812" t="s">
        <v>104</v>
      </c>
      <c r="K3812" t="s">
        <v>60</v>
      </c>
      <c r="L3812" t="s">
        <v>51</v>
      </c>
      <c r="M3812">
        <v>1</v>
      </c>
      <c r="N3812">
        <v>331.13</v>
      </c>
      <c r="O3812">
        <v>507.61</v>
      </c>
      <c r="P3812">
        <v>25.38</v>
      </c>
      <c r="Q3812">
        <v>25.38</v>
      </c>
      <c r="R3812" t="s">
        <v>30</v>
      </c>
      <c r="S3812">
        <v>29</v>
      </c>
      <c r="T3812">
        <v>1</v>
      </c>
      <c r="U3812">
        <v>4</v>
      </c>
      <c r="V3812">
        <v>482.23</v>
      </c>
      <c r="W3812">
        <v>13130003810</v>
      </c>
    </row>
    <row r="3813" spans="1:23" x14ac:dyDescent="0.2">
      <c r="A3813" s="1">
        <v>44783</v>
      </c>
      <c r="B3813" s="2">
        <v>0.89274305555555555</v>
      </c>
      <c r="C3813">
        <v>4811</v>
      </c>
      <c r="D3813">
        <v>13002561</v>
      </c>
      <c r="E3813">
        <v>13</v>
      </c>
      <c r="F3813">
        <v>22589</v>
      </c>
      <c r="G3813" t="s">
        <v>23</v>
      </c>
      <c r="H3813">
        <v>18</v>
      </c>
      <c r="I3813">
        <v>95475</v>
      </c>
      <c r="J3813" t="s">
        <v>55</v>
      </c>
      <c r="K3813" t="s">
        <v>28</v>
      </c>
      <c r="L3813" t="s">
        <v>26</v>
      </c>
      <c r="M3813">
        <v>3</v>
      </c>
      <c r="N3813">
        <v>555.37</v>
      </c>
      <c r="O3813">
        <v>708.82</v>
      </c>
      <c r="P3813">
        <v>0</v>
      </c>
      <c r="Q3813">
        <v>0</v>
      </c>
      <c r="S3813">
        <v>29</v>
      </c>
      <c r="T3813">
        <v>1</v>
      </c>
      <c r="U3813">
        <v>2</v>
      </c>
      <c r="V3813">
        <v>708.82</v>
      </c>
      <c r="W3813">
        <v>13130003811</v>
      </c>
    </row>
    <row r="3814" spans="1:23" x14ac:dyDescent="0.2">
      <c r="A3814" s="1">
        <v>44774</v>
      </c>
      <c r="B3814" s="2">
        <v>0.49408564814814809</v>
      </c>
      <c r="C3814">
        <v>4812</v>
      </c>
      <c r="D3814">
        <v>13002561</v>
      </c>
      <c r="E3814">
        <v>13</v>
      </c>
      <c r="F3814">
        <v>22589</v>
      </c>
      <c r="G3814" t="s">
        <v>23</v>
      </c>
      <c r="H3814">
        <v>18</v>
      </c>
      <c r="I3814">
        <v>21435</v>
      </c>
      <c r="J3814" t="s">
        <v>121</v>
      </c>
      <c r="K3814" t="s">
        <v>25</v>
      </c>
      <c r="L3814" t="s">
        <v>29</v>
      </c>
      <c r="M3814">
        <v>1</v>
      </c>
      <c r="N3814">
        <v>454.63</v>
      </c>
      <c r="O3814">
        <v>611.73</v>
      </c>
      <c r="P3814">
        <v>61.17</v>
      </c>
      <c r="Q3814">
        <v>61.17</v>
      </c>
      <c r="R3814" t="s">
        <v>30</v>
      </c>
      <c r="S3814">
        <v>29</v>
      </c>
      <c r="T3814">
        <v>1</v>
      </c>
      <c r="U3814">
        <v>4</v>
      </c>
      <c r="V3814">
        <v>550.55999999999995</v>
      </c>
      <c r="W3814">
        <v>13130003812</v>
      </c>
    </row>
    <row r="3815" spans="1:23" x14ac:dyDescent="0.2">
      <c r="A3815" s="1">
        <v>44804</v>
      </c>
      <c r="B3815" s="2">
        <v>0.48202546296296289</v>
      </c>
      <c r="C3815">
        <v>4813</v>
      </c>
      <c r="D3815">
        <v>13002561</v>
      </c>
      <c r="E3815">
        <v>13</v>
      </c>
      <c r="F3815">
        <v>22589</v>
      </c>
      <c r="G3815" t="s">
        <v>23</v>
      </c>
      <c r="H3815">
        <v>18</v>
      </c>
      <c r="I3815">
        <v>33203</v>
      </c>
      <c r="J3815" t="s">
        <v>49</v>
      </c>
      <c r="K3815" t="s">
        <v>45</v>
      </c>
      <c r="L3815" t="s">
        <v>29</v>
      </c>
      <c r="M3815">
        <v>1</v>
      </c>
      <c r="N3815">
        <v>318.62</v>
      </c>
      <c r="O3815">
        <v>467.4</v>
      </c>
      <c r="P3815">
        <v>23.37</v>
      </c>
      <c r="Q3815">
        <v>23.37</v>
      </c>
      <c r="R3815" t="s">
        <v>30</v>
      </c>
      <c r="S3815">
        <v>29</v>
      </c>
      <c r="T3815">
        <v>1</v>
      </c>
      <c r="U3815">
        <v>1</v>
      </c>
      <c r="V3815">
        <v>444.03</v>
      </c>
      <c r="W3815">
        <v>13130003813</v>
      </c>
    </row>
    <row r="3816" spans="1:23" x14ac:dyDescent="0.2">
      <c r="A3816" s="1">
        <v>44804</v>
      </c>
      <c r="B3816" s="2">
        <v>0.47157407407407409</v>
      </c>
      <c r="C3816">
        <v>4814</v>
      </c>
      <c r="D3816">
        <v>13002561</v>
      </c>
      <c r="E3816">
        <v>13</v>
      </c>
      <c r="F3816">
        <v>22589</v>
      </c>
      <c r="G3816" t="s">
        <v>23</v>
      </c>
      <c r="H3816">
        <v>18</v>
      </c>
      <c r="I3816">
        <v>71057</v>
      </c>
      <c r="J3816" t="s">
        <v>102</v>
      </c>
      <c r="K3816" t="s">
        <v>38</v>
      </c>
      <c r="L3816" t="s">
        <v>51</v>
      </c>
      <c r="M3816">
        <v>2</v>
      </c>
      <c r="N3816">
        <v>139.11000000000001</v>
      </c>
      <c r="O3816">
        <v>186.89</v>
      </c>
      <c r="P3816">
        <v>18.690000000000001</v>
      </c>
      <c r="Q3816">
        <v>18.690000000000001</v>
      </c>
      <c r="R3816" t="s">
        <v>30</v>
      </c>
      <c r="S3816">
        <v>29</v>
      </c>
      <c r="T3816">
        <v>1</v>
      </c>
      <c r="U3816">
        <v>2</v>
      </c>
      <c r="V3816">
        <v>168.2</v>
      </c>
      <c r="W3816">
        <v>13130003814</v>
      </c>
    </row>
    <row r="3817" spans="1:23" x14ac:dyDescent="0.2">
      <c r="A3817" s="1">
        <v>44791</v>
      </c>
      <c r="B3817" s="2">
        <v>0.71517361111111111</v>
      </c>
      <c r="C3817">
        <v>4815</v>
      </c>
      <c r="D3817">
        <v>13002561</v>
      </c>
      <c r="E3817">
        <v>13</v>
      </c>
      <c r="F3817">
        <v>22589</v>
      </c>
      <c r="G3817" t="s">
        <v>23</v>
      </c>
      <c r="H3817">
        <v>18</v>
      </c>
      <c r="I3817">
        <v>62594</v>
      </c>
      <c r="J3817" t="s">
        <v>113</v>
      </c>
      <c r="K3817" t="s">
        <v>28</v>
      </c>
      <c r="L3817" t="s">
        <v>36</v>
      </c>
      <c r="M3817">
        <v>2</v>
      </c>
      <c r="N3817">
        <v>71.78</v>
      </c>
      <c r="O3817">
        <v>104.27</v>
      </c>
      <c r="P3817">
        <v>5.21</v>
      </c>
      <c r="Q3817">
        <v>5.21</v>
      </c>
      <c r="R3817" t="s">
        <v>30</v>
      </c>
      <c r="S3817">
        <v>29</v>
      </c>
      <c r="T3817">
        <v>1</v>
      </c>
      <c r="U3817">
        <v>1</v>
      </c>
      <c r="V3817">
        <v>99.06</v>
      </c>
      <c r="W3817">
        <v>13130003815</v>
      </c>
    </row>
    <row r="3818" spans="1:23" x14ac:dyDescent="0.2">
      <c r="A3818" s="1">
        <v>44794</v>
      </c>
      <c r="B3818" s="2">
        <v>0.95026620370370374</v>
      </c>
      <c r="C3818">
        <v>4816</v>
      </c>
      <c r="D3818">
        <v>13002561</v>
      </c>
      <c r="E3818">
        <v>13</v>
      </c>
      <c r="F3818">
        <v>22589</v>
      </c>
      <c r="G3818" t="s">
        <v>23</v>
      </c>
      <c r="H3818">
        <v>18</v>
      </c>
      <c r="I3818">
        <v>97987</v>
      </c>
      <c r="J3818" t="s">
        <v>71</v>
      </c>
      <c r="K3818" t="s">
        <v>60</v>
      </c>
      <c r="L3818" t="s">
        <v>29</v>
      </c>
      <c r="M3818">
        <v>2</v>
      </c>
      <c r="N3818">
        <v>297.79000000000002</v>
      </c>
      <c r="O3818">
        <v>398.47</v>
      </c>
      <c r="P3818">
        <v>39.85</v>
      </c>
      <c r="Q3818">
        <v>39.85</v>
      </c>
      <c r="R3818" t="s">
        <v>30</v>
      </c>
      <c r="S3818">
        <v>29</v>
      </c>
      <c r="T3818">
        <v>1</v>
      </c>
      <c r="U3818">
        <v>6</v>
      </c>
      <c r="V3818">
        <v>358.62</v>
      </c>
      <c r="W3818">
        <v>13130003816</v>
      </c>
    </row>
    <row r="3819" spans="1:23" x14ac:dyDescent="0.2">
      <c r="A3819" s="1">
        <v>44790</v>
      </c>
      <c r="B3819" s="2">
        <v>0.55170138888888887</v>
      </c>
      <c r="C3819">
        <v>4817</v>
      </c>
      <c r="D3819">
        <v>13002561</v>
      </c>
      <c r="E3819">
        <v>13</v>
      </c>
      <c r="F3819">
        <v>22589</v>
      </c>
      <c r="G3819" t="s">
        <v>23</v>
      </c>
      <c r="H3819">
        <v>18</v>
      </c>
      <c r="I3819">
        <v>86736</v>
      </c>
      <c r="J3819" t="s">
        <v>85</v>
      </c>
      <c r="K3819" t="s">
        <v>60</v>
      </c>
      <c r="L3819" t="s">
        <v>26</v>
      </c>
      <c r="M3819">
        <v>3</v>
      </c>
      <c r="N3819">
        <v>582.86</v>
      </c>
      <c r="O3819">
        <v>936.61</v>
      </c>
      <c r="P3819">
        <v>0</v>
      </c>
      <c r="Q3819">
        <v>0</v>
      </c>
      <c r="S3819">
        <v>29</v>
      </c>
      <c r="T3819">
        <v>1</v>
      </c>
      <c r="U3819">
        <v>5</v>
      </c>
      <c r="V3819">
        <v>936.61</v>
      </c>
      <c r="W3819">
        <v>13130003817</v>
      </c>
    </row>
    <row r="3820" spans="1:23" x14ac:dyDescent="0.2">
      <c r="A3820" s="1">
        <v>44791</v>
      </c>
      <c r="B3820" s="2">
        <v>0.88725694444444447</v>
      </c>
      <c r="C3820">
        <v>4818</v>
      </c>
      <c r="D3820">
        <v>13002561</v>
      </c>
      <c r="E3820">
        <v>13</v>
      </c>
      <c r="F3820">
        <v>22589</v>
      </c>
      <c r="G3820" t="s">
        <v>23</v>
      </c>
      <c r="H3820">
        <v>15</v>
      </c>
      <c r="I3820">
        <v>53133</v>
      </c>
      <c r="J3820" t="s">
        <v>48</v>
      </c>
      <c r="K3820" t="s">
        <v>38</v>
      </c>
      <c r="L3820" t="s">
        <v>51</v>
      </c>
      <c r="M3820">
        <v>1</v>
      </c>
      <c r="N3820">
        <v>489.32</v>
      </c>
      <c r="O3820">
        <v>827.98</v>
      </c>
      <c r="P3820">
        <v>82.8</v>
      </c>
      <c r="Q3820">
        <v>82.8</v>
      </c>
      <c r="R3820" t="s">
        <v>30</v>
      </c>
      <c r="S3820">
        <v>29</v>
      </c>
      <c r="T3820">
        <v>1</v>
      </c>
      <c r="U3820">
        <v>6</v>
      </c>
      <c r="V3820">
        <v>745.18</v>
      </c>
      <c r="W3820">
        <v>13130003818</v>
      </c>
    </row>
    <row r="3821" spans="1:23" x14ac:dyDescent="0.2">
      <c r="A3821" s="1">
        <v>44788</v>
      </c>
      <c r="B3821" s="2">
        <v>0.83099537037037041</v>
      </c>
      <c r="C3821">
        <v>4819</v>
      </c>
      <c r="D3821">
        <v>13002561</v>
      </c>
      <c r="E3821">
        <v>13</v>
      </c>
      <c r="F3821">
        <v>22589</v>
      </c>
      <c r="G3821" t="s">
        <v>23</v>
      </c>
      <c r="H3821">
        <v>18</v>
      </c>
      <c r="I3821">
        <v>44674</v>
      </c>
      <c r="J3821" t="s">
        <v>66</v>
      </c>
      <c r="K3821" t="s">
        <v>44</v>
      </c>
      <c r="L3821" t="s">
        <v>32</v>
      </c>
      <c r="M3821">
        <v>2</v>
      </c>
      <c r="N3821">
        <v>285.33</v>
      </c>
      <c r="O3821">
        <v>463.2</v>
      </c>
      <c r="P3821">
        <v>46.32</v>
      </c>
      <c r="Q3821">
        <v>46.32</v>
      </c>
      <c r="R3821" t="s">
        <v>30</v>
      </c>
      <c r="S3821">
        <v>29</v>
      </c>
      <c r="T3821">
        <v>1</v>
      </c>
      <c r="U3821">
        <v>1</v>
      </c>
      <c r="V3821">
        <v>416.88</v>
      </c>
      <c r="W3821">
        <v>13130003819</v>
      </c>
    </row>
    <row r="3822" spans="1:23" x14ac:dyDescent="0.2">
      <c r="A3822" s="1">
        <v>44779</v>
      </c>
      <c r="B3822" s="2">
        <v>0.75902777777777775</v>
      </c>
      <c r="C3822">
        <v>4820</v>
      </c>
      <c r="D3822">
        <v>13002561</v>
      </c>
      <c r="E3822">
        <v>13</v>
      </c>
      <c r="F3822">
        <v>22589</v>
      </c>
      <c r="G3822" t="s">
        <v>23</v>
      </c>
      <c r="H3822">
        <v>18</v>
      </c>
      <c r="I3822">
        <v>36104</v>
      </c>
      <c r="J3822" t="s">
        <v>94</v>
      </c>
      <c r="K3822" t="s">
        <v>28</v>
      </c>
      <c r="L3822" t="s">
        <v>29</v>
      </c>
      <c r="M3822">
        <v>1</v>
      </c>
      <c r="N3822">
        <v>576.82000000000005</v>
      </c>
      <c r="O3822">
        <v>801.25</v>
      </c>
      <c r="P3822">
        <v>0</v>
      </c>
      <c r="Q3822">
        <v>0</v>
      </c>
      <c r="S3822">
        <v>29</v>
      </c>
      <c r="T3822">
        <v>1</v>
      </c>
      <c r="U3822">
        <v>5</v>
      </c>
      <c r="V3822">
        <v>801.25</v>
      </c>
      <c r="W3822">
        <v>13130003820</v>
      </c>
    </row>
    <row r="3823" spans="1:23" x14ac:dyDescent="0.2">
      <c r="A3823" s="1">
        <v>44788</v>
      </c>
      <c r="B3823" s="2">
        <v>0.78104166666666663</v>
      </c>
      <c r="C3823">
        <v>4821</v>
      </c>
      <c r="D3823">
        <v>13002561</v>
      </c>
      <c r="E3823">
        <v>13</v>
      </c>
      <c r="F3823">
        <v>22589</v>
      </c>
      <c r="G3823" t="s">
        <v>23</v>
      </c>
      <c r="H3823">
        <v>15</v>
      </c>
      <c r="I3823">
        <v>83376</v>
      </c>
      <c r="J3823" t="s">
        <v>87</v>
      </c>
      <c r="K3823" t="s">
        <v>45</v>
      </c>
      <c r="L3823" t="s">
        <v>26</v>
      </c>
      <c r="M3823">
        <v>1</v>
      </c>
      <c r="N3823">
        <v>187.77</v>
      </c>
      <c r="O3823">
        <v>249.01</v>
      </c>
      <c r="P3823">
        <v>0</v>
      </c>
      <c r="Q3823">
        <v>0</v>
      </c>
      <c r="S3823">
        <v>29</v>
      </c>
      <c r="T3823">
        <v>1</v>
      </c>
      <c r="U3823">
        <v>2</v>
      </c>
      <c r="V3823">
        <v>249.01</v>
      </c>
      <c r="W3823">
        <v>13130003821</v>
      </c>
    </row>
    <row r="3824" spans="1:23" x14ac:dyDescent="0.2">
      <c r="A3824" s="1">
        <v>44798</v>
      </c>
      <c r="B3824" s="2">
        <v>0.63929398148148153</v>
      </c>
      <c r="C3824">
        <v>4822</v>
      </c>
      <c r="D3824">
        <v>13002561</v>
      </c>
      <c r="E3824">
        <v>13</v>
      </c>
      <c r="F3824">
        <v>22589</v>
      </c>
      <c r="G3824" t="s">
        <v>23</v>
      </c>
      <c r="H3824">
        <v>18</v>
      </c>
      <c r="I3824">
        <v>19517</v>
      </c>
      <c r="J3824" t="s">
        <v>65</v>
      </c>
      <c r="K3824" t="s">
        <v>45</v>
      </c>
      <c r="L3824" t="s">
        <v>51</v>
      </c>
      <c r="M3824">
        <v>3</v>
      </c>
      <c r="N3824">
        <v>52.64</v>
      </c>
      <c r="O3824">
        <v>77.16</v>
      </c>
      <c r="P3824">
        <v>3.86</v>
      </c>
      <c r="Q3824">
        <v>3.86</v>
      </c>
      <c r="R3824" t="s">
        <v>30</v>
      </c>
      <c r="S3824">
        <v>29</v>
      </c>
      <c r="T3824">
        <v>1</v>
      </c>
      <c r="U3824">
        <v>1</v>
      </c>
      <c r="V3824">
        <v>73.3</v>
      </c>
      <c r="W3824">
        <v>13130003822</v>
      </c>
    </row>
    <row r="3825" spans="1:23" x14ac:dyDescent="0.2">
      <c r="A3825" s="1">
        <v>44775</v>
      </c>
      <c r="B3825" s="2">
        <v>0.41677083333333331</v>
      </c>
      <c r="C3825">
        <v>4823</v>
      </c>
      <c r="D3825">
        <v>13002561</v>
      </c>
      <c r="E3825">
        <v>13</v>
      </c>
      <c r="F3825">
        <v>22589</v>
      </c>
      <c r="G3825" t="s">
        <v>23</v>
      </c>
      <c r="H3825">
        <v>15</v>
      </c>
      <c r="I3825">
        <v>98599</v>
      </c>
      <c r="J3825" t="s">
        <v>121</v>
      </c>
      <c r="K3825" t="s">
        <v>60</v>
      </c>
      <c r="L3825" t="s">
        <v>34</v>
      </c>
      <c r="M3825">
        <v>1</v>
      </c>
      <c r="N3825">
        <v>471.14</v>
      </c>
      <c r="O3825">
        <v>710.84</v>
      </c>
      <c r="P3825">
        <v>71.08</v>
      </c>
      <c r="Q3825">
        <v>71.08</v>
      </c>
      <c r="R3825" t="s">
        <v>30</v>
      </c>
      <c r="S3825">
        <v>29</v>
      </c>
      <c r="T3825">
        <v>1</v>
      </c>
      <c r="U3825">
        <v>2</v>
      </c>
      <c r="V3825">
        <v>639.76</v>
      </c>
      <c r="W3825">
        <v>13130003823</v>
      </c>
    </row>
    <row r="3826" spans="1:23" x14ac:dyDescent="0.2">
      <c r="A3826" s="1">
        <v>44776</v>
      </c>
      <c r="B3826" s="2">
        <v>0.71356481481481482</v>
      </c>
      <c r="C3826">
        <v>4824</v>
      </c>
      <c r="D3826">
        <v>13002561</v>
      </c>
      <c r="E3826">
        <v>13</v>
      </c>
      <c r="F3826">
        <v>22589</v>
      </c>
      <c r="G3826" t="s">
        <v>23</v>
      </c>
      <c r="H3826">
        <v>18</v>
      </c>
      <c r="I3826">
        <v>84911</v>
      </c>
      <c r="J3826" t="s">
        <v>31</v>
      </c>
      <c r="K3826" t="s">
        <v>44</v>
      </c>
      <c r="L3826" t="s">
        <v>47</v>
      </c>
      <c r="M3826">
        <v>3</v>
      </c>
      <c r="N3826">
        <v>542.08000000000004</v>
      </c>
      <c r="O3826">
        <v>748.86</v>
      </c>
      <c r="P3826">
        <v>74.89</v>
      </c>
      <c r="Q3826">
        <v>74.89</v>
      </c>
      <c r="R3826" t="s">
        <v>30</v>
      </c>
      <c r="S3826">
        <v>29</v>
      </c>
      <c r="T3826">
        <v>1</v>
      </c>
      <c r="U3826">
        <v>5</v>
      </c>
      <c r="V3826">
        <v>673.97</v>
      </c>
      <c r="W3826">
        <v>13130003824</v>
      </c>
    </row>
    <row r="3827" spans="1:23" x14ac:dyDescent="0.2">
      <c r="A3827" s="1">
        <v>44777</v>
      </c>
      <c r="B3827" s="2">
        <v>0.75675925925925924</v>
      </c>
      <c r="C3827">
        <v>4825</v>
      </c>
      <c r="D3827">
        <v>13002561</v>
      </c>
      <c r="E3827">
        <v>13</v>
      </c>
      <c r="F3827">
        <v>22589</v>
      </c>
      <c r="G3827" t="s">
        <v>23</v>
      </c>
      <c r="H3827">
        <v>15</v>
      </c>
      <c r="I3827">
        <v>54359</v>
      </c>
      <c r="J3827" t="s">
        <v>67</v>
      </c>
      <c r="K3827" t="s">
        <v>25</v>
      </c>
      <c r="L3827" t="s">
        <v>26</v>
      </c>
      <c r="M3827">
        <v>2</v>
      </c>
      <c r="N3827">
        <v>302.11</v>
      </c>
      <c r="O3827">
        <v>502.75</v>
      </c>
      <c r="P3827">
        <v>50.28</v>
      </c>
      <c r="Q3827">
        <v>50.28</v>
      </c>
      <c r="R3827" t="s">
        <v>30</v>
      </c>
      <c r="S3827">
        <v>29</v>
      </c>
      <c r="T3827">
        <v>1</v>
      </c>
      <c r="U3827">
        <v>3</v>
      </c>
      <c r="V3827">
        <v>452.47</v>
      </c>
      <c r="W3827">
        <v>13130003825</v>
      </c>
    </row>
    <row r="3828" spans="1:23" x14ac:dyDescent="0.2">
      <c r="A3828" s="1">
        <v>44798</v>
      </c>
      <c r="B3828" s="2">
        <v>0.56922453703703701</v>
      </c>
      <c r="C3828">
        <v>4826</v>
      </c>
      <c r="D3828">
        <v>13002561</v>
      </c>
      <c r="E3828">
        <v>13</v>
      </c>
      <c r="F3828">
        <v>22589</v>
      </c>
      <c r="G3828" t="s">
        <v>23</v>
      </c>
      <c r="H3828">
        <v>15</v>
      </c>
      <c r="I3828">
        <v>98103</v>
      </c>
      <c r="J3828" t="s">
        <v>79</v>
      </c>
      <c r="K3828" t="s">
        <v>38</v>
      </c>
      <c r="L3828" t="s">
        <v>36</v>
      </c>
      <c r="M3828">
        <v>2</v>
      </c>
      <c r="N3828">
        <v>28.31</v>
      </c>
      <c r="O3828">
        <v>40.79</v>
      </c>
      <c r="P3828">
        <v>2.04</v>
      </c>
      <c r="Q3828">
        <v>2.04</v>
      </c>
      <c r="R3828" t="s">
        <v>30</v>
      </c>
      <c r="S3828">
        <v>29</v>
      </c>
      <c r="T3828">
        <v>1</v>
      </c>
      <c r="U3828">
        <v>5</v>
      </c>
      <c r="V3828">
        <v>38.75</v>
      </c>
      <c r="W3828">
        <v>13130003826</v>
      </c>
    </row>
    <row r="3829" spans="1:23" x14ac:dyDescent="0.2">
      <c r="A3829" s="1">
        <v>44800</v>
      </c>
      <c r="B3829" s="2">
        <v>0.71351851851851855</v>
      </c>
      <c r="C3829">
        <v>4827</v>
      </c>
      <c r="D3829">
        <v>13002561</v>
      </c>
      <c r="E3829">
        <v>13</v>
      </c>
      <c r="F3829">
        <v>22589</v>
      </c>
      <c r="G3829" t="s">
        <v>23</v>
      </c>
      <c r="H3829">
        <v>15</v>
      </c>
      <c r="I3829">
        <v>22493</v>
      </c>
      <c r="J3829" t="s">
        <v>101</v>
      </c>
      <c r="K3829" t="s">
        <v>28</v>
      </c>
      <c r="L3829" t="s">
        <v>36</v>
      </c>
      <c r="M3829">
        <v>2</v>
      </c>
      <c r="N3829">
        <v>48.55</v>
      </c>
      <c r="O3829">
        <v>80.05</v>
      </c>
      <c r="P3829">
        <v>4</v>
      </c>
      <c r="Q3829">
        <v>4</v>
      </c>
      <c r="R3829" t="s">
        <v>30</v>
      </c>
      <c r="S3829">
        <v>29</v>
      </c>
      <c r="T3829">
        <v>1</v>
      </c>
      <c r="U3829">
        <v>1</v>
      </c>
      <c r="V3829">
        <v>76.05</v>
      </c>
      <c r="W3829">
        <v>13130003827</v>
      </c>
    </row>
    <row r="3830" spans="1:23" x14ac:dyDescent="0.2">
      <c r="A3830" s="1">
        <v>44800</v>
      </c>
      <c r="B3830" s="2">
        <v>0.78565972222222225</v>
      </c>
      <c r="C3830">
        <v>4828</v>
      </c>
      <c r="D3830">
        <v>13002561</v>
      </c>
      <c r="E3830">
        <v>13</v>
      </c>
      <c r="F3830">
        <v>22589</v>
      </c>
      <c r="G3830" t="s">
        <v>23</v>
      </c>
      <c r="H3830">
        <v>15</v>
      </c>
      <c r="I3830">
        <v>85305</v>
      </c>
      <c r="J3830" t="s">
        <v>106</v>
      </c>
      <c r="K3830" t="s">
        <v>38</v>
      </c>
      <c r="L3830" t="s">
        <v>36</v>
      </c>
      <c r="M3830">
        <v>2</v>
      </c>
      <c r="N3830">
        <v>500.61</v>
      </c>
      <c r="O3830">
        <v>720.82</v>
      </c>
      <c r="P3830">
        <v>72.08</v>
      </c>
      <c r="Q3830">
        <v>72.08</v>
      </c>
      <c r="R3830" t="s">
        <v>30</v>
      </c>
      <c r="S3830">
        <v>29</v>
      </c>
      <c r="T3830">
        <v>1</v>
      </c>
      <c r="U3830">
        <v>5</v>
      </c>
      <c r="V3830">
        <v>648.74</v>
      </c>
      <c r="W3830">
        <v>13130003828</v>
      </c>
    </row>
    <row r="3831" spans="1:23" x14ac:dyDescent="0.2">
      <c r="A3831" s="1">
        <v>44804</v>
      </c>
      <c r="B3831" s="2">
        <v>0.77233796296296298</v>
      </c>
      <c r="C3831">
        <v>4829</v>
      </c>
      <c r="D3831">
        <v>13002561</v>
      </c>
      <c r="E3831">
        <v>13</v>
      </c>
      <c r="F3831">
        <v>22589</v>
      </c>
      <c r="G3831" t="s">
        <v>23</v>
      </c>
      <c r="H3831">
        <v>18</v>
      </c>
      <c r="I3831">
        <v>72004</v>
      </c>
      <c r="J3831" t="s">
        <v>98</v>
      </c>
      <c r="K3831" t="s">
        <v>25</v>
      </c>
      <c r="L3831" t="s">
        <v>47</v>
      </c>
      <c r="M3831">
        <v>3</v>
      </c>
      <c r="N3831">
        <v>590.38</v>
      </c>
      <c r="O3831">
        <v>921.91</v>
      </c>
      <c r="P3831">
        <v>92.19</v>
      </c>
      <c r="Q3831">
        <v>92.19</v>
      </c>
      <c r="R3831" t="s">
        <v>30</v>
      </c>
      <c r="S3831">
        <v>29</v>
      </c>
      <c r="T3831">
        <v>1</v>
      </c>
      <c r="U3831">
        <v>2</v>
      </c>
      <c r="V3831">
        <v>829.72</v>
      </c>
      <c r="W3831">
        <v>13130003829</v>
      </c>
    </row>
    <row r="3832" spans="1:23" x14ac:dyDescent="0.2">
      <c r="A3832" s="1">
        <v>44789</v>
      </c>
      <c r="B3832" s="2">
        <v>0.35265046296296299</v>
      </c>
      <c r="C3832">
        <v>4830</v>
      </c>
      <c r="D3832">
        <v>13002561</v>
      </c>
      <c r="E3832">
        <v>13</v>
      </c>
      <c r="F3832">
        <v>22589</v>
      </c>
      <c r="G3832" t="s">
        <v>23</v>
      </c>
      <c r="H3832">
        <v>18</v>
      </c>
      <c r="I3832">
        <v>87831</v>
      </c>
      <c r="J3832" t="s">
        <v>59</v>
      </c>
      <c r="K3832" t="s">
        <v>44</v>
      </c>
      <c r="L3832" t="s">
        <v>47</v>
      </c>
      <c r="M3832">
        <v>1</v>
      </c>
      <c r="N3832">
        <v>181.41</v>
      </c>
      <c r="O3832">
        <v>255.17</v>
      </c>
      <c r="P3832">
        <v>0</v>
      </c>
      <c r="Q3832">
        <v>0</v>
      </c>
      <c r="S3832">
        <v>29</v>
      </c>
      <c r="T3832">
        <v>1</v>
      </c>
      <c r="U3832">
        <v>5</v>
      </c>
      <c r="V3832">
        <v>255.17</v>
      </c>
      <c r="W3832">
        <v>13130003830</v>
      </c>
    </row>
    <row r="3833" spans="1:23" x14ac:dyDescent="0.2">
      <c r="A3833" s="1">
        <v>44776</v>
      </c>
      <c r="B3833" s="2">
        <v>0.61746527777777782</v>
      </c>
      <c r="C3833">
        <v>4831</v>
      </c>
      <c r="D3833">
        <v>13002561</v>
      </c>
      <c r="E3833">
        <v>13</v>
      </c>
      <c r="F3833">
        <v>22589</v>
      </c>
      <c r="G3833" t="s">
        <v>23</v>
      </c>
      <c r="H3833">
        <v>15</v>
      </c>
      <c r="I3833">
        <v>95024</v>
      </c>
      <c r="J3833" t="s">
        <v>119</v>
      </c>
      <c r="K3833" t="s">
        <v>25</v>
      </c>
      <c r="L3833" t="s">
        <v>26</v>
      </c>
      <c r="M3833">
        <v>1</v>
      </c>
      <c r="N3833">
        <v>130.21</v>
      </c>
      <c r="O3833">
        <v>173.76</v>
      </c>
      <c r="P3833">
        <v>8.69</v>
      </c>
      <c r="Q3833">
        <v>8.69</v>
      </c>
      <c r="R3833" t="s">
        <v>30</v>
      </c>
      <c r="S3833">
        <v>29</v>
      </c>
      <c r="T3833">
        <v>1</v>
      </c>
      <c r="U3833">
        <v>5</v>
      </c>
      <c r="V3833">
        <v>165.07</v>
      </c>
      <c r="W3833">
        <v>13130003831</v>
      </c>
    </row>
    <row r="3834" spans="1:23" x14ac:dyDescent="0.2">
      <c r="A3834" s="1">
        <v>44782</v>
      </c>
      <c r="B3834" s="2">
        <v>0.61259259259259258</v>
      </c>
      <c r="C3834">
        <v>4832</v>
      </c>
      <c r="D3834">
        <v>13002561</v>
      </c>
      <c r="E3834">
        <v>13</v>
      </c>
      <c r="F3834">
        <v>22589</v>
      </c>
      <c r="G3834" t="s">
        <v>23</v>
      </c>
      <c r="H3834">
        <v>18</v>
      </c>
      <c r="I3834">
        <v>69614</v>
      </c>
      <c r="J3834" t="s">
        <v>127</v>
      </c>
      <c r="K3834" t="s">
        <v>28</v>
      </c>
      <c r="L3834" t="s">
        <v>39</v>
      </c>
      <c r="M3834">
        <v>2</v>
      </c>
      <c r="N3834">
        <v>297.8</v>
      </c>
      <c r="O3834">
        <v>403.44</v>
      </c>
      <c r="P3834">
        <v>20.170000000000002</v>
      </c>
      <c r="Q3834">
        <v>20.170000000000002</v>
      </c>
      <c r="R3834" t="s">
        <v>30</v>
      </c>
      <c r="S3834">
        <v>29</v>
      </c>
      <c r="T3834">
        <v>1</v>
      </c>
      <c r="U3834">
        <v>3</v>
      </c>
      <c r="V3834">
        <v>383.27</v>
      </c>
      <c r="W3834">
        <v>13130003832</v>
      </c>
    </row>
    <row r="3835" spans="1:23" x14ac:dyDescent="0.2">
      <c r="A3835" s="1">
        <v>44777</v>
      </c>
      <c r="B3835" s="2">
        <v>0.85193287037037035</v>
      </c>
      <c r="C3835">
        <v>4833</v>
      </c>
      <c r="D3835">
        <v>13002561</v>
      </c>
      <c r="E3835">
        <v>13</v>
      </c>
      <c r="F3835">
        <v>22589</v>
      </c>
      <c r="G3835" t="s">
        <v>23</v>
      </c>
      <c r="H3835">
        <v>15</v>
      </c>
      <c r="I3835">
        <v>77855</v>
      </c>
      <c r="J3835" t="s">
        <v>65</v>
      </c>
      <c r="K3835" t="s">
        <v>44</v>
      </c>
      <c r="L3835" t="s">
        <v>36</v>
      </c>
      <c r="M3835">
        <v>3</v>
      </c>
      <c r="N3835">
        <v>263.86</v>
      </c>
      <c r="O3835">
        <v>387.16</v>
      </c>
      <c r="P3835">
        <v>0</v>
      </c>
      <c r="Q3835">
        <v>0</v>
      </c>
      <c r="S3835">
        <v>29</v>
      </c>
      <c r="T3835">
        <v>1</v>
      </c>
      <c r="U3835">
        <v>6</v>
      </c>
      <c r="V3835">
        <v>387.16</v>
      </c>
      <c r="W3835">
        <v>13130003833</v>
      </c>
    </row>
    <row r="3836" spans="1:23" x14ac:dyDescent="0.2">
      <c r="A3836" s="1">
        <v>44778</v>
      </c>
      <c r="B3836" s="2">
        <v>0.37864583333333329</v>
      </c>
      <c r="C3836">
        <v>4834</v>
      </c>
      <c r="D3836">
        <v>13002561</v>
      </c>
      <c r="E3836">
        <v>13</v>
      </c>
      <c r="F3836">
        <v>22589</v>
      </c>
      <c r="G3836" t="s">
        <v>23</v>
      </c>
      <c r="H3836">
        <v>18</v>
      </c>
      <c r="I3836">
        <v>97838</v>
      </c>
      <c r="J3836" t="s">
        <v>100</v>
      </c>
      <c r="K3836" t="s">
        <v>38</v>
      </c>
      <c r="L3836" t="s">
        <v>47</v>
      </c>
      <c r="M3836">
        <v>1</v>
      </c>
      <c r="N3836">
        <v>195.68</v>
      </c>
      <c r="O3836">
        <v>326.82</v>
      </c>
      <c r="P3836">
        <v>16.34</v>
      </c>
      <c r="Q3836">
        <v>16.34</v>
      </c>
      <c r="R3836" t="s">
        <v>30</v>
      </c>
      <c r="S3836">
        <v>29</v>
      </c>
      <c r="T3836">
        <v>1</v>
      </c>
      <c r="U3836">
        <v>2</v>
      </c>
      <c r="V3836">
        <v>310.48</v>
      </c>
      <c r="W3836">
        <v>13130003834</v>
      </c>
    </row>
    <row r="3837" spans="1:23" x14ac:dyDescent="0.2">
      <c r="A3837" s="1">
        <v>44799</v>
      </c>
      <c r="B3837" s="2">
        <v>0.62479166666666663</v>
      </c>
      <c r="C3837">
        <v>4835</v>
      </c>
      <c r="D3837">
        <v>13002561</v>
      </c>
      <c r="E3837">
        <v>13</v>
      </c>
      <c r="F3837">
        <v>22589</v>
      </c>
      <c r="G3837" t="s">
        <v>23</v>
      </c>
      <c r="H3837">
        <v>15</v>
      </c>
      <c r="I3837">
        <v>98136</v>
      </c>
      <c r="J3837" t="s">
        <v>118</v>
      </c>
      <c r="K3837" t="s">
        <v>45</v>
      </c>
      <c r="L3837" t="s">
        <v>39</v>
      </c>
      <c r="M3837">
        <v>2</v>
      </c>
      <c r="N3837">
        <v>243.42</v>
      </c>
      <c r="O3837">
        <v>393.56</v>
      </c>
      <c r="P3837">
        <v>0</v>
      </c>
      <c r="Q3837">
        <v>0</v>
      </c>
      <c r="S3837">
        <v>29</v>
      </c>
      <c r="T3837">
        <v>1</v>
      </c>
      <c r="U3837">
        <v>1</v>
      </c>
      <c r="V3837">
        <v>393.56</v>
      </c>
      <c r="W3837">
        <v>13130003835</v>
      </c>
    </row>
    <row r="3838" spans="1:23" x14ac:dyDescent="0.2">
      <c r="A3838" s="1">
        <v>44802</v>
      </c>
      <c r="B3838" s="2">
        <v>0.69287037037037036</v>
      </c>
      <c r="C3838">
        <v>4836</v>
      </c>
      <c r="D3838">
        <v>13002561</v>
      </c>
      <c r="E3838">
        <v>13</v>
      </c>
      <c r="F3838">
        <v>22589</v>
      </c>
      <c r="G3838" t="s">
        <v>23</v>
      </c>
      <c r="H3838">
        <v>15</v>
      </c>
      <c r="I3838">
        <v>80165</v>
      </c>
      <c r="J3838" t="s">
        <v>66</v>
      </c>
      <c r="K3838" t="s">
        <v>45</v>
      </c>
      <c r="L3838" t="s">
        <v>26</v>
      </c>
      <c r="M3838">
        <v>2</v>
      </c>
      <c r="N3838">
        <v>22.43</v>
      </c>
      <c r="O3838">
        <v>35.799999999999997</v>
      </c>
      <c r="P3838">
        <v>1.79</v>
      </c>
      <c r="Q3838">
        <v>1.79</v>
      </c>
      <c r="R3838" t="s">
        <v>30</v>
      </c>
      <c r="S3838">
        <v>29</v>
      </c>
      <c r="T3838">
        <v>1</v>
      </c>
      <c r="U3838">
        <v>4</v>
      </c>
      <c r="V3838">
        <v>34.01</v>
      </c>
      <c r="W3838">
        <v>13130003836</v>
      </c>
    </row>
    <row r="3839" spans="1:23" x14ac:dyDescent="0.2">
      <c r="A3839" s="1">
        <v>44803</v>
      </c>
      <c r="B3839" s="2">
        <v>0.44666666666666671</v>
      </c>
      <c r="C3839">
        <v>4837</v>
      </c>
      <c r="D3839">
        <v>13002561</v>
      </c>
      <c r="E3839">
        <v>13</v>
      </c>
      <c r="F3839">
        <v>22589</v>
      </c>
      <c r="G3839" t="s">
        <v>23</v>
      </c>
      <c r="H3839">
        <v>18</v>
      </c>
      <c r="I3839">
        <v>13890</v>
      </c>
      <c r="J3839" t="s">
        <v>73</v>
      </c>
      <c r="K3839" t="s">
        <v>38</v>
      </c>
      <c r="L3839" t="s">
        <v>34</v>
      </c>
      <c r="M3839">
        <v>1</v>
      </c>
      <c r="N3839">
        <v>297.62</v>
      </c>
      <c r="O3839">
        <v>421.91</v>
      </c>
      <c r="P3839">
        <v>42.19</v>
      </c>
      <c r="Q3839">
        <v>42.19</v>
      </c>
      <c r="R3839" t="s">
        <v>30</v>
      </c>
      <c r="S3839">
        <v>29</v>
      </c>
      <c r="T3839">
        <v>1</v>
      </c>
      <c r="U3839">
        <v>2</v>
      </c>
      <c r="V3839">
        <v>379.72</v>
      </c>
      <c r="W3839">
        <v>13130003837</v>
      </c>
    </row>
    <row r="3840" spans="1:23" x14ac:dyDescent="0.2">
      <c r="A3840" s="1">
        <v>44775</v>
      </c>
      <c r="B3840" s="2">
        <v>0.91013888888888894</v>
      </c>
      <c r="C3840">
        <v>4838</v>
      </c>
      <c r="D3840">
        <v>13002561</v>
      </c>
      <c r="E3840">
        <v>13</v>
      </c>
      <c r="F3840">
        <v>22589</v>
      </c>
      <c r="G3840" t="s">
        <v>23</v>
      </c>
      <c r="H3840">
        <v>15</v>
      </c>
      <c r="I3840">
        <v>36240</v>
      </c>
      <c r="J3840" t="s">
        <v>74</v>
      </c>
      <c r="K3840" t="s">
        <v>60</v>
      </c>
      <c r="L3840" t="s">
        <v>51</v>
      </c>
      <c r="M3840">
        <v>3</v>
      </c>
      <c r="N3840">
        <v>5.93</v>
      </c>
      <c r="O3840">
        <v>8.77</v>
      </c>
      <c r="P3840">
        <v>0</v>
      </c>
      <c r="Q3840">
        <v>0</v>
      </c>
      <c r="S3840">
        <v>29</v>
      </c>
      <c r="T3840">
        <v>1</v>
      </c>
      <c r="U3840">
        <v>5</v>
      </c>
      <c r="V3840">
        <v>8.77</v>
      </c>
      <c r="W3840">
        <v>13130003838</v>
      </c>
    </row>
    <row r="3841" spans="1:23" x14ac:dyDescent="0.2">
      <c r="A3841" s="1">
        <v>44783</v>
      </c>
      <c r="B3841" s="2">
        <v>0.7291319444444444</v>
      </c>
      <c r="C3841">
        <v>4839</v>
      </c>
      <c r="D3841">
        <v>13002561</v>
      </c>
      <c r="E3841">
        <v>13</v>
      </c>
      <c r="F3841">
        <v>22589</v>
      </c>
      <c r="G3841" t="s">
        <v>23</v>
      </c>
      <c r="H3841">
        <v>18</v>
      </c>
      <c r="I3841">
        <v>98114</v>
      </c>
      <c r="J3841" t="s">
        <v>54</v>
      </c>
      <c r="K3841" t="s">
        <v>28</v>
      </c>
      <c r="L3841" t="s">
        <v>39</v>
      </c>
      <c r="M3841">
        <v>3</v>
      </c>
      <c r="N3841">
        <v>184.79</v>
      </c>
      <c r="O3841">
        <v>278.23</v>
      </c>
      <c r="P3841">
        <v>27.82</v>
      </c>
      <c r="Q3841">
        <v>27.82</v>
      </c>
      <c r="R3841" t="s">
        <v>30</v>
      </c>
      <c r="S3841">
        <v>29</v>
      </c>
      <c r="T3841">
        <v>1</v>
      </c>
      <c r="U3841">
        <v>1</v>
      </c>
      <c r="V3841">
        <v>250.41</v>
      </c>
      <c r="W3841">
        <v>13130003839</v>
      </c>
    </row>
    <row r="3842" spans="1:23" x14ac:dyDescent="0.2">
      <c r="A3842" s="1">
        <v>44793</v>
      </c>
      <c r="B3842" s="2">
        <v>0.5712962962962963</v>
      </c>
      <c r="C3842">
        <v>4840</v>
      </c>
      <c r="D3842">
        <v>13002561</v>
      </c>
      <c r="E3842">
        <v>13</v>
      </c>
      <c r="F3842">
        <v>22589</v>
      </c>
      <c r="G3842" t="s">
        <v>23</v>
      </c>
      <c r="H3842">
        <v>18</v>
      </c>
      <c r="I3842">
        <v>29320</v>
      </c>
      <c r="J3842" t="s">
        <v>111</v>
      </c>
      <c r="K3842" t="s">
        <v>28</v>
      </c>
      <c r="L3842" t="s">
        <v>36</v>
      </c>
      <c r="M3842">
        <v>3</v>
      </c>
      <c r="N3842">
        <v>55.08</v>
      </c>
      <c r="O3842">
        <v>87.75</v>
      </c>
      <c r="P3842">
        <v>4.3899999999999997</v>
      </c>
      <c r="Q3842">
        <v>4.3899999999999997</v>
      </c>
      <c r="R3842" t="s">
        <v>30</v>
      </c>
      <c r="S3842">
        <v>29</v>
      </c>
      <c r="T3842">
        <v>1</v>
      </c>
      <c r="U3842">
        <v>1</v>
      </c>
      <c r="V3842">
        <v>83.36</v>
      </c>
      <c r="W3842">
        <v>13130003840</v>
      </c>
    </row>
    <row r="3843" spans="1:23" x14ac:dyDescent="0.2">
      <c r="A3843" s="1">
        <v>44799</v>
      </c>
      <c r="B3843" s="2">
        <v>0.90695601851851848</v>
      </c>
      <c r="C3843">
        <v>4841</v>
      </c>
      <c r="D3843">
        <v>13002561</v>
      </c>
      <c r="E3843">
        <v>13</v>
      </c>
      <c r="F3843">
        <v>22589</v>
      </c>
      <c r="G3843" t="s">
        <v>23</v>
      </c>
      <c r="H3843">
        <v>15</v>
      </c>
      <c r="I3843">
        <v>78998</v>
      </c>
      <c r="J3843" t="s">
        <v>113</v>
      </c>
      <c r="K3843" t="s">
        <v>60</v>
      </c>
      <c r="L3843" t="s">
        <v>51</v>
      </c>
      <c r="M3843">
        <v>1</v>
      </c>
      <c r="N3843">
        <v>102.61</v>
      </c>
      <c r="O3843">
        <v>129.02000000000001</v>
      </c>
      <c r="P3843">
        <v>0</v>
      </c>
      <c r="Q3843">
        <v>0</v>
      </c>
      <c r="S3843">
        <v>29</v>
      </c>
      <c r="T3843">
        <v>1</v>
      </c>
      <c r="U3843">
        <v>2</v>
      </c>
      <c r="V3843">
        <v>129.02000000000001</v>
      </c>
      <c r="W3843">
        <v>13130003841</v>
      </c>
    </row>
    <row r="3844" spans="1:23" x14ac:dyDescent="0.2">
      <c r="A3844" s="1">
        <v>44774</v>
      </c>
      <c r="B3844" s="2">
        <v>0.49032407407407408</v>
      </c>
      <c r="C3844">
        <v>4842</v>
      </c>
      <c r="D3844">
        <v>13002561</v>
      </c>
      <c r="E3844">
        <v>13</v>
      </c>
      <c r="F3844">
        <v>22589</v>
      </c>
      <c r="G3844" t="s">
        <v>23</v>
      </c>
      <c r="H3844">
        <v>15</v>
      </c>
      <c r="I3844">
        <v>61258</v>
      </c>
      <c r="J3844" t="s">
        <v>105</v>
      </c>
      <c r="K3844" t="s">
        <v>38</v>
      </c>
      <c r="L3844" t="s">
        <v>29</v>
      </c>
      <c r="M3844">
        <v>1</v>
      </c>
      <c r="N3844">
        <v>76.19</v>
      </c>
      <c r="O3844">
        <v>116.3</v>
      </c>
      <c r="P3844">
        <v>5.82</v>
      </c>
      <c r="Q3844">
        <v>5.82</v>
      </c>
      <c r="R3844" t="s">
        <v>30</v>
      </c>
      <c r="S3844">
        <v>29</v>
      </c>
      <c r="T3844">
        <v>1</v>
      </c>
      <c r="U3844">
        <v>6</v>
      </c>
      <c r="V3844">
        <v>110.48</v>
      </c>
      <c r="W3844">
        <v>13130003842</v>
      </c>
    </row>
    <row r="3845" spans="1:23" x14ac:dyDescent="0.2">
      <c r="A3845" s="1">
        <v>44785</v>
      </c>
      <c r="B3845" s="2">
        <v>0.625</v>
      </c>
      <c r="C3845">
        <v>4843</v>
      </c>
      <c r="D3845">
        <v>13002561</v>
      </c>
      <c r="E3845">
        <v>13</v>
      </c>
      <c r="F3845">
        <v>22589</v>
      </c>
      <c r="G3845" t="s">
        <v>23</v>
      </c>
      <c r="H3845">
        <v>15</v>
      </c>
      <c r="I3845">
        <v>11885</v>
      </c>
      <c r="J3845" t="s">
        <v>40</v>
      </c>
      <c r="K3845" t="s">
        <v>28</v>
      </c>
      <c r="L3845" t="s">
        <v>29</v>
      </c>
      <c r="M3845">
        <v>1</v>
      </c>
      <c r="N3845">
        <v>583.70000000000005</v>
      </c>
      <c r="O3845">
        <v>853.63</v>
      </c>
      <c r="P3845">
        <v>85.36</v>
      </c>
      <c r="Q3845">
        <v>85.36</v>
      </c>
      <c r="R3845" t="s">
        <v>30</v>
      </c>
      <c r="S3845">
        <v>29</v>
      </c>
      <c r="T3845">
        <v>1</v>
      </c>
      <c r="U3845">
        <v>5</v>
      </c>
      <c r="V3845">
        <v>768.27</v>
      </c>
      <c r="W3845">
        <v>13130003843</v>
      </c>
    </row>
    <row r="3846" spans="1:23" x14ac:dyDescent="0.2">
      <c r="A3846" s="1">
        <v>44775</v>
      </c>
      <c r="B3846" s="2">
        <v>0.74069444444444443</v>
      </c>
      <c r="C3846">
        <v>4844</v>
      </c>
      <c r="D3846">
        <v>13002561</v>
      </c>
      <c r="E3846">
        <v>13</v>
      </c>
      <c r="F3846">
        <v>22589</v>
      </c>
      <c r="G3846" t="s">
        <v>23</v>
      </c>
      <c r="H3846">
        <v>15</v>
      </c>
      <c r="I3846">
        <v>67357</v>
      </c>
      <c r="J3846" t="s">
        <v>31</v>
      </c>
      <c r="K3846" t="s">
        <v>28</v>
      </c>
      <c r="L3846" t="s">
        <v>39</v>
      </c>
      <c r="M3846">
        <v>2</v>
      </c>
      <c r="N3846">
        <v>199.39</v>
      </c>
      <c r="O3846">
        <v>308.44</v>
      </c>
      <c r="P3846">
        <v>0</v>
      </c>
      <c r="Q3846">
        <v>0</v>
      </c>
      <c r="S3846">
        <v>29</v>
      </c>
      <c r="T3846">
        <v>1</v>
      </c>
      <c r="U3846">
        <v>3</v>
      </c>
      <c r="V3846">
        <v>308.44</v>
      </c>
      <c r="W3846">
        <v>13130003844</v>
      </c>
    </row>
    <row r="3847" spans="1:23" x14ac:dyDescent="0.2">
      <c r="A3847" s="1">
        <v>44787</v>
      </c>
      <c r="B3847" s="2">
        <v>0.91863425925925923</v>
      </c>
      <c r="C3847">
        <v>4845</v>
      </c>
      <c r="D3847">
        <v>13002561</v>
      </c>
      <c r="E3847">
        <v>13</v>
      </c>
      <c r="F3847">
        <v>22589</v>
      </c>
      <c r="G3847" t="s">
        <v>23</v>
      </c>
      <c r="H3847">
        <v>18</v>
      </c>
      <c r="I3847">
        <v>12564</v>
      </c>
      <c r="J3847" t="s">
        <v>53</v>
      </c>
      <c r="K3847" t="s">
        <v>44</v>
      </c>
      <c r="L3847" t="s">
        <v>26</v>
      </c>
      <c r="M3847">
        <v>3</v>
      </c>
      <c r="N3847">
        <v>17.399999999999999</v>
      </c>
      <c r="O3847">
        <v>24.55</v>
      </c>
      <c r="P3847">
        <v>1.23</v>
      </c>
      <c r="Q3847">
        <v>1.23</v>
      </c>
      <c r="R3847" t="s">
        <v>30</v>
      </c>
      <c r="S3847">
        <v>29</v>
      </c>
      <c r="T3847">
        <v>1</v>
      </c>
      <c r="U3847">
        <v>3</v>
      </c>
      <c r="V3847">
        <v>23.32</v>
      </c>
      <c r="W3847">
        <v>13130003845</v>
      </c>
    </row>
    <row r="3848" spans="1:23" x14ac:dyDescent="0.2">
      <c r="A3848" s="1">
        <v>44777</v>
      </c>
      <c r="B3848" s="2">
        <v>0.66142361111111114</v>
      </c>
      <c r="C3848">
        <v>4846</v>
      </c>
      <c r="D3848">
        <v>13002561</v>
      </c>
      <c r="E3848">
        <v>13</v>
      </c>
      <c r="F3848">
        <v>22589</v>
      </c>
      <c r="G3848" t="s">
        <v>23</v>
      </c>
      <c r="H3848">
        <v>18</v>
      </c>
      <c r="I3848">
        <v>46804</v>
      </c>
      <c r="J3848" t="s">
        <v>31</v>
      </c>
      <c r="K3848" t="s">
        <v>60</v>
      </c>
      <c r="L3848" t="s">
        <v>34</v>
      </c>
      <c r="M3848">
        <v>1</v>
      </c>
      <c r="N3848">
        <v>25.99</v>
      </c>
      <c r="O3848">
        <v>41.95</v>
      </c>
      <c r="P3848">
        <v>2.1</v>
      </c>
      <c r="Q3848">
        <v>2.1</v>
      </c>
      <c r="R3848" t="s">
        <v>30</v>
      </c>
      <c r="S3848">
        <v>29</v>
      </c>
      <c r="T3848">
        <v>1</v>
      </c>
      <c r="U3848">
        <v>5</v>
      </c>
      <c r="V3848">
        <v>39.85</v>
      </c>
      <c r="W3848">
        <v>13130003846</v>
      </c>
    </row>
    <row r="3849" spans="1:23" x14ac:dyDescent="0.2">
      <c r="A3849" s="1">
        <v>44779</v>
      </c>
      <c r="B3849" s="2">
        <v>0.43351851851851853</v>
      </c>
      <c r="C3849">
        <v>4847</v>
      </c>
      <c r="D3849">
        <v>13002561</v>
      </c>
      <c r="E3849">
        <v>13</v>
      </c>
      <c r="F3849">
        <v>22589</v>
      </c>
      <c r="G3849" t="s">
        <v>23</v>
      </c>
      <c r="H3849">
        <v>15</v>
      </c>
      <c r="I3849">
        <v>59336</v>
      </c>
      <c r="J3849" t="s">
        <v>107</v>
      </c>
      <c r="K3849" t="s">
        <v>45</v>
      </c>
      <c r="L3849" t="s">
        <v>39</v>
      </c>
      <c r="M3849">
        <v>3</v>
      </c>
      <c r="N3849">
        <v>225.88</v>
      </c>
      <c r="O3849">
        <v>304.31</v>
      </c>
      <c r="P3849">
        <v>15.22</v>
      </c>
      <c r="Q3849">
        <v>15.22</v>
      </c>
      <c r="R3849" t="s">
        <v>30</v>
      </c>
      <c r="S3849">
        <v>29</v>
      </c>
      <c r="T3849">
        <v>1</v>
      </c>
      <c r="U3849">
        <v>3</v>
      </c>
      <c r="V3849">
        <v>289.08999999999997</v>
      </c>
      <c r="W3849">
        <v>13130003847</v>
      </c>
    </row>
    <row r="3850" spans="1:23" x14ac:dyDescent="0.2">
      <c r="A3850" s="1">
        <v>44775</v>
      </c>
      <c r="B3850" s="2">
        <v>0.81938657407407411</v>
      </c>
      <c r="C3850">
        <v>4848</v>
      </c>
      <c r="D3850">
        <v>13002561</v>
      </c>
      <c r="E3850">
        <v>13</v>
      </c>
      <c r="F3850">
        <v>22589</v>
      </c>
      <c r="G3850" t="s">
        <v>23</v>
      </c>
      <c r="H3850">
        <v>15</v>
      </c>
      <c r="I3850">
        <v>16261</v>
      </c>
      <c r="J3850" t="s">
        <v>82</v>
      </c>
      <c r="K3850" t="s">
        <v>45</v>
      </c>
      <c r="L3850" t="s">
        <v>47</v>
      </c>
      <c r="M3850">
        <v>3</v>
      </c>
      <c r="N3850">
        <v>314.95</v>
      </c>
      <c r="O3850">
        <v>485.55</v>
      </c>
      <c r="P3850">
        <v>48.56</v>
      </c>
      <c r="Q3850">
        <v>48.56</v>
      </c>
      <c r="R3850" t="s">
        <v>30</v>
      </c>
      <c r="S3850">
        <v>29</v>
      </c>
      <c r="T3850">
        <v>1</v>
      </c>
      <c r="U3850">
        <v>5</v>
      </c>
      <c r="V3850">
        <v>436.99</v>
      </c>
      <c r="W3850">
        <v>13130003848</v>
      </c>
    </row>
    <row r="3851" spans="1:23" x14ac:dyDescent="0.2">
      <c r="A3851" s="1">
        <v>44803</v>
      </c>
      <c r="B3851" s="2">
        <v>0.43315972222222221</v>
      </c>
      <c r="C3851">
        <v>4849</v>
      </c>
      <c r="D3851">
        <v>13002561</v>
      </c>
      <c r="E3851">
        <v>13</v>
      </c>
      <c r="F3851">
        <v>22589</v>
      </c>
      <c r="G3851" t="s">
        <v>23</v>
      </c>
      <c r="H3851">
        <v>15</v>
      </c>
      <c r="I3851">
        <v>89027</v>
      </c>
      <c r="J3851" t="s">
        <v>81</v>
      </c>
      <c r="K3851" t="s">
        <v>45</v>
      </c>
      <c r="L3851" t="s">
        <v>34</v>
      </c>
      <c r="M3851">
        <v>2</v>
      </c>
      <c r="N3851">
        <v>516.89</v>
      </c>
      <c r="O3851">
        <v>801.17</v>
      </c>
      <c r="P3851">
        <v>40.06</v>
      </c>
      <c r="Q3851">
        <v>40.06</v>
      </c>
      <c r="R3851" t="s">
        <v>30</v>
      </c>
      <c r="S3851">
        <v>29</v>
      </c>
      <c r="T3851">
        <v>1</v>
      </c>
      <c r="U3851">
        <v>4</v>
      </c>
      <c r="V3851">
        <v>761.11</v>
      </c>
      <c r="W3851">
        <v>13130003849</v>
      </c>
    </row>
    <row r="3852" spans="1:23" x14ac:dyDescent="0.2">
      <c r="A3852" s="1">
        <v>44774</v>
      </c>
      <c r="B3852" s="2">
        <v>0.91805555555555551</v>
      </c>
      <c r="C3852">
        <v>4850</v>
      </c>
      <c r="D3852">
        <v>13002561</v>
      </c>
      <c r="E3852">
        <v>13</v>
      </c>
      <c r="F3852">
        <v>22589</v>
      </c>
      <c r="G3852" t="s">
        <v>23</v>
      </c>
      <c r="H3852">
        <v>18</v>
      </c>
      <c r="I3852">
        <v>23989</v>
      </c>
      <c r="J3852" t="s">
        <v>77</v>
      </c>
      <c r="K3852" t="s">
        <v>38</v>
      </c>
      <c r="L3852" t="s">
        <v>51</v>
      </c>
      <c r="M3852">
        <v>1</v>
      </c>
      <c r="N3852">
        <v>474.38</v>
      </c>
      <c r="O3852">
        <v>689.42</v>
      </c>
      <c r="P3852">
        <v>0</v>
      </c>
      <c r="Q3852">
        <v>0</v>
      </c>
      <c r="S3852">
        <v>29</v>
      </c>
      <c r="T3852">
        <v>1</v>
      </c>
      <c r="U3852">
        <v>2</v>
      </c>
      <c r="V3852">
        <v>689.42</v>
      </c>
      <c r="W3852">
        <v>13130003850</v>
      </c>
    </row>
    <row r="3853" spans="1:23" x14ac:dyDescent="0.2">
      <c r="A3853" s="1">
        <v>44797</v>
      </c>
      <c r="B3853" s="2">
        <v>0.36971064814814808</v>
      </c>
      <c r="C3853">
        <v>4851</v>
      </c>
      <c r="D3853">
        <v>13002561</v>
      </c>
      <c r="E3853">
        <v>13</v>
      </c>
      <c r="F3853">
        <v>22589</v>
      </c>
      <c r="G3853" t="s">
        <v>23</v>
      </c>
      <c r="H3853">
        <v>18</v>
      </c>
      <c r="I3853">
        <v>84207</v>
      </c>
      <c r="J3853" t="s">
        <v>65</v>
      </c>
      <c r="K3853" t="s">
        <v>45</v>
      </c>
      <c r="L3853" t="s">
        <v>36</v>
      </c>
      <c r="M3853">
        <v>2</v>
      </c>
      <c r="N3853">
        <v>483.44</v>
      </c>
      <c r="O3853">
        <v>696.13</v>
      </c>
      <c r="P3853">
        <v>0</v>
      </c>
      <c r="Q3853">
        <v>0</v>
      </c>
      <c r="S3853">
        <v>29</v>
      </c>
      <c r="T3853">
        <v>1</v>
      </c>
      <c r="U3853">
        <v>5</v>
      </c>
      <c r="V3853">
        <v>696.13</v>
      </c>
      <c r="W3853">
        <v>13130003851</v>
      </c>
    </row>
    <row r="3854" spans="1:23" x14ac:dyDescent="0.2">
      <c r="A3854" s="1">
        <v>44801</v>
      </c>
      <c r="B3854" s="2">
        <v>0.57157407407407412</v>
      </c>
      <c r="C3854">
        <v>4852</v>
      </c>
      <c r="D3854">
        <v>13002561</v>
      </c>
      <c r="E3854">
        <v>13</v>
      </c>
      <c r="F3854">
        <v>22589</v>
      </c>
      <c r="G3854" t="s">
        <v>23</v>
      </c>
      <c r="H3854">
        <v>15</v>
      </c>
      <c r="I3854">
        <v>70321</v>
      </c>
      <c r="J3854" t="s">
        <v>77</v>
      </c>
      <c r="K3854" t="s">
        <v>28</v>
      </c>
      <c r="L3854" t="s">
        <v>51</v>
      </c>
      <c r="M3854">
        <v>3</v>
      </c>
      <c r="N3854">
        <v>216.86</v>
      </c>
      <c r="O3854">
        <v>315.19</v>
      </c>
      <c r="P3854">
        <v>31.52</v>
      </c>
      <c r="Q3854">
        <v>31.52</v>
      </c>
      <c r="R3854" t="s">
        <v>30</v>
      </c>
      <c r="S3854">
        <v>29</v>
      </c>
      <c r="T3854">
        <v>1</v>
      </c>
      <c r="U3854">
        <v>5</v>
      </c>
      <c r="V3854">
        <v>283.67</v>
      </c>
      <c r="W3854">
        <v>13130003852</v>
      </c>
    </row>
    <row r="3855" spans="1:23" x14ac:dyDescent="0.2">
      <c r="A3855" s="1">
        <v>44785</v>
      </c>
      <c r="B3855" s="2">
        <v>0.50417824074074069</v>
      </c>
      <c r="C3855">
        <v>4853</v>
      </c>
      <c r="D3855">
        <v>13002561</v>
      </c>
      <c r="E3855">
        <v>13</v>
      </c>
      <c r="F3855">
        <v>22589</v>
      </c>
      <c r="G3855" t="s">
        <v>23</v>
      </c>
      <c r="H3855">
        <v>18</v>
      </c>
      <c r="I3855">
        <v>53547</v>
      </c>
      <c r="J3855" t="s">
        <v>93</v>
      </c>
      <c r="K3855" t="s">
        <v>60</v>
      </c>
      <c r="L3855" t="s">
        <v>32</v>
      </c>
      <c r="M3855">
        <v>1</v>
      </c>
      <c r="N3855">
        <v>113.34</v>
      </c>
      <c r="O3855">
        <v>187.36</v>
      </c>
      <c r="P3855">
        <v>9.3699999999999992</v>
      </c>
      <c r="Q3855">
        <v>9.3699999999999992</v>
      </c>
      <c r="R3855" t="s">
        <v>30</v>
      </c>
      <c r="S3855">
        <v>29</v>
      </c>
      <c r="T3855">
        <v>1</v>
      </c>
      <c r="U3855">
        <v>1</v>
      </c>
      <c r="V3855">
        <v>177.99</v>
      </c>
      <c r="W3855">
        <v>13130003853</v>
      </c>
    </row>
    <row r="3856" spans="1:23" x14ac:dyDescent="0.2">
      <c r="A3856" s="1">
        <v>44775</v>
      </c>
      <c r="B3856" s="2">
        <v>0.86652777777777779</v>
      </c>
      <c r="C3856">
        <v>4854</v>
      </c>
      <c r="D3856">
        <v>13002561</v>
      </c>
      <c r="E3856">
        <v>13</v>
      </c>
      <c r="F3856">
        <v>22589</v>
      </c>
      <c r="G3856" t="s">
        <v>23</v>
      </c>
      <c r="H3856">
        <v>18</v>
      </c>
      <c r="I3856">
        <v>63747</v>
      </c>
      <c r="J3856" t="s">
        <v>74</v>
      </c>
      <c r="K3856" t="s">
        <v>45</v>
      </c>
      <c r="L3856" t="s">
        <v>39</v>
      </c>
      <c r="M3856">
        <v>3</v>
      </c>
      <c r="N3856">
        <v>319.54000000000002</v>
      </c>
      <c r="O3856">
        <v>464.92</v>
      </c>
      <c r="P3856">
        <v>23.25</v>
      </c>
      <c r="Q3856">
        <v>23.25</v>
      </c>
      <c r="R3856" t="s">
        <v>30</v>
      </c>
      <c r="S3856">
        <v>29</v>
      </c>
      <c r="T3856">
        <v>1</v>
      </c>
      <c r="U3856">
        <v>2</v>
      </c>
      <c r="V3856">
        <v>441.67</v>
      </c>
      <c r="W3856">
        <v>13130003854</v>
      </c>
    </row>
    <row r="3857" spans="1:23" x14ac:dyDescent="0.2">
      <c r="A3857" s="1">
        <v>44791</v>
      </c>
      <c r="B3857" s="2">
        <v>0.66678240740740746</v>
      </c>
      <c r="C3857">
        <v>4855</v>
      </c>
      <c r="D3857">
        <v>13002561</v>
      </c>
      <c r="E3857">
        <v>13</v>
      </c>
      <c r="F3857">
        <v>22589</v>
      </c>
      <c r="G3857" t="s">
        <v>23</v>
      </c>
      <c r="H3857">
        <v>18</v>
      </c>
      <c r="I3857">
        <v>98935</v>
      </c>
      <c r="J3857" t="s">
        <v>49</v>
      </c>
      <c r="K3857" t="s">
        <v>38</v>
      </c>
      <c r="L3857" t="s">
        <v>26</v>
      </c>
      <c r="M3857">
        <v>3</v>
      </c>
      <c r="N3857">
        <v>191.5</v>
      </c>
      <c r="O3857">
        <v>285.82</v>
      </c>
      <c r="P3857">
        <v>28.58</v>
      </c>
      <c r="Q3857">
        <v>28.58</v>
      </c>
      <c r="R3857" t="s">
        <v>30</v>
      </c>
      <c r="S3857">
        <v>29</v>
      </c>
      <c r="T3857">
        <v>1</v>
      </c>
      <c r="U3857">
        <v>1</v>
      </c>
      <c r="V3857">
        <v>257.24</v>
      </c>
      <c r="W3857">
        <v>13130003855</v>
      </c>
    </row>
    <row r="3858" spans="1:23" x14ac:dyDescent="0.2">
      <c r="A3858" s="1">
        <v>44784</v>
      </c>
      <c r="B3858" s="2">
        <v>0.58299768518518513</v>
      </c>
      <c r="C3858">
        <v>4856</v>
      </c>
      <c r="D3858">
        <v>13002561</v>
      </c>
      <c r="E3858">
        <v>13</v>
      </c>
      <c r="F3858">
        <v>22589</v>
      </c>
      <c r="G3858" t="s">
        <v>23</v>
      </c>
      <c r="H3858">
        <v>15</v>
      </c>
      <c r="I3858">
        <v>74900</v>
      </c>
      <c r="J3858" t="s">
        <v>77</v>
      </c>
      <c r="K3858" t="s">
        <v>60</v>
      </c>
      <c r="L3858" t="s">
        <v>29</v>
      </c>
      <c r="M3858">
        <v>1</v>
      </c>
      <c r="N3858">
        <v>511.63</v>
      </c>
      <c r="O3858">
        <v>705.21</v>
      </c>
      <c r="P3858">
        <v>35.26</v>
      </c>
      <c r="Q3858">
        <v>35.26</v>
      </c>
      <c r="R3858" t="s">
        <v>30</v>
      </c>
      <c r="S3858">
        <v>29</v>
      </c>
      <c r="T3858">
        <v>1</v>
      </c>
      <c r="U3858">
        <v>3</v>
      </c>
      <c r="V3858">
        <v>669.95</v>
      </c>
      <c r="W3858">
        <v>13130003856</v>
      </c>
    </row>
    <row r="3859" spans="1:23" x14ac:dyDescent="0.2">
      <c r="A3859" s="1">
        <v>44799</v>
      </c>
      <c r="B3859" s="2">
        <v>0.68525462962962957</v>
      </c>
      <c r="C3859">
        <v>4857</v>
      </c>
      <c r="D3859">
        <v>13002561</v>
      </c>
      <c r="E3859">
        <v>13</v>
      </c>
      <c r="F3859">
        <v>22589</v>
      </c>
      <c r="G3859" t="s">
        <v>23</v>
      </c>
      <c r="H3859">
        <v>18</v>
      </c>
      <c r="I3859">
        <v>89752</v>
      </c>
      <c r="J3859" t="s">
        <v>117</v>
      </c>
      <c r="K3859" t="s">
        <v>25</v>
      </c>
      <c r="L3859" t="s">
        <v>39</v>
      </c>
      <c r="M3859">
        <v>3</v>
      </c>
      <c r="N3859">
        <v>97.35</v>
      </c>
      <c r="O3859">
        <v>141.11000000000001</v>
      </c>
      <c r="P3859">
        <v>7.06</v>
      </c>
      <c r="Q3859">
        <v>7.06</v>
      </c>
      <c r="R3859" t="s">
        <v>30</v>
      </c>
      <c r="S3859">
        <v>29</v>
      </c>
      <c r="T3859">
        <v>1</v>
      </c>
      <c r="U3859">
        <v>5</v>
      </c>
      <c r="V3859">
        <v>134.05000000000001</v>
      </c>
      <c r="W3859">
        <v>13130003857</v>
      </c>
    </row>
    <row r="3860" spans="1:23" x14ac:dyDescent="0.2">
      <c r="A3860" s="1">
        <v>44774</v>
      </c>
      <c r="B3860" s="2">
        <v>0.95743055555555556</v>
      </c>
      <c r="C3860">
        <v>4858</v>
      </c>
      <c r="D3860">
        <v>13002561</v>
      </c>
      <c r="E3860">
        <v>13</v>
      </c>
      <c r="F3860">
        <v>22589</v>
      </c>
      <c r="G3860" t="s">
        <v>23</v>
      </c>
      <c r="H3860">
        <v>18</v>
      </c>
      <c r="I3860">
        <v>98359</v>
      </c>
      <c r="J3860" t="s">
        <v>85</v>
      </c>
      <c r="K3860" t="s">
        <v>28</v>
      </c>
      <c r="L3860" t="s">
        <v>39</v>
      </c>
      <c r="M3860">
        <v>3</v>
      </c>
      <c r="N3860">
        <v>278.68</v>
      </c>
      <c r="O3860">
        <v>397.99</v>
      </c>
      <c r="P3860">
        <v>0</v>
      </c>
      <c r="Q3860">
        <v>0</v>
      </c>
      <c r="S3860">
        <v>29</v>
      </c>
      <c r="T3860">
        <v>1</v>
      </c>
      <c r="U3860">
        <v>4</v>
      </c>
      <c r="V3860">
        <v>397.99</v>
      </c>
      <c r="W3860">
        <v>13130003858</v>
      </c>
    </row>
    <row r="3861" spans="1:23" x14ac:dyDescent="0.2">
      <c r="A3861" s="1">
        <v>44803</v>
      </c>
      <c r="B3861" s="2">
        <v>0.77888888888888885</v>
      </c>
      <c r="C3861">
        <v>4859</v>
      </c>
      <c r="D3861">
        <v>13002561</v>
      </c>
      <c r="E3861">
        <v>13</v>
      </c>
      <c r="F3861">
        <v>22589</v>
      </c>
      <c r="G3861" t="s">
        <v>23</v>
      </c>
      <c r="H3861">
        <v>18</v>
      </c>
      <c r="I3861">
        <v>76406</v>
      </c>
      <c r="J3861" t="s">
        <v>73</v>
      </c>
      <c r="K3861" t="s">
        <v>60</v>
      </c>
      <c r="L3861" t="s">
        <v>29</v>
      </c>
      <c r="M3861">
        <v>2</v>
      </c>
      <c r="N3861">
        <v>345.95</v>
      </c>
      <c r="O3861">
        <v>562.03</v>
      </c>
      <c r="P3861">
        <v>0</v>
      </c>
      <c r="Q3861">
        <v>0</v>
      </c>
      <c r="S3861">
        <v>29</v>
      </c>
      <c r="T3861">
        <v>1</v>
      </c>
      <c r="U3861">
        <v>6</v>
      </c>
      <c r="V3861">
        <v>562.03</v>
      </c>
      <c r="W3861">
        <v>13130003859</v>
      </c>
    </row>
    <row r="3862" spans="1:23" x14ac:dyDescent="0.2">
      <c r="A3862" s="1">
        <v>44803</v>
      </c>
      <c r="B3862" s="2">
        <v>0.85982638888888885</v>
      </c>
      <c r="C3862">
        <v>4860</v>
      </c>
      <c r="D3862">
        <v>13002561</v>
      </c>
      <c r="E3862">
        <v>13</v>
      </c>
      <c r="F3862">
        <v>22589</v>
      </c>
      <c r="G3862" t="s">
        <v>23</v>
      </c>
      <c r="H3862">
        <v>15</v>
      </c>
      <c r="I3862">
        <v>65031</v>
      </c>
      <c r="J3862" t="s">
        <v>110</v>
      </c>
      <c r="K3862" t="s">
        <v>38</v>
      </c>
      <c r="L3862" t="s">
        <v>39</v>
      </c>
      <c r="M3862">
        <v>1</v>
      </c>
      <c r="N3862">
        <v>497.54</v>
      </c>
      <c r="O3862">
        <v>640.22</v>
      </c>
      <c r="P3862">
        <v>64.02</v>
      </c>
      <c r="Q3862">
        <v>64.02</v>
      </c>
      <c r="R3862" t="s">
        <v>30</v>
      </c>
      <c r="S3862">
        <v>29</v>
      </c>
      <c r="T3862">
        <v>1</v>
      </c>
      <c r="U3862">
        <v>6</v>
      </c>
      <c r="V3862">
        <v>576.20000000000005</v>
      </c>
      <c r="W3862">
        <v>13130003860</v>
      </c>
    </row>
    <row r="3863" spans="1:23" x14ac:dyDescent="0.2">
      <c r="A3863" s="1">
        <v>44800</v>
      </c>
      <c r="B3863" s="2">
        <v>0.65819444444444442</v>
      </c>
      <c r="C3863">
        <v>4861</v>
      </c>
      <c r="D3863">
        <v>13002561</v>
      </c>
      <c r="E3863">
        <v>13</v>
      </c>
      <c r="F3863">
        <v>22589</v>
      </c>
      <c r="G3863" t="s">
        <v>23</v>
      </c>
      <c r="H3863">
        <v>15</v>
      </c>
      <c r="I3863">
        <v>20675</v>
      </c>
      <c r="J3863" t="s">
        <v>89</v>
      </c>
      <c r="K3863" t="s">
        <v>44</v>
      </c>
      <c r="L3863" t="s">
        <v>34</v>
      </c>
      <c r="M3863">
        <v>2</v>
      </c>
      <c r="N3863">
        <v>559.96</v>
      </c>
      <c r="O3863">
        <v>926.47</v>
      </c>
      <c r="P3863">
        <v>0</v>
      </c>
      <c r="Q3863">
        <v>0</v>
      </c>
      <c r="S3863">
        <v>29</v>
      </c>
      <c r="T3863">
        <v>1</v>
      </c>
      <c r="U3863">
        <v>6</v>
      </c>
      <c r="V3863">
        <v>926.47</v>
      </c>
      <c r="W3863">
        <v>13130003861</v>
      </c>
    </row>
    <row r="3864" spans="1:23" x14ac:dyDescent="0.2">
      <c r="A3864" s="1">
        <v>44784</v>
      </c>
      <c r="B3864" s="2">
        <v>0.52344907407407404</v>
      </c>
      <c r="C3864">
        <v>4862</v>
      </c>
      <c r="D3864">
        <v>13002561</v>
      </c>
      <c r="E3864">
        <v>13</v>
      </c>
      <c r="F3864">
        <v>22589</v>
      </c>
      <c r="G3864" t="s">
        <v>23</v>
      </c>
      <c r="H3864">
        <v>15</v>
      </c>
      <c r="I3864">
        <v>97057</v>
      </c>
      <c r="J3864" t="s">
        <v>118</v>
      </c>
      <c r="K3864" t="s">
        <v>60</v>
      </c>
      <c r="L3864" t="s">
        <v>51</v>
      </c>
      <c r="M3864">
        <v>3</v>
      </c>
      <c r="N3864">
        <v>546.66</v>
      </c>
      <c r="O3864">
        <v>697.04</v>
      </c>
      <c r="P3864">
        <v>69.7</v>
      </c>
      <c r="Q3864">
        <v>69.7</v>
      </c>
      <c r="R3864" t="s">
        <v>30</v>
      </c>
      <c r="S3864">
        <v>29</v>
      </c>
      <c r="T3864">
        <v>1</v>
      </c>
      <c r="U3864">
        <v>5</v>
      </c>
      <c r="V3864">
        <v>627.34</v>
      </c>
      <c r="W3864">
        <v>13130003862</v>
      </c>
    </row>
    <row r="3865" spans="1:23" x14ac:dyDescent="0.2">
      <c r="A3865" s="1">
        <v>44804</v>
      </c>
      <c r="B3865" s="2">
        <v>0.90666666666666662</v>
      </c>
      <c r="C3865">
        <v>4863</v>
      </c>
      <c r="D3865">
        <v>13002561</v>
      </c>
      <c r="E3865">
        <v>13</v>
      </c>
      <c r="F3865">
        <v>22589</v>
      </c>
      <c r="G3865" t="s">
        <v>23</v>
      </c>
      <c r="H3865">
        <v>15</v>
      </c>
      <c r="I3865">
        <v>30403</v>
      </c>
      <c r="J3865" t="s">
        <v>109</v>
      </c>
      <c r="K3865" t="s">
        <v>60</v>
      </c>
      <c r="L3865" t="s">
        <v>29</v>
      </c>
      <c r="M3865">
        <v>3</v>
      </c>
      <c r="N3865">
        <v>257.99</v>
      </c>
      <c r="O3865">
        <v>381.17</v>
      </c>
      <c r="P3865">
        <v>0</v>
      </c>
      <c r="Q3865">
        <v>0</v>
      </c>
      <c r="S3865">
        <v>29</v>
      </c>
      <c r="T3865">
        <v>1</v>
      </c>
      <c r="U3865">
        <v>2</v>
      </c>
      <c r="V3865">
        <v>381.17</v>
      </c>
      <c r="W3865">
        <v>13130003863</v>
      </c>
    </row>
    <row r="3866" spans="1:23" x14ac:dyDescent="0.2">
      <c r="A3866" s="1">
        <v>44774</v>
      </c>
      <c r="B3866" s="2">
        <v>0.86528935185185185</v>
      </c>
      <c r="C3866">
        <v>4864</v>
      </c>
      <c r="D3866">
        <v>13002561</v>
      </c>
      <c r="E3866">
        <v>13</v>
      </c>
      <c r="F3866">
        <v>22589</v>
      </c>
      <c r="G3866" t="s">
        <v>23</v>
      </c>
      <c r="H3866">
        <v>18</v>
      </c>
      <c r="I3866">
        <v>56523</v>
      </c>
      <c r="J3866" t="s">
        <v>124</v>
      </c>
      <c r="K3866" t="s">
        <v>28</v>
      </c>
      <c r="L3866" t="s">
        <v>32</v>
      </c>
      <c r="M3866">
        <v>1</v>
      </c>
      <c r="N3866">
        <v>561.95000000000005</v>
      </c>
      <c r="O3866">
        <v>791.94</v>
      </c>
      <c r="P3866">
        <v>39.6</v>
      </c>
      <c r="Q3866">
        <v>39.6</v>
      </c>
      <c r="R3866" t="s">
        <v>30</v>
      </c>
      <c r="S3866">
        <v>29</v>
      </c>
      <c r="T3866">
        <v>1</v>
      </c>
      <c r="U3866">
        <v>4</v>
      </c>
      <c r="V3866">
        <v>752.34</v>
      </c>
      <c r="W3866">
        <v>13130003864</v>
      </c>
    </row>
    <row r="3867" spans="1:23" x14ac:dyDescent="0.2">
      <c r="A3867" s="1">
        <v>44785</v>
      </c>
      <c r="B3867" s="2">
        <v>0.91620370370370374</v>
      </c>
      <c r="C3867">
        <v>4865</v>
      </c>
      <c r="D3867">
        <v>13002561</v>
      </c>
      <c r="E3867">
        <v>13</v>
      </c>
      <c r="F3867">
        <v>22589</v>
      </c>
      <c r="G3867" t="s">
        <v>23</v>
      </c>
      <c r="H3867">
        <v>18</v>
      </c>
      <c r="I3867">
        <v>68121</v>
      </c>
      <c r="J3867" t="s">
        <v>90</v>
      </c>
      <c r="K3867" t="s">
        <v>25</v>
      </c>
      <c r="L3867" t="s">
        <v>29</v>
      </c>
      <c r="M3867">
        <v>3</v>
      </c>
      <c r="N3867">
        <v>109.69</v>
      </c>
      <c r="O3867">
        <v>141.63</v>
      </c>
      <c r="P3867">
        <v>14.16</v>
      </c>
      <c r="Q3867">
        <v>14.16</v>
      </c>
      <c r="R3867" t="s">
        <v>30</v>
      </c>
      <c r="S3867">
        <v>29</v>
      </c>
      <c r="T3867">
        <v>1</v>
      </c>
      <c r="U3867">
        <v>5</v>
      </c>
      <c r="V3867">
        <v>127.47</v>
      </c>
      <c r="W3867">
        <v>13130003865</v>
      </c>
    </row>
    <row r="3868" spans="1:23" x14ac:dyDescent="0.2">
      <c r="A3868" s="1">
        <v>44779</v>
      </c>
      <c r="B3868" s="2">
        <v>0.700775462962963</v>
      </c>
      <c r="C3868">
        <v>4866</v>
      </c>
      <c r="D3868">
        <v>13002561</v>
      </c>
      <c r="E3868">
        <v>13</v>
      </c>
      <c r="F3868">
        <v>22589</v>
      </c>
      <c r="G3868" t="s">
        <v>23</v>
      </c>
      <c r="H3868">
        <v>15</v>
      </c>
      <c r="I3868">
        <v>13494</v>
      </c>
      <c r="J3868" t="s">
        <v>121</v>
      </c>
      <c r="K3868" t="s">
        <v>28</v>
      </c>
      <c r="L3868" t="s">
        <v>32</v>
      </c>
      <c r="M3868">
        <v>1</v>
      </c>
      <c r="N3868">
        <v>298.02999999999997</v>
      </c>
      <c r="O3868">
        <v>405.66</v>
      </c>
      <c r="P3868">
        <v>0</v>
      </c>
      <c r="Q3868">
        <v>0</v>
      </c>
      <c r="S3868">
        <v>29</v>
      </c>
      <c r="T3868">
        <v>1</v>
      </c>
      <c r="U3868">
        <v>3</v>
      </c>
      <c r="V3868">
        <v>405.66</v>
      </c>
      <c r="W3868">
        <v>13130003866</v>
      </c>
    </row>
    <row r="3869" spans="1:23" x14ac:dyDescent="0.2">
      <c r="A3869" s="1">
        <v>44797</v>
      </c>
      <c r="B3869" s="2">
        <v>0.58859953703703705</v>
      </c>
      <c r="C3869">
        <v>4867</v>
      </c>
      <c r="D3869">
        <v>13002561</v>
      </c>
      <c r="E3869">
        <v>13</v>
      </c>
      <c r="F3869">
        <v>22589</v>
      </c>
      <c r="G3869" t="s">
        <v>23</v>
      </c>
      <c r="H3869">
        <v>18</v>
      </c>
      <c r="I3869">
        <v>43225</v>
      </c>
      <c r="J3869" t="s">
        <v>111</v>
      </c>
      <c r="K3869" t="s">
        <v>28</v>
      </c>
      <c r="L3869" t="s">
        <v>36</v>
      </c>
      <c r="M3869">
        <v>2</v>
      </c>
      <c r="N3869">
        <v>456.55</v>
      </c>
      <c r="O3869">
        <v>608.32000000000005</v>
      </c>
      <c r="P3869">
        <v>60.83</v>
      </c>
      <c r="Q3869">
        <v>60.83</v>
      </c>
      <c r="R3869" t="s">
        <v>30</v>
      </c>
      <c r="S3869">
        <v>29</v>
      </c>
      <c r="T3869">
        <v>1</v>
      </c>
      <c r="U3869">
        <v>3</v>
      </c>
      <c r="V3869">
        <v>547.49</v>
      </c>
      <c r="W3869">
        <v>13130003867</v>
      </c>
    </row>
    <row r="3870" spans="1:23" x14ac:dyDescent="0.2">
      <c r="A3870" s="1">
        <v>44793</v>
      </c>
      <c r="B3870" s="2">
        <v>0.95350694444444439</v>
      </c>
      <c r="C3870">
        <v>4868</v>
      </c>
      <c r="D3870">
        <v>13002561</v>
      </c>
      <c r="E3870">
        <v>13</v>
      </c>
      <c r="F3870">
        <v>22589</v>
      </c>
      <c r="G3870" t="s">
        <v>23</v>
      </c>
      <c r="H3870">
        <v>18</v>
      </c>
      <c r="I3870">
        <v>61535</v>
      </c>
      <c r="J3870" t="s">
        <v>76</v>
      </c>
      <c r="K3870" t="s">
        <v>38</v>
      </c>
      <c r="L3870" t="s">
        <v>26</v>
      </c>
      <c r="M3870">
        <v>3</v>
      </c>
      <c r="N3870">
        <v>293.95</v>
      </c>
      <c r="O3870">
        <v>418.87</v>
      </c>
      <c r="P3870">
        <v>41.89</v>
      </c>
      <c r="Q3870">
        <v>41.89</v>
      </c>
      <c r="R3870" t="s">
        <v>30</v>
      </c>
      <c r="S3870">
        <v>29</v>
      </c>
      <c r="T3870">
        <v>1</v>
      </c>
      <c r="U3870">
        <v>3</v>
      </c>
      <c r="V3870">
        <v>376.98</v>
      </c>
      <c r="W3870">
        <v>13130003868</v>
      </c>
    </row>
    <row r="3871" spans="1:23" x14ac:dyDescent="0.2">
      <c r="A3871" s="1">
        <v>44801</v>
      </c>
      <c r="B3871" s="2">
        <v>0.78887731481481482</v>
      </c>
      <c r="C3871">
        <v>4869</v>
      </c>
      <c r="D3871">
        <v>13002561</v>
      </c>
      <c r="E3871">
        <v>13</v>
      </c>
      <c r="F3871">
        <v>22589</v>
      </c>
      <c r="G3871" t="s">
        <v>23</v>
      </c>
      <c r="H3871">
        <v>18</v>
      </c>
      <c r="I3871">
        <v>97037</v>
      </c>
      <c r="J3871" t="s">
        <v>108</v>
      </c>
      <c r="K3871" t="s">
        <v>28</v>
      </c>
      <c r="L3871" t="s">
        <v>29</v>
      </c>
      <c r="M3871">
        <v>1</v>
      </c>
      <c r="N3871">
        <v>96.64</v>
      </c>
      <c r="O3871">
        <v>126.97</v>
      </c>
      <c r="P3871">
        <v>0</v>
      </c>
      <c r="Q3871">
        <v>0</v>
      </c>
      <c r="S3871">
        <v>29</v>
      </c>
      <c r="T3871">
        <v>1</v>
      </c>
      <c r="U3871">
        <v>6</v>
      </c>
      <c r="V3871">
        <v>126.97</v>
      </c>
      <c r="W3871">
        <v>13130003869</v>
      </c>
    </row>
    <row r="3872" spans="1:23" x14ac:dyDescent="0.2">
      <c r="A3872" s="1">
        <v>44779</v>
      </c>
      <c r="B3872" s="2">
        <v>0.89252314814814815</v>
      </c>
      <c r="C3872">
        <v>4870</v>
      </c>
      <c r="D3872">
        <v>13002561</v>
      </c>
      <c r="E3872">
        <v>13</v>
      </c>
      <c r="F3872">
        <v>22589</v>
      </c>
      <c r="G3872" t="s">
        <v>23</v>
      </c>
      <c r="H3872">
        <v>18</v>
      </c>
      <c r="I3872">
        <v>54792</v>
      </c>
      <c r="J3872" t="s">
        <v>90</v>
      </c>
      <c r="K3872" t="s">
        <v>60</v>
      </c>
      <c r="L3872" t="s">
        <v>32</v>
      </c>
      <c r="M3872">
        <v>2</v>
      </c>
      <c r="N3872">
        <v>104.62</v>
      </c>
      <c r="O3872">
        <v>166.27</v>
      </c>
      <c r="P3872">
        <v>16.63</v>
      </c>
      <c r="Q3872">
        <v>16.63</v>
      </c>
      <c r="R3872" t="s">
        <v>30</v>
      </c>
      <c r="S3872">
        <v>29</v>
      </c>
      <c r="T3872">
        <v>1</v>
      </c>
      <c r="U3872">
        <v>1</v>
      </c>
      <c r="V3872">
        <v>149.63999999999999</v>
      </c>
      <c r="W3872">
        <v>13130003870</v>
      </c>
    </row>
    <row r="3873" spans="1:23" x14ac:dyDescent="0.2">
      <c r="A3873" s="1">
        <v>44777</v>
      </c>
      <c r="B3873" s="2">
        <v>0.71150462962962968</v>
      </c>
      <c r="C3873">
        <v>4871</v>
      </c>
      <c r="D3873">
        <v>13002561</v>
      </c>
      <c r="E3873">
        <v>13</v>
      </c>
      <c r="F3873">
        <v>22589</v>
      </c>
      <c r="G3873" t="s">
        <v>23</v>
      </c>
      <c r="H3873">
        <v>18</v>
      </c>
      <c r="I3873">
        <v>48148</v>
      </c>
      <c r="J3873" t="s">
        <v>96</v>
      </c>
      <c r="K3873" t="s">
        <v>28</v>
      </c>
      <c r="L3873" t="s">
        <v>51</v>
      </c>
      <c r="M3873">
        <v>1</v>
      </c>
      <c r="N3873">
        <v>366.95</v>
      </c>
      <c r="O3873">
        <v>517.20000000000005</v>
      </c>
      <c r="P3873">
        <v>0</v>
      </c>
      <c r="Q3873">
        <v>0</v>
      </c>
      <c r="S3873">
        <v>29</v>
      </c>
      <c r="T3873">
        <v>1</v>
      </c>
      <c r="U3873">
        <v>5</v>
      </c>
      <c r="V3873">
        <v>517.20000000000005</v>
      </c>
      <c r="W3873">
        <v>13130003871</v>
      </c>
    </row>
    <row r="3874" spans="1:23" x14ac:dyDescent="0.2">
      <c r="A3874" s="1">
        <v>44796</v>
      </c>
      <c r="B3874" s="2">
        <v>0.33756944444444442</v>
      </c>
      <c r="C3874">
        <v>4872</v>
      </c>
      <c r="D3874">
        <v>13002561</v>
      </c>
      <c r="E3874">
        <v>13</v>
      </c>
      <c r="F3874">
        <v>22589</v>
      </c>
      <c r="G3874" t="s">
        <v>23</v>
      </c>
      <c r="H3874">
        <v>18</v>
      </c>
      <c r="I3874">
        <v>71259</v>
      </c>
      <c r="J3874" t="s">
        <v>65</v>
      </c>
      <c r="K3874" t="s">
        <v>25</v>
      </c>
      <c r="L3874" t="s">
        <v>32</v>
      </c>
      <c r="M3874">
        <v>3</v>
      </c>
      <c r="N3874">
        <v>154.77000000000001</v>
      </c>
      <c r="O3874">
        <v>202.69</v>
      </c>
      <c r="P3874">
        <v>0</v>
      </c>
      <c r="Q3874">
        <v>0</v>
      </c>
      <c r="S3874">
        <v>29</v>
      </c>
      <c r="T3874">
        <v>1</v>
      </c>
      <c r="U3874">
        <v>2</v>
      </c>
      <c r="V3874">
        <v>202.69</v>
      </c>
      <c r="W3874">
        <v>13130003872</v>
      </c>
    </row>
    <row r="3875" spans="1:23" x14ac:dyDescent="0.2">
      <c r="A3875" s="1">
        <v>44790</v>
      </c>
      <c r="B3875" s="2">
        <v>0.5190393518518519</v>
      </c>
      <c r="C3875">
        <v>4873</v>
      </c>
      <c r="D3875">
        <v>13002561</v>
      </c>
      <c r="E3875">
        <v>13</v>
      </c>
      <c r="F3875">
        <v>22589</v>
      </c>
      <c r="G3875" t="s">
        <v>23</v>
      </c>
      <c r="H3875">
        <v>15</v>
      </c>
      <c r="I3875">
        <v>44282</v>
      </c>
      <c r="J3875" t="s">
        <v>85</v>
      </c>
      <c r="K3875" t="s">
        <v>45</v>
      </c>
      <c r="L3875" t="s">
        <v>39</v>
      </c>
      <c r="M3875">
        <v>1</v>
      </c>
      <c r="N3875">
        <v>392.45</v>
      </c>
      <c r="O3875">
        <v>539.46</v>
      </c>
      <c r="P3875">
        <v>0</v>
      </c>
      <c r="Q3875">
        <v>0</v>
      </c>
      <c r="S3875">
        <v>29</v>
      </c>
      <c r="T3875">
        <v>1</v>
      </c>
      <c r="U3875">
        <v>3</v>
      </c>
      <c r="V3875">
        <v>539.46</v>
      </c>
      <c r="W3875">
        <v>13130003873</v>
      </c>
    </row>
    <row r="3876" spans="1:23" x14ac:dyDescent="0.2">
      <c r="A3876" s="1">
        <v>44789</v>
      </c>
      <c r="B3876" s="2">
        <v>0.74807870370370366</v>
      </c>
      <c r="C3876">
        <v>4874</v>
      </c>
      <c r="D3876">
        <v>13002561</v>
      </c>
      <c r="E3876">
        <v>13</v>
      </c>
      <c r="F3876">
        <v>22589</v>
      </c>
      <c r="G3876" t="s">
        <v>23</v>
      </c>
      <c r="H3876">
        <v>18</v>
      </c>
      <c r="I3876">
        <v>44295</v>
      </c>
      <c r="J3876" t="s">
        <v>115</v>
      </c>
      <c r="K3876" t="s">
        <v>45</v>
      </c>
      <c r="L3876" t="s">
        <v>34</v>
      </c>
      <c r="M3876">
        <v>3</v>
      </c>
      <c r="N3876">
        <v>560.37</v>
      </c>
      <c r="O3876">
        <v>853.9</v>
      </c>
      <c r="P3876">
        <v>0</v>
      </c>
      <c r="Q3876">
        <v>0</v>
      </c>
      <c r="S3876">
        <v>29</v>
      </c>
      <c r="T3876">
        <v>1</v>
      </c>
      <c r="U3876">
        <v>2</v>
      </c>
      <c r="V3876">
        <v>853.9</v>
      </c>
      <c r="W3876">
        <v>13130003874</v>
      </c>
    </row>
    <row r="3877" spans="1:23" x14ac:dyDescent="0.2">
      <c r="A3877" s="1">
        <v>44782</v>
      </c>
      <c r="B3877" s="2">
        <v>0.44869212962962962</v>
      </c>
      <c r="C3877">
        <v>4875</v>
      </c>
      <c r="D3877">
        <v>13002561</v>
      </c>
      <c r="E3877">
        <v>13</v>
      </c>
      <c r="F3877">
        <v>22589</v>
      </c>
      <c r="G3877" t="s">
        <v>23</v>
      </c>
      <c r="H3877">
        <v>18</v>
      </c>
      <c r="I3877">
        <v>85164</v>
      </c>
      <c r="J3877" t="s">
        <v>82</v>
      </c>
      <c r="K3877" t="s">
        <v>45</v>
      </c>
      <c r="L3877" t="s">
        <v>29</v>
      </c>
      <c r="M3877">
        <v>2</v>
      </c>
      <c r="N3877">
        <v>291.60000000000002</v>
      </c>
      <c r="O3877">
        <v>467.02</v>
      </c>
      <c r="P3877">
        <v>46.7</v>
      </c>
      <c r="Q3877">
        <v>46.7</v>
      </c>
      <c r="R3877" t="s">
        <v>30</v>
      </c>
      <c r="S3877">
        <v>29</v>
      </c>
      <c r="T3877">
        <v>1</v>
      </c>
      <c r="U3877">
        <v>2</v>
      </c>
      <c r="V3877">
        <v>420.32</v>
      </c>
      <c r="W3877">
        <v>13130003875</v>
      </c>
    </row>
    <row r="3878" spans="1:23" x14ac:dyDescent="0.2">
      <c r="A3878" s="1">
        <v>44791</v>
      </c>
      <c r="B3878" s="2">
        <v>0.90418981481481486</v>
      </c>
      <c r="C3878">
        <v>4876</v>
      </c>
      <c r="D3878">
        <v>13002561</v>
      </c>
      <c r="E3878">
        <v>13</v>
      </c>
      <c r="F3878">
        <v>22589</v>
      </c>
      <c r="G3878" t="s">
        <v>23</v>
      </c>
      <c r="H3878">
        <v>15</v>
      </c>
      <c r="I3878">
        <v>85081</v>
      </c>
      <c r="J3878" t="s">
        <v>52</v>
      </c>
      <c r="K3878" t="s">
        <v>38</v>
      </c>
      <c r="L3878" t="s">
        <v>34</v>
      </c>
      <c r="M3878">
        <v>3</v>
      </c>
      <c r="N3878">
        <v>404.97</v>
      </c>
      <c r="O3878">
        <v>674.47</v>
      </c>
      <c r="P3878">
        <v>33.72</v>
      </c>
      <c r="Q3878">
        <v>33.72</v>
      </c>
      <c r="R3878" t="s">
        <v>30</v>
      </c>
      <c r="S3878">
        <v>29</v>
      </c>
      <c r="T3878">
        <v>1</v>
      </c>
      <c r="U3878">
        <v>1</v>
      </c>
      <c r="V3878">
        <v>640.75</v>
      </c>
      <c r="W3878">
        <v>13130003876</v>
      </c>
    </row>
    <row r="3879" spans="1:23" x14ac:dyDescent="0.2">
      <c r="A3879" s="1">
        <v>44796</v>
      </c>
      <c r="B3879" s="2">
        <v>0.92883101851851857</v>
      </c>
      <c r="C3879">
        <v>4877</v>
      </c>
      <c r="D3879">
        <v>13002561</v>
      </c>
      <c r="E3879">
        <v>13</v>
      </c>
      <c r="F3879">
        <v>22589</v>
      </c>
      <c r="G3879" t="s">
        <v>23</v>
      </c>
      <c r="H3879">
        <v>18</v>
      </c>
      <c r="I3879">
        <v>14667</v>
      </c>
      <c r="J3879" t="s">
        <v>122</v>
      </c>
      <c r="K3879" t="s">
        <v>25</v>
      </c>
      <c r="L3879" t="s">
        <v>29</v>
      </c>
      <c r="M3879">
        <v>2</v>
      </c>
      <c r="N3879">
        <v>28.01</v>
      </c>
      <c r="O3879">
        <v>35.42</v>
      </c>
      <c r="P3879">
        <v>1.77</v>
      </c>
      <c r="Q3879">
        <v>1.77</v>
      </c>
      <c r="R3879" t="s">
        <v>30</v>
      </c>
      <c r="S3879">
        <v>29</v>
      </c>
      <c r="T3879">
        <v>1</v>
      </c>
      <c r="U3879">
        <v>2</v>
      </c>
      <c r="V3879">
        <v>33.65</v>
      </c>
      <c r="W3879">
        <v>13130003877</v>
      </c>
    </row>
    <row r="3880" spans="1:23" x14ac:dyDescent="0.2">
      <c r="A3880" s="1">
        <v>44780</v>
      </c>
      <c r="B3880" s="2">
        <v>0.50526620370370368</v>
      </c>
      <c r="C3880">
        <v>4878</v>
      </c>
      <c r="D3880">
        <v>13002561</v>
      </c>
      <c r="E3880">
        <v>13</v>
      </c>
      <c r="F3880">
        <v>22589</v>
      </c>
      <c r="G3880" t="s">
        <v>23</v>
      </c>
      <c r="H3880">
        <v>15</v>
      </c>
      <c r="I3880">
        <v>75076</v>
      </c>
      <c r="J3880" t="s">
        <v>109</v>
      </c>
      <c r="K3880" t="s">
        <v>38</v>
      </c>
      <c r="L3880" t="s">
        <v>36</v>
      </c>
      <c r="M3880">
        <v>3</v>
      </c>
      <c r="N3880">
        <v>79.55</v>
      </c>
      <c r="O3880">
        <v>122.49</v>
      </c>
      <c r="P3880">
        <v>6.12</v>
      </c>
      <c r="Q3880">
        <v>6.12</v>
      </c>
      <c r="R3880" t="s">
        <v>30</v>
      </c>
      <c r="S3880">
        <v>29</v>
      </c>
      <c r="T3880">
        <v>1</v>
      </c>
      <c r="U3880">
        <v>1</v>
      </c>
      <c r="V3880">
        <v>116.37</v>
      </c>
      <c r="W3880">
        <v>13130003878</v>
      </c>
    </row>
    <row r="3881" spans="1:23" x14ac:dyDescent="0.2">
      <c r="A3881" s="1">
        <v>44801</v>
      </c>
      <c r="B3881" s="2">
        <v>0.94649305555555552</v>
      </c>
      <c r="C3881">
        <v>4879</v>
      </c>
      <c r="D3881">
        <v>13002561</v>
      </c>
      <c r="E3881">
        <v>13</v>
      </c>
      <c r="F3881">
        <v>22589</v>
      </c>
      <c r="G3881" t="s">
        <v>23</v>
      </c>
      <c r="H3881">
        <v>15</v>
      </c>
      <c r="I3881">
        <v>21464</v>
      </c>
      <c r="J3881" t="s">
        <v>33</v>
      </c>
      <c r="K3881" t="s">
        <v>38</v>
      </c>
      <c r="L3881" t="s">
        <v>51</v>
      </c>
      <c r="M3881">
        <v>2</v>
      </c>
      <c r="N3881">
        <v>427.22</v>
      </c>
      <c r="O3881">
        <v>704.39</v>
      </c>
      <c r="P3881">
        <v>70.44</v>
      </c>
      <c r="Q3881">
        <v>70.44</v>
      </c>
      <c r="R3881" t="s">
        <v>30</v>
      </c>
      <c r="S3881">
        <v>29</v>
      </c>
      <c r="T3881">
        <v>1</v>
      </c>
      <c r="U3881">
        <v>5</v>
      </c>
      <c r="V3881">
        <v>633.95000000000005</v>
      </c>
      <c r="W3881">
        <v>13130003879</v>
      </c>
    </row>
    <row r="3882" spans="1:23" x14ac:dyDescent="0.2">
      <c r="A3882" s="1">
        <v>44796</v>
      </c>
      <c r="B3882" s="2">
        <v>0.33708333333333329</v>
      </c>
      <c r="C3882">
        <v>4880</v>
      </c>
      <c r="D3882">
        <v>13002561</v>
      </c>
      <c r="E3882">
        <v>13</v>
      </c>
      <c r="F3882">
        <v>22589</v>
      </c>
      <c r="G3882" t="s">
        <v>23</v>
      </c>
      <c r="H3882">
        <v>15</v>
      </c>
      <c r="I3882">
        <v>56151</v>
      </c>
      <c r="J3882" t="s">
        <v>117</v>
      </c>
      <c r="K3882" t="s">
        <v>44</v>
      </c>
      <c r="L3882" t="s">
        <v>47</v>
      </c>
      <c r="M3882">
        <v>2</v>
      </c>
      <c r="N3882">
        <v>352.07</v>
      </c>
      <c r="O3882">
        <v>441.87</v>
      </c>
      <c r="P3882">
        <v>22.09</v>
      </c>
      <c r="Q3882">
        <v>22.09</v>
      </c>
      <c r="R3882" t="s">
        <v>30</v>
      </c>
      <c r="S3882">
        <v>29</v>
      </c>
      <c r="T3882">
        <v>1</v>
      </c>
      <c r="U3882">
        <v>1</v>
      </c>
      <c r="V3882">
        <v>419.78</v>
      </c>
      <c r="W3882">
        <v>13130003880</v>
      </c>
    </row>
    <row r="3883" spans="1:23" x14ac:dyDescent="0.2">
      <c r="A3883" s="1">
        <v>44776</v>
      </c>
      <c r="B3883" s="2">
        <v>0.70685185185185184</v>
      </c>
      <c r="C3883">
        <v>4881</v>
      </c>
      <c r="D3883">
        <v>13002561</v>
      </c>
      <c r="E3883">
        <v>13</v>
      </c>
      <c r="F3883">
        <v>22589</v>
      </c>
      <c r="G3883" t="s">
        <v>23</v>
      </c>
      <c r="H3883">
        <v>15</v>
      </c>
      <c r="I3883">
        <v>45939</v>
      </c>
      <c r="J3883" t="s">
        <v>65</v>
      </c>
      <c r="K3883" t="s">
        <v>45</v>
      </c>
      <c r="L3883" t="s">
        <v>29</v>
      </c>
      <c r="M3883">
        <v>1</v>
      </c>
      <c r="N3883">
        <v>26.24</v>
      </c>
      <c r="O3883">
        <v>43.95</v>
      </c>
      <c r="P3883">
        <v>0</v>
      </c>
      <c r="Q3883">
        <v>0</v>
      </c>
      <c r="S3883">
        <v>29</v>
      </c>
      <c r="T3883">
        <v>1</v>
      </c>
      <c r="U3883">
        <v>5</v>
      </c>
      <c r="V3883">
        <v>43.95</v>
      </c>
      <c r="W3883">
        <v>13130003881</v>
      </c>
    </row>
    <row r="3884" spans="1:23" x14ac:dyDescent="0.2">
      <c r="A3884" s="1">
        <v>44784</v>
      </c>
      <c r="B3884" s="2">
        <v>0.49549768518518522</v>
      </c>
      <c r="C3884">
        <v>4882</v>
      </c>
      <c r="D3884">
        <v>13002561</v>
      </c>
      <c r="E3884">
        <v>13</v>
      </c>
      <c r="F3884">
        <v>22589</v>
      </c>
      <c r="G3884" t="s">
        <v>23</v>
      </c>
      <c r="H3884">
        <v>15</v>
      </c>
      <c r="I3884">
        <v>42283</v>
      </c>
      <c r="J3884" t="s">
        <v>122</v>
      </c>
      <c r="K3884" t="s">
        <v>45</v>
      </c>
      <c r="L3884" t="s">
        <v>47</v>
      </c>
      <c r="M3884">
        <v>2</v>
      </c>
      <c r="N3884">
        <v>408.94</v>
      </c>
      <c r="O3884">
        <v>605.12</v>
      </c>
      <c r="P3884">
        <v>0</v>
      </c>
      <c r="Q3884">
        <v>0</v>
      </c>
      <c r="S3884">
        <v>29</v>
      </c>
      <c r="T3884">
        <v>1</v>
      </c>
      <c r="U3884">
        <v>6</v>
      </c>
      <c r="V3884">
        <v>605.12</v>
      </c>
      <c r="W3884">
        <v>13130003882</v>
      </c>
    </row>
    <row r="3885" spans="1:23" x14ac:dyDescent="0.2">
      <c r="A3885" s="1">
        <v>44793</v>
      </c>
      <c r="B3885" s="2">
        <v>0.88019675925925922</v>
      </c>
      <c r="C3885">
        <v>4883</v>
      </c>
      <c r="D3885">
        <v>13002561</v>
      </c>
      <c r="E3885">
        <v>13</v>
      </c>
      <c r="F3885">
        <v>22589</v>
      </c>
      <c r="G3885" t="s">
        <v>23</v>
      </c>
      <c r="H3885">
        <v>15</v>
      </c>
      <c r="I3885">
        <v>55006</v>
      </c>
      <c r="J3885" t="s">
        <v>93</v>
      </c>
      <c r="K3885" t="s">
        <v>44</v>
      </c>
      <c r="L3885" t="s">
        <v>34</v>
      </c>
      <c r="M3885">
        <v>1</v>
      </c>
      <c r="N3885">
        <v>126.91</v>
      </c>
      <c r="O3885">
        <v>208.51</v>
      </c>
      <c r="P3885">
        <v>20.85</v>
      </c>
      <c r="Q3885">
        <v>20.85</v>
      </c>
      <c r="R3885" t="s">
        <v>30</v>
      </c>
      <c r="S3885">
        <v>29</v>
      </c>
      <c r="T3885">
        <v>1</v>
      </c>
      <c r="U3885">
        <v>6</v>
      </c>
      <c r="V3885">
        <v>187.66</v>
      </c>
      <c r="W3885">
        <v>13130003883</v>
      </c>
    </row>
    <row r="3886" spans="1:23" x14ac:dyDescent="0.2">
      <c r="A3886" s="1">
        <v>44774</v>
      </c>
      <c r="B3886" s="2">
        <v>0.46813657407407411</v>
      </c>
      <c r="C3886">
        <v>4884</v>
      </c>
      <c r="D3886">
        <v>13002561</v>
      </c>
      <c r="E3886">
        <v>13</v>
      </c>
      <c r="F3886">
        <v>22589</v>
      </c>
      <c r="G3886" t="s">
        <v>23</v>
      </c>
      <c r="H3886">
        <v>18</v>
      </c>
      <c r="I3886">
        <v>55982</v>
      </c>
      <c r="J3886" t="s">
        <v>111</v>
      </c>
      <c r="K3886" t="s">
        <v>45</v>
      </c>
      <c r="L3886" t="s">
        <v>51</v>
      </c>
      <c r="M3886">
        <v>2</v>
      </c>
      <c r="N3886">
        <v>575.04</v>
      </c>
      <c r="O3886">
        <v>796.13</v>
      </c>
      <c r="P3886">
        <v>79.61</v>
      </c>
      <c r="Q3886">
        <v>79.61</v>
      </c>
      <c r="R3886" t="s">
        <v>30</v>
      </c>
      <c r="S3886">
        <v>29</v>
      </c>
      <c r="T3886">
        <v>1</v>
      </c>
      <c r="U3886">
        <v>6</v>
      </c>
      <c r="V3886">
        <v>716.52</v>
      </c>
      <c r="W3886">
        <v>13130003884</v>
      </c>
    </row>
    <row r="3887" spans="1:23" x14ac:dyDescent="0.2">
      <c r="A3887" s="1">
        <v>44781</v>
      </c>
      <c r="B3887" s="2">
        <v>0.40630787037037042</v>
      </c>
      <c r="C3887">
        <v>4885</v>
      </c>
      <c r="D3887">
        <v>13002561</v>
      </c>
      <c r="E3887">
        <v>13</v>
      </c>
      <c r="F3887">
        <v>22589</v>
      </c>
      <c r="G3887" t="s">
        <v>23</v>
      </c>
      <c r="H3887">
        <v>18</v>
      </c>
      <c r="I3887">
        <v>68798</v>
      </c>
      <c r="J3887" t="s">
        <v>49</v>
      </c>
      <c r="K3887" t="s">
        <v>60</v>
      </c>
      <c r="L3887" t="s">
        <v>36</v>
      </c>
      <c r="M3887">
        <v>1</v>
      </c>
      <c r="N3887">
        <v>87.75</v>
      </c>
      <c r="O3887">
        <v>112.07</v>
      </c>
      <c r="P3887">
        <v>11.21</v>
      </c>
      <c r="Q3887">
        <v>11.21</v>
      </c>
      <c r="R3887" t="s">
        <v>30</v>
      </c>
      <c r="S3887">
        <v>29</v>
      </c>
      <c r="T3887">
        <v>1</v>
      </c>
      <c r="U3887">
        <v>4</v>
      </c>
      <c r="V3887">
        <v>100.86</v>
      </c>
      <c r="W3887">
        <v>13130003885</v>
      </c>
    </row>
    <row r="3888" spans="1:23" x14ac:dyDescent="0.2">
      <c r="A3888" s="1">
        <v>44794</v>
      </c>
      <c r="B3888" s="2">
        <v>0.44374999999999998</v>
      </c>
      <c r="C3888">
        <v>4886</v>
      </c>
      <c r="D3888">
        <v>13002561</v>
      </c>
      <c r="E3888">
        <v>13</v>
      </c>
      <c r="F3888">
        <v>22589</v>
      </c>
      <c r="G3888" t="s">
        <v>23</v>
      </c>
      <c r="H3888">
        <v>18</v>
      </c>
      <c r="I3888">
        <v>97817</v>
      </c>
      <c r="J3888" t="s">
        <v>24</v>
      </c>
      <c r="K3888" t="s">
        <v>38</v>
      </c>
      <c r="L3888" t="s">
        <v>51</v>
      </c>
      <c r="M3888">
        <v>3</v>
      </c>
      <c r="N3888">
        <v>16.940000000000001</v>
      </c>
      <c r="O3888">
        <v>22.57</v>
      </c>
      <c r="P3888">
        <v>2.2599999999999998</v>
      </c>
      <c r="Q3888">
        <v>2.2599999999999998</v>
      </c>
      <c r="R3888" t="s">
        <v>30</v>
      </c>
      <c r="S3888">
        <v>29</v>
      </c>
      <c r="T3888">
        <v>1</v>
      </c>
      <c r="U3888">
        <v>2</v>
      </c>
      <c r="V3888">
        <v>20.309999999999999</v>
      </c>
      <c r="W3888">
        <v>13130003886</v>
      </c>
    </row>
    <row r="3889" spans="1:23" x14ac:dyDescent="0.2">
      <c r="A3889" s="1">
        <v>44775</v>
      </c>
      <c r="B3889" s="2">
        <v>0.42702546296296301</v>
      </c>
      <c r="C3889">
        <v>4887</v>
      </c>
      <c r="D3889">
        <v>13002561</v>
      </c>
      <c r="E3889">
        <v>13</v>
      </c>
      <c r="F3889">
        <v>22589</v>
      </c>
      <c r="G3889" t="s">
        <v>23</v>
      </c>
      <c r="H3889">
        <v>15</v>
      </c>
      <c r="I3889">
        <v>27253</v>
      </c>
      <c r="J3889" t="s">
        <v>85</v>
      </c>
      <c r="K3889" t="s">
        <v>45</v>
      </c>
      <c r="L3889" t="s">
        <v>32</v>
      </c>
      <c r="M3889">
        <v>2</v>
      </c>
      <c r="N3889">
        <v>55.12</v>
      </c>
      <c r="O3889">
        <v>76.790000000000006</v>
      </c>
      <c r="P3889">
        <v>0</v>
      </c>
      <c r="Q3889">
        <v>0</v>
      </c>
      <c r="S3889">
        <v>29</v>
      </c>
      <c r="T3889">
        <v>1</v>
      </c>
      <c r="U3889">
        <v>2</v>
      </c>
      <c r="V3889">
        <v>76.790000000000006</v>
      </c>
      <c r="W3889">
        <v>13130003887</v>
      </c>
    </row>
    <row r="3890" spans="1:23" x14ac:dyDescent="0.2">
      <c r="A3890" s="1">
        <v>44784</v>
      </c>
      <c r="B3890" s="2">
        <v>0.70283564814814814</v>
      </c>
      <c r="C3890">
        <v>4888</v>
      </c>
      <c r="D3890">
        <v>13002561</v>
      </c>
      <c r="E3890">
        <v>13</v>
      </c>
      <c r="F3890">
        <v>22589</v>
      </c>
      <c r="G3890" t="s">
        <v>23</v>
      </c>
      <c r="H3890">
        <v>15</v>
      </c>
      <c r="I3890">
        <v>16124</v>
      </c>
      <c r="J3890" t="s">
        <v>73</v>
      </c>
      <c r="K3890" t="s">
        <v>38</v>
      </c>
      <c r="L3890" t="s">
        <v>51</v>
      </c>
      <c r="M3890">
        <v>2</v>
      </c>
      <c r="N3890">
        <v>236.97</v>
      </c>
      <c r="O3890">
        <v>333.04</v>
      </c>
      <c r="P3890">
        <v>16.649999999999999</v>
      </c>
      <c r="Q3890">
        <v>16.649999999999999</v>
      </c>
      <c r="R3890" t="s">
        <v>30</v>
      </c>
      <c r="S3890">
        <v>29</v>
      </c>
      <c r="T3890">
        <v>1</v>
      </c>
      <c r="U3890">
        <v>2</v>
      </c>
      <c r="V3890">
        <v>316.39</v>
      </c>
      <c r="W3890">
        <v>13130003888</v>
      </c>
    </row>
    <row r="3891" spans="1:23" x14ac:dyDescent="0.2">
      <c r="A3891" s="1">
        <v>44788</v>
      </c>
      <c r="B3891" s="2">
        <v>0.92041666666666666</v>
      </c>
      <c r="C3891">
        <v>4889</v>
      </c>
      <c r="D3891">
        <v>13002561</v>
      </c>
      <c r="E3891">
        <v>13</v>
      </c>
      <c r="F3891">
        <v>22589</v>
      </c>
      <c r="G3891" t="s">
        <v>23</v>
      </c>
      <c r="H3891">
        <v>15</v>
      </c>
      <c r="I3891">
        <v>16577</v>
      </c>
      <c r="J3891" t="s">
        <v>82</v>
      </c>
      <c r="K3891" t="s">
        <v>25</v>
      </c>
      <c r="L3891" t="s">
        <v>32</v>
      </c>
      <c r="M3891">
        <v>1</v>
      </c>
      <c r="N3891">
        <v>584.88</v>
      </c>
      <c r="O3891">
        <v>937.95</v>
      </c>
      <c r="P3891">
        <v>46.9</v>
      </c>
      <c r="Q3891">
        <v>46.9</v>
      </c>
      <c r="R3891" t="s">
        <v>30</v>
      </c>
      <c r="S3891">
        <v>29</v>
      </c>
      <c r="T3891">
        <v>1</v>
      </c>
      <c r="U3891">
        <v>1</v>
      </c>
      <c r="V3891">
        <v>891.05</v>
      </c>
      <c r="W3891">
        <v>13130003889</v>
      </c>
    </row>
    <row r="3892" spans="1:23" x14ac:dyDescent="0.2">
      <c r="A3892" s="1">
        <v>44778</v>
      </c>
      <c r="B3892" s="2">
        <v>0.78224537037037034</v>
      </c>
      <c r="C3892">
        <v>4890</v>
      </c>
      <c r="D3892">
        <v>13002561</v>
      </c>
      <c r="E3892">
        <v>13</v>
      </c>
      <c r="F3892">
        <v>22589</v>
      </c>
      <c r="G3892" t="s">
        <v>23</v>
      </c>
      <c r="H3892">
        <v>15</v>
      </c>
      <c r="I3892">
        <v>58601</v>
      </c>
      <c r="J3892" t="s">
        <v>35</v>
      </c>
      <c r="K3892" t="s">
        <v>38</v>
      </c>
      <c r="L3892" t="s">
        <v>51</v>
      </c>
      <c r="M3892">
        <v>3</v>
      </c>
      <c r="N3892">
        <v>448.78</v>
      </c>
      <c r="O3892">
        <v>612.33000000000004</v>
      </c>
      <c r="P3892">
        <v>30.62</v>
      </c>
      <c r="Q3892">
        <v>30.62</v>
      </c>
      <c r="R3892" t="s">
        <v>30</v>
      </c>
      <c r="S3892">
        <v>29</v>
      </c>
      <c r="T3892">
        <v>1</v>
      </c>
      <c r="U3892">
        <v>6</v>
      </c>
      <c r="V3892">
        <v>581.71</v>
      </c>
      <c r="W3892">
        <v>13130003890</v>
      </c>
    </row>
    <row r="3893" spans="1:23" x14ac:dyDescent="0.2">
      <c r="A3893" s="1">
        <v>44787</v>
      </c>
      <c r="B3893" s="2">
        <v>0.5013657407407407</v>
      </c>
      <c r="C3893">
        <v>4891</v>
      </c>
      <c r="D3893">
        <v>13002561</v>
      </c>
      <c r="E3893">
        <v>13</v>
      </c>
      <c r="F3893">
        <v>22589</v>
      </c>
      <c r="G3893" t="s">
        <v>23</v>
      </c>
      <c r="H3893">
        <v>18</v>
      </c>
      <c r="I3893">
        <v>77710</v>
      </c>
      <c r="J3893" t="s">
        <v>37</v>
      </c>
      <c r="K3893" t="s">
        <v>25</v>
      </c>
      <c r="L3893" t="s">
        <v>51</v>
      </c>
      <c r="M3893">
        <v>2</v>
      </c>
      <c r="N3893">
        <v>257.68</v>
      </c>
      <c r="O3893">
        <v>401.29</v>
      </c>
      <c r="P3893">
        <v>20.059999999999999</v>
      </c>
      <c r="Q3893">
        <v>20.059999999999999</v>
      </c>
      <c r="R3893" t="s">
        <v>30</v>
      </c>
      <c r="S3893">
        <v>29</v>
      </c>
      <c r="T3893">
        <v>1</v>
      </c>
      <c r="U3893">
        <v>1</v>
      </c>
      <c r="V3893">
        <v>381.23</v>
      </c>
      <c r="W3893">
        <v>13130003891</v>
      </c>
    </row>
    <row r="3894" spans="1:23" x14ac:dyDescent="0.2">
      <c r="A3894" s="1">
        <v>44792</v>
      </c>
      <c r="B3894" s="2">
        <v>0.89112268518518523</v>
      </c>
      <c r="C3894">
        <v>4892</v>
      </c>
      <c r="D3894">
        <v>13002561</v>
      </c>
      <c r="E3894">
        <v>13</v>
      </c>
      <c r="F3894">
        <v>22589</v>
      </c>
      <c r="G3894" t="s">
        <v>23</v>
      </c>
      <c r="H3894">
        <v>18</v>
      </c>
      <c r="I3894">
        <v>11815</v>
      </c>
      <c r="J3894" t="s">
        <v>69</v>
      </c>
      <c r="K3894" t="s">
        <v>25</v>
      </c>
      <c r="L3894" t="s">
        <v>39</v>
      </c>
      <c r="M3894">
        <v>2</v>
      </c>
      <c r="N3894">
        <v>301.22000000000003</v>
      </c>
      <c r="O3894">
        <v>465.94</v>
      </c>
      <c r="P3894">
        <v>46.59</v>
      </c>
      <c r="Q3894">
        <v>46.59</v>
      </c>
      <c r="R3894" t="s">
        <v>30</v>
      </c>
      <c r="S3894">
        <v>29</v>
      </c>
      <c r="T3894">
        <v>1</v>
      </c>
      <c r="U3894">
        <v>5</v>
      </c>
      <c r="V3894">
        <v>419.35</v>
      </c>
      <c r="W3894">
        <v>13130003892</v>
      </c>
    </row>
    <row r="3895" spans="1:23" x14ac:dyDescent="0.2">
      <c r="A3895" s="1">
        <v>44789</v>
      </c>
      <c r="B3895" s="2">
        <v>0.93494212962962964</v>
      </c>
      <c r="C3895">
        <v>4893</v>
      </c>
      <c r="D3895">
        <v>13002561</v>
      </c>
      <c r="E3895">
        <v>13</v>
      </c>
      <c r="F3895">
        <v>22589</v>
      </c>
      <c r="G3895" t="s">
        <v>23</v>
      </c>
      <c r="H3895">
        <v>18</v>
      </c>
      <c r="I3895">
        <v>20212</v>
      </c>
      <c r="J3895" t="s">
        <v>83</v>
      </c>
      <c r="K3895" t="s">
        <v>44</v>
      </c>
      <c r="L3895" t="s">
        <v>51</v>
      </c>
      <c r="M3895">
        <v>2</v>
      </c>
      <c r="N3895">
        <v>98.07</v>
      </c>
      <c r="O3895">
        <v>128.16999999999999</v>
      </c>
      <c r="P3895">
        <v>12.82</v>
      </c>
      <c r="Q3895">
        <v>12.82</v>
      </c>
      <c r="R3895" t="s">
        <v>30</v>
      </c>
      <c r="S3895">
        <v>29</v>
      </c>
      <c r="T3895">
        <v>1</v>
      </c>
      <c r="U3895">
        <v>1</v>
      </c>
      <c r="V3895">
        <v>115.35</v>
      </c>
      <c r="W3895">
        <v>13130003893</v>
      </c>
    </row>
    <row r="3896" spans="1:23" x14ac:dyDescent="0.2">
      <c r="A3896" s="1">
        <v>44786</v>
      </c>
      <c r="B3896" s="2">
        <v>0.35973379629629632</v>
      </c>
      <c r="C3896">
        <v>4894</v>
      </c>
      <c r="D3896">
        <v>13002561</v>
      </c>
      <c r="E3896">
        <v>13</v>
      </c>
      <c r="F3896">
        <v>22589</v>
      </c>
      <c r="G3896" t="s">
        <v>23</v>
      </c>
      <c r="H3896">
        <v>18</v>
      </c>
      <c r="I3896">
        <v>50070</v>
      </c>
      <c r="J3896" t="s">
        <v>65</v>
      </c>
      <c r="K3896" t="s">
        <v>45</v>
      </c>
      <c r="L3896" t="s">
        <v>36</v>
      </c>
      <c r="M3896">
        <v>2</v>
      </c>
      <c r="N3896">
        <v>257.32</v>
      </c>
      <c r="O3896">
        <v>414.11</v>
      </c>
      <c r="P3896">
        <v>0</v>
      </c>
      <c r="Q3896">
        <v>0</v>
      </c>
      <c r="S3896">
        <v>29</v>
      </c>
      <c r="T3896">
        <v>1</v>
      </c>
      <c r="U3896">
        <v>1</v>
      </c>
      <c r="V3896">
        <v>414.11</v>
      </c>
      <c r="W3896">
        <v>13130003894</v>
      </c>
    </row>
    <row r="3897" spans="1:23" x14ac:dyDescent="0.2">
      <c r="A3897" s="1">
        <v>44782</v>
      </c>
      <c r="B3897" s="2">
        <v>0.38699074074074069</v>
      </c>
      <c r="C3897">
        <v>4895</v>
      </c>
      <c r="D3897">
        <v>13002561</v>
      </c>
      <c r="E3897">
        <v>13</v>
      </c>
      <c r="F3897">
        <v>22589</v>
      </c>
      <c r="G3897" t="s">
        <v>23</v>
      </c>
      <c r="H3897">
        <v>18</v>
      </c>
      <c r="I3897">
        <v>52959</v>
      </c>
      <c r="J3897" t="s">
        <v>42</v>
      </c>
      <c r="K3897" t="s">
        <v>60</v>
      </c>
      <c r="L3897" t="s">
        <v>47</v>
      </c>
      <c r="M3897">
        <v>3</v>
      </c>
      <c r="N3897">
        <v>484.2</v>
      </c>
      <c r="O3897">
        <v>620.36</v>
      </c>
      <c r="P3897">
        <v>62.04</v>
      </c>
      <c r="Q3897">
        <v>62.04</v>
      </c>
      <c r="R3897" t="s">
        <v>30</v>
      </c>
      <c r="S3897">
        <v>29</v>
      </c>
      <c r="T3897">
        <v>1</v>
      </c>
      <c r="U3897">
        <v>4</v>
      </c>
      <c r="V3897">
        <v>558.32000000000005</v>
      </c>
      <c r="W3897">
        <v>13130003895</v>
      </c>
    </row>
    <row r="3898" spans="1:23" x14ac:dyDescent="0.2">
      <c r="A3898" s="1">
        <v>44803</v>
      </c>
      <c r="B3898" s="2">
        <v>0.42440972222222217</v>
      </c>
      <c r="C3898">
        <v>4896</v>
      </c>
      <c r="D3898">
        <v>13002561</v>
      </c>
      <c r="E3898">
        <v>13</v>
      </c>
      <c r="F3898">
        <v>22589</v>
      </c>
      <c r="G3898" t="s">
        <v>23</v>
      </c>
      <c r="H3898">
        <v>15</v>
      </c>
      <c r="I3898">
        <v>54049</v>
      </c>
      <c r="J3898" t="s">
        <v>100</v>
      </c>
      <c r="K3898" t="s">
        <v>25</v>
      </c>
      <c r="L3898" t="s">
        <v>34</v>
      </c>
      <c r="M3898">
        <v>2</v>
      </c>
      <c r="N3898">
        <v>75.319999999999993</v>
      </c>
      <c r="O3898">
        <v>118.59</v>
      </c>
      <c r="P3898">
        <v>11.86</v>
      </c>
      <c r="Q3898">
        <v>11.86</v>
      </c>
      <c r="R3898" t="s">
        <v>30</v>
      </c>
      <c r="S3898">
        <v>29</v>
      </c>
      <c r="T3898">
        <v>1</v>
      </c>
      <c r="U3898">
        <v>6</v>
      </c>
      <c r="V3898">
        <v>106.73</v>
      </c>
      <c r="W3898">
        <v>13130003896</v>
      </c>
    </row>
    <row r="3899" spans="1:23" x14ac:dyDescent="0.2">
      <c r="A3899" s="1">
        <v>44786</v>
      </c>
      <c r="B3899" s="2">
        <v>0.75829861111111108</v>
      </c>
      <c r="C3899">
        <v>4897</v>
      </c>
      <c r="D3899">
        <v>13002561</v>
      </c>
      <c r="E3899">
        <v>13</v>
      </c>
      <c r="F3899">
        <v>22589</v>
      </c>
      <c r="G3899" t="s">
        <v>23</v>
      </c>
      <c r="H3899">
        <v>15</v>
      </c>
      <c r="I3899">
        <v>25456</v>
      </c>
      <c r="J3899" t="s">
        <v>58</v>
      </c>
      <c r="K3899" t="s">
        <v>28</v>
      </c>
      <c r="L3899" t="s">
        <v>36</v>
      </c>
      <c r="M3899">
        <v>2</v>
      </c>
      <c r="N3899">
        <v>588.47</v>
      </c>
      <c r="O3899">
        <v>985.1</v>
      </c>
      <c r="P3899">
        <v>98.51</v>
      </c>
      <c r="Q3899">
        <v>98.51</v>
      </c>
      <c r="R3899" t="s">
        <v>30</v>
      </c>
      <c r="S3899">
        <v>29</v>
      </c>
      <c r="T3899">
        <v>1</v>
      </c>
      <c r="U3899">
        <v>1</v>
      </c>
      <c r="V3899">
        <v>886.59</v>
      </c>
      <c r="W3899">
        <v>13130003897</v>
      </c>
    </row>
    <row r="3900" spans="1:23" x14ac:dyDescent="0.2">
      <c r="A3900" s="1">
        <v>44774</v>
      </c>
      <c r="B3900" s="2">
        <v>0.95701388888888894</v>
      </c>
      <c r="C3900">
        <v>4898</v>
      </c>
      <c r="D3900">
        <v>13002561</v>
      </c>
      <c r="E3900">
        <v>13</v>
      </c>
      <c r="F3900">
        <v>22589</v>
      </c>
      <c r="G3900" t="s">
        <v>23</v>
      </c>
      <c r="H3900">
        <v>18</v>
      </c>
      <c r="I3900">
        <v>97330</v>
      </c>
      <c r="J3900" t="s">
        <v>71</v>
      </c>
      <c r="K3900" t="s">
        <v>28</v>
      </c>
      <c r="L3900" t="s">
        <v>47</v>
      </c>
      <c r="M3900">
        <v>3</v>
      </c>
      <c r="N3900">
        <v>305.64999999999998</v>
      </c>
      <c r="O3900">
        <v>449.39</v>
      </c>
      <c r="P3900">
        <v>44.94</v>
      </c>
      <c r="Q3900">
        <v>44.94</v>
      </c>
      <c r="R3900" t="s">
        <v>30</v>
      </c>
      <c r="S3900">
        <v>29</v>
      </c>
      <c r="T3900">
        <v>1</v>
      </c>
      <c r="U3900">
        <v>5</v>
      </c>
      <c r="V3900">
        <v>404.45</v>
      </c>
      <c r="W3900">
        <v>13130003898</v>
      </c>
    </row>
    <row r="3901" spans="1:23" x14ac:dyDescent="0.2">
      <c r="A3901" s="1">
        <v>44801</v>
      </c>
      <c r="B3901" s="2">
        <v>0.34593750000000001</v>
      </c>
      <c r="C3901">
        <v>4899</v>
      </c>
      <c r="D3901">
        <v>13002561</v>
      </c>
      <c r="E3901">
        <v>13</v>
      </c>
      <c r="F3901">
        <v>22589</v>
      </c>
      <c r="G3901" t="s">
        <v>23</v>
      </c>
      <c r="H3901">
        <v>18</v>
      </c>
      <c r="I3901">
        <v>11781</v>
      </c>
      <c r="J3901" t="s">
        <v>53</v>
      </c>
      <c r="K3901" t="s">
        <v>60</v>
      </c>
      <c r="L3901" t="s">
        <v>47</v>
      </c>
      <c r="M3901">
        <v>2</v>
      </c>
      <c r="N3901">
        <v>159.58000000000001</v>
      </c>
      <c r="O3901">
        <v>264.06</v>
      </c>
      <c r="P3901">
        <v>13.2</v>
      </c>
      <c r="Q3901">
        <v>13.2</v>
      </c>
      <c r="R3901" t="s">
        <v>30</v>
      </c>
      <c r="S3901">
        <v>29</v>
      </c>
      <c r="T3901">
        <v>1</v>
      </c>
      <c r="U3901">
        <v>6</v>
      </c>
      <c r="V3901">
        <v>250.86</v>
      </c>
      <c r="W3901">
        <v>13130003899</v>
      </c>
    </row>
    <row r="3902" spans="1:23" x14ac:dyDescent="0.2">
      <c r="A3902" s="1">
        <v>44798</v>
      </c>
      <c r="B3902" s="2">
        <v>0.42630787037037038</v>
      </c>
      <c r="C3902">
        <v>4900</v>
      </c>
      <c r="D3902">
        <v>13002561</v>
      </c>
      <c r="E3902">
        <v>13</v>
      </c>
      <c r="F3902">
        <v>22589</v>
      </c>
      <c r="G3902" t="s">
        <v>23</v>
      </c>
      <c r="H3902">
        <v>15</v>
      </c>
      <c r="I3902">
        <v>85592</v>
      </c>
      <c r="J3902" t="s">
        <v>57</v>
      </c>
      <c r="K3902" t="s">
        <v>28</v>
      </c>
      <c r="L3902" t="s">
        <v>29</v>
      </c>
      <c r="M3902">
        <v>1</v>
      </c>
      <c r="N3902">
        <v>99.21</v>
      </c>
      <c r="O3902">
        <v>155.87</v>
      </c>
      <c r="P3902">
        <v>15.59</v>
      </c>
      <c r="Q3902">
        <v>15.59</v>
      </c>
      <c r="R3902" t="s">
        <v>30</v>
      </c>
      <c r="S3902">
        <v>29</v>
      </c>
      <c r="T3902">
        <v>1</v>
      </c>
      <c r="U3902">
        <v>1</v>
      </c>
      <c r="V3902">
        <v>140.28</v>
      </c>
      <c r="W3902">
        <v>13130003900</v>
      </c>
    </row>
    <row r="3903" spans="1:23" x14ac:dyDescent="0.2">
      <c r="A3903" s="1">
        <v>44803</v>
      </c>
      <c r="B3903" s="2">
        <v>0.72843749999999996</v>
      </c>
      <c r="C3903">
        <v>4901</v>
      </c>
      <c r="D3903">
        <v>13002561</v>
      </c>
      <c r="E3903">
        <v>13</v>
      </c>
      <c r="F3903">
        <v>22589</v>
      </c>
      <c r="G3903" t="s">
        <v>23</v>
      </c>
      <c r="H3903">
        <v>18</v>
      </c>
      <c r="I3903">
        <v>17502</v>
      </c>
      <c r="J3903" t="s">
        <v>35</v>
      </c>
      <c r="K3903" t="s">
        <v>25</v>
      </c>
      <c r="L3903" t="s">
        <v>36</v>
      </c>
      <c r="M3903">
        <v>2</v>
      </c>
      <c r="N3903">
        <v>160.26</v>
      </c>
      <c r="O3903">
        <v>225.27</v>
      </c>
      <c r="P3903">
        <v>22.53</v>
      </c>
      <c r="Q3903">
        <v>22.53</v>
      </c>
      <c r="R3903" t="s">
        <v>30</v>
      </c>
      <c r="S3903">
        <v>29</v>
      </c>
      <c r="T3903">
        <v>1</v>
      </c>
      <c r="U3903">
        <v>1</v>
      </c>
      <c r="V3903">
        <v>202.74</v>
      </c>
      <c r="W3903">
        <v>13130003901</v>
      </c>
    </row>
    <row r="3904" spans="1:23" x14ac:dyDescent="0.2">
      <c r="A3904" s="1">
        <v>44782</v>
      </c>
      <c r="B3904" s="2">
        <v>0.56946759259259261</v>
      </c>
      <c r="C3904">
        <v>4902</v>
      </c>
      <c r="D3904">
        <v>13002561</v>
      </c>
      <c r="E3904">
        <v>13</v>
      </c>
      <c r="F3904">
        <v>22589</v>
      </c>
      <c r="G3904" t="s">
        <v>23</v>
      </c>
      <c r="H3904">
        <v>15</v>
      </c>
      <c r="I3904">
        <v>61880</v>
      </c>
      <c r="J3904" t="s">
        <v>87</v>
      </c>
      <c r="K3904" t="s">
        <v>44</v>
      </c>
      <c r="L3904" t="s">
        <v>39</v>
      </c>
      <c r="M3904">
        <v>3</v>
      </c>
      <c r="N3904">
        <v>469.85</v>
      </c>
      <c r="O3904">
        <v>759.71</v>
      </c>
      <c r="P3904">
        <v>0</v>
      </c>
      <c r="Q3904">
        <v>0</v>
      </c>
      <c r="S3904">
        <v>29</v>
      </c>
      <c r="T3904">
        <v>1</v>
      </c>
      <c r="U3904">
        <v>2</v>
      </c>
      <c r="V3904">
        <v>759.71</v>
      </c>
      <c r="W3904">
        <v>13130003902</v>
      </c>
    </row>
    <row r="3905" spans="1:23" x14ac:dyDescent="0.2">
      <c r="A3905" s="1">
        <v>44804</v>
      </c>
      <c r="B3905" s="2">
        <v>0.64215277777777779</v>
      </c>
      <c r="C3905">
        <v>4903</v>
      </c>
      <c r="D3905">
        <v>13002561</v>
      </c>
      <c r="E3905">
        <v>13</v>
      </c>
      <c r="F3905">
        <v>22589</v>
      </c>
      <c r="G3905" t="s">
        <v>23</v>
      </c>
      <c r="H3905">
        <v>15</v>
      </c>
      <c r="I3905">
        <v>85212</v>
      </c>
      <c r="J3905" t="s">
        <v>54</v>
      </c>
      <c r="K3905" t="s">
        <v>44</v>
      </c>
      <c r="L3905" t="s">
        <v>32</v>
      </c>
      <c r="M3905">
        <v>3</v>
      </c>
      <c r="N3905">
        <v>66.150000000000006</v>
      </c>
      <c r="O3905">
        <v>111.53</v>
      </c>
      <c r="P3905">
        <v>5.58</v>
      </c>
      <c r="Q3905">
        <v>5.58</v>
      </c>
      <c r="R3905" t="s">
        <v>30</v>
      </c>
      <c r="S3905">
        <v>29</v>
      </c>
      <c r="T3905">
        <v>1</v>
      </c>
      <c r="U3905">
        <v>5</v>
      </c>
      <c r="V3905">
        <v>105.95</v>
      </c>
      <c r="W3905">
        <v>13130003903</v>
      </c>
    </row>
    <row r="3906" spans="1:23" x14ac:dyDescent="0.2">
      <c r="A3906" s="1">
        <v>44791</v>
      </c>
      <c r="B3906" s="2">
        <v>0.56207175925925923</v>
      </c>
      <c r="C3906">
        <v>4904</v>
      </c>
      <c r="D3906">
        <v>13002561</v>
      </c>
      <c r="E3906">
        <v>13</v>
      </c>
      <c r="F3906">
        <v>22589</v>
      </c>
      <c r="G3906" t="s">
        <v>23</v>
      </c>
      <c r="H3906">
        <v>15</v>
      </c>
      <c r="I3906">
        <v>71214</v>
      </c>
      <c r="J3906" t="s">
        <v>95</v>
      </c>
      <c r="K3906" t="s">
        <v>60</v>
      </c>
      <c r="L3906" t="s">
        <v>34</v>
      </c>
      <c r="M3906">
        <v>2</v>
      </c>
      <c r="N3906">
        <v>439.61</v>
      </c>
      <c r="O3906">
        <v>679.27</v>
      </c>
      <c r="P3906">
        <v>67.930000000000007</v>
      </c>
      <c r="Q3906">
        <v>67.930000000000007</v>
      </c>
      <c r="R3906" t="s">
        <v>30</v>
      </c>
      <c r="S3906">
        <v>29</v>
      </c>
      <c r="T3906">
        <v>1</v>
      </c>
      <c r="U3906">
        <v>6</v>
      </c>
      <c r="V3906">
        <v>611.34</v>
      </c>
      <c r="W3906">
        <v>13130003904</v>
      </c>
    </row>
    <row r="3907" spans="1:23" x14ac:dyDescent="0.2">
      <c r="A3907" s="1">
        <v>44791</v>
      </c>
      <c r="B3907" s="2">
        <v>0.50417824074074069</v>
      </c>
      <c r="C3907">
        <v>4905</v>
      </c>
      <c r="D3907">
        <v>13002561</v>
      </c>
      <c r="E3907">
        <v>13</v>
      </c>
      <c r="F3907">
        <v>22589</v>
      </c>
      <c r="G3907" t="s">
        <v>23</v>
      </c>
      <c r="H3907">
        <v>15</v>
      </c>
      <c r="I3907">
        <v>77358</v>
      </c>
      <c r="J3907" t="s">
        <v>73</v>
      </c>
      <c r="K3907" t="s">
        <v>45</v>
      </c>
      <c r="L3907" t="s">
        <v>34</v>
      </c>
      <c r="M3907">
        <v>3</v>
      </c>
      <c r="N3907">
        <v>360.8</v>
      </c>
      <c r="O3907">
        <v>541.97</v>
      </c>
      <c r="P3907">
        <v>27.1</v>
      </c>
      <c r="Q3907">
        <v>27.1</v>
      </c>
      <c r="R3907" t="s">
        <v>30</v>
      </c>
      <c r="S3907">
        <v>29</v>
      </c>
      <c r="T3907">
        <v>1</v>
      </c>
      <c r="U3907">
        <v>6</v>
      </c>
      <c r="V3907">
        <v>514.87</v>
      </c>
      <c r="W3907">
        <v>13130003905</v>
      </c>
    </row>
    <row r="3908" spans="1:23" x14ac:dyDescent="0.2">
      <c r="A3908" s="1">
        <v>44790</v>
      </c>
      <c r="B3908" s="2">
        <v>0.73</v>
      </c>
      <c r="C3908">
        <v>4906</v>
      </c>
      <c r="D3908">
        <v>13002561</v>
      </c>
      <c r="E3908">
        <v>13</v>
      </c>
      <c r="F3908">
        <v>22589</v>
      </c>
      <c r="G3908" t="s">
        <v>23</v>
      </c>
      <c r="H3908">
        <v>18</v>
      </c>
      <c r="I3908">
        <v>52007</v>
      </c>
      <c r="J3908" t="s">
        <v>96</v>
      </c>
      <c r="K3908" t="s">
        <v>60</v>
      </c>
      <c r="L3908" t="s">
        <v>39</v>
      </c>
      <c r="M3908">
        <v>1</v>
      </c>
      <c r="N3908">
        <v>396.99</v>
      </c>
      <c r="O3908">
        <v>549</v>
      </c>
      <c r="P3908">
        <v>0</v>
      </c>
      <c r="Q3908">
        <v>0</v>
      </c>
      <c r="S3908">
        <v>29</v>
      </c>
      <c r="T3908">
        <v>1</v>
      </c>
      <c r="U3908">
        <v>6</v>
      </c>
      <c r="V3908">
        <v>549</v>
      </c>
      <c r="W3908">
        <v>13130003906</v>
      </c>
    </row>
    <row r="3909" spans="1:23" x14ac:dyDescent="0.2">
      <c r="A3909" s="1">
        <v>44791</v>
      </c>
      <c r="B3909" s="2">
        <v>0.38641203703703703</v>
      </c>
      <c r="C3909">
        <v>4907</v>
      </c>
      <c r="D3909">
        <v>13002561</v>
      </c>
      <c r="E3909">
        <v>13</v>
      </c>
      <c r="F3909">
        <v>22589</v>
      </c>
      <c r="G3909" t="s">
        <v>23</v>
      </c>
      <c r="H3909">
        <v>18</v>
      </c>
      <c r="I3909">
        <v>35818</v>
      </c>
      <c r="J3909" t="s">
        <v>106</v>
      </c>
      <c r="K3909" t="s">
        <v>38</v>
      </c>
      <c r="L3909" t="s">
        <v>39</v>
      </c>
      <c r="M3909">
        <v>1</v>
      </c>
      <c r="N3909">
        <v>425.09</v>
      </c>
      <c r="O3909">
        <v>559.32000000000005</v>
      </c>
      <c r="P3909">
        <v>55.93</v>
      </c>
      <c r="Q3909">
        <v>55.93</v>
      </c>
      <c r="R3909" t="s">
        <v>30</v>
      </c>
      <c r="S3909">
        <v>29</v>
      </c>
      <c r="T3909">
        <v>1</v>
      </c>
      <c r="U3909">
        <v>4</v>
      </c>
      <c r="V3909">
        <v>503.39</v>
      </c>
      <c r="W3909">
        <v>13130003907</v>
      </c>
    </row>
    <row r="3910" spans="1:23" x14ac:dyDescent="0.2">
      <c r="A3910" s="1">
        <v>44798</v>
      </c>
      <c r="B3910" s="2">
        <v>0.67708333333333337</v>
      </c>
      <c r="C3910">
        <v>4908</v>
      </c>
      <c r="D3910">
        <v>13002561</v>
      </c>
      <c r="E3910">
        <v>13</v>
      </c>
      <c r="F3910">
        <v>22589</v>
      </c>
      <c r="G3910" t="s">
        <v>23</v>
      </c>
      <c r="H3910">
        <v>15</v>
      </c>
      <c r="I3910">
        <v>53139</v>
      </c>
      <c r="J3910" t="s">
        <v>54</v>
      </c>
      <c r="K3910" t="s">
        <v>60</v>
      </c>
      <c r="L3910" t="s">
        <v>39</v>
      </c>
      <c r="M3910">
        <v>1</v>
      </c>
      <c r="N3910">
        <v>476.19</v>
      </c>
      <c r="O3910">
        <v>682.31</v>
      </c>
      <c r="P3910">
        <v>68.23</v>
      </c>
      <c r="Q3910">
        <v>68.23</v>
      </c>
      <c r="R3910" t="s">
        <v>30</v>
      </c>
      <c r="S3910">
        <v>29</v>
      </c>
      <c r="T3910">
        <v>1</v>
      </c>
      <c r="U3910">
        <v>4</v>
      </c>
      <c r="V3910">
        <v>614.08000000000004</v>
      </c>
      <c r="W3910">
        <v>13130003908</v>
      </c>
    </row>
    <row r="3911" spans="1:23" x14ac:dyDescent="0.2">
      <c r="A3911" s="1">
        <v>44800</v>
      </c>
      <c r="B3911" s="2">
        <v>0.50895833333333329</v>
      </c>
      <c r="C3911">
        <v>4909</v>
      </c>
      <c r="D3911">
        <v>13002561</v>
      </c>
      <c r="E3911">
        <v>13</v>
      </c>
      <c r="F3911">
        <v>22589</v>
      </c>
      <c r="G3911" t="s">
        <v>23</v>
      </c>
      <c r="H3911">
        <v>15</v>
      </c>
      <c r="I3911">
        <v>30297</v>
      </c>
      <c r="J3911" t="s">
        <v>112</v>
      </c>
      <c r="K3911" t="s">
        <v>38</v>
      </c>
      <c r="L3911" t="s">
        <v>47</v>
      </c>
      <c r="M3911">
        <v>2</v>
      </c>
      <c r="N3911">
        <v>169.58</v>
      </c>
      <c r="O3911">
        <v>257.82</v>
      </c>
      <c r="P3911">
        <v>0</v>
      </c>
      <c r="Q3911">
        <v>0</v>
      </c>
      <c r="S3911">
        <v>29</v>
      </c>
      <c r="T3911">
        <v>1</v>
      </c>
      <c r="U3911">
        <v>5</v>
      </c>
      <c r="V3911">
        <v>257.82</v>
      </c>
      <c r="W3911">
        <v>13130003909</v>
      </c>
    </row>
    <row r="3912" spans="1:23" x14ac:dyDescent="0.2">
      <c r="A3912" s="1">
        <v>44775</v>
      </c>
      <c r="B3912" s="2">
        <v>0.54140046296296296</v>
      </c>
      <c r="C3912">
        <v>4910</v>
      </c>
      <c r="D3912">
        <v>13002561</v>
      </c>
      <c r="E3912">
        <v>13</v>
      </c>
      <c r="F3912">
        <v>22589</v>
      </c>
      <c r="G3912" t="s">
        <v>23</v>
      </c>
      <c r="H3912">
        <v>15</v>
      </c>
      <c r="I3912">
        <v>22403</v>
      </c>
      <c r="J3912" t="s">
        <v>80</v>
      </c>
      <c r="K3912" t="s">
        <v>25</v>
      </c>
      <c r="L3912" t="s">
        <v>26</v>
      </c>
      <c r="M3912">
        <v>1</v>
      </c>
      <c r="N3912">
        <v>178.14</v>
      </c>
      <c r="O3912">
        <v>292.20999999999998</v>
      </c>
      <c r="P3912">
        <v>14.61</v>
      </c>
      <c r="Q3912">
        <v>14.61</v>
      </c>
      <c r="R3912" t="s">
        <v>30</v>
      </c>
      <c r="S3912">
        <v>29</v>
      </c>
      <c r="T3912">
        <v>1</v>
      </c>
      <c r="U3912">
        <v>5</v>
      </c>
      <c r="V3912">
        <v>277.60000000000002</v>
      </c>
      <c r="W3912">
        <v>13130003910</v>
      </c>
    </row>
    <row r="3913" spans="1:23" x14ac:dyDescent="0.2">
      <c r="A3913" s="1">
        <v>44801</v>
      </c>
      <c r="B3913" s="2">
        <v>0.69818287037037041</v>
      </c>
      <c r="C3913">
        <v>4911</v>
      </c>
      <c r="D3913">
        <v>13002561</v>
      </c>
      <c r="E3913">
        <v>13</v>
      </c>
      <c r="F3913">
        <v>22589</v>
      </c>
      <c r="G3913" t="s">
        <v>23</v>
      </c>
      <c r="H3913">
        <v>15</v>
      </c>
      <c r="I3913">
        <v>59019</v>
      </c>
      <c r="J3913" t="s">
        <v>35</v>
      </c>
      <c r="K3913" t="s">
        <v>60</v>
      </c>
      <c r="L3913" t="s">
        <v>39</v>
      </c>
      <c r="M3913">
        <v>2</v>
      </c>
      <c r="N3913">
        <v>196.85</v>
      </c>
      <c r="O3913">
        <v>328.66</v>
      </c>
      <c r="P3913">
        <v>16.43</v>
      </c>
      <c r="Q3913">
        <v>16.43</v>
      </c>
      <c r="R3913" t="s">
        <v>30</v>
      </c>
      <c r="S3913">
        <v>29</v>
      </c>
      <c r="T3913">
        <v>1</v>
      </c>
      <c r="U3913">
        <v>3</v>
      </c>
      <c r="V3913">
        <v>312.23</v>
      </c>
      <c r="W3913">
        <v>13130003911</v>
      </c>
    </row>
    <row r="3914" spans="1:23" x14ac:dyDescent="0.2">
      <c r="A3914" s="1">
        <v>44801</v>
      </c>
      <c r="B3914" s="2">
        <v>0.7978587962962963</v>
      </c>
      <c r="C3914">
        <v>4912</v>
      </c>
      <c r="D3914">
        <v>13002561</v>
      </c>
      <c r="E3914">
        <v>13</v>
      </c>
      <c r="F3914">
        <v>22589</v>
      </c>
      <c r="G3914" t="s">
        <v>23</v>
      </c>
      <c r="H3914">
        <v>18</v>
      </c>
      <c r="I3914">
        <v>82138</v>
      </c>
      <c r="J3914" t="s">
        <v>123</v>
      </c>
      <c r="K3914" t="s">
        <v>38</v>
      </c>
      <c r="L3914" t="s">
        <v>39</v>
      </c>
      <c r="M3914">
        <v>2</v>
      </c>
      <c r="N3914">
        <v>346.72</v>
      </c>
      <c r="O3914">
        <v>574.29</v>
      </c>
      <c r="P3914">
        <v>0</v>
      </c>
      <c r="Q3914">
        <v>0</v>
      </c>
      <c r="S3914">
        <v>29</v>
      </c>
      <c r="T3914">
        <v>1</v>
      </c>
      <c r="U3914">
        <v>4</v>
      </c>
      <c r="V3914">
        <v>574.29</v>
      </c>
      <c r="W3914">
        <v>13130003912</v>
      </c>
    </row>
    <row r="3915" spans="1:23" x14ac:dyDescent="0.2">
      <c r="A3915" s="1">
        <v>44796</v>
      </c>
      <c r="B3915" s="2">
        <v>0.50929398148148153</v>
      </c>
      <c r="C3915">
        <v>4913</v>
      </c>
      <c r="D3915">
        <v>13002561</v>
      </c>
      <c r="E3915">
        <v>13</v>
      </c>
      <c r="F3915">
        <v>22589</v>
      </c>
      <c r="G3915" t="s">
        <v>23</v>
      </c>
      <c r="H3915">
        <v>15</v>
      </c>
      <c r="I3915">
        <v>89679</v>
      </c>
      <c r="J3915" t="s">
        <v>64</v>
      </c>
      <c r="K3915" t="s">
        <v>28</v>
      </c>
      <c r="L3915" t="s">
        <v>51</v>
      </c>
      <c r="M3915">
        <v>2</v>
      </c>
      <c r="N3915">
        <v>326.95</v>
      </c>
      <c r="O3915">
        <v>459.06</v>
      </c>
      <c r="P3915">
        <v>22.95</v>
      </c>
      <c r="Q3915">
        <v>22.95</v>
      </c>
      <c r="R3915" t="s">
        <v>30</v>
      </c>
      <c r="S3915">
        <v>29</v>
      </c>
      <c r="T3915">
        <v>1</v>
      </c>
      <c r="U3915">
        <v>5</v>
      </c>
      <c r="V3915">
        <v>436.11</v>
      </c>
      <c r="W3915">
        <v>13130003913</v>
      </c>
    </row>
    <row r="3916" spans="1:23" x14ac:dyDescent="0.2">
      <c r="A3916" s="1">
        <v>44799</v>
      </c>
      <c r="B3916" s="2">
        <v>0.42084490740740738</v>
      </c>
      <c r="C3916">
        <v>4914</v>
      </c>
      <c r="D3916">
        <v>13002561</v>
      </c>
      <c r="E3916">
        <v>13</v>
      </c>
      <c r="F3916">
        <v>22589</v>
      </c>
      <c r="G3916" t="s">
        <v>23</v>
      </c>
      <c r="H3916">
        <v>18</v>
      </c>
      <c r="I3916">
        <v>99583</v>
      </c>
      <c r="J3916" t="s">
        <v>31</v>
      </c>
      <c r="K3916" t="s">
        <v>60</v>
      </c>
      <c r="L3916" t="s">
        <v>29</v>
      </c>
      <c r="M3916">
        <v>1</v>
      </c>
      <c r="N3916">
        <v>364.86</v>
      </c>
      <c r="O3916">
        <v>563.12</v>
      </c>
      <c r="P3916">
        <v>0</v>
      </c>
      <c r="Q3916">
        <v>0</v>
      </c>
      <c r="S3916">
        <v>29</v>
      </c>
      <c r="T3916">
        <v>1</v>
      </c>
      <c r="U3916">
        <v>5</v>
      </c>
      <c r="V3916">
        <v>563.12</v>
      </c>
      <c r="W3916">
        <v>13130003914</v>
      </c>
    </row>
    <row r="3917" spans="1:23" x14ac:dyDescent="0.2">
      <c r="A3917" s="1">
        <v>44777</v>
      </c>
      <c r="B3917" s="2">
        <v>0.70599537037037041</v>
      </c>
      <c r="C3917">
        <v>4915</v>
      </c>
      <c r="D3917">
        <v>13002561</v>
      </c>
      <c r="E3917">
        <v>13</v>
      </c>
      <c r="F3917">
        <v>22589</v>
      </c>
      <c r="G3917" t="s">
        <v>23</v>
      </c>
      <c r="H3917">
        <v>18</v>
      </c>
      <c r="I3917">
        <v>57070</v>
      </c>
      <c r="J3917" t="s">
        <v>62</v>
      </c>
      <c r="K3917" t="s">
        <v>28</v>
      </c>
      <c r="L3917" t="s">
        <v>32</v>
      </c>
      <c r="M3917">
        <v>1</v>
      </c>
      <c r="N3917">
        <v>67.03</v>
      </c>
      <c r="O3917">
        <v>105.82</v>
      </c>
      <c r="P3917">
        <v>10.58</v>
      </c>
      <c r="Q3917">
        <v>10.58</v>
      </c>
      <c r="R3917" t="s">
        <v>30</v>
      </c>
      <c r="S3917">
        <v>29</v>
      </c>
      <c r="T3917">
        <v>1</v>
      </c>
      <c r="U3917">
        <v>6</v>
      </c>
      <c r="V3917">
        <v>95.24</v>
      </c>
      <c r="W3917">
        <v>13130003915</v>
      </c>
    </row>
    <row r="3918" spans="1:23" x14ac:dyDescent="0.2">
      <c r="A3918" s="1">
        <v>44774</v>
      </c>
      <c r="B3918" s="2">
        <v>0.45234953703703712</v>
      </c>
      <c r="C3918">
        <v>4916</v>
      </c>
      <c r="D3918">
        <v>13002561</v>
      </c>
      <c r="E3918">
        <v>13</v>
      </c>
      <c r="F3918">
        <v>22589</v>
      </c>
      <c r="G3918" t="s">
        <v>23</v>
      </c>
      <c r="H3918">
        <v>18</v>
      </c>
      <c r="I3918">
        <v>79860</v>
      </c>
      <c r="J3918" t="s">
        <v>123</v>
      </c>
      <c r="K3918" t="s">
        <v>45</v>
      </c>
      <c r="L3918" t="s">
        <v>47</v>
      </c>
      <c r="M3918">
        <v>2</v>
      </c>
      <c r="N3918">
        <v>446.57</v>
      </c>
      <c r="O3918">
        <v>633.71</v>
      </c>
      <c r="P3918">
        <v>31.69</v>
      </c>
      <c r="Q3918">
        <v>31.69</v>
      </c>
      <c r="R3918" t="s">
        <v>30</v>
      </c>
      <c r="S3918">
        <v>29</v>
      </c>
      <c r="T3918">
        <v>1</v>
      </c>
      <c r="U3918">
        <v>1</v>
      </c>
      <c r="V3918">
        <v>602.02</v>
      </c>
      <c r="W3918">
        <v>13130003916</v>
      </c>
    </row>
    <row r="3919" spans="1:23" x14ac:dyDescent="0.2">
      <c r="A3919" s="1">
        <v>44795</v>
      </c>
      <c r="B3919" s="2">
        <v>0.86598379629629629</v>
      </c>
      <c r="C3919">
        <v>4917</v>
      </c>
      <c r="D3919">
        <v>13002561</v>
      </c>
      <c r="E3919">
        <v>13</v>
      </c>
      <c r="F3919">
        <v>22589</v>
      </c>
      <c r="G3919" t="s">
        <v>23</v>
      </c>
      <c r="H3919">
        <v>18</v>
      </c>
      <c r="I3919">
        <v>49280</v>
      </c>
      <c r="J3919" t="s">
        <v>68</v>
      </c>
      <c r="K3919" t="s">
        <v>28</v>
      </c>
      <c r="L3919" t="s">
        <v>29</v>
      </c>
      <c r="M3919">
        <v>1</v>
      </c>
      <c r="N3919">
        <v>69.25</v>
      </c>
      <c r="O3919">
        <v>103.92</v>
      </c>
      <c r="P3919">
        <v>0</v>
      </c>
      <c r="Q3919">
        <v>0</v>
      </c>
      <c r="S3919">
        <v>29</v>
      </c>
      <c r="T3919">
        <v>1</v>
      </c>
      <c r="U3919">
        <v>6</v>
      </c>
      <c r="V3919">
        <v>103.92</v>
      </c>
      <c r="W3919">
        <v>13130003917</v>
      </c>
    </row>
    <row r="3920" spans="1:23" x14ac:dyDescent="0.2">
      <c r="A3920" s="1">
        <v>44793</v>
      </c>
      <c r="B3920" s="2">
        <v>0.48202546296296289</v>
      </c>
      <c r="C3920">
        <v>4918</v>
      </c>
      <c r="D3920">
        <v>13002561</v>
      </c>
      <c r="E3920">
        <v>13</v>
      </c>
      <c r="F3920">
        <v>22589</v>
      </c>
      <c r="G3920" t="s">
        <v>23</v>
      </c>
      <c r="H3920">
        <v>15</v>
      </c>
      <c r="I3920">
        <v>77145</v>
      </c>
      <c r="J3920" t="s">
        <v>78</v>
      </c>
      <c r="K3920" t="s">
        <v>45</v>
      </c>
      <c r="L3920" t="s">
        <v>39</v>
      </c>
      <c r="M3920">
        <v>3</v>
      </c>
      <c r="N3920">
        <v>99.67</v>
      </c>
      <c r="O3920">
        <v>136.76</v>
      </c>
      <c r="P3920">
        <v>0</v>
      </c>
      <c r="Q3920">
        <v>0</v>
      </c>
      <c r="S3920">
        <v>29</v>
      </c>
      <c r="T3920">
        <v>1</v>
      </c>
      <c r="U3920">
        <v>6</v>
      </c>
      <c r="V3920">
        <v>136.76</v>
      </c>
      <c r="W3920">
        <v>13130003918</v>
      </c>
    </row>
    <row r="3921" spans="1:23" x14ac:dyDescent="0.2">
      <c r="A3921" s="1">
        <v>44800</v>
      </c>
      <c r="B3921" s="2">
        <v>0.39773148148148152</v>
      </c>
      <c r="C3921">
        <v>4919</v>
      </c>
      <c r="D3921">
        <v>13002561</v>
      </c>
      <c r="E3921">
        <v>13</v>
      </c>
      <c r="F3921">
        <v>22589</v>
      </c>
      <c r="G3921" t="s">
        <v>23</v>
      </c>
      <c r="H3921">
        <v>15</v>
      </c>
      <c r="I3921">
        <v>19548</v>
      </c>
      <c r="J3921" t="s">
        <v>56</v>
      </c>
      <c r="K3921" t="s">
        <v>44</v>
      </c>
      <c r="L3921" t="s">
        <v>29</v>
      </c>
      <c r="M3921">
        <v>2</v>
      </c>
      <c r="N3921">
        <v>537.16999999999996</v>
      </c>
      <c r="O3921">
        <v>784</v>
      </c>
      <c r="P3921">
        <v>39.200000000000003</v>
      </c>
      <c r="Q3921">
        <v>39.200000000000003</v>
      </c>
      <c r="R3921" t="s">
        <v>30</v>
      </c>
      <c r="S3921">
        <v>29</v>
      </c>
      <c r="T3921">
        <v>1</v>
      </c>
      <c r="U3921">
        <v>6</v>
      </c>
      <c r="V3921">
        <v>744.8</v>
      </c>
      <c r="W3921">
        <v>13130003919</v>
      </c>
    </row>
    <row r="3922" spans="1:23" x14ac:dyDescent="0.2">
      <c r="A3922" s="1">
        <v>44802</v>
      </c>
      <c r="B3922" s="2">
        <v>0.94833333333333336</v>
      </c>
      <c r="C3922">
        <v>4920</v>
      </c>
      <c r="D3922">
        <v>13002561</v>
      </c>
      <c r="E3922">
        <v>13</v>
      </c>
      <c r="F3922">
        <v>22589</v>
      </c>
      <c r="G3922" t="s">
        <v>23</v>
      </c>
      <c r="H3922">
        <v>18</v>
      </c>
      <c r="I3922">
        <v>53860</v>
      </c>
      <c r="J3922" t="s">
        <v>91</v>
      </c>
      <c r="K3922" t="s">
        <v>45</v>
      </c>
      <c r="L3922" t="s">
        <v>29</v>
      </c>
      <c r="M3922">
        <v>3</v>
      </c>
      <c r="N3922">
        <v>471.8</v>
      </c>
      <c r="O3922">
        <v>772.4</v>
      </c>
      <c r="P3922">
        <v>77.239999999999995</v>
      </c>
      <c r="Q3922">
        <v>77.239999999999995</v>
      </c>
      <c r="R3922" t="s">
        <v>30</v>
      </c>
      <c r="S3922">
        <v>29</v>
      </c>
      <c r="T3922">
        <v>1</v>
      </c>
      <c r="U3922">
        <v>5</v>
      </c>
      <c r="V3922">
        <v>695.16</v>
      </c>
      <c r="W3922">
        <v>13130003920</v>
      </c>
    </row>
    <row r="3923" spans="1:23" x14ac:dyDescent="0.2">
      <c r="A3923" s="1">
        <v>44798</v>
      </c>
      <c r="B3923" s="2">
        <v>0.40618055555555549</v>
      </c>
      <c r="C3923">
        <v>4921</v>
      </c>
      <c r="D3923">
        <v>13002561</v>
      </c>
      <c r="E3923">
        <v>13</v>
      </c>
      <c r="F3923">
        <v>22589</v>
      </c>
      <c r="G3923" t="s">
        <v>23</v>
      </c>
      <c r="H3923">
        <v>15</v>
      </c>
      <c r="I3923">
        <v>22399</v>
      </c>
      <c r="J3923" t="s">
        <v>119</v>
      </c>
      <c r="K3923" t="s">
        <v>28</v>
      </c>
      <c r="L3923" t="s">
        <v>39</v>
      </c>
      <c r="M3923">
        <v>2</v>
      </c>
      <c r="N3923">
        <v>557.66999999999996</v>
      </c>
      <c r="O3923">
        <v>774.52</v>
      </c>
      <c r="P3923">
        <v>0</v>
      </c>
      <c r="Q3923">
        <v>0</v>
      </c>
      <c r="S3923">
        <v>29</v>
      </c>
      <c r="T3923">
        <v>1</v>
      </c>
      <c r="U3923">
        <v>5</v>
      </c>
      <c r="V3923">
        <v>774.52</v>
      </c>
      <c r="W3923">
        <v>13130003921</v>
      </c>
    </row>
    <row r="3924" spans="1:23" x14ac:dyDescent="0.2">
      <c r="A3924" s="1">
        <v>44778</v>
      </c>
      <c r="B3924" s="2">
        <v>0.61533564814814812</v>
      </c>
      <c r="C3924">
        <v>4922</v>
      </c>
      <c r="D3924">
        <v>13002561</v>
      </c>
      <c r="E3924">
        <v>13</v>
      </c>
      <c r="F3924">
        <v>22589</v>
      </c>
      <c r="G3924" t="s">
        <v>23</v>
      </c>
      <c r="H3924">
        <v>18</v>
      </c>
      <c r="I3924">
        <v>91136</v>
      </c>
      <c r="J3924" t="s">
        <v>78</v>
      </c>
      <c r="K3924" t="s">
        <v>44</v>
      </c>
      <c r="L3924" t="s">
        <v>32</v>
      </c>
      <c r="M3924">
        <v>1</v>
      </c>
      <c r="N3924">
        <v>365.72</v>
      </c>
      <c r="O3924">
        <v>508.44</v>
      </c>
      <c r="P3924">
        <v>50.84</v>
      </c>
      <c r="Q3924">
        <v>50.84</v>
      </c>
      <c r="R3924" t="s">
        <v>30</v>
      </c>
      <c r="S3924">
        <v>29</v>
      </c>
      <c r="T3924">
        <v>1</v>
      </c>
      <c r="U3924">
        <v>2</v>
      </c>
      <c r="V3924">
        <v>457.6</v>
      </c>
      <c r="W3924">
        <v>13130003922</v>
      </c>
    </row>
    <row r="3925" spans="1:23" x14ac:dyDescent="0.2">
      <c r="A3925" s="1">
        <v>44796</v>
      </c>
      <c r="B3925" s="2">
        <v>0.5876851851851852</v>
      </c>
      <c r="C3925">
        <v>4923</v>
      </c>
      <c r="D3925">
        <v>13002561</v>
      </c>
      <c r="E3925">
        <v>13</v>
      </c>
      <c r="F3925">
        <v>22589</v>
      </c>
      <c r="G3925" t="s">
        <v>23</v>
      </c>
      <c r="H3925">
        <v>15</v>
      </c>
      <c r="I3925">
        <v>26993</v>
      </c>
      <c r="J3925" t="s">
        <v>126</v>
      </c>
      <c r="K3925" t="s">
        <v>28</v>
      </c>
      <c r="L3925" t="s">
        <v>32</v>
      </c>
      <c r="M3925">
        <v>3</v>
      </c>
      <c r="N3925">
        <v>333.52</v>
      </c>
      <c r="O3925">
        <v>445.26</v>
      </c>
      <c r="P3925">
        <v>44.53</v>
      </c>
      <c r="Q3925">
        <v>44.53</v>
      </c>
      <c r="R3925" t="s">
        <v>30</v>
      </c>
      <c r="S3925">
        <v>29</v>
      </c>
      <c r="T3925">
        <v>1</v>
      </c>
      <c r="U3925">
        <v>3</v>
      </c>
      <c r="V3925">
        <v>400.73</v>
      </c>
      <c r="W3925">
        <v>13130003923</v>
      </c>
    </row>
    <row r="3926" spans="1:23" x14ac:dyDescent="0.2">
      <c r="A3926" s="1">
        <v>44777</v>
      </c>
      <c r="B3926" s="2">
        <v>0.79957175925925927</v>
      </c>
      <c r="C3926">
        <v>4924</v>
      </c>
      <c r="D3926">
        <v>13002561</v>
      </c>
      <c r="E3926">
        <v>13</v>
      </c>
      <c r="F3926">
        <v>22589</v>
      </c>
      <c r="G3926" t="s">
        <v>23</v>
      </c>
      <c r="H3926">
        <v>15</v>
      </c>
      <c r="I3926">
        <v>85592</v>
      </c>
      <c r="J3926" t="s">
        <v>77</v>
      </c>
      <c r="K3926" t="s">
        <v>44</v>
      </c>
      <c r="L3926" t="s">
        <v>39</v>
      </c>
      <c r="M3926">
        <v>3</v>
      </c>
      <c r="N3926">
        <v>506.8</v>
      </c>
      <c r="O3926">
        <v>819.65</v>
      </c>
      <c r="P3926">
        <v>81.97</v>
      </c>
      <c r="Q3926">
        <v>81.97</v>
      </c>
      <c r="R3926" t="s">
        <v>30</v>
      </c>
      <c r="S3926">
        <v>29</v>
      </c>
      <c r="T3926">
        <v>1</v>
      </c>
      <c r="U3926">
        <v>1</v>
      </c>
      <c r="V3926">
        <v>737.68</v>
      </c>
      <c r="W3926">
        <v>13130003924</v>
      </c>
    </row>
    <row r="3927" spans="1:23" x14ac:dyDescent="0.2">
      <c r="A3927" s="1">
        <v>44776</v>
      </c>
      <c r="B3927" s="2">
        <v>0.51107638888888884</v>
      </c>
      <c r="C3927">
        <v>4925</v>
      </c>
      <c r="D3927">
        <v>13002561</v>
      </c>
      <c r="E3927">
        <v>13</v>
      </c>
      <c r="F3927">
        <v>22589</v>
      </c>
      <c r="G3927" t="s">
        <v>23</v>
      </c>
      <c r="H3927">
        <v>18</v>
      </c>
      <c r="I3927">
        <v>12425</v>
      </c>
      <c r="J3927" t="s">
        <v>75</v>
      </c>
      <c r="K3927" t="s">
        <v>28</v>
      </c>
      <c r="L3927" t="s">
        <v>36</v>
      </c>
      <c r="M3927">
        <v>3</v>
      </c>
      <c r="N3927">
        <v>584.08000000000004</v>
      </c>
      <c r="O3927">
        <v>815.96</v>
      </c>
      <c r="P3927">
        <v>81.599999999999994</v>
      </c>
      <c r="Q3927">
        <v>81.599999999999994</v>
      </c>
      <c r="R3927" t="s">
        <v>30</v>
      </c>
      <c r="S3927">
        <v>29</v>
      </c>
      <c r="T3927">
        <v>1</v>
      </c>
      <c r="U3927">
        <v>1</v>
      </c>
      <c r="V3927">
        <v>734.36</v>
      </c>
      <c r="W3927">
        <v>13130003925</v>
      </c>
    </row>
    <row r="3928" spans="1:23" x14ac:dyDescent="0.2">
      <c r="A3928" s="1">
        <v>44779</v>
      </c>
      <c r="B3928" s="2">
        <v>0.61968749999999995</v>
      </c>
      <c r="C3928">
        <v>4926</v>
      </c>
      <c r="D3928">
        <v>13002561</v>
      </c>
      <c r="E3928">
        <v>13</v>
      </c>
      <c r="F3928">
        <v>22589</v>
      </c>
      <c r="G3928" t="s">
        <v>23</v>
      </c>
      <c r="H3928">
        <v>18</v>
      </c>
      <c r="I3928">
        <v>59530</v>
      </c>
      <c r="J3928" t="s">
        <v>58</v>
      </c>
      <c r="K3928" t="s">
        <v>28</v>
      </c>
      <c r="L3928" t="s">
        <v>36</v>
      </c>
      <c r="M3928">
        <v>3</v>
      </c>
      <c r="N3928">
        <v>228.92</v>
      </c>
      <c r="O3928">
        <v>315.44</v>
      </c>
      <c r="P3928">
        <v>31.54</v>
      </c>
      <c r="Q3928">
        <v>31.54</v>
      </c>
      <c r="R3928" t="s">
        <v>30</v>
      </c>
      <c r="S3928">
        <v>29</v>
      </c>
      <c r="T3928">
        <v>1</v>
      </c>
      <c r="U3928">
        <v>1</v>
      </c>
      <c r="V3928">
        <v>283.89999999999998</v>
      </c>
      <c r="W3928">
        <v>13130003926</v>
      </c>
    </row>
    <row r="3929" spans="1:23" x14ac:dyDescent="0.2">
      <c r="A3929" s="1">
        <v>44781</v>
      </c>
      <c r="B3929" s="2">
        <v>0.51856481481481487</v>
      </c>
      <c r="C3929">
        <v>4927</v>
      </c>
      <c r="D3929">
        <v>13002561</v>
      </c>
      <c r="E3929">
        <v>13</v>
      </c>
      <c r="F3929">
        <v>22589</v>
      </c>
      <c r="G3929" t="s">
        <v>23</v>
      </c>
      <c r="H3929">
        <v>18</v>
      </c>
      <c r="I3929">
        <v>72772</v>
      </c>
      <c r="J3929" t="s">
        <v>106</v>
      </c>
      <c r="K3929" t="s">
        <v>38</v>
      </c>
      <c r="L3929" t="s">
        <v>51</v>
      </c>
      <c r="M3929">
        <v>2</v>
      </c>
      <c r="N3929">
        <v>454.43</v>
      </c>
      <c r="O3929">
        <v>577.79999999999995</v>
      </c>
      <c r="P3929">
        <v>28.89</v>
      </c>
      <c r="Q3929">
        <v>28.89</v>
      </c>
      <c r="R3929" t="s">
        <v>30</v>
      </c>
      <c r="S3929">
        <v>29</v>
      </c>
      <c r="T3929">
        <v>1</v>
      </c>
      <c r="U3929">
        <v>4</v>
      </c>
      <c r="V3929">
        <v>548.91</v>
      </c>
      <c r="W3929">
        <v>13130003927</v>
      </c>
    </row>
    <row r="3930" spans="1:23" x14ac:dyDescent="0.2">
      <c r="A3930" s="1">
        <v>44783</v>
      </c>
      <c r="B3930" s="2">
        <v>0.51057870370370373</v>
      </c>
      <c r="C3930">
        <v>4928</v>
      </c>
      <c r="D3930">
        <v>13002561</v>
      </c>
      <c r="E3930">
        <v>13</v>
      </c>
      <c r="F3930">
        <v>22589</v>
      </c>
      <c r="G3930" t="s">
        <v>23</v>
      </c>
      <c r="H3930">
        <v>15</v>
      </c>
      <c r="I3930">
        <v>83040</v>
      </c>
      <c r="J3930" t="s">
        <v>108</v>
      </c>
      <c r="K3930" t="s">
        <v>44</v>
      </c>
      <c r="L3930" t="s">
        <v>26</v>
      </c>
      <c r="M3930">
        <v>3</v>
      </c>
      <c r="N3930">
        <v>114.2</v>
      </c>
      <c r="O3930">
        <v>186.18</v>
      </c>
      <c r="P3930">
        <v>0</v>
      </c>
      <c r="Q3930">
        <v>0</v>
      </c>
      <c r="S3930">
        <v>29</v>
      </c>
      <c r="T3930">
        <v>1</v>
      </c>
      <c r="U3930">
        <v>2</v>
      </c>
      <c r="V3930">
        <v>186.18</v>
      </c>
      <c r="W3930">
        <v>13130003928</v>
      </c>
    </row>
    <row r="3931" spans="1:23" x14ac:dyDescent="0.2">
      <c r="A3931" s="1">
        <v>44782</v>
      </c>
      <c r="B3931" s="2">
        <v>0.59142361111111108</v>
      </c>
      <c r="C3931">
        <v>4929</v>
      </c>
      <c r="D3931">
        <v>13002561</v>
      </c>
      <c r="E3931">
        <v>13</v>
      </c>
      <c r="F3931">
        <v>22589</v>
      </c>
      <c r="G3931" t="s">
        <v>23</v>
      </c>
      <c r="H3931">
        <v>15</v>
      </c>
      <c r="I3931">
        <v>29322</v>
      </c>
      <c r="J3931" t="s">
        <v>80</v>
      </c>
      <c r="K3931" t="s">
        <v>60</v>
      </c>
      <c r="L3931" t="s">
        <v>26</v>
      </c>
      <c r="M3931">
        <v>2</v>
      </c>
      <c r="N3931">
        <v>349.8</v>
      </c>
      <c r="O3931">
        <v>445.94</v>
      </c>
      <c r="P3931">
        <v>0</v>
      </c>
      <c r="Q3931">
        <v>0</v>
      </c>
      <c r="S3931">
        <v>29</v>
      </c>
      <c r="T3931">
        <v>1</v>
      </c>
      <c r="U3931">
        <v>2</v>
      </c>
      <c r="V3931">
        <v>445.94</v>
      </c>
      <c r="W3931">
        <v>13130003929</v>
      </c>
    </row>
    <row r="3932" spans="1:23" x14ac:dyDescent="0.2">
      <c r="A3932" s="1">
        <v>44792</v>
      </c>
      <c r="B3932" s="2">
        <v>0.74418981481481483</v>
      </c>
      <c r="C3932">
        <v>4930</v>
      </c>
      <c r="D3932">
        <v>13002561</v>
      </c>
      <c r="E3932">
        <v>13</v>
      </c>
      <c r="F3932">
        <v>22589</v>
      </c>
      <c r="G3932" t="s">
        <v>23</v>
      </c>
      <c r="H3932">
        <v>18</v>
      </c>
      <c r="I3932">
        <v>34401</v>
      </c>
      <c r="J3932" t="s">
        <v>46</v>
      </c>
      <c r="K3932" t="s">
        <v>38</v>
      </c>
      <c r="L3932" t="s">
        <v>34</v>
      </c>
      <c r="M3932">
        <v>2</v>
      </c>
      <c r="N3932">
        <v>464.29</v>
      </c>
      <c r="O3932">
        <v>694.35</v>
      </c>
      <c r="P3932">
        <v>69.44</v>
      </c>
      <c r="Q3932">
        <v>69.44</v>
      </c>
      <c r="R3932" t="s">
        <v>30</v>
      </c>
      <c r="S3932">
        <v>29</v>
      </c>
      <c r="T3932">
        <v>1</v>
      </c>
      <c r="U3932">
        <v>5</v>
      </c>
      <c r="V3932">
        <v>624.91</v>
      </c>
      <c r="W3932">
        <v>13130003930</v>
      </c>
    </row>
    <row r="3933" spans="1:23" x14ac:dyDescent="0.2">
      <c r="A3933" s="1">
        <v>44776</v>
      </c>
      <c r="B3933" s="2">
        <v>0.70792824074074079</v>
      </c>
      <c r="C3933">
        <v>4931</v>
      </c>
      <c r="D3933">
        <v>13002561</v>
      </c>
      <c r="E3933">
        <v>13</v>
      </c>
      <c r="F3933">
        <v>22589</v>
      </c>
      <c r="G3933" t="s">
        <v>23</v>
      </c>
      <c r="H3933">
        <v>18</v>
      </c>
      <c r="I3933">
        <v>80494</v>
      </c>
      <c r="J3933" t="s">
        <v>128</v>
      </c>
      <c r="K3933" t="s">
        <v>44</v>
      </c>
      <c r="L3933" t="s">
        <v>26</v>
      </c>
      <c r="M3933">
        <v>1</v>
      </c>
      <c r="N3933">
        <v>426.76</v>
      </c>
      <c r="O3933">
        <v>723.28</v>
      </c>
      <c r="P3933">
        <v>36.159999999999997</v>
      </c>
      <c r="Q3933">
        <v>36.159999999999997</v>
      </c>
      <c r="R3933" t="s">
        <v>30</v>
      </c>
      <c r="S3933">
        <v>29</v>
      </c>
      <c r="T3933">
        <v>1</v>
      </c>
      <c r="U3933">
        <v>1</v>
      </c>
      <c r="V3933">
        <v>687.12</v>
      </c>
      <c r="W3933">
        <v>13130003931</v>
      </c>
    </row>
    <row r="3934" spans="1:23" x14ac:dyDescent="0.2">
      <c r="A3934" s="1">
        <v>44778</v>
      </c>
      <c r="B3934" s="2">
        <v>0.94741898148148151</v>
      </c>
      <c r="C3934">
        <v>4932</v>
      </c>
      <c r="D3934">
        <v>13002561</v>
      </c>
      <c r="E3934">
        <v>13</v>
      </c>
      <c r="F3934">
        <v>22589</v>
      </c>
      <c r="G3934" t="s">
        <v>23</v>
      </c>
      <c r="H3934">
        <v>15</v>
      </c>
      <c r="I3934">
        <v>82541</v>
      </c>
      <c r="J3934" t="s">
        <v>52</v>
      </c>
      <c r="K3934" t="s">
        <v>28</v>
      </c>
      <c r="L3934" t="s">
        <v>32</v>
      </c>
      <c r="M3934">
        <v>3</v>
      </c>
      <c r="N3934">
        <v>52.77</v>
      </c>
      <c r="O3934">
        <v>72.709999999999994</v>
      </c>
      <c r="P3934">
        <v>3.64</v>
      </c>
      <c r="Q3934">
        <v>3.64</v>
      </c>
      <c r="R3934" t="s">
        <v>30</v>
      </c>
      <c r="S3934">
        <v>29</v>
      </c>
      <c r="T3934">
        <v>1</v>
      </c>
      <c r="U3934">
        <v>1</v>
      </c>
      <c r="V3934">
        <v>69.069999999999993</v>
      </c>
      <c r="W3934">
        <v>13130003932</v>
      </c>
    </row>
    <row r="3935" spans="1:23" x14ac:dyDescent="0.2">
      <c r="A3935" s="1">
        <v>44793</v>
      </c>
      <c r="B3935" s="2">
        <v>0.59819444444444447</v>
      </c>
      <c r="C3935">
        <v>4933</v>
      </c>
      <c r="D3935">
        <v>13002561</v>
      </c>
      <c r="E3935">
        <v>13</v>
      </c>
      <c r="F3935">
        <v>22589</v>
      </c>
      <c r="G3935" t="s">
        <v>23</v>
      </c>
      <c r="H3935">
        <v>18</v>
      </c>
      <c r="I3935">
        <v>58605</v>
      </c>
      <c r="J3935" t="s">
        <v>73</v>
      </c>
      <c r="K3935" t="s">
        <v>45</v>
      </c>
      <c r="L3935" t="s">
        <v>32</v>
      </c>
      <c r="M3935">
        <v>2</v>
      </c>
      <c r="N3935">
        <v>11.07</v>
      </c>
      <c r="O3935">
        <v>14.83</v>
      </c>
      <c r="P3935">
        <v>1.48</v>
      </c>
      <c r="Q3935">
        <v>1.48</v>
      </c>
      <c r="R3935" t="s">
        <v>30</v>
      </c>
      <c r="S3935">
        <v>29</v>
      </c>
      <c r="T3935">
        <v>1</v>
      </c>
      <c r="U3935">
        <v>5</v>
      </c>
      <c r="V3935">
        <v>13.35</v>
      </c>
      <c r="W3935">
        <v>13130003933</v>
      </c>
    </row>
    <row r="3936" spans="1:23" x14ac:dyDescent="0.2">
      <c r="A3936" s="1">
        <v>44793</v>
      </c>
      <c r="B3936" s="2">
        <v>0.54295138888888894</v>
      </c>
      <c r="C3936">
        <v>4934</v>
      </c>
      <c r="D3936">
        <v>13002561</v>
      </c>
      <c r="E3936">
        <v>13</v>
      </c>
      <c r="F3936">
        <v>22589</v>
      </c>
      <c r="G3936" t="s">
        <v>23</v>
      </c>
      <c r="H3936">
        <v>18</v>
      </c>
      <c r="I3936">
        <v>20649</v>
      </c>
      <c r="J3936" t="s">
        <v>115</v>
      </c>
      <c r="K3936" t="s">
        <v>38</v>
      </c>
      <c r="L3936" t="s">
        <v>51</v>
      </c>
      <c r="M3936">
        <v>3</v>
      </c>
      <c r="N3936">
        <v>93.8</v>
      </c>
      <c r="O3936">
        <v>153.19999999999999</v>
      </c>
      <c r="P3936">
        <v>15.32</v>
      </c>
      <c r="Q3936">
        <v>15.32</v>
      </c>
      <c r="R3936" t="s">
        <v>30</v>
      </c>
      <c r="S3936">
        <v>29</v>
      </c>
      <c r="T3936">
        <v>1</v>
      </c>
      <c r="U3936">
        <v>5</v>
      </c>
      <c r="V3936">
        <v>137.88</v>
      </c>
      <c r="W3936">
        <v>13130003934</v>
      </c>
    </row>
    <row r="3937" spans="1:23" x14ac:dyDescent="0.2">
      <c r="A3937" s="1">
        <v>44797</v>
      </c>
      <c r="B3937" s="2">
        <v>0.67174768518518524</v>
      </c>
      <c r="C3937">
        <v>4935</v>
      </c>
      <c r="D3937">
        <v>13002561</v>
      </c>
      <c r="E3937">
        <v>13</v>
      </c>
      <c r="F3937">
        <v>22589</v>
      </c>
      <c r="G3937" t="s">
        <v>23</v>
      </c>
      <c r="H3937">
        <v>15</v>
      </c>
      <c r="I3937">
        <v>12881</v>
      </c>
      <c r="J3937" t="s">
        <v>63</v>
      </c>
      <c r="K3937" t="s">
        <v>25</v>
      </c>
      <c r="L3937" t="s">
        <v>26</v>
      </c>
      <c r="M3937">
        <v>1</v>
      </c>
      <c r="N3937">
        <v>384.54</v>
      </c>
      <c r="O3937">
        <v>604.29</v>
      </c>
      <c r="P3937">
        <v>30.21</v>
      </c>
      <c r="Q3937">
        <v>30.21</v>
      </c>
      <c r="R3937" t="s">
        <v>30</v>
      </c>
      <c r="S3937">
        <v>29</v>
      </c>
      <c r="T3937">
        <v>1</v>
      </c>
      <c r="U3937">
        <v>3</v>
      </c>
      <c r="V3937">
        <v>574.08000000000004</v>
      </c>
      <c r="W3937">
        <v>13130003935</v>
      </c>
    </row>
    <row r="3938" spans="1:23" x14ac:dyDescent="0.2">
      <c r="A3938" s="1">
        <v>44779</v>
      </c>
      <c r="B3938" s="2">
        <v>0.6189351851851852</v>
      </c>
      <c r="C3938">
        <v>4936</v>
      </c>
      <c r="D3938">
        <v>13002561</v>
      </c>
      <c r="E3938">
        <v>13</v>
      </c>
      <c r="F3938">
        <v>22589</v>
      </c>
      <c r="G3938" t="s">
        <v>23</v>
      </c>
      <c r="H3938">
        <v>18</v>
      </c>
      <c r="I3938">
        <v>23448</v>
      </c>
      <c r="J3938" t="s">
        <v>108</v>
      </c>
      <c r="K3938" t="s">
        <v>25</v>
      </c>
      <c r="L3938" t="s">
        <v>36</v>
      </c>
      <c r="M3938">
        <v>3</v>
      </c>
      <c r="N3938">
        <v>444.63</v>
      </c>
      <c r="O3938">
        <v>616.16</v>
      </c>
      <c r="P3938">
        <v>61.62</v>
      </c>
      <c r="Q3938">
        <v>61.62</v>
      </c>
      <c r="R3938" t="s">
        <v>30</v>
      </c>
      <c r="S3938">
        <v>29</v>
      </c>
      <c r="T3938">
        <v>1</v>
      </c>
      <c r="U3938">
        <v>1</v>
      </c>
      <c r="V3938">
        <v>554.54</v>
      </c>
      <c r="W3938">
        <v>13130003936</v>
      </c>
    </row>
    <row r="3939" spans="1:23" x14ac:dyDescent="0.2">
      <c r="A3939" s="1">
        <v>44795</v>
      </c>
      <c r="B3939" s="2">
        <v>0.95187500000000003</v>
      </c>
      <c r="C3939">
        <v>4937</v>
      </c>
      <c r="D3939">
        <v>13002561</v>
      </c>
      <c r="E3939">
        <v>13</v>
      </c>
      <c r="F3939">
        <v>22589</v>
      </c>
      <c r="G3939" t="s">
        <v>23</v>
      </c>
      <c r="H3939">
        <v>18</v>
      </c>
      <c r="I3939">
        <v>68088</v>
      </c>
      <c r="J3939" t="s">
        <v>69</v>
      </c>
      <c r="K3939" t="s">
        <v>28</v>
      </c>
      <c r="L3939" t="s">
        <v>34</v>
      </c>
      <c r="M3939">
        <v>3</v>
      </c>
      <c r="N3939">
        <v>573.48</v>
      </c>
      <c r="O3939">
        <v>942.96</v>
      </c>
      <c r="P3939">
        <v>47.15</v>
      </c>
      <c r="Q3939">
        <v>47.15</v>
      </c>
      <c r="R3939" t="s">
        <v>30</v>
      </c>
      <c r="S3939">
        <v>29</v>
      </c>
      <c r="T3939">
        <v>1</v>
      </c>
      <c r="U3939">
        <v>4</v>
      </c>
      <c r="V3939">
        <v>895.81</v>
      </c>
      <c r="W3939">
        <v>13130003937</v>
      </c>
    </row>
    <row r="3940" spans="1:23" x14ac:dyDescent="0.2">
      <c r="A3940" s="1">
        <v>44782</v>
      </c>
      <c r="B3940" s="2">
        <v>0.65637731481481476</v>
      </c>
      <c r="C3940">
        <v>4938</v>
      </c>
      <c r="D3940">
        <v>13002561</v>
      </c>
      <c r="E3940">
        <v>13</v>
      </c>
      <c r="F3940">
        <v>22589</v>
      </c>
      <c r="G3940" t="s">
        <v>23</v>
      </c>
      <c r="H3940">
        <v>18</v>
      </c>
      <c r="I3940">
        <v>12765</v>
      </c>
      <c r="J3940" t="s">
        <v>73</v>
      </c>
      <c r="K3940" t="s">
        <v>60</v>
      </c>
      <c r="L3940" t="s">
        <v>32</v>
      </c>
      <c r="M3940">
        <v>1</v>
      </c>
      <c r="N3940">
        <v>563</v>
      </c>
      <c r="O3940">
        <v>886.14</v>
      </c>
      <c r="P3940">
        <v>0</v>
      </c>
      <c r="Q3940">
        <v>0</v>
      </c>
      <c r="S3940">
        <v>29</v>
      </c>
      <c r="T3940">
        <v>1</v>
      </c>
      <c r="U3940">
        <v>1</v>
      </c>
      <c r="V3940">
        <v>886.14</v>
      </c>
      <c r="W3940">
        <v>13130003938</v>
      </c>
    </row>
    <row r="3941" spans="1:23" x14ac:dyDescent="0.2">
      <c r="A3941" s="1">
        <v>44795</v>
      </c>
      <c r="B3941" s="2">
        <v>0.84334490740740742</v>
      </c>
      <c r="C3941">
        <v>4939</v>
      </c>
      <c r="D3941">
        <v>13002561</v>
      </c>
      <c r="E3941">
        <v>13</v>
      </c>
      <c r="F3941">
        <v>22589</v>
      </c>
      <c r="G3941" t="s">
        <v>23</v>
      </c>
      <c r="H3941">
        <v>18</v>
      </c>
      <c r="I3941">
        <v>47140</v>
      </c>
      <c r="J3941" t="s">
        <v>111</v>
      </c>
      <c r="K3941" t="s">
        <v>25</v>
      </c>
      <c r="L3941" t="s">
        <v>32</v>
      </c>
      <c r="M3941">
        <v>3</v>
      </c>
      <c r="N3941">
        <v>330.9</v>
      </c>
      <c r="O3941">
        <v>525.72</v>
      </c>
      <c r="P3941">
        <v>52.57</v>
      </c>
      <c r="Q3941">
        <v>52.57</v>
      </c>
      <c r="R3941" t="s">
        <v>30</v>
      </c>
      <c r="S3941">
        <v>29</v>
      </c>
      <c r="T3941">
        <v>1</v>
      </c>
      <c r="U3941">
        <v>2</v>
      </c>
      <c r="V3941">
        <v>473.15</v>
      </c>
      <c r="W3941">
        <v>13130003939</v>
      </c>
    </row>
    <row r="3942" spans="1:23" x14ac:dyDescent="0.2">
      <c r="A3942" s="1">
        <v>44796</v>
      </c>
      <c r="B3942" s="2">
        <v>0.56111111111111112</v>
      </c>
      <c r="C3942">
        <v>4940</v>
      </c>
      <c r="D3942">
        <v>13002561</v>
      </c>
      <c r="E3942">
        <v>13</v>
      </c>
      <c r="F3942">
        <v>22589</v>
      </c>
      <c r="G3942" t="s">
        <v>23</v>
      </c>
      <c r="H3942">
        <v>15</v>
      </c>
      <c r="I3942">
        <v>96092</v>
      </c>
      <c r="J3942" t="s">
        <v>92</v>
      </c>
      <c r="K3942" t="s">
        <v>28</v>
      </c>
      <c r="L3942" t="s">
        <v>39</v>
      </c>
      <c r="M3942">
        <v>1</v>
      </c>
      <c r="N3942">
        <v>78.39</v>
      </c>
      <c r="O3942">
        <v>129.52000000000001</v>
      </c>
      <c r="P3942">
        <v>12.95</v>
      </c>
      <c r="Q3942">
        <v>12.95</v>
      </c>
      <c r="R3942" t="s">
        <v>30</v>
      </c>
      <c r="S3942">
        <v>29</v>
      </c>
      <c r="T3942">
        <v>1</v>
      </c>
      <c r="U3942">
        <v>2</v>
      </c>
      <c r="V3942">
        <v>116.57</v>
      </c>
      <c r="W3942">
        <v>13130003940</v>
      </c>
    </row>
    <row r="3943" spans="1:23" x14ac:dyDescent="0.2">
      <c r="A3943" s="1">
        <v>44779</v>
      </c>
      <c r="B3943" s="2">
        <v>0.63087962962962962</v>
      </c>
      <c r="C3943">
        <v>4941</v>
      </c>
      <c r="D3943">
        <v>13002561</v>
      </c>
      <c r="E3943">
        <v>13</v>
      </c>
      <c r="F3943">
        <v>22589</v>
      </c>
      <c r="G3943" t="s">
        <v>23</v>
      </c>
      <c r="H3943">
        <v>15</v>
      </c>
      <c r="I3943">
        <v>87469</v>
      </c>
      <c r="J3943" t="s">
        <v>104</v>
      </c>
      <c r="K3943" t="s">
        <v>44</v>
      </c>
      <c r="L3943" t="s">
        <v>51</v>
      </c>
      <c r="M3943">
        <v>2</v>
      </c>
      <c r="N3943">
        <v>393.66</v>
      </c>
      <c r="O3943">
        <v>528.37</v>
      </c>
      <c r="P3943">
        <v>52.84</v>
      </c>
      <c r="Q3943">
        <v>52.84</v>
      </c>
      <c r="R3943" t="s">
        <v>30</v>
      </c>
      <c r="S3943">
        <v>29</v>
      </c>
      <c r="T3943">
        <v>1</v>
      </c>
      <c r="U3943">
        <v>1</v>
      </c>
      <c r="V3943">
        <v>475.53</v>
      </c>
      <c r="W3943">
        <v>13130003941</v>
      </c>
    </row>
    <row r="3944" spans="1:23" x14ac:dyDescent="0.2">
      <c r="A3944" s="1">
        <v>44798</v>
      </c>
      <c r="B3944" s="2">
        <v>0.90150462962962963</v>
      </c>
      <c r="C3944">
        <v>4942</v>
      </c>
      <c r="D3944">
        <v>13002561</v>
      </c>
      <c r="E3944">
        <v>13</v>
      </c>
      <c r="F3944">
        <v>22589</v>
      </c>
      <c r="G3944" t="s">
        <v>23</v>
      </c>
      <c r="H3944">
        <v>18</v>
      </c>
      <c r="I3944">
        <v>38487</v>
      </c>
      <c r="J3944" t="s">
        <v>92</v>
      </c>
      <c r="K3944" t="s">
        <v>28</v>
      </c>
      <c r="L3944" t="s">
        <v>39</v>
      </c>
      <c r="M3944">
        <v>2</v>
      </c>
      <c r="N3944">
        <v>39.78</v>
      </c>
      <c r="O3944">
        <v>52.89</v>
      </c>
      <c r="P3944">
        <v>0</v>
      </c>
      <c r="Q3944">
        <v>0</v>
      </c>
      <c r="S3944">
        <v>29</v>
      </c>
      <c r="T3944">
        <v>1</v>
      </c>
      <c r="U3944">
        <v>2</v>
      </c>
      <c r="V3944">
        <v>52.89</v>
      </c>
      <c r="W3944">
        <v>13130003942</v>
      </c>
    </row>
    <row r="3945" spans="1:23" x14ac:dyDescent="0.2">
      <c r="A3945" s="1">
        <v>44801</v>
      </c>
      <c r="B3945" s="2">
        <v>0.92945601851851856</v>
      </c>
      <c r="C3945">
        <v>4943</v>
      </c>
      <c r="D3945">
        <v>13002561</v>
      </c>
      <c r="E3945">
        <v>13</v>
      </c>
      <c r="F3945">
        <v>22589</v>
      </c>
      <c r="G3945" t="s">
        <v>23</v>
      </c>
      <c r="H3945">
        <v>15</v>
      </c>
      <c r="I3945">
        <v>94540</v>
      </c>
      <c r="J3945" t="s">
        <v>112</v>
      </c>
      <c r="K3945" t="s">
        <v>38</v>
      </c>
      <c r="L3945" t="s">
        <v>34</v>
      </c>
      <c r="M3945">
        <v>1</v>
      </c>
      <c r="N3945">
        <v>557.46</v>
      </c>
      <c r="O3945">
        <v>937.86</v>
      </c>
      <c r="P3945">
        <v>93.79</v>
      </c>
      <c r="Q3945">
        <v>93.79</v>
      </c>
      <c r="R3945" t="s">
        <v>30</v>
      </c>
      <c r="S3945">
        <v>29</v>
      </c>
      <c r="T3945">
        <v>1</v>
      </c>
      <c r="U3945">
        <v>4</v>
      </c>
      <c r="V3945">
        <v>844.07</v>
      </c>
      <c r="W3945">
        <v>13130003943</v>
      </c>
    </row>
    <row r="3946" spans="1:23" x14ac:dyDescent="0.2">
      <c r="A3946" s="1">
        <v>44784</v>
      </c>
      <c r="B3946" s="2">
        <v>0.54297453703703702</v>
      </c>
      <c r="C3946">
        <v>4944</v>
      </c>
      <c r="D3946">
        <v>13002561</v>
      </c>
      <c r="E3946">
        <v>13</v>
      </c>
      <c r="F3946">
        <v>22589</v>
      </c>
      <c r="G3946" t="s">
        <v>23</v>
      </c>
      <c r="H3946">
        <v>15</v>
      </c>
      <c r="I3946">
        <v>25365</v>
      </c>
      <c r="J3946" t="s">
        <v>85</v>
      </c>
      <c r="K3946" t="s">
        <v>60</v>
      </c>
      <c r="L3946" t="s">
        <v>36</v>
      </c>
      <c r="M3946">
        <v>1</v>
      </c>
      <c r="N3946">
        <v>16.559999999999999</v>
      </c>
      <c r="O3946">
        <v>24.8</v>
      </c>
      <c r="P3946">
        <v>0</v>
      </c>
      <c r="Q3946">
        <v>0</v>
      </c>
      <c r="S3946">
        <v>29</v>
      </c>
      <c r="T3946">
        <v>1</v>
      </c>
      <c r="U3946">
        <v>1</v>
      </c>
      <c r="V3946">
        <v>24.8</v>
      </c>
      <c r="W3946">
        <v>13130003944</v>
      </c>
    </row>
    <row r="3947" spans="1:23" x14ac:dyDescent="0.2">
      <c r="A3947" s="1">
        <v>44781</v>
      </c>
      <c r="B3947" s="2">
        <v>0.64809027777777772</v>
      </c>
      <c r="C3947">
        <v>4945</v>
      </c>
      <c r="D3947">
        <v>13002561</v>
      </c>
      <c r="E3947">
        <v>13</v>
      </c>
      <c r="F3947">
        <v>22589</v>
      </c>
      <c r="G3947" t="s">
        <v>23</v>
      </c>
      <c r="H3947">
        <v>18</v>
      </c>
      <c r="I3947">
        <v>33965</v>
      </c>
      <c r="J3947" t="s">
        <v>119</v>
      </c>
      <c r="K3947" t="s">
        <v>44</v>
      </c>
      <c r="L3947" t="s">
        <v>39</v>
      </c>
      <c r="M3947">
        <v>3</v>
      </c>
      <c r="N3947">
        <v>13.35</v>
      </c>
      <c r="O3947">
        <v>20.149999999999999</v>
      </c>
      <c r="P3947">
        <v>2.02</v>
      </c>
      <c r="Q3947">
        <v>2.02</v>
      </c>
      <c r="R3947" t="s">
        <v>30</v>
      </c>
      <c r="S3947">
        <v>29</v>
      </c>
      <c r="T3947">
        <v>1</v>
      </c>
      <c r="U3947">
        <v>4</v>
      </c>
      <c r="V3947">
        <v>18.13</v>
      </c>
      <c r="W3947">
        <v>13130003945</v>
      </c>
    </row>
    <row r="3948" spans="1:23" x14ac:dyDescent="0.2">
      <c r="A3948" s="1">
        <v>44790</v>
      </c>
      <c r="B3948" s="2">
        <v>0.70737268518518515</v>
      </c>
      <c r="C3948">
        <v>4946</v>
      </c>
      <c r="D3948">
        <v>13002561</v>
      </c>
      <c r="E3948">
        <v>13</v>
      </c>
      <c r="F3948">
        <v>22589</v>
      </c>
      <c r="G3948" t="s">
        <v>23</v>
      </c>
      <c r="H3948">
        <v>15</v>
      </c>
      <c r="I3948">
        <v>18558</v>
      </c>
      <c r="J3948" t="s">
        <v>96</v>
      </c>
      <c r="K3948" t="s">
        <v>38</v>
      </c>
      <c r="L3948" t="s">
        <v>39</v>
      </c>
      <c r="M3948">
        <v>2</v>
      </c>
      <c r="N3948">
        <v>596.62</v>
      </c>
      <c r="O3948">
        <v>1002.62</v>
      </c>
      <c r="P3948">
        <v>50.13</v>
      </c>
      <c r="Q3948">
        <v>50.13</v>
      </c>
      <c r="R3948" t="s">
        <v>30</v>
      </c>
      <c r="S3948">
        <v>29</v>
      </c>
      <c r="T3948">
        <v>1</v>
      </c>
      <c r="U3948">
        <v>6</v>
      </c>
      <c r="V3948">
        <v>952.49</v>
      </c>
      <c r="W3948">
        <v>13130003946</v>
      </c>
    </row>
    <row r="3949" spans="1:23" x14ac:dyDescent="0.2">
      <c r="A3949" s="1">
        <v>44777</v>
      </c>
      <c r="B3949" s="2">
        <v>0.76064814814814818</v>
      </c>
      <c r="C3949">
        <v>4947</v>
      </c>
      <c r="D3949">
        <v>13002561</v>
      </c>
      <c r="E3949">
        <v>13</v>
      </c>
      <c r="F3949">
        <v>22589</v>
      </c>
      <c r="G3949" t="s">
        <v>23</v>
      </c>
      <c r="H3949">
        <v>15</v>
      </c>
      <c r="I3949">
        <v>15804</v>
      </c>
      <c r="J3949" t="s">
        <v>103</v>
      </c>
      <c r="K3949" t="s">
        <v>44</v>
      </c>
      <c r="L3949" t="s">
        <v>39</v>
      </c>
      <c r="M3949">
        <v>1</v>
      </c>
      <c r="N3949">
        <v>149.86000000000001</v>
      </c>
      <c r="O3949">
        <v>202.13</v>
      </c>
      <c r="P3949">
        <v>0</v>
      </c>
      <c r="Q3949">
        <v>0</v>
      </c>
      <c r="S3949">
        <v>29</v>
      </c>
      <c r="T3949">
        <v>1</v>
      </c>
      <c r="U3949">
        <v>4</v>
      </c>
      <c r="V3949">
        <v>202.13</v>
      </c>
      <c r="W3949">
        <v>13130003947</v>
      </c>
    </row>
    <row r="3950" spans="1:23" x14ac:dyDescent="0.2">
      <c r="A3950" s="1">
        <v>44781</v>
      </c>
      <c r="B3950" s="2">
        <v>0.70094907407407403</v>
      </c>
      <c r="C3950">
        <v>4948</v>
      </c>
      <c r="D3950">
        <v>13002561</v>
      </c>
      <c r="E3950">
        <v>13</v>
      </c>
      <c r="F3950">
        <v>22589</v>
      </c>
      <c r="G3950" t="s">
        <v>23</v>
      </c>
      <c r="H3950">
        <v>18</v>
      </c>
      <c r="I3950">
        <v>50323</v>
      </c>
      <c r="J3950" t="s">
        <v>122</v>
      </c>
      <c r="K3950" t="s">
        <v>44</v>
      </c>
      <c r="L3950" t="s">
        <v>39</v>
      </c>
      <c r="M3950">
        <v>2</v>
      </c>
      <c r="N3950">
        <v>105.97</v>
      </c>
      <c r="O3950">
        <v>148.85</v>
      </c>
      <c r="P3950">
        <v>14.88</v>
      </c>
      <c r="Q3950">
        <v>14.88</v>
      </c>
      <c r="R3950" t="s">
        <v>30</v>
      </c>
      <c r="S3950">
        <v>29</v>
      </c>
      <c r="T3950">
        <v>1</v>
      </c>
      <c r="U3950">
        <v>1</v>
      </c>
      <c r="V3950">
        <v>133.97</v>
      </c>
      <c r="W3950">
        <v>13130003948</v>
      </c>
    </row>
    <row r="3951" spans="1:23" x14ac:dyDescent="0.2">
      <c r="A3951" s="1">
        <v>44778</v>
      </c>
      <c r="B3951" s="2">
        <v>0.64710648148148153</v>
      </c>
      <c r="C3951">
        <v>4949</v>
      </c>
      <c r="D3951">
        <v>13002561</v>
      </c>
      <c r="E3951">
        <v>13</v>
      </c>
      <c r="F3951">
        <v>22589</v>
      </c>
      <c r="G3951" t="s">
        <v>23</v>
      </c>
      <c r="H3951">
        <v>18</v>
      </c>
      <c r="I3951">
        <v>20912</v>
      </c>
      <c r="J3951" t="s">
        <v>128</v>
      </c>
      <c r="K3951" t="s">
        <v>44</v>
      </c>
      <c r="L3951" t="s">
        <v>39</v>
      </c>
      <c r="M3951">
        <v>3</v>
      </c>
      <c r="N3951">
        <v>261.77999999999997</v>
      </c>
      <c r="O3951">
        <v>421.4</v>
      </c>
      <c r="P3951">
        <v>42.14</v>
      </c>
      <c r="Q3951">
        <v>42.14</v>
      </c>
      <c r="R3951" t="s">
        <v>30</v>
      </c>
      <c r="S3951">
        <v>29</v>
      </c>
      <c r="T3951">
        <v>1</v>
      </c>
      <c r="U3951">
        <v>5</v>
      </c>
      <c r="V3951">
        <v>379.26</v>
      </c>
      <c r="W3951">
        <v>13130003949</v>
      </c>
    </row>
    <row r="3952" spans="1:23" x14ac:dyDescent="0.2">
      <c r="A3952" s="1">
        <v>44790</v>
      </c>
      <c r="B3952" s="2">
        <v>0.94972222222222225</v>
      </c>
      <c r="C3952">
        <v>4950</v>
      </c>
      <c r="D3952">
        <v>13002561</v>
      </c>
      <c r="E3952">
        <v>13</v>
      </c>
      <c r="F3952">
        <v>22589</v>
      </c>
      <c r="G3952" t="s">
        <v>23</v>
      </c>
      <c r="H3952">
        <v>18</v>
      </c>
      <c r="I3952">
        <v>99388</v>
      </c>
      <c r="J3952" t="s">
        <v>108</v>
      </c>
      <c r="K3952" t="s">
        <v>44</v>
      </c>
      <c r="L3952" t="s">
        <v>29</v>
      </c>
      <c r="M3952">
        <v>1</v>
      </c>
      <c r="N3952">
        <v>76.12</v>
      </c>
      <c r="O3952">
        <v>101.56</v>
      </c>
      <c r="P3952">
        <v>10.16</v>
      </c>
      <c r="Q3952">
        <v>10.16</v>
      </c>
      <c r="R3952" t="s">
        <v>30</v>
      </c>
      <c r="S3952">
        <v>29</v>
      </c>
      <c r="T3952">
        <v>1</v>
      </c>
      <c r="U3952">
        <v>2</v>
      </c>
      <c r="V3952">
        <v>91.4</v>
      </c>
      <c r="W3952">
        <v>13130003950</v>
      </c>
    </row>
    <row r="3953" spans="1:23" x14ac:dyDescent="0.2">
      <c r="A3953" s="1">
        <v>44798</v>
      </c>
      <c r="B3953" s="2">
        <v>0.43260416666666668</v>
      </c>
      <c r="C3953">
        <v>4951</v>
      </c>
      <c r="D3953">
        <v>13002561</v>
      </c>
      <c r="E3953">
        <v>13</v>
      </c>
      <c r="F3953">
        <v>22589</v>
      </c>
      <c r="G3953" t="s">
        <v>23</v>
      </c>
      <c r="H3953">
        <v>15</v>
      </c>
      <c r="I3953">
        <v>95404</v>
      </c>
      <c r="J3953" t="s">
        <v>35</v>
      </c>
      <c r="K3953" t="s">
        <v>28</v>
      </c>
      <c r="L3953" t="s">
        <v>51</v>
      </c>
      <c r="M3953">
        <v>3</v>
      </c>
      <c r="N3953">
        <v>104.09</v>
      </c>
      <c r="O3953">
        <v>133.71</v>
      </c>
      <c r="P3953">
        <v>0</v>
      </c>
      <c r="Q3953">
        <v>0</v>
      </c>
      <c r="S3953">
        <v>29</v>
      </c>
      <c r="T3953">
        <v>1</v>
      </c>
      <c r="U3953">
        <v>1</v>
      </c>
      <c r="V3953">
        <v>133.71</v>
      </c>
      <c r="W3953">
        <v>13130003951</v>
      </c>
    </row>
    <row r="3954" spans="1:23" x14ac:dyDescent="0.2">
      <c r="A3954" s="1">
        <v>44776</v>
      </c>
      <c r="B3954" s="2">
        <v>0.73699074074074078</v>
      </c>
      <c r="C3954">
        <v>4952</v>
      </c>
      <c r="D3954">
        <v>13002561</v>
      </c>
      <c r="E3954">
        <v>13</v>
      </c>
      <c r="F3954">
        <v>22589</v>
      </c>
      <c r="G3954" t="s">
        <v>23</v>
      </c>
      <c r="H3954">
        <v>18</v>
      </c>
      <c r="I3954">
        <v>76190</v>
      </c>
      <c r="J3954" t="s">
        <v>105</v>
      </c>
      <c r="K3954" t="s">
        <v>38</v>
      </c>
      <c r="L3954" t="s">
        <v>51</v>
      </c>
      <c r="M3954">
        <v>1</v>
      </c>
      <c r="N3954">
        <v>313.55</v>
      </c>
      <c r="O3954">
        <v>403.92</v>
      </c>
      <c r="P3954">
        <v>40.39</v>
      </c>
      <c r="Q3954">
        <v>40.39</v>
      </c>
      <c r="R3954" t="s">
        <v>30</v>
      </c>
      <c r="S3954">
        <v>29</v>
      </c>
      <c r="T3954">
        <v>1</v>
      </c>
      <c r="U3954">
        <v>4</v>
      </c>
      <c r="V3954">
        <v>363.53</v>
      </c>
      <c r="W3954">
        <v>13130003952</v>
      </c>
    </row>
    <row r="3955" spans="1:23" x14ac:dyDescent="0.2">
      <c r="A3955" s="1">
        <v>44791</v>
      </c>
      <c r="B3955" s="2">
        <v>0.77341435185185181</v>
      </c>
      <c r="C3955">
        <v>4953</v>
      </c>
      <c r="D3955">
        <v>13002561</v>
      </c>
      <c r="E3955">
        <v>13</v>
      </c>
      <c r="F3955">
        <v>22589</v>
      </c>
      <c r="G3955" t="s">
        <v>23</v>
      </c>
      <c r="H3955">
        <v>15</v>
      </c>
      <c r="I3955">
        <v>68987</v>
      </c>
      <c r="J3955" t="s">
        <v>61</v>
      </c>
      <c r="K3955" t="s">
        <v>45</v>
      </c>
      <c r="L3955" t="s">
        <v>47</v>
      </c>
      <c r="M3955">
        <v>3</v>
      </c>
      <c r="N3955">
        <v>116.05</v>
      </c>
      <c r="O3955">
        <v>170.88</v>
      </c>
      <c r="P3955">
        <v>0</v>
      </c>
      <c r="Q3955">
        <v>0</v>
      </c>
      <c r="S3955">
        <v>29</v>
      </c>
      <c r="T3955">
        <v>1</v>
      </c>
      <c r="U3955">
        <v>1</v>
      </c>
      <c r="V3955">
        <v>170.88</v>
      </c>
      <c r="W3955">
        <v>13130003953</v>
      </c>
    </row>
    <row r="3956" spans="1:23" x14ac:dyDescent="0.2">
      <c r="A3956" s="1">
        <v>44786</v>
      </c>
      <c r="B3956" s="2">
        <v>0.76391203703703703</v>
      </c>
      <c r="C3956">
        <v>4954</v>
      </c>
      <c r="D3956">
        <v>13002561</v>
      </c>
      <c r="E3956">
        <v>13</v>
      </c>
      <c r="F3956">
        <v>22589</v>
      </c>
      <c r="G3956" t="s">
        <v>23</v>
      </c>
      <c r="H3956">
        <v>18</v>
      </c>
      <c r="I3956">
        <v>30140</v>
      </c>
      <c r="J3956" t="s">
        <v>70</v>
      </c>
      <c r="K3956" t="s">
        <v>45</v>
      </c>
      <c r="L3956" t="s">
        <v>32</v>
      </c>
      <c r="M3956">
        <v>3</v>
      </c>
      <c r="N3956">
        <v>255.08</v>
      </c>
      <c r="O3956">
        <v>399.55</v>
      </c>
      <c r="P3956">
        <v>19.98</v>
      </c>
      <c r="Q3956">
        <v>19.98</v>
      </c>
      <c r="R3956" t="s">
        <v>30</v>
      </c>
      <c r="S3956">
        <v>29</v>
      </c>
      <c r="T3956">
        <v>1</v>
      </c>
      <c r="U3956">
        <v>2</v>
      </c>
      <c r="V3956">
        <v>379.57</v>
      </c>
      <c r="W3956">
        <v>13130003954</v>
      </c>
    </row>
    <row r="3957" spans="1:23" x14ac:dyDescent="0.2">
      <c r="A3957" s="1">
        <v>44796</v>
      </c>
      <c r="B3957" s="2">
        <v>0.49814814814814817</v>
      </c>
      <c r="C3957">
        <v>4955</v>
      </c>
      <c r="D3957">
        <v>13002561</v>
      </c>
      <c r="E3957">
        <v>13</v>
      </c>
      <c r="F3957">
        <v>22589</v>
      </c>
      <c r="G3957" t="s">
        <v>23</v>
      </c>
      <c r="H3957">
        <v>15</v>
      </c>
      <c r="I3957">
        <v>84541</v>
      </c>
      <c r="J3957" t="s">
        <v>96</v>
      </c>
      <c r="K3957" t="s">
        <v>45</v>
      </c>
      <c r="L3957" t="s">
        <v>39</v>
      </c>
      <c r="M3957">
        <v>1</v>
      </c>
      <c r="N3957">
        <v>421.47</v>
      </c>
      <c r="O3957">
        <v>598.54</v>
      </c>
      <c r="P3957">
        <v>0</v>
      </c>
      <c r="Q3957">
        <v>0</v>
      </c>
      <c r="S3957">
        <v>29</v>
      </c>
      <c r="T3957">
        <v>1</v>
      </c>
      <c r="U3957">
        <v>5</v>
      </c>
      <c r="V3957">
        <v>598.54</v>
      </c>
      <c r="W3957">
        <v>13130003955</v>
      </c>
    </row>
    <row r="3958" spans="1:23" x14ac:dyDescent="0.2">
      <c r="A3958" s="1">
        <v>44804</v>
      </c>
      <c r="B3958" s="2">
        <v>0.75420138888888888</v>
      </c>
      <c r="C3958">
        <v>4956</v>
      </c>
      <c r="D3958">
        <v>13002561</v>
      </c>
      <c r="E3958">
        <v>13</v>
      </c>
      <c r="F3958">
        <v>22589</v>
      </c>
      <c r="G3958" t="s">
        <v>23</v>
      </c>
      <c r="H3958">
        <v>18</v>
      </c>
      <c r="I3958">
        <v>49062</v>
      </c>
      <c r="J3958" t="s">
        <v>62</v>
      </c>
      <c r="K3958" t="s">
        <v>60</v>
      </c>
      <c r="L3958" t="s">
        <v>39</v>
      </c>
      <c r="M3958">
        <v>3</v>
      </c>
      <c r="N3958">
        <v>549.53</v>
      </c>
      <c r="O3958">
        <v>919.02</v>
      </c>
      <c r="P3958">
        <v>45.95</v>
      </c>
      <c r="Q3958">
        <v>45.95</v>
      </c>
      <c r="R3958" t="s">
        <v>30</v>
      </c>
      <c r="S3958">
        <v>29</v>
      </c>
      <c r="T3958">
        <v>1</v>
      </c>
      <c r="U3958">
        <v>5</v>
      </c>
      <c r="V3958">
        <v>873.07</v>
      </c>
      <c r="W3958">
        <v>13130003956</v>
      </c>
    </row>
    <row r="3959" spans="1:23" x14ac:dyDescent="0.2">
      <c r="A3959" s="1">
        <v>44775</v>
      </c>
      <c r="B3959" s="2">
        <v>0.55679398148148151</v>
      </c>
      <c r="C3959">
        <v>4957</v>
      </c>
      <c r="D3959">
        <v>13002561</v>
      </c>
      <c r="E3959">
        <v>13</v>
      </c>
      <c r="F3959">
        <v>22589</v>
      </c>
      <c r="G3959" t="s">
        <v>23</v>
      </c>
      <c r="H3959">
        <v>15</v>
      </c>
      <c r="I3959">
        <v>74539</v>
      </c>
      <c r="J3959" t="s">
        <v>90</v>
      </c>
      <c r="K3959" t="s">
        <v>38</v>
      </c>
      <c r="L3959" t="s">
        <v>36</v>
      </c>
      <c r="M3959">
        <v>1</v>
      </c>
      <c r="N3959">
        <v>364.06</v>
      </c>
      <c r="O3959">
        <v>578.29999999999995</v>
      </c>
      <c r="P3959">
        <v>0</v>
      </c>
      <c r="Q3959">
        <v>0</v>
      </c>
      <c r="S3959">
        <v>29</v>
      </c>
      <c r="T3959">
        <v>1</v>
      </c>
      <c r="U3959">
        <v>3</v>
      </c>
      <c r="V3959">
        <v>578.29999999999995</v>
      </c>
      <c r="W3959">
        <v>13130003957</v>
      </c>
    </row>
    <row r="3960" spans="1:23" x14ac:dyDescent="0.2">
      <c r="A3960" s="1">
        <v>44795</v>
      </c>
      <c r="B3960" s="2">
        <v>0.58172453703703708</v>
      </c>
      <c r="C3960">
        <v>4958</v>
      </c>
      <c r="D3960">
        <v>13002561</v>
      </c>
      <c r="E3960">
        <v>13</v>
      </c>
      <c r="F3960">
        <v>22589</v>
      </c>
      <c r="G3960" t="s">
        <v>23</v>
      </c>
      <c r="H3960">
        <v>15</v>
      </c>
      <c r="I3960">
        <v>53945</v>
      </c>
      <c r="J3960" t="s">
        <v>49</v>
      </c>
      <c r="K3960" t="s">
        <v>45</v>
      </c>
      <c r="L3960" t="s">
        <v>51</v>
      </c>
      <c r="M3960">
        <v>3</v>
      </c>
      <c r="N3960">
        <v>9.27</v>
      </c>
      <c r="O3960">
        <v>11.6</v>
      </c>
      <c r="P3960">
        <v>0</v>
      </c>
      <c r="Q3960">
        <v>0</v>
      </c>
      <c r="S3960">
        <v>29</v>
      </c>
      <c r="T3960">
        <v>1</v>
      </c>
      <c r="U3960">
        <v>2</v>
      </c>
      <c r="V3960">
        <v>11.6</v>
      </c>
      <c r="W3960">
        <v>13130003958</v>
      </c>
    </row>
    <row r="3961" spans="1:23" x14ac:dyDescent="0.2">
      <c r="A3961" s="1">
        <v>44792</v>
      </c>
      <c r="B3961" s="2">
        <v>0.7674305555555555</v>
      </c>
      <c r="C3961">
        <v>4959</v>
      </c>
      <c r="D3961">
        <v>13002561</v>
      </c>
      <c r="E3961">
        <v>13</v>
      </c>
      <c r="F3961">
        <v>22589</v>
      </c>
      <c r="G3961" t="s">
        <v>23</v>
      </c>
      <c r="H3961">
        <v>18</v>
      </c>
      <c r="I3961">
        <v>11130</v>
      </c>
      <c r="J3961" t="s">
        <v>49</v>
      </c>
      <c r="K3961" t="s">
        <v>28</v>
      </c>
      <c r="L3961" t="s">
        <v>29</v>
      </c>
      <c r="M3961">
        <v>3</v>
      </c>
      <c r="N3961">
        <v>318.89999999999998</v>
      </c>
      <c r="O3961">
        <v>421.43</v>
      </c>
      <c r="P3961">
        <v>42.14</v>
      </c>
      <c r="Q3961">
        <v>42.14</v>
      </c>
      <c r="R3961" t="s">
        <v>30</v>
      </c>
      <c r="S3961">
        <v>29</v>
      </c>
      <c r="T3961">
        <v>1</v>
      </c>
      <c r="U3961">
        <v>6</v>
      </c>
      <c r="V3961">
        <v>379.29</v>
      </c>
      <c r="W3961">
        <v>13130003959</v>
      </c>
    </row>
    <row r="3962" spans="1:23" x14ac:dyDescent="0.2">
      <c r="A3962" s="1">
        <v>44785</v>
      </c>
      <c r="B3962" s="2">
        <v>0.7672106481481481</v>
      </c>
      <c r="C3962">
        <v>4960</v>
      </c>
      <c r="D3962">
        <v>13002561</v>
      </c>
      <c r="E3962">
        <v>13</v>
      </c>
      <c r="F3962">
        <v>22589</v>
      </c>
      <c r="G3962" t="s">
        <v>23</v>
      </c>
      <c r="H3962">
        <v>18</v>
      </c>
      <c r="I3962">
        <v>81141</v>
      </c>
      <c r="J3962" t="s">
        <v>83</v>
      </c>
      <c r="K3962" t="s">
        <v>28</v>
      </c>
      <c r="L3962" t="s">
        <v>47</v>
      </c>
      <c r="M3962">
        <v>3</v>
      </c>
      <c r="N3962">
        <v>555.54</v>
      </c>
      <c r="O3962">
        <v>711.52</v>
      </c>
      <c r="P3962">
        <v>0</v>
      </c>
      <c r="Q3962">
        <v>0</v>
      </c>
      <c r="S3962">
        <v>29</v>
      </c>
      <c r="T3962">
        <v>1</v>
      </c>
      <c r="U3962">
        <v>6</v>
      </c>
      <c r="V3962">
        <v>711.52</v>
      </c>
      <c r="W3962">
        <v>13130003960</v>
      </c>
    </row>
    <row r="3963" spans="1:23" x14ac:dyDescent="0.2">
      <c r="A3963" s="1">
        <v>44779</v>
      </c>
      <c r="B3963" s="2">
        <v>0.7207175925925926</v>
      </c>
      <c r="C3963">
        <v>4961</v>
      </c>
      <c r="D3963">
        <v>13002561</v>
      </c>
      <c r="E3963">
        <v>13</v>
      </c>
      <c r="F3963">
        <v>22589</v>
      </c>
      <c r="G3963" t="s">
        <v>23</v>
      </c>
      <c r="H3963">
        <v>15</v>
      </c>
      <c r="I3963">
        <v>92272</v>
      </c>
      <c r="J3963" t="s">
        <v>92</v>
      </c>
      <c r="K3963" t="s">
        <v>45</v>
      </c>
      <c r="L3963" t="s">
        <v>47</v>
      </c>
      <c r="M3963">
        <v>2</v>
      </c>
      <c r="N3963">
        <v>347.74</v>
      </c>
      <c r="O3963">
        <v>531.66999999999996</v>
      </c>
      <c r="P3963">
        <v>53.17</v>
      </c>
      <c r="Q3963">
        <v>53.17</v>
      </c>
      <c r="R3963" t="s">
        <v>30</v>
      </c>
      <c r="S3963">
        <v>29</v>
      </c>
      <c r="T3963">
        <v>1</v>
      </c>
      <c r="U3963">
        <v>1</v>
      </c>
      <c r="V3963">
        <v>478.5</v>
      </c>
      <c r="W3963">
        <v>13130003961</v>
      </c>
    </row>
    <row r="3964" spans="1:23" x14ac:dyDescent="0.2">
      <c r="A3964" s="1">
        <v>44787</v>
      </c>
      <c r="B3964" s="2">
        <v>0.40046296296296302</v>
      </c>
      <c r="C3964">
        <v>4962</v>
      </c>
      <c r="D3964">
        <v>13002561</v>
      </c>
      <c r="E3964">
        <v>13</v>
      </c>
      <c r="F3964">
        <v>22589</v>
      </c>
      <c r="G3964" t="s">
        <v>23</v>
      </c>
      <c r="H3964">
        <v>18</v>
      </c>
      <c r="I3964">
        <v>44390</v>
      </c>
      <c r="J3964" t="s">
        <v>108</v>
      </c>
      <c r="K3964" t="s">
        <v>28</v>
      </c>
      <c r="L3964" t="s">
        <v>34</v>
      </c>
      <c r="M3964">
        <v>2</v>
      </c>
      <c r="N3964">
        <v>413.13</v>
      </c>
      <c r="O3964">
        <v>521.37</v>
      </c>
      <c r="P3964">
        <v>26.07</v>
      </c>
      <c r="Q3964">
        <v>26.07</v>
      </c>
      <c r="R3964" t="s">
        <v>30</v>
      </c>
      <c r="S3964">
        <v>29</v>
      </c>
      <c r="T3964">
        <v>1</v>
      </c>
      <c r="U3964">
        <v>5</v>
      </c>
      <c r="V3964">
        <v>495.3</v>
      </c>
      <c r="W3964">
        <v>13130003962</v>
      </c>
    </row>
    <row r="3965" spans="1:23" x14ac:dyDescent="0.2">
      <c r="A3965" s="1">
        <v>44774</v>
      </c>
      <c r="B3965" s="2">
        <v>0.74275462962962968</v>
      </c>
      <c r="C3965">
        <v>4963</v>
      </c>
      <c r="D3965">
        <v>13002561</v>
      </c>
      <c r="E3965">
        <v>13</v>
      </c>
      <c r="F3965">
        <v>22589</v>
      </c>
      <c r="G3965" t="s">
        <v>23</v>
      </c>
      <c r="H3965">
        <v>15</v>
      </c>
      <c r="I3965">
        <v>31935</v>
      </c>
      <c r="J3965" t="s">
        <v>61</v>
      </c>
      <c r="K3965" t="s">
        <v>38</v>
      </c>
      <c r="L3965" t="s">
        <v>51</v>
      </c>
      <c r="M3965">
        <v>2</v>
      </c>
      <c r="N3965">
        <v>241.87</v>
      </c>
      <c r="O3965">
        <v>319.07</v>
      </c>
      <c r="P3965">
        <v>31.91</v>
      </c>
      <c r="Q3965">
        <v>31.91</v>
      </c>
      <c r="R3965" t="s">
        <v>30</v>
      </c>
      <c r="S3965">
        <v>29</v>
      </c>
      <c r="T3965">
        <v>1</v>
      </c>
      <c r="U3965">
        <v>4</v>
      </c>
      <c r="V3965">
        <v>287.16000000000003</v>
      </c>
      <c r="W3965">
        <v>13130003963</v>
      </c>
    </row>
    <row r="3966" spans="1:23" x14ac:dyDescent="0.2">
      <c r="A3966" s="1">
        <v>44794</v>
      </c>
      <c r="B3966" s="2">
        <v>0.37034722222222222</v>
      </c>
      <c r="C3966">
        <v>4964</v>
      </c>
      <c r="D3966">
        <v>13002561</v>
      </c>
      <c r="E3966">
        <v>13</v>
      </c>
      <c r="F3966">
        <v>22589</v>
      </c>
      <c r="G3966" t="s">
        <v>23</v>
      </c>
      <c r="H3966">
        <v>15</v>
      </c>
      <c r="I3966">
        <v>87407</v>
      </c>
      <c r="J3966" t="s">
        <v>86</v>
      </c>
      <c r="K3966" t="s">
        <v>38</v>
      </c>
      <c r="L3966" t="s">
        <v>29</v>
      </c>
      <c r="M3966">
        <v>1</v>
      </c>
      <c r="N3966">
        <v>458.91</v>
      </c>
      <c r="O3966">
        <v>778.56</v>
      </c>
      <c r="P3966">
        <v>38.93</v>
      </c>
      <c r="Q3966">
        <v>38.93</v>
      </c>
      <c r="R3966" t="s">
        <v>30</v>
      </c>
      <c r="S3966">
        <v>29</v>
      </c>
      <c r="T3966">
        <v>1</v>
      </c>
      <c r="U3966">
        <v>6</v>
      </c>
      <c r="V3966">
        <v>739.63</v>
      </c>
      <c r="W3966">
        <v>13130003964</v>
      </c>
    </row>
    <row r="3967" spans="1:23" x14ac:dyDescent="0.2">
      <c r="A3967" s="1">
        <v>44798</v>
      </c>
      <c r="B3967" s="2">
        <v>0.36359953703703701</v>
      </c>
      <c r="C3967">
        <v>4965</v>
      </c>
      <c r="D3967">
        <v>13002561</v>
      </c>
      <c r="E3967">
        <v>13</v>
      </c>
      <c r="F3967">
        <v>22589</v>
      </c>
      <c r="G3967" t="s">
        <v>23</v>
      </c>
      <c r="H3967">
        <v>15</v>
      </c>
      <c r="I3967">
        <v>58036</v>
      </c>
      <c r="J3967" t="s">
        <v>40</v>
      </c>
      <c r="K3967" t="s">
        <v>38</v>
      </c>
      <c r="L3967" t="s">
        <v>32</v>
      </c>
      <c r="M3967">
        <v>1</v>
      </c>
      <c r="N3967">
        <v>447.9</v>
      </c>
      <c r="O3967">
        <v>631.54</v>
      </c>
      <c r="P3967">
        <v>63.15</v>
      </c>
      <c r="Q3967">
        <v>63.15</v>
      </c>
      <c r="R3967" t="s">
        <v>30</v>
      </c>
      <c r="S3967">
        <v>29</v>
      </c>
      <c r="T3967">
        <v>1</v>
      </c>
      <c r="U3967">
        <v>4</v>
      </c>
      <c r="V3967">
        <v>568.39</v>
      </c>
      <c r="W3967">
        <v>13130003965</v>
      </c>
    </row>
    <row r="3968" spans="1:23" x14ac:dyDescent="0.2">
      <c r="A3968" s="1">
        <v>44777</v>
      </c>
      <c r="B3968" s="2">
        <v>0.55798611111111107</v>
      </c>
      <c r="C3968">
        <v>4966</v>
      </c>
      <c r="D3968">
        <v>13002561</v>
      </c>
      <c r="E3968">
        <v>13</v>
      </c>
      <c r="F3968">
        <v>22589</v>
      </c>
      <c r="G3968" t="s">
        <v>23</v>
      </c>
      <c r="H3968">
        <v>15</v>
      </c>
      <c r="I3968">
        <v>90196</v>
      </c>
      <c r="J3968" t="s">
        <v>65</v>
      </c>
      <c r="K3968" t="s">
        <v>25</v>
      </c>
      <c r="L3968" t="s">
        <v>51</v>
      </c>
      <c r="M3968">
        <v>3</v>
      </c>
      <c r="N3968">
        <v>406.31</v>
      </c>
      <c r="O3968">
        <v>674.68</v>
      </c>
      <c r="P3968">
        <v>33.729999999999997</v>
      </c>
      <c r="Q3968">
        <v>33.729999999999997</v>
      </c>
      <c r="R3968" t="s">
        <v>30</v>
      </c>
      <c r="S3968">
        <v>29</v>
      </c>
      <c r="T3968">
        <v>1</v>
      </c>
      <c r="U3968">
        <v>4</v>
      </c>
      <c r="V3968">
        <v>640.95000000000005</v>
      </c>
      <c r="W3968">
        <v>13130003966</v>
      </c>
    </row>
    <row r="3969" spans="1:23" x14ac:dyDescent="0.2">
      <c r="A3969" s="1">
        <v>44779</v>
      </c>
      <c r="B3969" s="2">
        <v>0.47238425925925931</v>
      </c>
      <c r="C3969">
        <v>4967</v>
      </c>
      <c r="D3969">
        <v>13002561</v>
      </c>
      <c r="E3969">
        <v>13</v>
      </c>
      <c r="F3969">
        <v>22589</v>
      </c>
      <c r="G3969" t="s">
        <v>23</v>
      </c>
      <c r="H3969">
        <v>18</v>
      </c>
      <c r="I3969">
        <v>80625</v>
      </c>
      <c r="J3969" t="s">
        <v>86</v>
      </c>
      <c r="K3969" t="s">
        <v>45</v>
      </c>
      <c r="L3969" t="s">
        <v>47</v>
      </c>
      <c r="M3969">
        <v>2</v>
      </c>
      <c r="N3969">
        <v>487.4</v>
      </c>
      <c r="O3969">
        <v>728.67</v>
      </c>
      <c r="P3969">
        <v>0</v>
      </c>
      <c r="Q3969">
        <v>0</v>
      </c>
      <c r="S3969">
        <v>29</v>
      </c>
      <c r="T3969">
        <v>1</v>
      </c>
      <c r="U3969">
        <v>6</v>
      </c>
      <c r="V3969">
        <v>728.67</v>
      </c>
      <c r="W3969">
        <v>13130003967</v>
      </c>
    </row>
    <row r="3970" spans="1:23" x14ac:dyDescent="0.2">
      <c r="A3970" s="1">
        <v>44779</v>
      </c>
      <c r="B3970" s="2">
        <v>0.6704282407407407</v>
      </c>
      <c r="C3970">
        <v>4968</v>
      </c>
      <c r="D3970">
        <v>13002561</v>
      </c>
      <c r="E3970">
        <v>13</v>
      </c>
      <c r="F3970">
        <v>22589</v>
      </c>
      <c r="G3970" t="s">
        <v>23</v>
      </c>
      <c r="H3970">
        <v>18</v>
      </c>
      <c r="I3970">
        <v>15874</v>
      </c>
      <c r="J3970" t="s">
        <v>53</v>
      </c>
      <c r="K3970" t="s">
        <v>25</v>
      </c>
      <c r="L3970" t="s">
        <v>34</v>
      </c>
      <c r="M3970">
        <v>1</v>
      </c>
      <c r="N3970">
        <v>513.6</v>
      </c>
      <c r="O3970">
        <v>675.1</v>
      </c>
      <c r="P3970">
        <v>33.76</v>
      </c>
      <c r="Q3970">
        <v>33.76</v>
      </c>
      <c r="R3970" t="s">
        <v>30</v>
      </c>
      <c r="S3970">
        <v>29</v>
      </c>
      <c r="T3970">
        <v>1</v>
      </c>
      <c r="U3970">
        <v>3</v>
      </c>
      <c r="V3970">
        <v>641.34</v>
      </c>
      <c r="W3970">
        <v>13130003968</v>
      </c>
    </row>
    <row r="3971" spans="1:23" x14ac:dyDescent="0.2">
      <c r="A3971" s="1">
        <v>44789</v>
      </c>
      <c r="B3971" s="2">
        <v>0.83728009259259262</v>
      </c>
      <c r="C3971">
        <v>4969</v>
      </c>
      <c r="D3971">
        <v>13002561</v>
      </c>
      <c r="E3971">
        <v>13</v>
      </c>
      <c r="F3971">
        <v>22589</v>
      </c>
      <c r="G3971" t="s">
        <v>23</v>
      </c>
      <c r="H3971">
        <v>18</v>
      </c>
      <c r="I3971">
        <v>57198</v>
      </c>
      <c r="J3971" t="s">
        <v>58</v>
      </c>
      <c r="K3971" t="s">
        <v>44</v>
      </c>
      <c r="L3971" t="s">
        <v>47</v>
      </c>
      <c r="M3971">
        <v>1</v>
      </c>
      <c r="N3971">
        <v>324.75</v>
      </c>
      <c r="O3971">
        <v>415.1</v>
      </c>
      <c r="P3971">
        <v>41.51</v>
      </c>
      <c r="Q3971">
        <v>41.51</v>
      </c>
      <c r="R3971" t="s">
        <v>30</v>
      </c>
      <c r="S3971">
        <v>29</v>
      </c>
      <c r="T3971">
        <v>1</v>
      </c>
      <c r="U3971">
        <v>3</v>
      </c>
      <c r="V3971">
        <v>373.59</v>
      </c>
      <c r="W3971">
        <v>13130003969</v>
      </c>
    </row>
    <row r="3972" spans="1:23" x14ac:dyDescent="0.2">
      <c r="A3972" s="1">
        <v>44792</v>
      </c>
      <c r="B3972" s="2">
        <v>0.90812499999999996</v>
      </c>
      <c r="C3972">
        <v>4970</v>
      </c>
      <c r="D3972">
        <v>13002561</v>
      </c>
      <c r="E3972">
        <v>13</v>
      </c>
      <c r="F3972">
        <v>22589</v>
      </c>
      <c r="G3972" t="s">
        <v>23</v>
      </c>
      <c r="H3972">
        <v>18</v>
      </c>
      <c r="I3972">
        <v>59931</v>
      </c>
      <c r="J3972" t="s">
        <v>57</v>
      </c>
      <c r="K3972" t="s">
        <v>44</v>
      </c>
      <c r="L3972" t="s">
        <v>47</v>
      </c>
      <c r="M3972">
        <v>3</v>
      </c>
      <c r="N3972">
        <v>55.18</v>
      </c>
      <c r="O3972">
        <v>76.25</v>
      </c>
      <c r="P3972">
        <v>7.62</v>
      </c>
      <c r="Q3972">
        <v>7.62</v>
      </c>
      <c r="R3972" t="s">
        <v>30</v>
      </c>
      <c r="S3972">
        <v>29</v>
      </c>
      <c r="T3972">
        <v>1</v>
      </c>
      <c r="U3972">
        <v>5</v>
      </c>
      <c r="V3972">
        <v>68.63</v>
      </c>
      <c r="W3972">
        <v>13130003970</v>
      </c>
    </row>
    <row r="3973" spans="1:23" x14ac:dyDescent="0.2">
      <c r="A3973" s="1">
        <v>44778</v>
      </c>
      <c r="B3973" s="2">
        <v>0.63714120370370375</v>
      </c>
      <c r="C3973">
        <v>4971</v>
      </c>
      <c r="D3973">
        <v>13002561</v>
      </c>
      <c r="E3973">
        <v>13</v>
      </c>
      <c r="F3973">
        <v>22589</v>
      </c>
      <c r="G3973" t="s">
        <v>23</v>
      </c>
      <c r="H3973">
        <v>18</v>
      </c>
      <c r="I3973">
        <v>47413</v>
      </c>
      <c r="J3973" t="s">
        <v>77</v>
      </c>
      <c r="K3973" t="s">
        <v>44</v>
      </c>
      <c r="L3973" t="s">
        <v>26</v>
      </c>
      <c r="M3973">
        <v>3</v>
      </c>
      <c r="N3973">
        <v>49.06</v>
      </c>
      <c r="O3973">
        <v>69.08</v>
      </c>
      <c r="P3973">
        <v>3.45</v>
      </c>
      <c r="Q3973">
        <v>3.45</v>
      </c>
      <c r="R3973" t="s">
        <v>30</v>
      </c>
      <c r="S3973">
        <v>29</v>
      </c>
      <c r="T3973">
        <v>1</v>
      </c>
      <c r="U3973">
        <v>1</v>
      </c>
      <c r="V3973">
        <v>65.63</v>
      </c>
      <c r="W3973">
        <v>13130003971</v>
      </c>
    </row>
    <row r="3974" spans="1:23" x14ac:dyDescent="0.2">
      <c r="A3974" s="1">
        <v>44795</v>
      </c>
      <c r="B3974" s="2">
        <v>0.70803240740740736</v>
      </c>
      <c r="C3974">
        <v>4972</v>
      </c>
      <c r="D3974">
        <v>13002561</v>
      </c>
      <c r="E3974">
        <v>13</v>
      </c>
      <c r="F3974">
        <v>22589</v>
      </c>
      <c r="G3974" t="s">
        <v>23</v>
      </c>
      <c r="H3974">
        <v>15</v>
      </c>
      <c r="I3974">
        <v>46416</v>
      </c>
      <c r="J3974" t="s">
        <v>68</v>
      </c>
      <c r="K3974" t="s">
        <v>60</v>
      </c>
      <c r="L3974" t="s">
        <v>47</v>
      </c>
      <c r="M3974">
        <v>2</v>
      </c>
      <c r="N3974">
        <v>399.26</v>
      </c>
      <c r="O3974">
        <v>536.79</v>
      </c>
      <c r="P3974">
        <v>0</v>
      </c>
      <c r="Q3974">
        <v>0</v>
      </c>
      <c r="S3974">
        <v>29</v>
      </c>
      <c r="T3974">
        <v>1</v>
      </c>
      <c r="U3974">
        <v>4</v>
      </c>
      <c r="V3974">
        <v>536.79</v>
      </c>
      <c r="W3974">
        <v>13130003972</v>
      </c>
    </row>
    <row r="3975" spans="1:23" x14ac:dyDescent="0.2">
      <c r="A3975" s="1">
        <v>44783</v>
      </c>
      <c r="B3975" s="2">
        <v>0.37525462962962958</v>
      </c>
      <c r="C3975">
        <v>4973</v>
      </c>
      <c r="D3975">
        <v>13002561</v>
      </c>
      <c r="E3975">
        <v>13</v>
      </c>
      <c r="F3975">
        <v>22589</v>
      </c>
      <c r="G3975" t="s">
        <v>23</v>
      </c>
      <c r="H3975">
        <v>15</v>
      </c>
      <c r="I3975">
        <v>79811</v>
      </c>
      <c r="J3975" t="s">
        <v>31</v>
      </c>
      <c r="K3975" t="s">
        <v>60</v>
      </c>
      <c r="L3975" t="s">
        <v>51</v>
      </c>
      <c r="M3975">
        <v>1</v>
      </c>
      <c r="N3975">
        <v>492.6</v>
      </c>
      <c r="O3975">
        <v>799.54</v>
      </c>
      <c r="P3975">
        <v>39.979999999999997</v>
      </c>
      <c r="Q3975">
        <v>39.979999999999997</v>
      </c>
      <c r="R3975" t="s">
        <v>30</v>
      </c>
      <c r="S3975">
        <v>29</v>
      </c>
      <c r="T3975">
        <v>1</v>
      </c>
      <c r="U3975">
        <v>6</v>
      </c>
      <c r="V3975">
        <v>759.56</v>
      </c>
      <c r="W3975">
        <v>13130003973</v>
      </c>
    </row>
    <row r="3976" spans="1:23" x14ac:dyDescent="0.2">
      <c r="A3976" s="1">
        <v>44778</v>
      </c>
      <c r="B3976" s="2">
        <v>0.91479166666666667</v>
      </c>
      <c r="C3976">
        <v>4974</v>
      </c>
      <c r="D3976">
        <v>13002561</v>
      </c>
      <c r="E3976">
        <v>13</v>
      </c>
      <c r="F3976">
        <v>22589</v>
      </c>
      <c r="G3976" t="s">
        <v>23</v>
      </c>
      <c r="H3976">
        <v>18</v>
      </c>
      <c r="I3976">
        <v>43205</v>
      </c>
      <c r="J3976" t="s">
        <v>84</v>
      </c>
      <c r="K3976" t="s">
        <v>28</v>
      </c>
      <c r="L3976" t="s">
        <v>32</v>
      </c>
      <c r="M3976">
        <v>1</v>
      </c>
      <c r="N3976">
        <v>590.45000000000005</v>
      </c>
      <c r="O3976">
        <v>895.05</v>
      </c>
      <c r="P3976">
        <v>44.75</v>
      </c>
      <c r="Q3976">
        <v>44.75</v>
      </c>
      <c r="R3976" t="s">
        <v>30</v>
      </c>
      <c r="S3976">
        <v>29</v>
      </c>
      <c r="T3976">
        <v>1</v>
      </c>
      <c r="U3976">
        <v>4</v>
      </c>
      <c r="V3976">
        <v>850.3</v>
      </c>
      <c r="W3976">
        <v>13130003974</v>
      </c>
    </row>
    <row r="3977" spans="1:23" x14ac:dyDescent="0.2">
      <c r="A3977" s="1">
        <v>44803</v>
      </c>
      <c r="B3977" s="2">
        <v>0.93877314814814816</v>
      </c>
      <c r="C3977">
        <v>4975</v>
      </c>
      <c r="D3977">
        <v>13002561</v>
      </c>
      <c r="E3977">
        <v>13</v>
      </c>
      <c r="F3977">
        <v>22589</v>
      </c>
      <c r="G3977" t="s">
        <v>23</v>
      </c>
      <c r="H3977">
        <v>15</v>
      </c>
      <c r="I3977">
        <v>25888</v>
      </c>
      <c r="J3977" t="s">
        <v>111</v>
      </c>
      <c r="K3977" t="s">
        <v>38</v>
      </c>
      <c r="L3977" t="s">
        <v>36</v>
      </c>
      <c r="M3977">
        <v>2</v>
      </c>
      <c r="N3977">
        <v>19.399999999999999</v>
      </c>
      <c r="O3977">
        <v>25.89</v>
      </c>
      <c r="P3977">
        <v>2.59</v>
      </c>
      <c r="Q3977">
        <v>2.59</v>
      </c>
      <c r="R3977" t="s">
        <v>30</v>
      </c>
      <c r="S3977">
        <v>29</v>
      </c>
      <c r="T3977">
        <v>1</v>
      </c>
      <c r="U3977">
        <v>4</v>
      </c>
      <c r="V3977">
        <v>23.3</v>
      </c>
      <c r="W3977">
        <v>13130003975</v>
      </c>
    </row>
    <row r="3978" spans="1:23" x14ac:dyDescent="0.2">
      <c r="A3978" s="1">
        <v>44776</v>
      </c>
      <c r="B3978" s="2">
        <v>0.57475694444444447</v>
      </c>
      <c r="C3978">
        <v>4976</v>
      </c>
      <c r="D3978">
        <v>13002561</v>
      </c>
      <c r="E3978">
        <v>13</v>
      </c>
      <c r="F3978">
        <v>22589</v>
      </c>
      <c r="G3978" t="s">
        <v>23</v>
      </c>
      <c r="H3978">
        <v>18</v>
      </c>
      <c r="I3978">
        <v>14852</v>
      </c>
      <c r="J3978" t="s">
        <v>82</v>
      </c>
      <c r="K3978" t="s">
        <v>45</v>
      </c>
      <c r="L3978" t="s">
        <v>39</v>
      </c>
      <c r="M3978">
        <v>3</v>
      </c>
      <c r="N3978">
        <v>527.73</v>
      </c>
      <c r="O3978">
        <v>740.06</v>
      </c>
      <c r="P3978">
        <v>0</v>
      </c>
      <c r="Q3978">
        <v>0</v>
      </c>
      <c r="S3978">
        <v>29</v>
      </c>
      <c r="T3978">
        <v>1</v>
      </c>
      <c r="U3978">
        <v>1</v>
      </c>
      <c r="V3978">
        <v>740.06</v>
      </c>
      <c r="W3978">
        <v>13130003976</v>
      </c>
    </row>
    <row r="3979" spans="1:23" x14ac:dyDescent="0.2">
      <c r="A3979" s="1">
        <v>44779</v>
      </c>
      <c r="B3979" s="2">
        <v>0.36667824074074068</v>
      </c>
      <c r="C3979">
        <v>4977</v>
      </c>
      <c r="D3979">
        <v>13002561</v>
      </c>
      <c r="E3979">
        <v>13</v>
      </c>
      <c r="F3979">
        <v>22589</v>
      </c>
      <c r="G3979" t="s">
        <v>23</v>
      </c>
      <c r="H3979">
        <v>18</v>
      </c>
      <c r="I3979">
        <v>76410</v>
      </c>
      <c r="J3979" t="s">
        <v>114</v>
      </c>
      <c r="K3979" t="s">
        <v>38</v>
      </c>
      <c r="L3979" t="s">
        <v>36</v>
      </c>
      <c r="M3979">
        <v>1</v>
      </c>
      <c r="N3979">
        <v>132.83000000000001</v>
      </c>
      <c r="O3979">
        <v>222.52</v>
      </c>
      <c r="P3979">
        <v>22.25</v>
      </c>
      <c r="Q3979">
        <v>22.25</v>
      </c>
      <c r="R3979" t="s">
        <v>30</v>
      </c>
      <c r="S3979">
        <v>29</v>
      </c>
      <c r="T3979">
        <v>1</v>
      </c>
      <c r="U3979">
        <v>5</v>
      </c>
      <c r="V3979">
        <v>200.27</v>
      </c>
      <c r="W3979">
        <v>13130003977</v>
      </c>
    </row>
    <row r="3980" spans="1:23" x14ac:dyDescent="0.2">
      <c r="A3980" s="1">
        <v>44774</v>
      </c>
      <c r="B3980" s="2">
        <v>0.4090509259259259</v>
      </c>
      <c r="C3980">
        <v>4978</v>
      </c>
      <c r="D3980">
        <v>13002561</v>
      </c>
      <c r="E3980">
        <v>13</v>
      </c>
      <c r="F3980">
        <v>22589</v>
      </c>
      <c r="G3980" t="s">
        <v>23</v>
      </c>
      <c r="H3980">
        <v>15</v>
      </c>
      <c r="I3980">
        <v>57845</v>
      </c>
      <c r="J3980" t="s">
        <v>91</v>
      </c>
      <c r="K3980" t="s">
        <v>44</v>
      </c>
      <c r="L3980" t="s">
        <v>34</v>
      </c>
      <c r="M3980">
        <v>3</v>
      </c>
      <c r="N3980">
        <v>346.65</v>
      </c>
      <c r="O3980">
        <v>455.97</v>
      </c>
      <c r="P3980">
        <v>0</v>
      </c>
      <c r="Q3980">
        <v>0</v>
      </c>
      <c r="S3980">
        <v>29</v>
      </c>
      <c r="T3980">
        <v>1</v>
      </c>
      <c r="U3980">
        <v>6</v>
      </c>
      <c r="V3980">
        <v>455.97</v>
      </c>
      <c r="W3980">
        <v>13130003978</v>
      </c>
    </row>
    <row r="3981" spans="1:23" x14ac:dyDescent="0.2">
      <c r="A3981" s="1">
        <v>44790</v>
      </c>
      <c r="B3981" s="2">
        <v>0.93453703703703705</v>
      </c>
      <c r="C3981">
        <v>4979</v>
      </c>
      <c r="D3981">
        <v>13002561</v>
      </c>
      <c r="E3981">
        <v>13</v>
      </c>
      <c r="F3981">
        <v>22589</v>
      </c>
      <c r="G3981" t="s">
        <v>23</v>
      </c>
      <c r="H3981">
        <v>15</v>
      </c>
      <c r="I3981">
        <v>15006</v>
      </c>
      <c r="J3981" t="s">
        <v>113</v>
      </c>
      <c r="K3981" t="s">
        <v>38</v>
      </c>
      <c r="L3981" t="s">
        <v>34</v>
      </c>
      <c r="M3981">
        <v>3</v>
      </c>
      <c r="N3981">
        <v>94</v>
      </c>
      <c r="O3981">
        <v>136.82</v>
      </c>
      <c r="P3981">
        <v>6.84</v>
      </c>
      <c r="Q3981">
        <v>6.84</v>
      </c>
      <c r="R3981" t="s">
        <v>30</v>
      </c>
      <c r="S3981">
        <v>29</v>
      </c>
      <c r="T3981">
        <v>1</v>
      </c>
      <c r="U3981">
        <v>3</v>
      </c>
      <c r="V3981">
        <v>129.97999999999999</v>
      </c>
      <c r="W3981">
        <v>13130003979</v>
      </c>
    </row>
    <row r="3982" spans="1:23" x14ac:dyDescent="0.2">
      <c r="A3982" s="1">
        <v>44802</v>
      </c>
      <c r="B3982" s="2">
        <v>0.61459490740740741</v>
      </c>
      <c r="C3982">
        <v>4980</v>
      </c>
      <c r="D3982">
        <v>13002561</v>
      </c>
      <c r="E3982">
        <v>13</v>
      </c>
      <c r="F3982">
        <v>22589</v>
      </c>
      <c r="G3982" t="s">
        <v>23</v>
      </c>
      <c r="H3982">
        <v>15</v>
      </c>
      <c r="I3982">
        <v>80405</v>
      </c>
      <c r="J3982" t="s">
        <v>90</v>
      </c>
      <c r="K3982" t="s">
        <v>25</v>
      </c>
      <c r="L3982" t="s">
        <v>34</v>
      </c>
      <c r="M3982">
        <v>3</v>
      </c>
      <c r="N3982">
        <v>97.7</v>
      </c>
      <c r="O3982">
        <v>151.72</v>
      </c>
      <c r="P3982">
        <v>0</v>
      </c>
      <c r="Q3982">
        <v>0</v>
      </c>
      <c r="S3982">
        <v>29</v>
      </c>
      <c r="T3982">
        <v>1</v>
      </c>
      <c r="U3982">
        <v>6</v>
      </c>
      <c r="V3982">
        <v>151.72</v>
      </c>
      <c r="W3982">
        <v>13130003980</v>
      </c>
    </row>
    <row r="3983" spans="1:23" x14ac:dyDescent="0.2">
      <c r="A3983" s="1">
        <v>44797</v>
      </c>
      <c r="B3983" s="2">
        <v>0.89203703703703707</v>
      </c>
      <c r="C3983">
        <v>4981</v>
      </c>
      <c r="D3983">
        <v>13002561</v>
      </c>
      <c r="E3983">
        <v>13</v>
      </c>
      <c r="F3983">
        <v>22589</v>
      </c>
      <c r="G3983" t="s">
        <v>23</v>
      </c>
      <c r="H3983">
        <v>18</v>
      </c>
      <c r="I3983">
        <v>90877</v>
      </c>
      <c r="J3983" t="s">
        <v>121</v>
      </c>
      <c r="K3983" t="s">
        <v>44</v>
      </c>
      <c r="L3983" t="s">
        <v>32</v>
      </c>
      <c r="M3983">
        <v>2</v>
      </c>
      <c r="N3983">
        <v>486.59</v>
      </c>
      <c r="O3983">
        <v>694.21</v>
      </c>
      <c r="P3983">
        <v>69.42</v>
      </c>
      <c r="Q3983">
        <v>69.42</v>
      </c>
      <c r="R3983" t="s">
        <v>30</v>
      </c>
      <c r="S3983">
        <v>29</v>
      </c>
      <c r="T3983">
        <v>1</v>
      </c>
      <c r="U3983">
        <v>3</v>
      </c>
      <c r="V3983">
        <v>624.79</v>
      </c>
      <c r="W3983">
        <v>13130003981</v>
      </c>
    </row>
    <row r="3984" spans="1:23" x14ac:dyDescent="0.2">
      <c r="A3984" s="1">
        <v>44804</v>
      </c>
      <c r="B3984" s="2">
        <v>0.89006944444444447</v>
      </c>
      <c r="C3984">
        <v>4982</v>
      </c>
      <c r="D3984">
        <v>13002561</v>
      </c>
      <c r="E3984">
        <v>13</v>
      </c>
      <c r="F3984">
        <v>22589</v>
      </c>
      <c r="G3984" t="s">
        <v>23</v>
      </c>
      <c r="H3984">
        <v>18</v>
      </c>
      <c r="I3984">
        <v>85621</v>
      </c>
      <c r="J3984" t="s">
        <v>93</v>
      </c>
      <c r="K3984" t="s">
        <v>44</v>
      </c>
      <c r="L3984" t="s">
        <v>29</v>
      </c>
      <c r="M3984">
        <v>1</v>
      </c>
      <c r="N3984">
        <v>494.9</v>
      </c>
      <c r="O3984">
        <v>625.42999999999995</v>
      </c>
      <c r="P3984">
        <v>0</v>
      </c>
      <c r="Q3984">
        <v>0</v>
      </c>
      <c r="S3984">
        <v>29</v>
      </c>
      <c r="T3984">
        <v>1</v>
      </c>
      <c r="U3984">
        <v>3</v>
      </c>
      <c r="V3984">
        <v>625.42999999999995</v>
      </c>
      <c r="W3984">
        <v>13130003982</v>
      </c>
    </row>
    <row r="3985" spans="1:23" x14ac:dyDescent="0.2">
      <c r="A3985" s="1">
        <v>44777</v>
      </c>
      <c r="B3985" s="2">
        <v>0.4800462962962963</v>
      </c>
      <c r="C3985">
        <v>4983</v>
      </c>
      <c r="D3985">
        <v>13002561</v>
      </c>
      <c r="E3985">
        <v>13</v>
      </c>
      <c r="F3985">
        <v>22589</v>
      </c>
      <c r="G3985" t="s">
        <v>23</v>
      </c>
      <c r="H3985">
        <v>15</v>
      </c>
      <c r="I3985">
        <v>47755</v>
      </c>
      <c r="J3985" t="s">
        <v>85</v>
      </c>
      <c r="K3985" t="s">
        <v>60</v>
      </c>
      <c r="L3985" t="s">
        <v>39</v>
      </c>
      <c r="M3985">
        <v>1</v>
      </c>
      <c r="N3985">
        <v>207.1</v>
      </c>
      <c r="O3985">
        <v>295.98</v>
      </c>
      <c r="P3985">
        <v>14.8</v>
      </c>
      <c r="Q3985">
        <v>14.8</v>
      </c>
      <c r="R3985" t="s">
        <v>30</v>
      </c>
      <c r="S3985">
        <v>29</v>
      </c>
      <c r="T3985">
        <v>1</v>
      </c>
      <c r="U3985">
        <v>3</v>
      </c>
      <c r="V3985">
        <v>281.18</v>
      </c>
      <c r="W3985">
        <v>13130003983</v>
      </c>
    </row>
    <row r="3986" spans="1:23" x14ac:dyDescent="0.2">
      <c r="A3986" s="1">
        <v>44804</v>
      </c>
      <c r="B3986" s="2">
        <v>0.47766203703703702</v>
      </c>
      <c r="C3986">
        <v>4984</v>
      </c>
      <c r="D3986">
        <v>13002561</v>
      </c>
      <c r="E3986">
        <v>13</v>
      </c>
      <c r="F3986">
        <v>22589</v>
      </c>
      <c r="G3986" t="s">
        <v>23</v>
      </c>
      <c r="H3986">
        <v>15</v>
      </c>
      <c r="I3986">
        <v>17104</v>
      </c>
      <c r="J3986" t="s">
        <v>63</v>
      </c>
      <c r="K3986" t="s">
        <v>38</v>
      </c>
      <c r="L3986" t="s">
        <v>32</v>
      </c>
      <c r="M3986">
        <v>1</v>
      </c>
      <c r="N3986">
        <v>211.23</v>
      </c>
      <c r="O3986">
        <v>326.62</v>
      </c>
      <c r="P3986">
        <v>0</v>
      </c>
      <c r="Q3986">
        <v>0</v>
      </c>
      <c r="S3986">
        <v>29</v>
      </c>
      <c r="T3986">
        <v>1</v>
      </c>
      <c r="U3986">
        <v>1</v>
      </c>
      <c r="V3986">
        <v>326.62</v>
      </c>
      <c r="W3986">
        <v>13130003984</v>
      </c>
    </row>
    <row r="3987" spans="1:23" x14ac:dyDescent="0.2">
      <c r="A3987" s="1">
        <v>44803</v>
      </c>
      <c r="B3987" s="2">
        <v>0.55296296296296299</v>
      </c>
      <c r="C3987">
        <v>4985</v>
      </c>
      <c r="D3987">
        <v>13002561</v>
      </c>
      <c r="E3987">
        <v>13</v>
      </c>
      <c r="F3987">
        <v>22589</v>
      </c>
      <c r="G3987" t="s">
        <v>23</v>
      </c>
      <c r="H3987">
        <v>18</v>
      </c>
      <c r="I3987">
        <v>81884</v>
      </c>
      <c r="J3987" t="s">
        <v>41</v>
      </c>
      <c r="K3987" t="s">
        <v>44</v>
      </c>
      <c r="L3987" t="s">
        <v>39</v>
      </c>
      <c r="M3987">
        <v>1</v>
      </c>
      <c r="N3987">
        <v>314.79000000000002</v>
      </c>
      <c r="O3987">
        <v>526.86</v>
      </c>
      <c r="P3987">
        <v>52.69</v>
      </c>
      <c r="Q3987">
        <v>52.69</v>
      </c>
      <c r="R3987" t="s">
        <v>30</v>
      </c>
      <c r="S3987">
        <v>29</v>
      </c>
      <c r="T3987">
        <v>1</v>
      </c>
      <c r="U3987">
        <v>5</v>
      </c>
      <c r="V3987">
        <v>474.17</v>
      </c>
      <c r="W3987">
        <v>13130003985</v>
      </c>
    </row>
    <row r="3988" spans="1:23" x14ac:dyDescent="0.2">
      <c r="A3988" s="1">
        <v>44780</v>
      </c>
      <c r="B3988" s="2">
        <v>0.83314814814814819</v>
      </c>
      <c r="C3988">
        <v>4986</v>
      </c>
      <c r="D3988">
        <v>13002561</v>
      </c>
      <c r="E3988">
        <v>13</v>
      </c>
      <c r="F3988">
        <v>22589</v>
      </c>
      <c r="G3988" t="s">
        <v>23</v>
      </c>
      <c r="H3988">
        <v>18</v>
      </c>
      <c r="I3988">
        <v>78608</v>
      </c>
      <c r="J3988" t="s">
        <v>37</v>
      </c>
      <c r="K3988" t="s">
        <v>44</v>
      </c>
      <c r="L3988" t="s">
        <v>34</v>
      </c>
      <c r="M3988">
        <v>1</v>
      </c>
      <c r="N3988">
        <v>427.62</v>
      </c>
      <c r="O3988">
        <v>655</v>
      </c>
      <c r="P3988">
        <v>32.75</v>
      </c>
      <c r="Q3988">
        <v>32.75</v>
      </c>
      <c r="R3988" t="s">
        <v>30</v>
      </c>
      <c r="S3988">
        <v>29</v>
      </c>
      <c r="T3988">
        <v>1</v>
      </c>
      <c r="U3988">
        <v>6</v>
      </c>
      <c r="V3988">
        <v>622.25</v>
      </c>
      <c r="W3988">
        <v>13130003986</v>
      </c>
    </row>
    <row r="3989" spans="1:23" x14ac:dyDescent="0.2">
      <c r="A3989" s="1">
        <v>44795</v>
      </c>
      <c r="B3989" s="2">
        <v>0.62282407407407403</v>
      </c>
      <c r="C3989">
        <v>4987</v>
      </c>
      <c r="D3989">
        <v>13002561</v>
      </c>
      <c r="E3989">
        <v>13</v>
      </c>
      <c r="F3989">
        <v>22589</v>
      </c>
      <c r="G3989" t="s">
        <v>23</v>
      </c>
      <c r="H3989">
        <v>18</v>
      </c>
      <c r="I3989">
        <v>74501</v>
      </c>
      <c r="J3989" t="s">
        <v>91</v>
      </c>
      <c r="K3989" t="s">
        <v>60</v>
      </c>
      <c r="L3989" t="s">
        <v>29</v>
      </c>
      <c r="M3989">
        <v>3</v>
      </c>
      <c r="N3989">
        <v>35.18</v>
      </c>
      <c r="O3989">
        <v>56.09</v>
      </c>
      <c r="P3989">
        <v>5.61</v>
      </c>
      <c r="Q3989">
        <v>5.61</v>
      </c>
      <c r="R3989" t="s">
        <v>30</v>
      </c>
      <c r="S3989">
        <v>29</v>
      </c>
      <c r="T3989">
        <v>1</v>
      </c>
      <c r="U3989">
        <v>3</v>
      </c>
      <c r="V3989">
        <v>50.48</v>
      </c>
      <c r="W3989">
        <v>13130003987</v>
      </c>
    </row>
    <row r="3990" spans="1:23" x14ac:dyDescent="0.2">
      <c r="A3990" s="1">
        <v>44778</v>
      </c>
      <c r="B3990" s="2">
        <v>0.80843750000000003</v>
      </c>
      <c r="C3990">
        <v>4988</v>
      </c>
      <c r="D3990">
        <v>13002561</v>
      </c>
      <c r="E3990">
        <v>13</v>
      </c>
      <c r="F3990">
        <v>22589</v>
      </c>
      <c r="G3990" t="s">
        <v>23</v>
      </c>
      <c r="H3990">
        <v>18</v>
      </c>
      <c r="I3990">
        <v>32584</v>
      </c>
      <c r="J3990" t="s">
        <v>54</v>
      </c>
      <c r="K3990" t="s">
        <v>38</v>
      </c>
      <c r="L3990" t="s">
        <v>34</v>
      </c>
      <c r="M3990">
        <v>1</v>
      </c>
      <c r="N3990">
        <v>115.38</v>
      </c>
      <c r="O3990">
        <v>194.53</v>
      </c>
      <c r="P3990">
        <v>9.73</v>
      </c>
      <c r="Q3990">
        <v>9.73</v>
      </c>
      <c r="R3990" t="s">
        <v>30</v>
      </c>
      <c r="S3990">
        <v>29</v>
      </c>
      <c r="T3990">
        <v>1</v>
      </c>
      <c r="U3990">
        <v>3</v>
      </c>
      <c r="V3990">
        <v>184.8</v>
      </c>
      <c r="W3990">
        <v>13130003988</v>
      </c>
    </row>
    <row r="3991" spans="1:23" x14ac:dyDescent="0.2">
      <c r="A3991" s="1">
        <v>44785</v>
      </c>
      <c r="B3991" s="2">
        <v>0.7800231481481481</v>
      </c>
      <c r="C3991">
        <v>4989</v>
      </c>
      <c r="D3991">
        <v>13002561</v>
      </c>
      <c r="E3991">
        <v>13</v>
      </c>
      <c r="F3991">
        <v>22589</v>
      </c>
      <c r="G3991" t="s">
        <v>23</v>
      </c>
      <c r="H3991">
        <v>18</v>
      </c>
      <c r="I3991">
        <v>38465</v>
      </c>
      <c r="J3991" t="s">
        <v>70</v>
      </c>
      <c r="K3991" t="s">
        <v>44</v>
      </c>
      <c r="L3991" t="s">
        <v>29</v>
      </c>
      <c r="M3991">
        <v>1</v>
      </c>
      <c r="N3991">
        <v>311.95</v>
      </c>
      <c r="O3991">
        <v>471.37</v>
      </c>
      <c r="P3991">
        <v>0</v>
      </c>
      <c r="Q3991">
        <v>0</v>
      </c>
      <c r="S3991">
        <v>29</v>
      </c>
      <c r="T3991">
        <v>1</v>
      </c>
      <c r="U3991">
        <v>6</v>
      </c>
      <c r="V3991">
        <v>471.37</v>
      </c>
      <c r="W3991">
        <v>13130003989</v>
      </c>
    </row>
    <row r="3992" spans="1:23" x14ac:dyDescent="0.2">
      <c r="A3992" s="1">
        <v>44787</v>
      </c>
      <c r="B3992" s="2">
        <v>0.71219907407407412</v>
      </c>
      <c r="C3992">
        <v>4990</v>
      </c>
      <c r="D3992">
        <v>13002561</v>
      </c>
      <c r="E3992">
        <v>13</v>
      </c>
      <c r="F3992">
        <v>22589</v>
      </c>
      <c r="G3992" t="s">
        <v>23</v>
      </c>
      <c r="H3992">
        <v>18</v>
      </c>
      <c r="I3992">
        <v>82360</v>
      </c>
      <c r="J3992" t="s">
        <v>62</v>
      </c>
      <c r="K3992" t="s">
        <v>25</v>
      </c>
      <c r="L3992" t="s">
        <v>29</v>
      </c>
      <c r="M3992">
        <v>2</v>
      </c>
      <c r="N3992">
        <v>567.29999999999995</v>
      </c>
      <c r="O3992">
        <v>950.18</v>
      </c>
      <c r="P3992">
        <v>0</v>
      </c>
      <c r="Q3992">
        <v>0</v>
      </c>
      <c r="S3992">
        <v>29</v>
      </c>
      <c r="T3992">
        <v>1</v>
      </c>
      <c r="U3992">
        <v>3</v>
      </c>
      <c r="V3992">
        <v>950.18</v>
      </c>
      <c r="W3992">
        <v>13130003990</v>
      </c>
    </row>
    <row r="3993" spans="1:23" x14ac:dyDescent="0.2">
      <c r="A3993" s="1">
        <v>44782</v>
      </c>
      <c r="B3993" s="2">
        <v>0.70541666666666669</v>
      </c>
      <c r="C3993">
        <v>4991</v>
      </c>
      <c r="D3993">
        <v>13002561</v>
      </c>
      <c r="E3993">
        <v>13</v>
      </c>
      <c r="F3993">
        <v>22589</v>
      </c>
      <c r="G3993" t="s">
        <v>23</v>
      </c>
      <c r="H3993">
        <v>18</v>
      </c>
      <c r="I3993">
        <v>56096</v>
      </c>
      <c r="J3993" t="s">
        <v>48</v>
      </c>
      <c r="K3993" t="s">
        <v>60</v>
      </c>
      <c r="L3993" t="s">
        <v>36</v>
      </c>
      <c r="M3993">
        <v>1</v>
      </c>
      <c r="N3993">
        <v>383.92</v>
      </c>
      <c r="O3993">
        <v>487.83</v>
      </c>
      <c r="P3993">
        <v>48.78</v>
      </c>
      <c r="Q3993">
        <v>48.78</v>
      </c>
      <c r="R3993" t="s">
        <v>30</v>
      </c>
      <c r="S3993">
        <v>29</v>
      </c>
      <c r="T3993">
        <v>1</v>
      </c>
      <c r="U3993">
        <v>4</v>
      </c>
      <c r="V3993">
        <v>439.05</v>
      </c>
      <c r="W3993">
        <v>13130003991</v>
      </c>
    </row>
    <row r="3994" spans="1:23" x14ac:dyDescent="0.2">
      <c r="A3994" s="1">
        <v>44793</v>
      </c>
      <c r="B3994" s="2">
        <v>0.89211805555555557</v>
      </c>
      <c r="C3994">
        <v>4992</v>
      </c>
      <c r="D3994">
        <v>13002561</v>
      </c>
      <c r="E3994">
        <v>13</v>
      </c>
      <c r="F3994">
        <v>22589</v>
      </c>
      <c r="G3994" t="s">
        <v>23</v>
      </c>
      <c r="H3994">
        <v>15</v>
      </c>
      <c r="I3994">
        <v>96958</v>
      </c>
      <c r="J3994" t="s">
        <v>102</v>
      </c>
      <c r="K3994" t="s">
        <v>44</v>
      </c>
      <c r="L3994" t="s">
        <v>34</v>
      </c>
      <c r="M3994">
        <v>2</v>
      </c>
      <c r="N3994">
        <v>497.28</v>
      </c>
      <c r="O3994">
        <v>818.86</v>
      </c>
      <c r="P3994">
        <v>40.94</v>
      </c>
      <c r="Q3994">
        <v>40.94</v>
      </c>
      <c r="R3994" t="s">
        <v>30</v>
      </c>
      <c r="S3994">
        <v>29</v>
      </c>
      <c r="T3994">
        <v>1</v>
      </c>
      <c r="U3994">
        <v>3</v>
      </c>
      <c r="V3994">
        <v>777.92</v>
      </c>
      <c r="W3994">
        <v>13130003992</v>
      </c>
    </row>
    <row r="3995" spans="1:23" x14ac:dyDescent="0.2">
      <c r="A3995" s="1">
        <v>44790</v>
      </c>
      <c r="B3995" s="2">
        <v>0.88528935185185187</v>
      </c>
      <c r="C3995">
        <v>4993</v>
      </c>
      <c r="D3995">
        <v>13002561</v>
      </c>
      <c r="E3995">
        <v>13</v>
      </c>
      <c r="F3995">
        <v>22589</v>
      </c>
      <c r="G3995" t="s">
        <v>23</v>
      </c>
      <c r="H3995">
        <v>18</v>
      </c>
      <c r="I3995">
        <v>99607</v>
      </c>
      <c r="J3995" t="s">
        <v>128</v>
      </c>
      <c r="K3995" t="s">
        <v>60</v>
      </c>
      <c r="L3995" t="s">
        <v>39</v>
      </c>
      <c r="M3995">
        <v>2</v>
      </c>
      <c r="N3995">
        <v>373.49</v>
      </c>
      <c r="O3995">
        <v>473.77</v>
      </c>
      <c r="P3995">
        <v>0</v>
      </c>
      <c r="Q3995">
        <v>0</v>
      </c>
      <c r="S3995">
        <v>29</v>
      </c>
      <c r="T3995">
        <v>1</v>
      </c>
      <c r="U3995">
        <v>1</v>
      </c>
      <c r="V3995">
        <v>473.77</v>
      </c>
      <c r="W3995">
        <v>13130003993</v>
      </c>
    </row>
    <row r="3996" spans="1:23" x14ac:dyDescent="0.2">
      <c r="A3996" s="1">
        <v>44776</v>
      </c>
      <c r="B3996" s="2">
        <v>0.85375000000000001</v>
      </c>
      <c r="C3996">
        <v>4994</v>
      </c>
      <c r="D3996">
        <v>13002561</v>
      </c>
      <c r="E3996">
        <v>13</v>
      </c>
      <c r="F3996">
        <v>22589</v>
      </c>
      <c r="G3996" t="s">
        <v>23</v>
      </c>
      <c r="H3996">
        <v>15</v>
      </c>
      <c r="I3996">
        <v>94310</v>
      </c>
      <c r="J3996" t="s">
        <v>50</v>
      </c>
      <c r="K3996" t="s">
        <v>60</v>
      </c>
      <c r="L3996" t="s">
        <v>36</v>
      </c>
      <c r="M3996">
        <v>1</v>
      </c>
      <c r="N3996">
        <v>167.22</v>
      </c>
      <c r="O3996">
        <v>238.02</v>
      </c>
      <c r="P3996">
        <v>11.9</v>
      </c>
      <c r="Q3996">
        <v>11.9</v>
      </c>
      <c r="R3996" t="s">
        <v>30</v>
      </c>
      <c r="S3996">
        <v>29</v>
      </c>
      <c r="T3996">
        <v>1</v>
      </c>
      <c r="U3996">
        <v>2</v>
      </c>
      <c r="V3996">
        <v>226.12</v>
      </c>
      <c r="W3996">
        <v>13130003994</v>
      </c>
    </row>
    <row r="3997" spans="1:23" x14ac:dyDescent="0.2">
      <c r="A3997" s="1">
        <v>44798</v>
      </c>
      <c r="B3997" s="2">
        <v>0.93187500000000001</v>
      </c>
      <c r="C3997">
        <v>4995</v>
      </c>
      <c r="D3997">
        <v>13002561</v>
      </c>
      <c r="E3997">
        <v>13</v>
      </c>
      <c r="F3997">
        <v>22589</v>
      </c>
      <c r="G3997" t="s">
        <v>23</v>
      </c>
      <c r="H3997">
        <v>18</v>
      </c>
      <c r="I3997">
        <v>70551</v>
      </c>
      <c r="J3997" t="s">
        <v>75</v>
      </c>
      <c r="K3997" t="s">
        <v>60</v>
      </c>
      <c r="L3997" t="s">
        <v>26</v>
      </c>
      <c r="M3997">
        <v>2</v>
      </c>
      <c r="N3997">
        <v>592.41</v>
      </c>
      <c r="O3997">
        <v>811.84</v>
      </c>
      <c r="P3997">
        <v>40.590000000000003</v>
      </c>
      <c r="Q3997">
        <v>40.590000000000003</v>
      </c>
      <c r="R3997" t="s">
        <v>30</v>
      </c>
      <c r="S3997">
        <v>29</v>
      </c>
      <c r="T3997">
        <v>1</v>
      </c>
      <c r="U3997">
        <v>3</v>
      </c>
      <c r="V3997">
        <v>771.25</v>
      </c>
      <c r="W3997">
        <v>13130003995</v>
      </c>
    </row>
    <row r="3998" spans="1:23" x14ac:dyDescent="0.2">
      <c r="A3998" s="1">
        <v>44794</v>
      </c>
      <c r="B3998" s="2">
        <v>0.8730324074074074</v>
      </c>
      <c r="C3998">
        <v>4996</v>
      </c>
      <c r="D3998">
        <v>13002561</v>
      </c>
      <c r="E3998">
        <v>13</v>
      </c>
      <c r="F3998">
        <v>22589</v>
      </c>
      <c r="G3998" t="s">
        <v>23</v>
      </c>
      <c r="H3998">
        <v>18</v>
      </c>
      <c r="I3998">
        <v>69045</v>
      </c>
      <c r="J3998" t="s">
        <v>91</v>
      </c>
      <c r="K3998" t="s">
        <v>28</v>
      </c>
      <c r="L3998" t="s">
        <v>34</v>
      </c>
      <c r="M3998">
        <v>3</v>
      </c>
      <c r="N3998">
        <v>34.85</v>
      </c>
      <c r="O3998">
        <v>58.6</v>
      </c>
      <c r="P3998">
        <v>2.93</v>
      </c>
      <c r="Q3998">
        <v>2.93</v>
      </c>
      <c r="R3998" t="s">
        <v>30</v>
      </c>
      <c r="S3998">
        <v>29</v>
      </c>
      <c r="T3998">
        <v>1</v>
      </c>
      <c r="U3998">
        <v>3</v>
      </c>
      <c r="V3998">
        <v>55.67</v>
      </c>
      <c r="W3998">
        <v>13130003996</v>
      </c>
    </row>
    <row r="3999" spans="1:23" x14ac:dyDescent="0.2">
      <c r="A3999" s="1">
        <v>44790</v>
      </c>
      <c r="B3999" s="2">
        <v>0.77356481481481476</v>
      </c>
      <c r="C3999">
        <v>4997</v>
      </c>
      <c r="D3999">
        <v>13002561</v>
      </c>
      <c r="E3999">
        <v>13</v>
      </c>
      <c r="F3999">
        <v>22589</v>
      </c>
      <c r="G3999" t="s">
        <v>23</v>
      </c>
      <c r="H3999">
        <v>18</v>
      </c>
      <c r="I3999">
        <v>36709</v>
      </c>
      <c r="J3999" t="s">
        <v>90</v>
      </c>
      <c r="K3999" t="s">
        <v>44</v>
      </c>
      <c r="L3999" t="s">
        <v>29</v>
      </c>
      <c r="M3999">
        <v>3</v>
      </c>
      <c r="N3999">
        <v>398.61</v>
      </c>
      <c r="O3999">
        <v>572.66999999999996</v>
      </c>
      <c r="P3999">
        <v>57.27</v>
      </c>
      <c r="Q3999">
        <v>57.27</v>
      </c>
      <c r="R3999" t="s">
        <v>30</v>
      </c>
      <c r="S3999">
        <v>29</v>
      </c>
      <c r="T3999">
        <v>1</v>
      </c>
      <c r="U3999">
        <v>6</v>
      </c>
      <c r="V3999">
        <v>515.4</v>
      </c>
      <c r="W3999">
        <v>13130003997</v>
      </c>
    </row>
    <row r="4000" spans="1:23" x14ac:dyDescent="0.2">
      <c r="A4000" s="1">
        <v>44778</v>
      </c>
      <c r="B4000" s="2">
        <v>0.86228009259259264</v>
      </c>
      <c r="C4000">
        <v>4998</v>
      </c>
      <c r="D4000">
        <v>13002561</v>
      </c>
      <c r="E4000">
        <v>13</v>
      </c>
      <c r="F4000">
        <v>22589</v>
      </c>
      <c r="G4000" t="s">
        <v>23</v>
      </c>
      <c r="H4000">
        <v>15</v>
      </c>
      <c r="I4000">
        <v>83739</v>
      </c>
      <c r="J4000" t="s">
        <v>70</v>
      </c>
      <c r="K4000" t="s">
        <v>60</v>
      </c>
      <c r="L4000" t="s">
        <v>39</v>
      </c>
      <c r="M4000">
        <v>1</v>
      </c>
      <c r="N4000">
        <v>65.5</v>
      </c>
      <c r="O4000">
        <v>86.8</v>
      </c>
      <c r="P4000">
        <v>0</v>
      </c>
      <c r="Q4000">
        <v>0</v>
      </c>
      <c r="S4000">
        <v>29</v>
      </c>
      <c r="T4000">
        <v>1</v>
      </c>
      <c r="U4000">
        <v>1</v>
      </c>
      <c r="V4000">
        <v>86.8</v>
      </c>
      <c r="W4000">
        <v>13130003998</v>
      </c>
    </row>
    <row r="4001" spans="1:23" x14ac:dyDescent="0.2">
      <c r="A4001" s="1">
        <v>44802</v>
      </c>
      <c r="B4001" s="2">
        <v>0.92523148148148149</v>
      </c>
      <c r="C4001">
        <v>4999</v>
      </c>
      <c r="D4001">
        <v>13002561</v>
      </c>
      <c r="E4001">
        <v>13</v>
      </c>
      <c r="F4001">
        <v>22589</v>
      </c>
      <c r="G4001" t="s">
        <v>23</v>
      </c>
      <c r="H4001">
        <v>18</v>
      </c>
      <c r="I4001">
        <v>53771</v>
      </c>
      <c r="J4001" t="s">
        <v>110</v>
      </c>
      <c r="K4001" t="s">
        <v>60</v>
      </c>
      <c r="L4001" t="s">
        <v>34</v>
      </c>
      <c r="M4001">
        <v>2</v>
      </c>
      <c r="N4001">
        <v>43.51</v>
      </c>
      <c r="O4001">
        <v>56.81</v>
      </c>
      <c r="P4001">
        <v>2.84</v>
      </c>
      <c r="Q4001">
        <v>2.84</v>
      </c>
      <c r="R4001" t="s">
        <v>30</v>
      </c>
      <c r="S4001">
        <v>29</v>
      </c>
      <c r="T4001">
        <v>1</v>
      </c>
      <c r="U4001">
        <v>3</v>
      </c>
      <c r="V4001">
        <v>53.97</v>
      </c>
      <c r="W4001">
        <v>13130003999</v>
      </c>
    </row>
    <row r="4002" spans="1:23" x14ac:dyDescent="0.2">
      <c r="A4002" s="1">
        <v>44796</v>
      </c>
      <c r="B4002" s="2">
        <v>0.46422453703703698</v>
      </c>
      <c r="C4002">
        <v>5000</v>
      </c>
      <c r="D4002">
        <v>13002561</v>
      </c>
      <c r="E4002">
        <v>13</v>
      </c>
      <c r="F4002">
        <v>22589</v>
      </c>
      <c r="G4002" t="s">
        <v>23</v>
      </c>
      <c r="H4002">
        <v>18</v>
      </c>
      <c r="I4002">
        <v>54490</v>
      </c>
      <c r="J4002" t="s">
        <v>98</v>
      </c>
      <c r="K4002" t="s">
        <v>60</v>
      </c>
      <c r="L4002" t="s">
        <v>26</v>
      </c>
      <c r="M4002">
        <v>2</v>
      </c>
      <c r="N4002">
        <v>524.96</v>
      </c>
      <c r="O4002">
        <v>885.83</v>
      </c>
      <c r="P4002">
        <v>44.29</v>
      </c>
      <c r="Q4002">
        <v>44.29</v>
      </c>
      <c r="R4002" t="s">
        <v>30</v>
      </c>
      <c r="S4002">
        <v>29</v>
      </c>
      <c r="T4002">
        <v>1</v>
      </c>
      <c r="U4002">
        <v>2</v>
      </c>
      <c r="V4002">
        <v>841.54</v>
      </c>
      <c r="W4002">
        <v>13130004000</v>
      </c>
    </row>
    <row r="4003" spans="1:23" x14ac:dyDescent="0.2">
      <c r="A4003" s="1">
        <v>44799</v>
      </c>
      <c r="B4003" s="2">
        <v>0.70560185185185187</v>
      </c>
      <c r="C4003">
        <v>5001</v>
      </c>
      <c r="D4003">
        <v>13002561</v>
      </c>
      <c r="E4003">
        <v>13</v>
      </c>
      <c r="F4003">
        <v>22589</v>
      </c>
      <c r="G4003" t="s">
        <v>23</v>
      </c>
      <c r="H4003">
        <v>18</v>
      </c>
      <c r="I4003">
        <v>99672</v>
      </c>
      <c r="J4003" t="s">
        <v>128</v>
      </c>
      <c r="K4003" t="s">
        <v>25</v>
      </c>
      <c r="L4003" t="s">
        <v>36</v>
      </c>
      <c r="M4003">
        <v>1</v>
      </c>
      <c r="N4003">
        <v>249.21</v>
      </c>
      <c r="O4003">
        <v>325.77</v>
      </c>
      <c r="P4003">
        <v>32.58</v>
      </c>
      <c r="Q4003">
        <v>32.58</v>
      </c>
      <c r="R4003" t="s">
        <v>30</v>
      </c>
      <c r="S4003">
        <v>29</v>
      </c>
      <c r="T4003">
        <v>1</v>
      </c>
      <c r="U4003">
        <v>5</v>
      </c>
      <c r="V4003">
        <v>293.19</v>
      </c>
      <c r="W4003">
        <v>13130004001</v>
      </c>
    </row>
    <row r="4004" spans="1:23" x14ac:dyDescent="0.2">
      <c r="A4004" s="1">
        <v>44775</v>
      </c>
      <c r="B4004" s="2">
        <v>0.33474537037037039</v>
      </c>
      <c r="C4004">
        <v>5002</v>
      </c>
      <c r="D4004">
        <v>13002561</v>
      </c>
      <c r="E4004">
        <v>13</v>
      </c>
      <c r="F4004">
        <v>22589</v>
      </c>
      <c r="G4004" t="s">
        <v>23</v>
      </c>
      <c r="H4004">
        <v>18</v>
      </c>
      <c r="I4004">
        <v>14246</v>
      </c>
      <c r="J4004" t="s">
        <v>108</v>
      </c>
      <c r="K4004" t="s">
        <v>28</v>
      </c>
      <c r="L4004" t="s">
        <v>29</v>
      </c>
      <c r="M4004">
        <v>2</v>
      </c>
      <c r="N4004">
        <v>512.71</v>
      </c>
      <c r="O4004">
        <v>795.9</v>
      </c>
      <c r="P4004">
        <v>39.799999999999997</v>
      </c>
      <c r="Q4004">
        <v>39.799999999999997</v>
      </c>
      <c r="R4004" t="s">
        <v>30</v>
      </c>
      <c r="S4004">
        <v>29</v>
      </c>
      <c r="T4004">
        <v>1</v>
      </c>
      <c r="U4004">
        <v>4</v>
      </c>
      <c r="V4004">
        <v>756.1</v>
      </c>
      <c r="W4004">
        <v>13130004002</v>
      </c>
    </row>
    <row r="4005" spans="1:23" x14ac:dyDescent="0.2">
      <c r="A4005" s="1">
        <v>44795</v>
      </c>
      <c r="B4005" s="2">
        <v>0.49785879629629631</v>
      </c>
      <c r="C4005">
        <v>5003</v>
      </c>
      <c r="D4005">
        <v>13002561</v>
      </c>
      <c r="E4005">
        <v>13</v>
      </c>
      <c r="F4005">
        <v>22589</v>
      </c>
      <c r="G4005" t="s">
        <v>23</v>
      </c>
      <c r="H4005">
        <v>18</v>
      </c>
      <c r="I4005">
        <v>84046</v>
      </c>
      <c r="J4005" t="s">
        <v>88</v>
      </c>
      <c r="K4005" t="s">
        <v>38</v>
      </c>
      <c r="L4005" t="s">
        <v>32</v>
      </c>
      <c r="M4005">
        <v>2</v>
      </c>
      <c r="N4005">
        <v>519.28</v>
      </c>
      <c r="O4005">
        <v>777.25</v>
      </c>
      <c r="P4005">
        <v>0</v>
      </c>
      <c r="Q4005">
        <v>0</v>
      </c>
      <c r="S4005">
        <v>29</v>
      </c>
      <c r="T4005">
        <v>1</v>
      </c>
      <c r="U4005">
        <v>6</v>
      </c>
      <c r="V4005">
        <v>777.25</v>
      </c>
      <c r="W4005">
        <v>13130004003</v>
      </c>
    </row>
    <row r="4006" spans="1:23" x14ac:dyDescent="0.2">
      <c r="A4006" s="1">
        <v>44777</v>
      </c>
      <c r="B4006" s="2">
        <v>0.88325231481481481</v>
      </c>
      <c r="C4006">
        <v>5004</v>
      </c>
      <c r="D4006">
        <v>13002561</v>
      </c>
      <c r="E4006">
        <v>13</v>
      </c>
      <c r="F4006">
        <v>22589</v>
      </c>
      <c r="G4006" t="s">
        <v>23</v>
      </c>
      <c r="H4006">
        <v>18</v>
      </c>
      <c r="I4006">
        <v>81842</v>
      </c>
      <c r="J4006" t="s">
        <v>31</v>
      </c>
      <c r="K4006" t="s">
        <v>60</v>
      </c>
      <c r="L4006" t="s">
        <v>36</v>
      </c>
      <c r="M4006">
        <v>3</v>
      </c>
      <c r="N4006">
        <v>368.05</v>
      </c>
      <c r="O4006">
        <v>510.17</v>
      </c>
      <c r="P4006">
        <v>51.02</v>
      </c>
      <c r="Q4006">
        <v>51.02</v>
      </c>
      <c r="R4006" t="s">
        <v>30</v>
      </c>
      <c r="S4006">
        <v>29</v>
      </c>
      <c r="T4006">
        <v>1</v>
      </c>
      <c r="U4006">
        <v>5</v>
      </c>
      <c r="V4006">
        <v>459.15</v>
      </c>
      <c r="W4006">
        <v>13130004004</v>
      </c>
    </row>
    <row r="4007" spans="1:23" x14ac:dyDescent="0.2">
      <c r="A4007" s="1">
        <v>44800</v>
      </c>
      <c r="B4007" s="2">
        <v>0.43880787037037039</v>
      </c>
      <c r="C4007">
        <v>5005</v>
      </c>
      <c r="D4007">
        <v>13002561</v>
      </c>
      <c r="E4007">
        <v>13</v>
      </c>
      <c r="F4007">
        <v>22589</v>
      </c>
      <c r="G4007" t="s">
        <v>23</v>
      </c>
      <c r="H4007">
        <v>15</v>
      </c>
      <c r="I4007">
        <v>16583</v>
      </c>
      <c r="J4007" t="s">
        <v>105</v>
      </c>
      <c r="K4007" t="s">
        <v>44</v>
      </c>
      <c r="L4007" t="s">
        <v>51</v>
      </c>
      <c r="M4007">
        <v>2</v>
      </c>
      <c r="N4007">
        <v>243.16</v>
      </c>
      <c r="O4007">
        <v>336.09</v>
      </c>
      <c r="P4007">
        <v>0</v>
      </c>
      <c r="Q4007">
        <v>0</v>
      </c>
      <c r="S4007">
        <v>29</v>
      </c>
      <c r="T4007">
        <v>1</v>
      </c>
      <c r="U4007">
        <v>1</v>
      </c>
      <c r="V4007">
        <v>336.09</v>
      </c>
      <c r="W4007">
        <v>13130004005</v>
      </c>
    </row>
    <row r="4008" spans="1:23" x14ac:dyDescent="0.2">
      <c r="A4008" s="1">
        <v>44795</v>
      </c>
      <c r="B4008" s="2">
        <v>0.5526388888888889</v>
      </c>
      <c r="C4008">
        <v>5006</v>
      </c>
      <c r="D4008">
        <v>13002561</v>
      </c>
      <c r="E4008">
        <v>13</v>
      </c>
      <c r="F4008">
        <v>22589</v>
      </c>
      <c r="G4008" t="s">
        <v>23</v>
      </c>
      <c r="H4008">
        <v>18</v>
      </c>
      <c r="I4008">
        <v>80724</v>
      </c>
      <c r="J4008" t="s">
        <v>122</v>
      </c>
      <c r="K4008" t="s">
        <v>44</v>
      </c>
      <c r="L4008" t="s">
        <v>47</v>
      </c>
      <c r="M4008">
        <v>1</v>
      </c>
      <c r="N4008">
        <v>287.58999999999997</v>
      </c>
      <c r="O4008">
        <v>368.18</v>
      </c>
      <c r="P4008">
        <v>18.41</v>
      </c>
      <c r="Q4008">
        <v>18.41</v>
      </c>
      <c r="R4008" t="s">
        <v>30</v>
      </c>
      <c r="S4008">
        <v>29</v>
      </c>
      <c r="T4008">
        <v>1</v>
      </c>
      <c r="U4008">
        <v>5</v>
      </c>
      <c r="V4008">
        <v>349.77</v>
      </c>
      <c r="W4008">
        <v>13130004006</v>
      </c>
    </row>
    <row r="4009" spans="1:23" x14ac:dyDescent="0.2">
      <c r="A4009" s="1">
        <v>44785</v>
      </c>
      <c r="B4009" s="2">
        <v>0.69182870370370375</v>
      </c>
      <c r="C4009">
        <v>5007</v>
      </c>
      <c r="D4009">
        <v>13002561</v>
      </c>
      <c r="E4009">
        <v>13</v>
      </c>
      <c r="F4009">
        <v>22589</v>
      </c>
      <c r="G4009" t="s">
        <v>23</v>
      </c>
      <c r="H4009">
        <v>15</v>
      </c>
      <c r="I4009">
        <v>25839</v>
      </c>
      <c r="J4009" t="s">
        <v>98</v>
      </c>
      <c r="K4009" t="s">
        <v>44</v>
      </c>
      <c r="L4009" t="s">
        <v>34</v>
      </c>
      <c r="M4009">
        <v>3</v>
      </c>
      <c r="N4009">
        <v>136.83000000000001</v>
      </c>
      <c r="O4009">
        <v>223.94</v>
      </c>
      <c r="P4009">
        <v>22.39</v>
      </c>
      <c r="Q4009">
        <v>22.39</v>
      </c>
      <c r="R4009" t="s">
        <v>30</v>
      </c>
      <c r="S4009">
        <v>29</v>
      </c>
      <c r="T4009">
        <v>1</v>
      </c>
      <c r="U4009">
        <v>3</v>
      </c>
      <c r="V4009">
        <v>201.55</v>
      </c>
      <c r="W4009">
        <v>13130004007</v>
      </c>
    </row>
    <row r="4010" spans="1:23" x14ac:dyDescent="0.2">
      <c r="A4010" s="1">
        <v>44800</v>
      </c>
      <c r="B4010" s="2">
        <v>0.66003472222222226</v>
      </c>
      <c r="C4010">
        <v>5008</v>
      </c>
      <c r="D4010">
        <v>13002561</v>
      </c>
      <c r="E4010">
        <v>13</v>
      </c>
      <c r="F4010">
        <v>22589</v>
      </c>
      <c r="G4010" t="s">
        <v>23</v>
      </c>
      <c r="H4010">
        <v>18</v>
      </c>
      <c r="I4010">
        <v>44003</v>
      </c>
      <c r="J4010" t="s">
        <v>61</v>
      </c>
      <c r="K4010" t="s">
        <v>38</v>
      </c>
      <c r="L4010" t="s">
        <v>34</v>
      </c>
      <c r="M4010">
        <v>3</v>
      </c>
      <c r="N4010">
        <v>7.14</v>
      </c>
      <c r="O4010">
        <v>9.7100000000000009</v>
      </c>
      <c r="P4010">
        <v>0.49</v>
      </c>
      <c r="Q4010">
        <v>0.49</v>
      </c>
      <c r="R4010" t="s">
        <v>30</v>
      </c>
      <c r="S4010">
        <v>29</v>
      </c>
      <c r="T4010">
        <v>1</v>
      </c>
      <c r="U4010">
        <v>6</v>
      </c>
      <c r="V4010">
        <v>9.2200000000000006</v>
      </c>
      <c r="W4010">
        <v>13130004008</v>
      </c>
    </row>
    <row r="4011" spans="1:23" x14ac:dyDescent="0.2">
      <c r="A4011" s="1">
        <v>44776</v>
      </c>
      <c r="B4011" s="2">
        <v>0.68144675925925924</v>
      </c>
      <c r="C4011">
        <v>5009</v>
      </c>
      <c r="D4011">
        <v>13002561</v>
      </c>
      <c r="E4011">
        <v>13</v>
      </c>
      <c r="F4011">
        <v>22589</v>
      </c>
      <c r="G4011" t="s">
        <v>23</v>
      </c>
      <c r="H4011">
        <v>18</v>
      </c>
      <c r="I4011">
        <v>14753</v>
      </c>
      <c r="J4011" t="s">
        <v>40</v>
      </c>
      <c r="K4011" t="s">
        <v>60</v>
      </c>
      <c r="L4011" t="s">
        <v>47</v>
      </c>
      <c r="M4011">
        <v>3</v>
      </c>
      <c r="N4011">
        <v>383.36</v>
      </c>
      <c r="O4011">
        <v>601.96</v>
      </c>
      <c r="P4011">
        <v>60.2</v>
      </c>
      <c r="Q4011">
        <v>60.2</v>
      </c>
      <c r="R4011" t="s">
        <v>30</v>
      </c>
      <c r="S4011">
        <v>29</v>
      </c>
      <c r="T4011">
        <v>1</v>
      </c>
      <c r="U4011">
        <v>3</v>
      </c>
      <c r="V4011">
        <v>541.76</v>
      </c>
      <c r="W4011">
        <v>13130004009</v>
      </c>
    </row>
    <row r="4012" spans="1:23" x14ac:dyDescent="0.2">
      <c r="A4012" s="1">
        <v>44794</v>
      </c>
      <c r="B4012" s="2">
        <v>0.65981481481481485</v>
      </c>
      <c r="C4012">
        <v>5010</v>
      </c>
      <c r="D4012">
        <v>13002561</v>
      </c>
      <c r="E4012">
        <v>13</v>
      </c>
      <c r="F4012">
        <v>22589</v>
      </c>
      <c r="G4012" t="s">
        <v>23</v>
      </c>
      <c r="H4012">
        <v>15</v>
      </c>
      <c r="I4012">
        <v>99293</v>
      </c>
      <c r="J4012" t="s">
        <v>114</v>
      </c>
      <c r="K4012" t="s">
        <v>28</v>
      </c>
      <c r="L4012" t="s">
        <v>29</v>
      </c>
      <c r="M4012">
        <v>1</v>
      </c>
      <c r="N4012">
        <v>344.77</v>
      </c>
      <c r="O4012">
        <v>463.4</v>
      </c>
      <c r="P4012">
        <v>23.17</v>
      </c>
      <c r="Q4012">
        <v>23.17</v>
      </c>
      <c r="R4012" t="s">
        <v>30</v>
      </c>
      <c r="S4012">
        <v>29</v>
      </c>
      <c r="T4012">
        <v>1</v>
      </c>
      <c r="U4012">
        <v>5</v>
      </c>
      <c r="V4012">
        <v>440.23</v>
      </c>
      <c r="W4012">
        <v>13130004010</v>
      </c>
    </row>
    <row r="4013" spans="1:23" x14ac:dyDescent="0.2">
      <c r="A4013" s="1">
        <v>44774</v>
      </c>
      <c r="B4013" s="2">
        <v>0.95281249999999995</v>
      </c>
      <c r="C4013">
        <v>5011</v>
      </c>
      <c r="D4013">
        <v>13002561</v>
      </c>
      <c r="E4013">
        <v>13</v>
      </c>
      <c r="F4013">
        <v>22589</v>
      </c>
      <c r="G4013" t="s">
        <v>23</v>
      </c>
      <c r="H4013">
        <v>15</v>
      </c>
      <c r="I4013">
        <v>75900</v>
      </c>
      <c r="J4013" t="s">
        <v>101</v>
      </c>
      <c r="K4013" t="s">
        <v>25</v>
      </c>
      <c r="L4013" t="s">
        <v>32</v>
      </c>
      <c r="M4013">
        <v>2</v>
      </c>
      <c r="N4013">
        <v>213.66</v>
      </c>
      <c r="O4013">
        <v>304.39</v>
      </c>
      <c r="P4013">
        <v>15.22</v>
      </c>
      <c r="Q4013">
        <v>15.22</v>
      </c>
      <c r="R4013" t="s">
        <v>30</v>
      </c>
      <c r="S4013">
        <v>29</v>
      </c>
      <c r="T4013">
        <v>1</v>
      </c>
      <c r="U4013">
        <v>5</v>
      </c>
      <c r="V4013">
        <v>289.17</v>
      </c>
      <c r="W4013">
        <v>13130004011</v>
      </c>
    </row>
    <row r="4014" spans="1:23" x14ac:dyDescent="0.2">
      <c r="A4014" s="1">
        <v>44802</v>
      </c>
      <c r="B4014" s="2">
        <v>0.5172106481481481</v>
      </c>
      <c r="C4014">
        <v>5012</v>
      </c>
      <c r="D4014">
        <v>13002561</v>
      </c>
      <c r="E4014">
        <v>13</v>
      </c>
      <c r="F4014">
        <v>22589</v>
      </c>
      <c r="G4014" t="s">
        <v>23</v>
      </c>
      <c r="H4014">
        <v>18</v>
      </c>
      <c r="I4014">
        <v>58685</v>
      </c>
      <c r="J4014" t="s">
        <v>111</v>
      </c>
      <c r="K4014" t="s">
        <v>25</v>
      </c>
      <c r="L4014" t="s">
        <v>36</v>
      </c>
      <c r="M4014">
        <v>1</v>
      </c>
      <c r="N4014">
        <v>132.63999999999999</v>
      </c>
      <c r="O4014">
        <v>194.88</v>
      </c>
      <c r="P4014">
        <v>19.489999999999998</v>
      </c>
      <c r="Q4014">
        <v>19.489999999999998</v>
      </c>
      <c r="R4014" t="s">
        <v>30</v>
      </c>
      <c r="S4014">
        <v>29</v>
      </c>
      <c r="T4014">
        <v>1</v>
      </c>
      <c r="U4014">
        <v>2</v>
      </c>
      <c r="V4014">
        <v>175.39</v>
      </c>
      <c r="W4014">
        <v>13130004012</v>
      </c>
    </row>
    <row r="4015" spans="1:23" x14ac:dyDescent="0.2">
      <c r="A4015" s="1">
        <v>44774</v>
      </c>
      <c r="B4015" s="2">
        <v>0.43950231481481478</v>
      </c>
      <c r="C4015">
        <v>5013</v>
      </c>
      <c r="D4015">
        <v>13002561</v>
      </c>
      <c r="E4015">
        <v>13</v>
      </c>
      <c r="F4015">
        <v>22589</v>
      </c>
      <c r="G4015" t="s">
        <v>23</v>
      </c>
      <c r="H4015">
        <v>18</v>
      </c>
      <c r="I4015">
        <v>68973</v>
      </c>
      <c r="J4015" t="s">
        <v>107</v>
      </c>
      <c r="K4015" t="s">
        <v>45</v>
      </c>
      <c r="L4015" t="s">
        <v>36</v>
      </c>
      <c r="M4015">
        <v>3</v>
      </c>
      <c r="N4015">
        <v>225.87</v>
      </c>
      <c r="O4015">
        <v>381.58</v>
      </c>
      <c r="P4015">
        <v>38.159999999999997</v>
      </c>
      <c r="Q4015">
        <v>38.159999999999997</v>
      </c>
      <c r="R4015" t="s">
        <v>30</v>
      </c>
      <c r="S4015">
        <v>29</v>
      </c>
      <c r="T4015">
        <v>1</v>
      </c>
      <c r="U4015">
        <v>1</v>
      </c>
      <c r="V4015">
        <v>343.42</v>
      </c>
      <c r="W4015">
        <v>13130004013</v>
      </c>
    </row>
    <row r="4016" spans="1:23" x14ac:dyDescent="0.2">
      <c r="A4016" s="1">
        <v>44798</v>
      </c>
      <c r="B4016" s="2">
        <v>0.67122685185185182</v>
      </c>
      <c r="C4016">
        <v>5014</v>
      </c>
      <c r="D4016">
        <v>13002561</v>
      </c>
      <c r="E4016">
        <v>13</v>
      </c>
      <c r="F4016">
        <v>22589</v>
      </c>
      <c r="G4016" t="s">
        <v>23</v>
      </c>
      <c r="H4016">
        <v>15</v>
      </c>
      <c r="I4016">
        <v>73721</v>
      </c>
      <c r="J4016" t="s">
        <v>59</v>
      </c>
      <c r="K4016" t="s">
        <v>44</v>
      </c>
      <c r="L4016" t="s">
        <v>51</v>
      </c>
      <c r="M4016">
        <v>3</v>
      </c>
      <c r="N4016">
        <v>377.07</v>
      </c>
      <c r="O4016">
        <v>473.15</v>
      </c>
      <c r="P4016">
        <v>0</v>
      </c>
      <c r="Q4016">
        <v>0</v>
      </c>
      <c r="S4016">
        <v>29</v>
      </c>
      <c r="T4016">
        <v>1</v>
      </c>
      <c r="U4016">
        <v>4</v>
      </c>
      <c r="V4016">
        <v>473.15</v>
      </c>
      <c r="W4016">
        <v>13130004014</v>
      </c>
    </row>
    <row r="4017" spans="1:23" x14ac:dyDescent="0.2">
      <c r="A4017" s="1">
        <v>44802</v>
      </c>
      <c r="B4017" s="2">
        <v>0.7680555555555556</v>
      </c>
      <c r="C4017">
        <v>5015</v>
      </c>
      <c r="D4017">
        <v>13002561</v>
      </c>
      <c r="E4017">
        <v>13</v>
      </c>
      <c r="F4017">
        <v>22589</v>
      </c>
      <c r="G4017" t="s">
        <v>23</v>
      </c>
      <c r="H4017">
        <v>15</v>
      </c>
      <c r="I4017">
        <v>27287</v>
      </c>
      <c r="J4017" t="s">
        <v>120</v>
      </c>
      <c r="K4017" t="s">
        <v>60</v>
      </c>
      <c r="L4017" t="s">
        <v>32</v>
      </c>
      <c r="M4017">
        <v>2</v>
      </c>
      <c r="N4017">
        <v>48.99</v>
      </c>
      <c r="O4017">
        <v>73.28</v>
      </c>
      <c r="P4017">
        <v>7.33</v>
      </c>
      <c r="Q4017">
        <v>7.33</v>
      </c>
      <c r="R4017" t="s">
        <v>30</v>
      </c>
      <c r="S4017">
        <v>29</v>
      </c>
      <c r="T4017">
        <v>1</v>
      </c>
      <c r="U4017">
        <v>1</v>
      </c>
      <c r="V4017">
        <v>65.95</v>
      </c>
      <c r="W4017">
        <v>13130004015</v>
      </c>
    </row>
    <row r="4018" spans="1:23" x14ac:dyDescent="0.2">
      <c r="A4018" s="1">
        <v>44780</v>
      </c>
      <c r="B4018" s="2">
        <v>0.54223379629629631</v>
      </c>
      <c r="C4018">
        <v>5016</v>
      </c>
      <c r="D4018">
        <v>13002561</v>
      </c>
      <c r="E4018">
        <v>13</v>
      </c>
      <c r="F4018">
        <v>22589</v>
      </c>
      <c r="G4018" t="s">
        <v>23</v>
      </c>
      <c r="H4018">
        <v>15</v>
      </c>
      <c r="I4018">
        <v>36736</v>
      </c>
      <c r="J4018" t="s">
        <v>123</v>
      </c>
      <c r="K4018" t="s">
        <v>44</v>
      </c>
      <c r="L4018" t="s">
        <v>34</v>
      </c>
      <c r="M4018">
        <v>1</v>
      </c>
      <c r="N4018">
        <v>554.34</v>
      </c>
      <c r="O4018">
        <v>937.66</v>
      </c>
      <c r="P4018">
        <v>93.77</v>
      </c>
      <c r="Q4018">
        <v>93.77</v>
      </c>
      <c r="R4018" t="s">
        <v>30</v>
      </c>
      <c r="S4018">
        <v>29</v>
      </c>
      <c r="T4018">
        <v>1</v>
      </c>
      <c r="U4018">
        <v>6</v>
      </c>
      <c r="V4018">
        <v>843.89</v>
      </c>
      <c r="W4018">
        <v>13130004016</v>
      </c>
    </row>
    <row r="4019" spans="1:23" x14ac:dyDescent="0.2">
      <c r="A4019" s="1">
        <v>44780</v>
      </c>
      <c r="B4019" s="2">
        <v>0.94059027777777782</v>
      </c>
      <c r="C4019">
        <v>5017</v>
      </c>
      <c r="D4019">
        <v>13002561</v>
      </c>
      <c r="E4019">
        <v>13</v>
      </c>
      <c r="F4019">
        <v>22589</v>
      </c>
      <c r="G4019" t="s">
        <v>23</v>
      </c>
      <c r="H4019">
        <v>18</v>
      </c>
      <c r="I4019">
        <v>67767</v>
      </c>
      <c r="J4019" t="s">
        <v>117</v>
      </c>
      <c r="K4019" t="s">
        <v>60</v>
      </c>
      <c r="L4019" t="s">
        <v>36</v>
      </c>
      <c r="M4019">
        <v>2</v>
      </c>
      <c r="N4019">
        <v>566.69000000000005</v>
      </c>
      <c r="O4019">
        <v>824.4</v>
      </c>
      <c r="P4019">
        <v>82.44</v>
      </c>
      <c r="Q4019">
        <v>82.44</v>
      </c>
      <c r="R4019" t="s">
        <v>30</v>
      </c>
      <c r="S4019">
        <v>29</v>
      </c>
      <c r="T4019">
        <v>1</v>
      </c>
      <c r="U4019">
        <v>4</v>
      </c>
      <c r="V4019">
        <v>741.96</v>
      </c>
      <c r="W4019">
        <v>13130004017</v>
      </c>
    </row>
    <row r="4020" spans="1:23" x14ac:dyDescent="0.2">
      <c r="A4020" s="1">
        <v>44794</v>
      </c>
      <c r="B4020" s="2">
        <v>0.94826388888888891</v>
      </c>
      <c r="C4020">
        <v>5018</v>
      </c>
      <c r="D4020">
        <v>13002561</v>
      </c>
      <c r="E4020">
        <v>13</v>
      </c>
      <c r="F4020">
        <v>22589</v>
      </c>
      <c r="G4020" t="s">
        <v>23</v>
      </c>
      <c r="H4020">
        <v>18</v>
      </c>
      <c r="I4020">
        <v>37676</v>
      </c>
      <c r="J4020" t="s">
        <v>66</v>
      </c>
      <c r="K4020" t="s">
        <v>28</v>
      </c>
      <c r="L4020" t="s">
        <v>32</v>
      </c>
      <c r="M4020">
        <v>1</v>
      </c>
      <c r="N4020">
        <v>318.31</v>
      </c>
      <c r="O4020">
        <v>515.04</v>
      </c>
      <c r="P4020">
        <v>0</v>
      </c>
      <c r="Q4020">
        <v>0</v>
      </c>
      <c r="S4020">
        <v>29</v>
      </c>
      <c r="T4020">
        <v>1</v>
      </c>
      <c r="U4020">
        <v>5</v>
      </c>
      <c r="V4020">
        <v>515.04</v>
      </c>
      <c r="W4020">
        <v>13130004018</v>
      </c>
    </row>
    <row r="4021" spans="1:23" x14ac:dyDescent="0.2">
      <c r="A4021" s="1">
        <v>44792</v>
      </c>
      <c r="B4021" s="2">
        <v>0.49460648148148151</v>
      </c>
      <c r="C4021">
        <v>5019</v>
      </c>
      <c r="D4021">
        <v>13002561</v>
      </c>
      <c r="E4021">
        <v>13</v>
      </c>
      <c r="F4021">
        <v>22589</v>
      </c>
      <c r="G4021" t="s">
        <v>23</v>
      </c>
      <c r="H4021">
        <v>15</v>
      </c>
      <c r="I4021">
        <v>34455</v>
      </c>
      <c r="J4021" t="s">
        <v>43</v>
      </c>
      <c r="K4021" t="s">
        <v>44</v>
      </c>
      <c r="L4021" t="s">
        <v>34</v>
      </c>
      <c r="M4021">
        <v>2</v>
      </c>
      <c r="N4021">
        <v>513.17999999999995</v>
      </c>
      <c r="O4021">
        <v>648.12</v>
      </c>
      <c r="P4021">
        <v>32.409999999999997</v>
      </c>
      <c r="Q4021">
        <v>32.409999999999997</v>
      </c>
      <c r="R4021" t="s">
        <v>30</v>
      </c>
      <c r="S4021">
        <v>29</v>
      </c>
      <c r="T4021">
        <v>1</v>
      </c>
      <c r="U4021">
        <v>6</v>
      </c>
      <c r="V4021">
        <v>615.71</v>
      </c>
      <c r="W4021">
        <v>13130004019</v>
      </c>
    </row>
    <row r="4022" spans="1:23" x14ac:dyDescent="0.2">
      <c r="A4022" s="1">
        <v>44782</v>
      </c>
      <c r="B4022" s="2">
        <v>0.33502314814814821</v>
      </c>
      <c r="C4022">
        <v>5020</v>
      </c>
      <c r="D4022">
        <v>13002561</v>
      </c>
      <c r="E4022">
        <v>13</v>
      </c>
      <c r="F4022">
        <v>22589</v>
      </c>
      <c r="G4022" t="s">
        <v>23</v>
      </c>
      <c r="H4022">
        <v>18</v>
      </c>
      <c r="I4022">
        <v>93914</v>
      </c>
      <c r="J4022" t="s">
        <v>85</v>
      </c>
      <c r="K4022" t="s">
        <v>25</v>
      </c>
      <c r="L4022" t="s">
        <v>32</v>
      </c>
      <c r="M4022">
        <v>1</v>
      </c>
      <c r="N4022">
        <v>119.19</v>
      </c>
      <c r="O4022">
        <v>166.47</v>
      </c>
      <c r="P4022">
        <v>16.649999999999999</v>
      </c>
      <c r="Q4022">
        <v>16.649999999999999</v>
      </c>
      <c r="R4022" t="s">
        <v>30</v>
      </c>
      <c r="S4022">
        <v>29</v>
      </c>
      <c r="T4022">
        <v>1</v>
      </c>
      <c r="U4022">
        <v>2</v>
      </c>
      <c r="V4022">
        <v>149.82</v>
      </c>
      <c r="W4022">
        <v>13130004020</v>
      </c>
    </row>
    <row r="4023" spans="1:23" x14ac:dyDescent="0.2">
      <c r="A4023" s="1">
        <v>44799</v>
      </c>
      <c r="B4023" s="2">
        <v>0.41625000000000001</v>
      </c>
      <c r="C4023">
        <v>5021</v>
      </c>
      <c r="D4023">
        <v>13002561</v>
      </c>
      <c r="E4023">
        <v>13</v>
      </c>
      <c r="F4023">
        <v>22589</v>
      </c>
      <c r="G4023" t="s">
        <v>23</v>
      </c>
      <c r="H4023">
        <v>15</v>
      </c>
      <c r="I4023">
        <v>83590</v>
      </c>
      <c r="J4023" t="s">
        <v>56</v>
      </c>
      <c r="K4023" t="s">
        <v>60</v>
      </c>
      <c r="L4023" t="s">
        <v>29</v>
      </c>
      <c r="M4023">
        <v>3</v>
      </c>
      <c r="N4023">
        <v>272.08</v>
      </c>
      <c r="O4023">
        <v>393.2</v>
      </c>
      <c r="P4023">
        <v>39.32</v>
      </c>
      <c r="Q4023">
        <v>39.32</v>
      </c>
      <c r="R4023" t="s">
        <v>30</v>
      </c>
      <c r="S4023">
        <v>29</v>
      </c>
      <c r="T4023">
        <v>1</v>
      </c>
      <c r="U4023">
        <v>6</v>
      </c>
      <c r="V4023">
        <v>353.88</v>
      </c>
      <c r="W4023">
        <v>13130004021</v>
      </c>
    </row>
    <row r="4024" spans="1:23" x14ac:dyDescent="0.2">
      <c r="A4024" s="1">
        <v>44778</v>
      </c>
      <c r="B4024" s="2">
        <v>0.36238425925925932</v>
      </c>
      <c r="C4024">
        <v>5022</v>
      </c>
      <c r="D4024">
        <v>13002561</v>
      </c>
      <c r="E4024">
        <v>13</v>
      </c>
      <c r="F4024">
        <v>22589</v>
      </c>
      <c r="G4024" t="s">
        <v>23</v>
      </c>
      <c r="H4024">
        <v>15</v>
      </c>
      <c r="I4024">
        <v>64190</v>
      </c>
      <c r="J4024" t="s">
        <v>48</v>
      </c>
      <c r="K4024" t="s">
        <v>60</v>
      </c>
      <c r="L4024" t="s">
        <v>39</v>
      </c>
      <c r="M4024">
        <v>1</v>
      </c>
      <c r="N4024">
        <v>590.38</v>
      </c>
      <c r="O4024">
        <v>805.2</v>
      </c>
      <c r="P4024">
        <v>80.52</v>
      </c>
      <c r="Q4024">
        <v>80.52</v>
      </c>
      <c r="R4024" t="s">
        <v>30</v>
      </c>
      <c r="S4024">
        <v>29</v>
      </c>
      <c r="T4024">
        <v>1</v>
      </c>
      <c r="U4024">
        <v>2</v>
      </c>
      <c r="V4024">
        <v>724.68</v>
      </c>
      <c r="W4024">
        <v>13130004022</v>
      </c>
    </row>
    <row r="4025" spans="1:23" x14ac:dyDescent="0.2">
      <c r="A4025" s="1">
        <v>44790</v>
      </c>
      <c r="B4025" s="2">
        <v>0.59857638888888887</v>
      </c>
      <c r="C4025">
        <v>5023</v>
      </c>
      <c r="D4025">
        <v>13002561</v>
      </c>
      <c r="E4025">
        <v>13</v>
      </c>
      <c r="F4025">
        <v>22589</v>
      </c>
      <c r="G4025" t="s">
        <v>23</v>
      </c>
      <c r="H4025">
        <v>18</v>
      </c>
      <c r="I4025">
        <v>83575</v>
      </c>
      <c r="J4025" t="s">
        <v>70</v>
      </c>
      <c r="K4025" t="s">
        <v>44</v>
      </c>
      <c r="L4025" t="s">
        <v>39</v>
      </c>
      <c r="M4025">
        <v>1</v>
      </c>
      <c r="N4025">
        <v>93.72</v>
      </c>
      <c r="O4025">
        <v>139.56</v>
      </c>
      <c r="P4025">
        <v>6.98</v>
      </c>
      <c r="Q4025">
        <v>6.98</v>
      </c>
      <c r="R4025" t="s">
        <v>30</v>
      </c>
      <c r="S4025">
        <v>29</v>
      </c>
      <c r="T4025">
        <v>1</v>
      </c>
      <c r="U4025">
        <v>3</v>
      </c>
      <c r="V4025">
        <v>132.58000000000001</v>
      </c>
      <c r="W4025">
        <v>13130004023</v>
      </c>
    </row>
    <row r="4026" spans="1:23" x14ac:dyDescent="0.2">
      <c r="A4026" s="1">
        <v>44788</v>
      </c>
      <c r="B4026" s="2">
        <v>0.53390046296296301</v>
      </c>
      <c r="C4026">
        <v>5024</v>
      </c>
      <c r="D4026">
        <v>13002561</v>
      </c>
      <c r="E4026">
        <v>13</v>
      </c>
      <c r="F4026">
        <v>22589</v>
      </c>
      <c r="G4026" t="s">
        <v>23</v>
      </c>
      <c r="H4026">
        <v>18</v>
      </c>
      <c r="I4026">
        <v>45947</v>
      </c>
      <c r="J4026" t="s">
        <v>106</v>
      </c>
      <c r="K4026" t="s">
        <v>38</v>
      </c>
      <c r="L4026" t="s">
        <v>34</v>
      </c>
      <c r="M4026">
        <v>3</v>
      </c>
      <c r="N4026">
        <v>144.03</v>
      </c>
      <c r="O4026">
        <v>232.51</v>
      </c>
      <c r="P4026">
        <v>23.25</v>
      </c>
      <c r="Q4026">
        <v>23.25</v>
      </c>
      <c r="R4026" t="s">
        <v>30</v>
      </c>
      <c r="S4026">
        <v>29</v>
      </c>
      <c r="T4026">
        <v>1</v>
      </c>
      <c r="U4026">
        <v>1</v>
      </c>
      <c r="V4026">
        <v>209.26</v>
      </c>
      <c r="W4026">
        <v>13130004024</v>
      </c>
    </row>
    <row r="4027" spans="1:23" x14ac:dyDescent="0.2">
      <c r="A4027" s="1">
        <v>44781</v>
      </c>
      <c r="B4027" s="2">
        <v>0.50210648148148151</v>
      </c>
      <c r="C4027">
        <v>5025</v>
      </c>
      <c r="D4027">
        <v>13002561</v>
      </c>
      <c r="E4027">
        <v>13</v>
      </c>
      <c r="F4027">
        <v>22589</v>
      </c>
      <c r="G4027" t="s">
        <v>23</v>
      </c>
      <c r="H4027">
        <v>18</v>
      </c>
      <c r="I4027">
        <v>68981</v>
      </c>
      <c r="J4027" t="s">
        <v>70</v>
      </c>
      <c r="K4027" t="s">
        <v>45</v>
      </c>
      <c r="L4027" t="s">
        <v>29</v>
      </c>
      <c r="M4027">
        <v>1</v>
      </c>
      <c r="N4027">
        <v>154.16999999999999</v>
      </c>
      <c r="O4027">
        <v>218.58</v>
      </c>
      <c r="P4027">
        <v>21.86</v>
      </c>
      <c r="Q4027">
        <v>21.86</v>
      </c>
      <c r="R4027" t="s">
        <v>30</v>
      </c>
      <c r="S4027">
        <v>29</v>
      </c>
      <c r="T4027">
        <v>1</v>
      </c>
      <c r="U4027">
        <v>1</v>
      </c>
      <c r="V4027">
        <v>196.72</v>
      </c>
      <c r="W4027">
        <v>13130004025</v>
      </c>
    </row>
    <row r="4028" spans="1:23" x14ac:dyDescent="0.2">
      <c r="A4028" s="1">
        <v>44778</v>
      </c>
      <c r="B4028" s="2">
        <v>0.35593750000000002</v>
      </c>
      <c r="C4028">
        <v>5026</v>
      </c>
      <c r="D4028">
        <v>13002561</v>
      </c>
      <c r="E4028">
        <v>13</v>
      </c>
      <c r="F4028">
        <v>22589</v>
      </c>
      <c r="G4028" t="s">
        <v>23</v>
      </c>
      <c r="H4028">
        <v>18</v>
      </c>
      <c r="I4028">
        <v>47014</v>
      </c>
      <c r="J4028" t="s">
        <v>112</v>
      </c>
      <c r="K4028" t="s">
        <v>28</v>
      </c>
      <c r="L4028" t="s">
        <v>29</v>
      </c>
      <c r="M4028">
        <v>1</v>
      </c>
      <c r="N4028">
        <v>442.58</v>
      </c>
      <c r="O4028">
        <v>597.28</v>
      </c>
      <c r="P4028">
        <v>59.73</v>
      </c>
      <c r="Q4028">
        <v>59.73</v>
      </c>
      <c r="R4028" t="s">
        <v>30</v>
      </c>
      <c r="S4028">
        <v>29</v>
      </c>
      <c r="T4028">
        <v>1</v>
      </c>
      <c r="U4028">
        <v>6</v>
      </c>
      <c r="V4028">
        <v>537.54999999999995</v>
      </c>
      <c r="W4028">
        <v>13130004026</v>
      </c>
    </row>
    <row r="4029" spans="1:23" x14ac:dyDescent="0.2">
      <c r="A4029" s="1">
        <v>44792</v>
      </c>
      <c r="B4029" s="2">
        <v>0.86047453703703702</v>
      </c>
      <c r="C4029">
        <v>5027</v>
      </c>
      <c r="D4029">
        <v>13002561</v>
      </c>
      <c r="E4029">
        <v>13</v>
      </c>
      <c r="F4029">
        <v>22589</v>
      </c>
      <c r="G4029" t="s">
        <v>23</v>
      </c>
      <c r="H4029">
        <v>15</v>
      </c>
      <c r="I4029">
        <v>36438</v>
      </c>
      <c r="J4029" t="s">
        <v>112</v>
      </c>
      <c r="K4029" t="s">
        <v>28</v>
      </c>
      <c r="L4029" t="s">
        <v>34</v>
      </c>
      <c r="M4029">
        <v>2</v>
      </c>
      <c r="N4029">
        <v>124.44</v>
      </c>
      <c r="O4029">
        <v>193.78</v>
      </c>
      <c r="P4029">
        <v>19.38</v>
      </c>
      <c r="Q4029">
        <v>19.38</v>
      </c>
      <c r="R4029" t="s">
        <v>30</v>
      </c>
      <c r="S4029">
        <v>29</v>
      </c>
      <c r="T4029">
        <v>1</v>
      </c>
      <c r="U4029">
        <v>5</v>
      </c>
      <c r="V4029">
        <v>174.4</v>
      </c>
      <c r="W4029">
        <v>13130004027</v>
      </c>
    </row>
    <row r="4030" spans="1:23" x14ac:dyDescent="0.2">
      <c r="A4030" s="1">
        <v>44787</v>
      </c>
      <c r="B4030" s="2">
        <v>0.45642361111111113</v>
      </c>
      <c r="C4030">
        <v>5028</v>
      </c>
      <c r="D4030">
        <v>13002561</v>
      </c>
      <c r="E4030">
        <v>13</v>
      </c>
      <c r="F4030">
        <v>22589</v>
      </c>
      <c r="G4030" t="s">
        <v>23</v>
      </c>
      <c r="H4030">
        <v>18</v>
      </c>
      <c r="I4030">
        <v>98281</v>
      </c>
      <c r="J4030" t="s">
        <v>90</v>
      </c>
      <c r="K4030" t="s">
        <v>44</v>
      </c>
      <c r="L4030" t="s">
        <v>34</v>
      </c>
      <c r="M4030">
        <v>2</v>
      </c>
      <c r="N4030">
        <v>133.61000000000001</v>
      </c>
      <c r="O4030">
        <v>204.23</v>
      </c>
      <c r="P4030">
        <v>20.420000000000002</v>
      </c>
      <c r="Q4030">
        <v>20.420000000000002</v>
      </c>
      <c r="R4030" t="s">
        <v>30</v>
      </c>
      <c r="S4030">
        <v>29</v>
      </c>
      <c r="T4030">
        <v>1</v>
      </c>
      <c r="U4030">
        <v>3</v>
      </c>
      <c r="V4030">
        <v>183.81</v>
      </c>
      <c r="W4030">
        <v>13130004028</v>
      </c>
    </row>
    <row r="4031" spans="1:23" x14ac:dyDescent="0.2">
      <c r="A4031" s="1">
        <v>44792</v>
      </c>
      <c r="B4031" s="2">
        <v>0.94365740740740744</v>
      </c>
      <c r="C4031">
        <v>5029</v>
      </c>
      <c r="D4031">
        <v>13002561</v>
      </c>
      <c r="E4031">
        <v>13</v>
      </c>
      <c r="F4031">
        <v>22589</v>
      </c>
      <c r="G4031" t="s">
        <v>23</v>
      </c>
      <c r="H4031">
        <v>15</v>
      </c>
      <c r="I4031">
        <v>91054</v>
      </c>
      <c r="J4031" t="s">
        <v>77</v>
      </c>
      <c r="K4031" t="s">
        <v>60</v>
      </c>
      <c r="L4031" t="s">
        <v>32</v>
      </c>
      <c r="M4031">
        <v>1</v>
      </c>
      <c r="N4031">
        <v>472.53</v>
      </c>
      <c r="O4031">
        <v>794.84</v>
      </c>
      <c r="P4031">
        <v>79.48</v>
      </c>
      <c r="Q4031">
        <v>79.48</v>
      </c>
      <c r="R4031" t="s">
        <v>30</v>
      </c>
      <c r="S4031">
        <v>29</v>
      </c>
      <c r="T4031">
        <v>1</v>
      </c>
      <c r="U4031">
        <v>2</v>
      </c>
      <c r="V4031">
        <v>715.36</v>
      </c>
      <c r="W4031">
        <v>13130004029</v>
      </c>
    </row>
    <row r="4032" spans="1:23" x14ac:dyDescent="0.2">
      <c r="A4032" s="1">
        <v>44774</v>
      </c>
      <c r="B4032" s="2">
        <v>0.35476851851851848</v>
      </c>
      <c r="C4032">
        <v>5030</v>
      </c>
      <c r="D4032">
        <v>13002561</v>
      </c>
      <c r="E4032">
        <v>13</v>
      </c>
      <c r="F4032">
        <v>22589</v>
      </c>
      <c r="G4032" t="s">
        <v>23</v>
      </c>
      <c r="H4032">
        <v>15</v>
      </c>
      <c r="I4032">
        <v>71637</v>
      </c>
      <c r="J4032" t="s">
        <v>94</v>
      </c>
      <c r="K4032" t="s">
        <v>44</v>
      </c>
      <c r="L4032" t="s">
        <v>32</v>
      </c>
      <c r="M4032">
        <v>1</v>
      </c>
      <c r="N4032">
        <v>254.68</v>
      </c>
      <c r="O4032">
        <v>398.18</v>
      </c>
      <c r="P4032">
        <v>0</v>
      </c>
      <c r="Q4032">
        <v>0</v>
      </c>
      <c r="S4032">
        <v>29</v>
      </c>
      <c r="T4032">
        <v>1</v>
      </c>
      <c r="U4032">
        <v>6</v>
      </c>
      <c r="V4032">
        <v>398.18</v>
      </c>
      <c r="W4032">
        <v>13130004030</v>
      </c>
    </row>
    <row r="4033" spans="1:23" x14ac:dyDescent="0.2">
      <c r="A4033" s="1">
        <v>44775</v>
      </c>
      <c r="B4033" s="2">
        <v>0.551875</v>
      </c>
      <c r="C4033">
        <v>5031</v>
      </c>
      <c r="D4033">
        <v>13002561</v>
      </c>
      <c r="E4033">
        <v>13</v>
      </c>
      <c r="F4033">
        <v>22589</v>
      </c>
      <c r="G4033" t="s">
        <v>23</v>
      </c>
      <c r="H4033">
        <v>15</v>
      </c>
      <c r="I4033">
        <v>81650</v>
      </c>
      <c r="J4033" t="s">
        <v>123</v>
      </c>
      <c r="K4033" t="s">
        <v>28</v>
      </c>
      <c r="L4033" t="s">
        <v>34</v>
      </c>
      <c r="M4033">
        <v>3</v>
      </c>
      <c r="N4033">
        <v>331.87</v>
      </c>
      <c r="O4033">
        <v>474.4</v>
      </c>
      <c r="P4033">
        <v>47.44</v>
      </c>
      <c r="Q4033">
        <v>47.44</v>
      </c>
      <c r="R4033" t="s">
        <v>30</v>
      </c>
      <c r="S4033">
        <v>29</v>
      </c>
      <c r="T4033">
        <v>1</v>
      </c>
      <c r="U4033">
        <v>5</v>
      </c>
      <c r="V4033">
        <v>426.96</v>
      </c>
      <c r="W4033">
        <v>13130004031</v>
      </c>
    </row>
    <row r="4034" spans="1:23" x14ac:dyDescent="0.2">
      <c r="A4034" s="1">
        <v>44796</v>
      </c>
      <c r="B4034" s="2">
        <v>0.37447916666666659</v>
      </c>
      <c r="C4034">
        <v>5032</v>
      </c>
      <c r="D4034">
        <v>13002561</v>
      </c>
      <c r="E4034">
        <v>13</v>
      </c>
      <c r="F4034">
        <v>22589</v>
      </c>
      <c r="G4034" t="s">
        <v>23</v>
      </c>
      <c r="H4034">
        <v>15</v>
      </c>
      <c r="I4034">
        <v>78885</v>
      </c>
      <c r="J4034" t="s">
        <v>46</v>
      </c>
      <c r="K4034" t="s">
        <v>38</v>
      </c>
      <c r="L4034" t="s">
        <v>26</v>
      </c>
      <c r="M4034">
        <v>1</v>
      </c>
      <c r="N4034">
        <v>511.64</v>
      </c>
      <c r="O4034">
        <v>783.6</v>
      </c>
      <c r="P4034">
        <v>78.36</v>
      </c>
      <c r="Q4034">
        <v>78.36</v>
      </c>
      <c r="R4034" t="s">
        <v>30</v>
      </c>
      <c r="S4034">
        <v>29</v>
      </c>
      <c r="T4034">
        <v>1</v>
      </c>
      <c r="U4034">
        <v>5</v>
      </c>
      <c r="V4034">
        <v>705.24</v>
      </c>
      <c r="W4034">
        <v>13130004032</v>
      </c>
    </row>
    <row r="4035" spans="1:23" x14ac:dyDescent="0.2">
      <c r="A4035" s="1">
        <v>44779</v>
      </c>
      <c r="B4035" s="2">
        <v>0.51525462962962965</v>
      </c>
      <c r="C4035">
        <v>5033</v>
      </c>
      <c r="D4035">
        <v>13002561</v>
      </c>
      <c r="E4035">
        <v>13</v>
      </c>
      <c r="F4035">
        <v>22589</v>
      </c>
      <c r="G4035" t="s">
        <v>23</v>
      </c>
      <c r="H4035">
        <v>15</v>
      </c>
      <c r="I4035">
        <v>50451</v>
      </c>
      <c r="J4035" t="s">
        <v>110</v>
      </c>
      <c r="K4035" t="s">
        <v>28</v>
      </c>
      <c r="L4035" t="s">
        <v>32</v>
      </c>
      <c r="M4035">
        <v>2</v>
      </c>
      <c r="N4035">
        <v>585.04999999999995</v>
      </c>
      <c r="O4035">
        <v>763.23</v>
      </c>
      <c r="P4035">
        <v>0</v>
      </c>
      <c r="Q4035">
        <v>0</v>
      </c>
      <c r="S4035">
        <v>29</v>
      </c>
      <c r="T4035">
        <v>1</v>
      </c>
      <c r="U4035">
        <v>6</v>
      </c>
      <c r="V4035">
        <v>763.23</v>
      </c>
      <c r="W4035">
        <v>13130004033</v>
      </c>
    </row>
    <row r="4036" spans="1:23" x14ac:dyDescent="0.2">
      <c r="A4036" s="1">
        <v>44793</v>
      </c>
      <c r="B4036" s="2">
        <v>0.82495370370370369</v>
      </c>
      <c r="C4036">
        <v>5034</v>
      </c>
      <c r="D4036">
        <v>13002561</v>
      </c>
      <c r="E4036">
        <v>13</v>
      </c>
      <c r="F4036">
        <v>22589</v>
      </c>
      <c r="G4036" t="s">
        <v>23</v>
      </c>
      <c r="H4036">
        <v>18</v>
      </c>
      <c r="I4036">
        <v>13649</v>
      </c>
      <c r="J4036" t="s">
        <v>93</v>
      </c>
      <c r="K4036" t="s">
        <v>38</v>
      </c>
      <c r="L4036" t="s">
        <v>34</v>
      </c>
      <c r="M4036">
        <v>2</v>
      </c>
      <c r="N4036">
        <v>79.42</v>
      </c>
      <c r="O4036">
        <v>100.42</v>
      </c>
      <c r="P4036">
        <v>5.0199999999999996</v>
      </c>
      <c r="Q4036">
        <v>5.0199999999999996</v>
      </c>
      <c r="R4036" t="s">
        <v>30</v>
      </c>
      <c r="S4036">
        <v>29</v>
      </c>
      <c r="T4036">
        <v>1</v>
      </c>
      <c r="U4036">
        <v>3</v>
      </c>
      <c r="V4036">
        <v>95.4</v>
      </c>
      <c r="W4036">
        <v>13130004034</v>
      </c>
    </row>
    <row r="4037" spans="1:23" x14ac:dyDescent="0.2">
      <c r="A4037" s="1">
        <v>44801</v>
      </c>
      <c r="B4037" s="2">
        <v>0.7888425925925926</v>
      </c>
      <c r="C4037">
        <v>5035</v>
      </c>
      <c r="D4037">
        <v>13002561</v>
      </c>
      <c r="E4037">
        <v>13</v>
      </c>
      <c r="F4037">
        <v>22589</v>
      </c>
      <c r="G4037" t="s">
        <v>23</v>
      </c>
      <c r="H4037">
        <v>18</v>
      </c>
      <c r="I4037">
        <v>91576</v>
      </c>
      <c r="J4037" t="s">
        <v>121</v>
      </c>
      <c r="K4037" t="s">
        <v>44</v>
      </c>
      <c r="L4037" t="s">
        <v>29</v>
      </c>
      <c r="M4037">
        <v>1</v>
      </c>
      <c r="N4037">
        <v>253.94</v>
      </c>
      <c r="O4037">
        <v>349.42</v>
      </c>
      <c r="P4037">
        <v>0</v>
      </c>
      <c r="Q4037">
        <v>0</v>
      </c>
      <c r="S4037">
        <v>29</v>
      </c>
      <c r="T4037">
        <v>1</v>
      </c>
      <c r="U4037">
        <v>5</v>
      </c>
      <c r="V4037">
        <v>349.42</v>
      </c>
      <c r="W4037">
        <v>13130004035</v>
      </c>
    </row>
    <row r="4038" spans="1:23" x14ac:dyDescent="0.2">
      <c r="A4038" s="1">
        <v>44804</v>
      </c>
      <c r="B4038" s="2">
        <v>0.59453703703703709</v>
      </c>
      <c r="C4038">
        <v>5036</v>
      </c>
      <c r="D4038">
        <v>13002561</v>
      </c>
      <c r="E4038">
        <v>13</v>
      </c>
      <c r="F4038">
        <v>22589</v>
      </c>
      <c r="G4038" t="s">
        <v>23</v>
      </c>
      <c r="H4038">
        <v>18</v>
      </c>
      <c r="I4038">
        <v>56124</v>
      </c>
      <c r="J4038" t="s">
        <v>86</v>
      </c>
      <c r="K4038" t="s">
        <v>38</v>
      </c>
      <c r="L4038" t="s">
        <v>47</v>
      </c>
      <c r="M4038">
        <v>1</v>
      </c>
      <c r="N4038">
        <v>401.79</v>
      </c>
      <c r="O4038">
        <v>526.94000000000005</v>
      </c>
      <c r="P4038">
        <v>52.69</v>
      </c>
      <c r="Q4038">
        <v>52.69</v>
      </c>
      <c r="R4038" t="s">
        <v>30</v>
      </c>
      <c r="S4038">
        <v>29</v>
      </c>
      <c r="T4038">
        <v>1</v>
      </c>
      <c r="U4038">
        <v>5</v>
      </c>
      <c r="V4038">
        <v>474.25</v>
      </c>
      <c r="W4038">
        <v>13130004036</v>
      </c>
    </row>
    <row r="4039" spans="1:23" x14ac:dyDescent="0.2">
      <c r="A4039" s="1">
        <v>44786</v>
      </c>
      <c r="B4039" s="2">
        <v>0.43868055555555557</v>
      </c>
      <c r="C4039">
        <v>5037</v>
      </c>
      <c r="D4039">
        <v>13002561</v>
      </c>
      <c r="E4039">
        <v>13</v>
      </c>
      <c r="F4039">
        <v>22589</v>
      </c>
      <c r="G4039" t="s">
        <v>23</v>
      </c>
      <c r="H4039">
        <v>15</v>
      </c>
      <c r="I4039">
        <v>87880</v>
      </c>
      <c r="J4039" t="s">
        <v>85</v>
      </c>
      <c r="K4039" t="s">
        <v>60</v>
      </c>
      <c r="L4039" t="s">
        <v>36</v>
      </c>
      <c r="M4039">
        <v>1</v>
      </c>
      <c r="N4039">
        <v>484.55</v>
      </c>
      <c r="O4039">
        <v>661.41</v>
      </c>
      <c r="P4039">
        <v>66.14</v>
      </c>
      <c r="Q4039">
        <v>66.14</v>
      </c>
      <c r="R4039" t="s">
        <v>30</v>
      </c>
      <c r="S4039">
        <v>29</v>
      </c>
      <c r="T4039">
        <v>1</v>
      </c>
      <c r="U4039">
        <v>3</v>
      </c>
      <c r="V4039">
        <v>595.27</v>
      </c>
      <c r="W4039">
        <v>13130004037</v>
      </c>
    </row>
    <row r="4040" spans="1:23" x14ac:dyDescent="0.2">
      <c r="A4040" s="1">
        <v>44793</v>
      </c>
      <c r="B4040" s="2">
        <v>0.89847222222222223</v>
      </c>
      <c r="C4040">
        <v>5038</v>
      </c>
      <c r="D4040">
        <v>13002561</v>
      </c>
      <c r="E4040">
        <v>13</v>
      </c>
      <c r="F4040">
        <v>22589</v>
      </c>
      <c r="G4040" t="s">
        <v>23</v>
      </c>
      <c r="H4040">
        <v>15</v>
      </c>
      <c r="I4040">
        <v>99012</v>
      </c>
      <c r="J4040" t="s">
        <v>50</v>
      </c>
      <c r="K4040" t="s">
        <v>28</v>
      </c>
      <c r="L4040" t="s">
        <v>32</v>
      </c>
      <c r="M4040">
        <v>1</v>
      </c>
      <c r="N4040">
        <v>462.04</v>
      </c>
      <c r="O4040">
        <v>625.25</v>
      </c>
      <c r="P4040">
        <v>62.53</v>
      </c>
      <c r="Q4040">
        <v>62.53</v>
      </c>
      <c r="R4040" t="s">
        <v>30</v>
      </c>
      <c r="S4040">
        <v>29</v>
      </c>
      <c r="T4040">
        <v>1</v>
      </c>
      <c r="U4040">
        <v>1</v>
      </c>
      <c r="V4040">
        <v>562.72</v>
      </c>
      <c r="W4040">
        <v>13130004038</v>
      </c>
    </row>
    <row r="4041" spans="1:23" x14ac:dyDescent="0.2">
      <c r="A4041" s="1">
        <v>44787</v>
      </c>
      <c r="B4041" s="2">
        <v>0.79269675925925931</v>
      </c>
      <c r="C4041">
        <v>5039</v>
      </c>
      <c r="D4041">
        <v>13002561</v>
      </c>
      <c r="E4041">
        <v>13</v>
      </c>
      <c r="F4041">
        <v>22589</v>
      </c>
      <c r="G4041" t="s">
        <v>23</v>
      </c>
      <c r="H4041">
        <v>18</v>
      </c>
      <c r="I4041">
        <v>42032</v>
      </c>
      <c r="J4041" t="s">
        <v>46</v>
      </c>
      <c r="K4041" t="s">
        <v>28</v>
      </c>
      <c r="L4041" t="s">
        <v>39</v>
      </c>
      <c r="M4041">
        <v>1</v>
      </c>
      <c r="N4041">
        <v>127.59</v>
      </c>
      <c r="O4041">
        <v>171.54</v>
      </c>
      <c r="P4041">
        <v>0</v>
      </c>
      <c r="Q4041">
        <v>0</v>
      </c>
      <c r="S4041">
        <v>29</v>
      </c>
      <c r="T4041">
        <v>1</v>
      </c>
      <c r="U4041">
        <v>1</v>
      </c>
      <c r="V4041">
        <v>171.54</v>
      </c>
      <c r="W4041">
        <v>13130004039</v>
      </c>
    </row>
    <row r="4042" spans="1:23" x14ac:dyDescent="0.2">
      <c r="A4042" s="1">
        <v>44780</v>
      </c>
      <c r="B4042" s="2">
        <v>0.36881944444444442</v>
      </c>
      <c r="C4042">
        <v>5040</v>
      </c>
      <c r="D4042">
        <v>13002561</v>
      </c>
      <c r="E4042">
        <v>13</v>
      </c>
      <c r="F4042">
        <v>22589</v>
      </c>
      <c r="G4042" t="s">
        <v>23</v>
      </c>
      <c r="H4042">
        <v>18</v>
      </c>
      <c r="I4042">
        <v>93442</v>
      </c>
      <c r="J4042" t="s">
        <v>109</v>
      </c>
      <c r="K4042" t="s">
        <v>28</v>
      </c>
      <c r="L4042" t="s">
        <v>47</v>
      </c>
      <c r="M4042">
        <v>3</v>
      </c>
      <c r="N4042">
        <v>92.87</v>
      </c>
      <c r="O4042">
        <v>125.07</v>
      </c>
      <c r="P4042">
        <v>12.51</v>
      </c>
      <c r="Q4042">
        <v>12.51</v>
      </c>
      <c r="R4042" t="s">
        <v>30</v>
      </c>
      <c r="S4042">
        <v>29</v>
      </c>
      <c r="T4042">
        <v>1</v>
      </c>
      <c r="U4042">
        <v>2</v>
      </c>
      <c r="V4042">
        <v>112.56</v>
      </c>
      <c r="W4042">
        <v>13130004040</v>
      </c>
    </row>
    <row r="4043" spans="1:23" x14ac:dyDescent="0.2">
      <c r="A4043" s="1">
        <v>44804</v>
      </c>
      <c r="B4043" s="2">
        <v>0.83597222222222223</v>
      </c>
      <c r="C4043">
        <v>5041</v>
      </c>
      <c r="D4043">
        <v>13002561</v>
      </c>
      <c r="E4043">
        <v>13</v>
      </c>
      <c r="F4043">
        <v>22589</v>
      </c>
      <c r="G4043" t="s">
        <v>23</v>
      </c>
      <c r="H4043">
        <v>18</v>
      </c>
      <c r="I4043">
        <v>75229</v>
      </c>
      <c r="J4043" t="s">
        <v>92</v>
      </c>
      <c r="K4043" t="s">
        <v>60</v>
      </c>
      <c r="L4043" t="s">
        <v>26</v>
      </c>
      <c r="M4043">
        <v>2</v>
      </c>
      <c r="N4043">
        <v>225.57</v>
      </c>
      <c r="O4043">
        <v>377.43</v>
      </c>
      <c r="P4043">
        <v>0</v>
      </c>
      <c r="Q4043">
        <v>0</v>
      </c>
      <c r="S4043">
        <v>29</v>
      </c>
      <c r="T4043">
        <v>1</v>
      </c>
      <c r="U4043">
        <v>6</v>
      </c>
      <c r="V4043">
        <v>377.43</v>
      </c>
      <c r="W4043">
        <v>13130004041</v>
      </c>
    </row>
    <row r="4044" spans="1:23" x14ac:dyDescent="0.2">
      <c r="A4044" s="1">
        <v>44784</v>
      </c>
      <c r="B4044" s="2">
        <v>0.80311342592592594</v>
      </c>
      <c r="C4044">
        <v>5042</v>
      </c>
      <c r="D4044">
        <v>13002561</v>
      </c>
      <c r="E4044">
        <v>13</v>
      </c>
      <c r="F4044">
        <v>22589</v>
      </c>
      <c r="G4044" t="s">
        <v>23</v>
      </c>
      <c r="H4044">
        <v>15</v>
      </c>
      <c r="I4044">
        <v>58091</v>
      </c>
      <c r="J4044" t="s">
        <v>97</v>
      </c>
      <c r="K4044" t="s">
        <v>25</v>
      </c>
      <c r="L4044" t="s">
        <v>47</v>
      </c>
      <c r="M4044">
        <v>3</v>
      </c>
      <c r="N4044">
        <v>315.52</v>
      </c>
      <c r="O4044">
        <v>530.03</v>
      </c>
      <c r="P4044">
        <v>53</v>
      </c>
      <c r="Q4044">
        <v>53</v>
      </c>
      <c r="R4044" t="s">
        <v>30</v>
      </c>
      <c r="S4044">
        <v>29</v>
      </c>
      <c r="T4044">
        <v>1</v>
      </c>
      <c r="U4044">
        <v>4</v>
      </c>
      <c r="V4044">
        <v>477.03</v>
      </c>
      <c r="W4044">
        <v>13130004042</v>
      </c>
    </row>
    <row r="4045" spans="1:23" x14ac:dyDescent="0.2">
      <c r="A4045" s="1">
        <v>44785</v>
      </c>
      <c r="B4045" s="2">
        <v>0.82545138888888892</v>
      </c>
      <c r="C4045">
        <v>5043</v>
      </c>
      <c r="D4045">
        <v>13002561</v>
      </c>
      <c r="E4045">
        <v>13</v>
      </c>
      <c r="F4045">
        <v>22589</v>
      </c>
      <c r="G4045" t="s">
        <v>23</v>
      </c>
      <c r="H4045">
        <v>15</v>
      </c>
      <c r="I4045">
        <v>51568</v>
      </c>
      <c r="J4045" t="s">
        <v>46</v>
      </c>
      <c r="K4045" t="s">
        <v>38</v>
      </c>
      <c r="L4045" t="s">
        <v>26</v>
      </c>
      <c r="M4045">
        <v>3</v>
      </c>
      <c r="N4045">
        <v>570.36</v>
      </c>
      <c r="O4045">
        <v>901.69</v>
      </c>
      <c r="P4045">
        <v>0</v>
      </c>
      <c r="Q4045">
        <v>0</v>
      </c>
      <c r="S4045">
        <v>29</v>
      </c>
      <c r="T4045">
        <v>1</v>
      </c>
      <c r="U4045">
        <v>4</v>
      </c>
      <c r="V4045">
        <v>901.69</v>
      </c>
      <c r="W4045">
        <v>13130004043</v>
      </c>
    </row>
    <row r="4046" spans="1:23" x14ac:dyDescent="0.2">
      <c r="A4046" s="1">
        <v>44803</v>
      </c>
      <c r="B4046" s="2">
        <v>0.64273148148148151</v>
      </c>
      <c r="C4046">
        <v>5044</v>
      </c>
      <c r="D4046">
        <v>13002561</v>
      </c>
      <c r="E4046">
        <v>13</v>
      </c>
      <c r="F4046">
        <v>22589</v>
      </c>
      <c r="G4046" t="s">
        <v>23</v>
      </c>
      <c r="H4046">
        <v>18</v>
      </c>
      <c r="I4046">
        <v>98222</v>
      </c>
      <c r="J4046" t="s">
        <v>37</v>
      </c>
      <c r="K4046" t="s">
        <v>44</v>
      </c>
      <c r="L4046" t="s">
        <v>29</v>
      </c>
      <c r="M4046">
        <v>1</v>
      </c>
      <c r="N4046">
        <v>58.9</v>
      </c>
      <c r="O4046">
        <v>95.5</v>
      </c>
      <c r="P4046">
        <v>9.5500000000000007</v>
      </c>
      <c r="Q4046">
        <v>9.5500000000000007</v>
      </c>
      <c r="R4046" t="s">
        <v>30</v>
      </c>
      <c r="S4046">
        <v>29</v>
      </c>
      <c r="T4046">
        <v>1</v>
      </c>
      <c r="U4046">
        <v>3</v>
      </c>
      <c r="V4046">
        <v>85.95</v>
      </c>
      <c r="W4046">
        <v>13130004044</v>
      </c>
    </row>
    <row r="4047" spans="1:23" x14ac:dyDescent="0.2">
      <c r="A4047" s="1">
        <v>44795</v>
      </c>
      <c r="B4047" s="2">
        <v>0.86679398148148146</v>
      </c>
      <c r="C4047">
        <v>5045</v>
      </c>
      <c r="D4047">
        <v>13002561</v>
      </c>
      <c r="E4047">
        <v>13</v>
      </c>
      <c r="F4047">
        <v>22589</v>
      </c>
      <c r="G4047" t="s">
        <v>23</v>
      </c>
      <c r="H4047">
        <v>15</v>
      </c>
      <c r="I4047">
        <v>52168</v>
      </c>
      <c r="J4047" t="s">
        <v>93</v>
      </c>
      <c r="K4047" t="s">
        <v>45</v>
      </c>
      <c r="L4047" t="s">
        <v>39</v>
      </c>
      <c r="M4047">
        <v>3</v>
      </c>
      <c r="N4047">
        <v>271.25</v>
      </c>
      <c r="O4047">
        <v>405.55</v>
      </c>
      <c r="P4047">
        <v>20.28</v>
      </c>
      <c r="Q4047">
        <v>20.28</v>
      </c>
      <c r="R4047" t="s">
        <v>30</v>
      </c>
      <c r="S4047">
        <v>29</v>
      </c>
      <c r="T4047">
        <v>1</v>
      </c>
      <c r="U4047">
        <v>6</v>
      </c>
      <c r="V4047">
        <v>385.27</v>
      </c>
      <c r="W4047">
        <v>13130004045</v>
      </c>
    </row>
    <row r="4048" spans="1:23" x14ac:dyDescent="0.2">
      <c r="A4048" s="1">
        <v>44792</v>
      </c>
      <c r="B4048" s="2">
        <v>0.44189814814814821</v>
      </c>
      <c r="C4048">
        <v>5046</v>
      </c>
      <c r="D4048">
        <v>13002561</v>
      </c>
      <c r="E4048">
        <v>13</v>
      </c>
      <c r="F4048">
        <v>22589</v>
      </c>
      <c r="G4048" t="s">
        <v>23</v>
      </c>
      <c r="H4048">
        <v>15</v>
      </c>
      <c r="I4048">
        <v>23279</v>
      </c>
      <c r="J4048" t="s">
        <v>33</v>
      </c>
      <c r="K4048" t="s">
        <v>28</v>
      </c>
      <c r="L4048" t="s">
        <v>34</v>
      </c>
      <c r="M4048">
        <v>2</v>
      </c>
      <c r="N4048">
        <v>502.48</v>
      </c>
      <c r="O4048">
        <v>704.44</v>
      </c>
      <c r="P4048">
        <v>0</v>
      </c>
      <c r="Q4048">
        <v>0</v>
      </c>
      <c r="S4048">
        <v>29</v>
      </c>
      <c r="T4048">
        <v>1</v>
      </c>
      <c r="U4048">
        <v>6</v>
      </c>
      <c r="V4048">
        <v>704.44</v>
      </c>
      <c r="W4048">
        <v>13130004046</v>
      </c>
    </row>
    <row r="4049" spans="1:23" x14ac:dyDescent="0.2">
      <c r="A4049" s="1">
        <v>44798</v>
      </c>
      <c r="B4049" s="2">
        <v>0.57747685185185182</v>
      </c>
      <c r="C4049">
        <v>5047</v>
      </c>
      <c r="D4049">
        <v>13002561</v>
      </c>
      <c r="E4049">
        <v>13</v>
      </c>
      <c r="F4049">
        <v>22589</v>
      </c>
      <c r="G4049" t="s">
        <v>23</v>
      </c>
      <c r="H4049">
        <v>18</v>
      </c>
      <c r="I4049">
        <v>65370</v>
      </c>
      <c r="J4049" t="s">
        <v>109</v>
      </c>
      <c r="K4049" t="s">
        <v>60</v>
      </c>
      <c r="L4049" t="s">
        <v>36</v>
      </c>
      <c r="M4049">
        <v>1</v>
      </c>
      <c r="N4049">
        <v>437.29</v>
      </c>
      <c r="O4049">
        <v>728.24</v>
      </c>
      <c r="P4049">
        <v>36.409999999999997</v>
      </c>
      <c r="Q4049">
        <v>36.409999999999997</v>
      </c>
      <c r="R4049" t="s">
        <v>30</v>
      </c>
      <c r="S4049">
        <v>29</v>
      </c>
      <c r="T4049">
        <v>1</v>
      </c>
      <c r="U4049">
        <v>3</v>
      </c>
      <c r="V4049">
        <v>691.83</v>
      </c>
      <c r="W4049">
        <v>13130004047</v>
      </c>
    </row>
    <row r="4050" spans="1:23" x14ac:dyDescent="0.2">
      <c r="A4050" s="1">
        <v>44790</v>
      </c>
      <c r="B4050" s="2">
        <v>0.82226851851851857</v>
      </c>
      <c r="C4050">
        <v>5048</v>
      </c>
      <c r="D4050">
        <v>13002561</v>
      </c>
      <c r="E4050">
        <v>13</v>
      </c>
      <c r="F4050">
        <v>22589</v>
      </c>
      <c r="G4050" t="s">
        <v>23</v>
      </c>
      <c r="H4050">
        <v>18</v>
      </c>
      <c r="I4050">
        <v>84164</v>
      </c>
      <c r="J4050" t="s">
        <v>126</v>
      </c>
      <c r="K4050" t="s">
        <v>28</v>
      </c>
      <c r="L4050" t="s">
        <v>36</v>
      </c>
      <c r="M4050">
        <v>3</v>
      </c>
      <c r="N4050">
        <v>262.31</v>
      </c>
      <c r="O4050">
        <v>372.83</v>
      </c>
      <c r="P4050">
        <v>0</v>
      </c>
      <c r="Q4050">
        <v>0</v>
      </c>
      <c r="S4050">
        <v>29</v>
      </c>
      <c r="T4050">
        <v>1</v>
      </c>
      <c r="U4050">
        <v>1</v>
      </c>
      <c r="V4050">
        <v>372.83</v>
      </c>
      <c r="W4050">
        <v>13130004048</v>
      </c>
    </row>
    <row r="4051" spans="1:23" x14ac:dyDescent="0.2">
      <c r="A4051" s="1">
        <v>44777</v>
      </c>
      <c r="B4051" s="2">
        <v>0.76064814814814818</v>
      </c>
      <c r="C4051">
        <v>5049</v>
      </c>
      <c r="D4051">
        <v>13002561</v>
      </c>
      <c r="E4051">
        <v>13</v>
      </c>
      <c r="F4051">
        <v>22589</v>
      </c>
      <c r="G4051" t="s">
        <v>23</v>
      </c>
      <c r="H4051">
        <v>18</v>
      </c>
      <c r="I4051">
        <v>21434</v>
      </c>
      <c r="J4051" t="s">
        <v>115</v>
      </c>
      <c r="K4051" t="s">
        <v>45</v>
      </c>
      <c r="L4051" t="s">
        <v>32</v>
      </c>
      <c r="M4051">
        <v>2</v>
      </c>
      <c r="N4051">
        <v>41.95</v>
      </c>
      <c r="O4051">
        <v>53.77</v>
      </c>
      <c r="P4051">
        <v>2.69</v>
      </c>
      <c r="Q4051">
        <v>2.69</v>
      </c>
      <c r="R4051" t="s">
        <v>30</v>
      </c>
      <c r="S4051">
        <v>29</v>
      </c>
      <c r="T4051">
        <v>1</v>
      </c>
      <c r="U4051">
        <v>4</v>
      </c>
      <c r="V4051">
        <v>51.08</v>
      </c>
      <c r="W4051">
        <v>13130004049</v>
      </c>
    </row>
    <row r="4052" spans="1:23" x14ac:dyDescent="0.2">
      <c r="A4052" s="1">
        <v>44781</v>
      </c>
      <c r="B4052" s="2">
        <v>0.35059027777777779</v>
      </c>
      <c r="C4052">
        <v>5050</v>
      </c>
      <c r="D4052">
        <v>13002561</v>
      </c>
      <c r="E4052">
        <v>13</v>
      </c>
      <c r="F4052">
        <v>22589</v>
      </c>
      <c r="G4052" t="s">
        <v>23</v>
      </c>
      <c r="H4052">
        <v>18</v>
      </c>
      <c r="I4052">
        <v>55061</v>
      </c>
      <c r="J4052" t="s">
        <v>90</v>
      </c>
      <c r="K4052" t="s">
        <v>28</v>
      </c>
      <c r="L4052" t="s">
        <v>32</v>
      </c>
      <c r="M4052">
        <v>1</v>
      </c>
      <c r="N4052">
        <v>511.61</v>
      </c>
      <c r="O4052">
        <v>797.85</v>
      </c>
      <c r="P4052">
        <v>0</v>
      </c>
      <c r="Q4052">
        <v>0</v>
      </c>
      <c r="S4052">
        <v>29</v>
      </c>
      <c r="T4052">
        <v>1</v>
      </c>
      <c r="U4052">
        <v>4</v>
      </c>
      <c r="V4052">
        <v>797.85</v>
      </c>
      <c r="W4052">
        <v>13130004050</v>
      </c>
    </row>
    <row r="4053" spans="1:23" x14ac:dyDescent="0.2">
      <c r="A4053" s="1">
        <v>44803</v>
      </c>
      <c r="B4053" s="2">
        <v>0.49525462962962957</v>
      </c>
      <c r="C4053">
        <v>5051</v>
      </c>
      <c r="D4053">
        <v>13002561</v>
      </c>
      <c r="E4053">
        <v>13</v>
      </c>
      <c r="F4053">
        <v>22589</v>
      </c>
      <c r="G4053" t="s">
        <v>23</v>
      </c>
      <c r="H4053">
        <v>15</v>
      </c>
      <c r="I4053">
        <v>37842</v>
      </c>
      <c r="J4053" t="s">
        <v>33</v>
      </c>
      <c r="K4053" t="s">
        <v>60</v>
      </c>
      <c r="L4053" t="s">
        <v>47</v>
      </c>
      <c r="M4053">
        <v>2</v>
      </c>
      <c r="N4053">
        <v>401.1</v>
      </c>
      <c r="O4053">
        <v>508.31</v>
      </c>
      <c r="P4053">
        <v>25.42</v>
      </c>
      <c r="Q4053">
        <v>25.42</v>
      </c>
      <c r="R4053" t="s">
        <v>30</v>
      </c>
      <c r="S4053">
        <v>29</v>
      </c>
      <c r="T4053">
        <v>1</v>
      </c>
      <c r="U4053">
        <v>2</v>
      </c>
      <c r="V4053">
        <v>482.89</v>
      </c>
      <c r="W4053">
        <v>13130004051</v>
      </c>
    </row>
    <row r="4054" spans="1:23" x14ac:dyDescent="0.2">
      <c r="A4054" s="1">
        <v>44799</v>
      </c>
      <c r="B4054" s="2">
        <v>0.62527777777777782</v>
      </c>
      <c r="C4054">
        <v>5052</v>
      </c>
      <c r="D4054">
        <v>13002561</v>
      </c>
      <c r="E4054">
        <v>13</v>
      </c>
      <c r="F4054">
        <v>22589</v>
      </c>
      <c r="G4054" t="s">
        <v>23</v>
      </c>
      <c r="H4054">
        <v>18</v>
      </c>
      <c r="I4054">
        <v>30181</v>
      </c>
      <c r="J4054" t="s">
        <v>59</v>
      </c>
      <c r="K4054" t="s">
        <v>28</v>
      </c>
      <c r="L4054" t="s">
        <v>29</v>
      </c>
      <c r="M4054">
        <v>3</v>
      </c>
      <c r="N4054">
        <v>229.54</v>
      </c>
      <c r="O4054">
        <v>358.4</v>
      </c>
      <c r="P4054">
        <v>35.840000000000003</v>
      </c>
      <c r="Q4054">
        <v>35.840000000000003</v>
      </c>
      <c r="R4054" t="s">
        <v>30</v>
      </c>
      <c r="S4054">
        <v>29</v>
      </c>
      <c r="T4054">
        <v>1</v>
      </c>
      <c r="U4054">
        <v>1</v>
      </c>
      <c r="V4054">
        <v>322.56</v>
      </c>
      <c r="W4054">
        <v>13130004052</v>
      </c>
    </row>
    <row r="4055" spans="1:23" x14ac:dyDescent="0.2">
      <c r="A4055" s="1">
        <v>44791</v>
      </c>
      <c r="B4055" s="2">
        <v>0.95016203703703705</v>
      </c>
      <c r="C4055">
        <v>5053</v>
      </c>
      <c r="D4055">
        <v>13002561</v>
      </c>
      <c r="E4055">
        <v>13</v>
      </c>
      <c r="F4055">
        <v>22589</v>
      </c>
      <c r="G4055" t="s">
        <v>23</v>
      </c>
      <c r="H4055">
        <v>15</v>
      </c>
      <c r="I4055">
        <v>71229</v>
      </c>
      <c r="J4055" t="s">
        <v>101</v>
      </c>
      <c r="K4055" t="s">
        <v>60</v>
      </c>
      <c r="L4055" t="s">
        <v>47</v>
      </c>
      <c r="M4055">
        <v>3</v>
      </c>
      <c r="N4055">
        <v>405.48</v>
      </c>
      <c r="O4055">
        <v>579.86</v>
      </c>
      <c r="P4055">
        <v>57.99</v>
      </c>
      <c r="Q4055">
        <v>57.99</v>
      </c>
      <c r="R4055" t="s">
        <v>30</v>
      </c>
      <c r="S4055">
        <v>29</v>
      </c>
      <c r="T4055">
        <v>1</v>
      </c>
      <c r="U4055">
        <v>4</v>
      </c>
      <c r="V4055">
        <v>521.87</v>
      </c>
      <c r="W4055">
        <v>13130004053</v>
      </c>
    </row>
    <row r="4056" spans="1:23" x14ac:dyDescent="0.2">
      <c r="A4056" s="1">
        <v>44800</v>
      </c>
      <c r="B4056" s="2">
        <v>0.49967592592592591</v>
      </c>
      <c r="C4056">
        <v>5054</v>
      </c>
      <c r="D4056">
        <v>13002561</v>
      </c>
      <c r="E4056">
        <v>13</v>
      </c>
      <c r="F4056">
        <v>22589</v>
      </c>
      <c r="G4056" t="s">
        <v>23</v>
      </c>
      <c r="H4056">
        <v>15</v>
      </c>
      <c r="I4056">
        <v>93995</v>
      </c>
      <c r="J4056" t="s">
        <v>50</v>
      </c>
      <c r="K4056" t="s">
        <v>25</v>
      </c>
      <c r="L4056" t="s">
        <v>39</v>
      </c>
      <c r="M4056">
        <v>1</v>
      </c>
      <c r="N4056">
        <v>392.04</v>
      </c>
      <c r="O4056">
        <v>539.14</v>
      </c>
      <c r="P4056">
        <v>26.96</v>
      </c>
      <c r="Q4056">
        <v>26.96</v>
      </c>
      <c r="R4056" t="s">
        <v>30</v>
      </c>
      <c r="S4056">
        <v>29</v>
      </c>
      <c r="T4056">
        <v>1</v>
      </c>
      <c r="U4056">
        <v>4</v>
      </c>
      <c r="V4056">
        <v>512.17999999999995</v>
      </c>
      <c r="W4056">
        <v>13130004054</v>
      </c>
    </row>
    <row r="4057" spans="1:23" x14ac:dyDescent="0.2">
      <c r="A4057" s="1">
        <v>44799</v>
      </c>
      <c r="B4057" s="2">
        <v>0.8448148148148148</v>
      </c>
      <c r="C4057">
        <v>5055</v>
      </c>
      <c r="D4057">
        <v>13002561</v>
      </c>
      <c r="E4057">
        <v>13</v>
      </c>
      <c r="F4057">
        <v>22589</v>
      </c>
      <c r="G4057" t="s">
        <v>23</v>
      </c>
      <c r="H4057">
        <v>18</v>
      </c>
      <c r="I4057">
        <v>35286</v>
      </c>
      <c r="J4057" t="s">
        <v>103</v>
      </c>
      <c r="K4057" t="s">
        <v>38</v>
      </c>
      <c r="L4057" t="s">
        <v>26</v>
      </c>
      <c r="M4057">
        <v>2</v>
      </c>
      <c r="N4057">
        <v>43.04</v>
      </c>
      <c r="O4057">
        <v>61.26</v>
      </c>
      <c r="P4057">
        <v>0</v>
      </c>
      <c r="Q4057">
        <v>0</v>
      </c>
      <c r="S4057">
        <v>29</v>
      </c>
      <c r="T4057">
        <v>1</v>
      </c>
      <c r="U4057">
        <v>4</v>
      </c>
      <c r="V4057">
        <v>61.26</v>
      </c>
      <c r="W4057">
        <v>13130004055</v>
      </c>
    </row>
    <row r="4058" spans="1:23" x14ac:dyDescent="0.2">
      <c r="A4058" s="1">
        <v>44795</v>
      </c>
      <c r="B4058" s="2">
        <v>0.53791666666666671</v>
      </c>
      <c r="C4058">
        <v>5056</v>
      </c>
      <c r="D4058">
        <v>13002561</v>
      </c>
      <c r="E4058">
        <v>13</v>
      </c>
      <c r="F4058">
        <v>22589</v>
      </c>
      <c r="G4058" t="s">
        <v>23</v>
      </c>
      <c r="H4058">
        <v>18</v>
      </c>
      <c r="I4058">
        <v>26447</v>
      </c>
      <c r="J4058" t="s">
        <v>69</v>
      </c>
      <c r="K4058" t="s">
        <v>28</v>
      </c>
      <c r="L4058" t="s">
        <v>39</v>
      </c>
      <c r="M4058">
        <v>3</v>
      </c>
      <c r="N4058">
        <v>134.4</v>
      </c>
      <c r="O4058">
        <v>219.09</v>
      </c>
      <c r="P4058">
        <v>0</v>
      </c>
      <c r="Q4058">
        <v>0</v>
      </c>
      <c r="S4058">
        <v>29</v>
      </c>
      <c r="T4058">
        <v>1</v>
      </c>
      <c r="U4058">
        <v>5</v>
      </c>
      <c r="V4058">
        <v>219.09</v>
      </c>
      <c r="W4058">
        <v>13130004056</v>
      </c>
    </row>
    <row r="4059" spans="1:23" x14ac:dyDescent="0.2">
      <c r="A4059" s="1">
        <v>44775</v>
      </c>
      <c r="B4059" s="2">
        <v>0.55255787037037041</v>
      </c>
      <c r="C4059">
        <v>5057</v>
      </c>
      <c r="D4059">
        <v>13002561</v>
      </c>
      <c r="E4059">
        <v>13</v>
      </c>
      <c r="F4059">
        <v>22589</v>
      </c>
      <c r="G4059" t="s">
        <v>23</v>
      </c>
      <c r="H4059">
        <v>15</v>
      </c>
      <c r="I4059">
        <v>69588</v>
      </c>
      <c r="J4059" t="s">
        <v>66</v>
      </c>
      <c r="K4059" t="s">
        <v>38</v>
      </c>
      <c r="L4059" t="s">
        <v>39</v>
      </c>
      <c r="M4059">
        <v>1</v>
      </c>
      <c r="N4059">
        <v>100.11</v>
      </c>
      <c r="O4059">
        <v>138.72</v>
      </c>
      <c r="P4059">
        <v>0</v>
      </c>
      <c r="Q4059">
        <v>0</v>
      </c>
      <c r="S4059">
        <v>29</v>
      </c>
      <c r="T4059">
        <v>1</v>
      </c>
      <c r="U4059">
        <v>3</v>
      </c>
      <c r="V4059">
        <v>138.72</v>
      </c>
      <c r="W4059">
        <v>13130004057</v>
      </c>
    </row>
    <row r="4060" spans="1:23" x14ac:dyDescent="0.2">
      <c r="A4060" s="1">
        <v>44779</v>
      </c>
      <c r="B4060" s="2">
        <v>0.47532407407407412</v>
      </c>
      <c r="C4060">
        <v>5058</v>
      </c>
      <c r="D4060">
        <v>13002561</v>
      </c>
      <c r="E4060">
        <v>13</v>
      </c>
      <c r="F4060">
        <v>22589</v>
      </c>
      <c r="G4060" t="s">
        <v>23</v>
      </c>
      <c r="H4060">
        <v>18</v>
      </c>
      <c r="I4060">
        <v>66652</v>
      </c>
      <c r="J4060" t="s">
        <v>53</v>
      </c>
      <c r="K4060" t="s">
        <v>60</v>
      </c>
      <c r="L4060" t="s">
        <v>39</v>
      </c>
      <c r="M4060">
        <v>3</v>
      </c>
      <c r="N4060">
        <v>45.22</v>
      </c>
      <c r="O4060">
        <v>76.14</v>
      </c>
      <c r="P4060">
        <v>0</v>
      </c>
      <c r="Q4060">
        <v>0</v>
      </c>
      <c r="S4060">
        <v>29</v>
      </c>
      <c r="T4060">
        <v>1</v>
      </c>
      <c r="U4060">
        <v>2</v>
      </c>
      <c r="V4060">
        <v>76.14</v>
      </c>
      <c r="W4060">
        <v>13130004058</v>
      </c>
    </row>
    <row r="4061" spans="1:23" x14ac:dyDescent="0.2">
      <c r="A4061" s="1">
        <v>44804</v>
      </c>
      <c r="B4061" s="2">
        <v>0.48909722222222218</v>
      </c>
      <c r="C4061">
        <v>5059</v>
      </c>
      <c r="D4061">
        <v>13002561</v>
      </c>
      <c r="E4061">
        <v>13</v>
      </c>
      <c r="F4061">
        <v>22589</v>
      </c>
      <c r="G4061" t="s">
        <v>23</v>
      </c>
      <c r="H4061">
        <v>15</v>
      </c>
      <c r="I4061">
        <v>36591</v>
      </c>
      <c r="J4061" t="s">
        <v>33</v>
      </c>
      <c r="K4061" t="s">
        <v>44</v>
      </c>
      <c r="L4061" t="s">
        <v>29</v>
      </c>
      <c r="M4061">
        <v>2</v>
      </c>
      <c r="N4061">
        <v>96.7</v>
      </c>
      <c r="O4061">
        <v>123.79</v>
      </c>
      <c r="P4061">
        <v>0</v>
      </c>
      <c r="Q4061">
        <v>0</v>
      </c>
      <c r="S4061">
        <v>29</v>
      </c>
      <c r="T4061">
        <v>1</v>
      </c>
      <c r="U4061">
        <v>5</v>
      </c>
      <c r="V4061">
        <v>123.79</v>
      </c>
      <c r="W4061">
        <v>13130004059</v>
      </c>
    </row>
    <row r="4062" spans="1:23" x14ac:dyDescent="0.2">
      <c r="A4062" s="1">
        <v>44778</v>
      </c>
      <c r="B4062" s="2">
        <v>0.95596064814814818</v>
      </c>
      <c r="C4062">
        <v>5060</v>
      </c>
      <c r="D4062">
        <v>13002561</v>
      </c>
      <c r="E4062">
        <v>13</v>
      </c>
      <c r="F4062">
        <v>22589</v>
      </c>
      <c r="G4062" t="s">
        <v>23</v>
      </c>
      <c r="H4062">
        <v>15</v>
      </c>
      <c r="I4062">
        <v>42498</v>
      </c>
      <c r="J4062" t="s">
        <v>54</v>
      </c>
      <c r="K4062" t="s">
        <v>25</v>
      </c>
      <c r="L4062" t="s">
        <v>47</v>
      </c>
      <c r="M4062">
        <v>3</v>
      </c>
      <c r="N4062">
        <v>457.07</v>
      </c>
      <c r="O4062">
        <v>707.09</v>
      </c>
      <c r="P4062">
        <v>70.709999999999994</v>
      </c>
      <c r="Q4062">
        <v>70.709999999999994</v>
      </c>
      <c r="R4062" t="s">
        <v>30</v>
      </c>
      <c r="S4062">
        <v>29</v>
      </c>
      <c r="T4062">
        <v>1</v>
      </c>
      <c r="U4062">
        <v>4</v>
      </c>
      <c r="V4062">
        <v>636.38</v>
      </c>
      <c r="W4062">
        <v>13130004060</v>
      </c>
    </row>
    <row r="4063" spans="1:23" x14ac:dyDescent="0.2">
      <c r="A4063" s="1">
        <v>44788</v>
      </c>
      <c r="B4063" s="2">
        <v>0.87754629629629632</v>
      </c>
      <c r="C4063">
        <v>5061</v>
      </c>
      <c r="D4063">
        <v>13002561</v>
      </c>
      <c r="E4063">
        <v>13</v>
      </c>
      <c r="F4063">
        <v>22589</v>
      </c>
      <c r="G4063" t="s">
        <v>23</v>
      </c>
      <c r="H4063">
        <v>18</v>
      </c>
      <c r="I4063">
        <v>42491</v>
      </c>
      <c r="J4063" t="s">
        <v>127</v>
      </c>
      <c r="K4063" t="s">
        <v>45</v>
      </c>
      <c r="L4063" t="s">
        <v>26</v>
      </c>
      <c r="M4063">
        <v>3</v>
      </c>
      <c r="N4063">
        <v>79.819999999999993</v>
      </c>
      <c r="O4063">
        <v>108.7</v>
      </c>
      <c r="P4063">
        <v>0</v>
      </c>
      <c r="Q4063">
        <v>0</v>
      </c>
      <c r="S4063">
        <v>29</v>
      </c>
      <c r="T4063">
        <v>1</v>
      </c>
      <c r="U4063">
        <v>5</v>
      </c>
      <c r="V4063">
        <v>108.7</v>
      </c>
      <c r="W4063">
        <v>13130004061</v>
      </c>
    </row>
    <row r="4064" spans="1:23" x14ac:dyDescent="0.2">
      <c r="A4064" s="1">
        <v>44793</v>
      </c>
      <c r="B4064" s="2">
        <v>0.80782407407407408</v>
      </c>
      <c r="C4064">
        <v>5062</v>
      </c>
      <c r="D4064">
        <v>13002561</v>
      </c>
      <c r="E4064">
        <v>13</v>
      </c>
      <c r="F4064">
        <v>22589</v>
      </c>
      <c r="G4064" t="s">
        <v>23</v>
      </c>
      <c r="H4064">
        <v>15</v>
      </c>
      <c r="I4064">
        <v>24666</v>
      </c>
      <c r="J4064" t="s">
        <v>24</v>
      </c>
      <c r="K4064" t="s">
        <v>25</v>
      </c>
      <c r="L4064" t="s">
        <v>51</v>
      </c>
      <c r="M4064">
        <v>2</v>
      </c>
      <c r="N4064">
        <v>427.59</v>
      </c>
      <c r="O4064">
        <v>535.15</v>
      </c>
      <c r="P4064">
        <v>0</v>
      </c>
      <c r="Q4064">
        <v>0</v>
      </c>
      <c r="S4064">
        <v>29</v>
      </c>
      <c r="T4064">
        <v>1</v>
      </c>
      <c r="U4064">
        <v>2</v>
      </c>
      <c r="V4064">
        <v>535.15</v>
      </c>
      <c r="W4064">
        <v>13130004062</v>
      </c>
    </row>
    <row r="4065" spans="1:23" x14ac:dyDescent="0.2">
      <c r="A4065" s="1">
        <v>44779</v>
      </c>
      <c r="B4065" s="2">
        <v>0.50400462962962966</v>
      </c>
      <c r="C4065">
        <v>5063</v>
      </c>
      <c r="D4065">
        <v>13002561</v>
      </c>
      <c r="E4065">
        <v>13</v>
      </c>
      <c r="F4065">
        <v>22589</v>
      </c>
      <c r="G4065" t="s">
        <v>23</v>
      </c>
      <c r="H4065">
        <v>15</v>
      </c>
      <c r="I4065">
        <v>59522</v>
      </c>
      <c r="J4065" t="s">
        <v>55</v>
      </c>
      <c r="K4065" t="s">
        <v>28</v>
      </c>
      <c r="L4065" t="s">
        <v>32</v>
      </c>
      <c r="M4065">
        <v>2</v>
      </c>
      <c r="N4065">
        <v>556.61</v>
      </c>
      <c r="O4065">
        <v>845.01</v>
      </c>
      <c r="P4065">
        <v>84.5</v>
      </c>
      <c r="Q4065">
        <v>84.5</v>
      </c>
      <c r="R4065" t="s">
        <v>30</v>
      </c>
      <c r="S4065">
        <v>29</v>
      </c>
      <c r="T4065">
        <v>1</v>
      </c>
      <c r="U4065">
        <v>3</v>
      </c>
      <c r="V4065">
        <v>760.51</v>
      </c>
      <c r="W4065">
        <v>13130004063</v>
      </c>
    </row>
    <row r="4066" spans="1:23" x14ac:dyDescent="0.2">
      <c r="A4066" s="1">
        <v>44781</v>
      </c>
      <c r="B4066" s="2">
        <v>0.47496527777777781</v>
      </c>
      <c r="C4066">
        <v>5064</v>
      </c>
      <c r="D4066">
        <v>13002561</v>
      </c>
      <c r="E4066">
        <v>13</v>
      </c>
      <c r="F4066">
        <v>22589</v>
      </c>
      <c r="G4066" t="s">
        <v>23</v>
      </c>
      <c r="H4066">
        <v>15</v>
      </c>
      <c r="I4066">
        <v>43511</v>
      </c>
      <c r="J4066" t="s">
        <v>107</v>
      </c>
      <c r="K4066" t="s">
        <v>38</v>
      </c>
      <c r="L4066" t="s">
        <v>34</v>
      </c>
      <c r="M4066">
        <v>3</v>
      </c>
      <c r="N4066">
        <v>14.25</v>
      </c>
      <c r="O4066">
        <v>21.93</v>
      </c>
      <c r="P4066">
        <v>2.19</v>
      </c>
      <c r="Q4066">
        <v>2.19</v>
      </c>
      <c r="R4066" t="s">
        <v>30</v>
      </c>
      <c r="S4066">
        <v>29</v>
      </c>
      <c r="T4066">
        <v>1</v>
      </c>
      <c r="U4066">
        <v>4</v>
      </c>
      <c r="V4066">
        <v>19.739999999999998</v>
      </c>
      <c r="W4066">
        <v>13130004064</v>
      </c>
    </row>
    <row r="4067" spans="1:23" x14ac:dyDescent="0.2">
      <c r="A4067" s="1">
        <v>44776</v>
      </c>
      <c r="B4067" s="2">
        <v>0.92428240740740741</v>
      </c>
      <c r="C4067">
        <v>5065</v>
      </c>
      <c r="D4067">
        <v>13002561</v>
      </c>
      <c r="E4067">
        <v>13</v>
      </c>
      <c r="F4067">
        <v>22589</v>
      </c>
      <c r="G4067" t="s">
        <v>23</v>
      </c>
      <c r="H4067">
        <v>18</v>
      </c>
      <c r="I4067">
        <v>15883</v>
      </c>
      <c r="J4067" t="s">
        <v>120</v>
      </c>
      <c r="K4067" t="s">
        <v>60</v>
      </c>
      <c r="L4067" t="s">
        <v>34</v>
      </c>
      <c r="M4067">
        <v>2</v>
      </c>
      <c r="N4067">
        <v>391.56</v>
      </c>
      <c r="O4067">
        <v>632.79</v>
      </c>
      <c r="P4067">
        <v>63.28</v>
      </c>
      <c r="Q4067">
        <v>63.28</v>
      </c>
      <c r="R4067" t="s">
        <v>30</v>
      </c>
      <c r="S4067">
        <v>29</v>
      </c>
      <c r="T4067">
        <v>1</v>
      </c>
      <c r="U4067">
        <v>3</v>
      </c>
      <c r="V4067">
        <v>569.51</v>
      </c>
      <c r="W4067">
        <v>13130004065</v>
      </c>
    </row>
    <row r="4068" spans="1:23" x14ac:dyDescent="0.2">
      <c r="A4068" s="1">
        <v>44779</v>
      </c>
      <c r="B4068" s="2">
        <v>0.51572916666666668</v>
      </c>
      <c r="C4068">
        <v>5066</v>
      </c>
      <c r="D4068">
        <v>13002561</v>
      </c>
      <c r="E4068">
        <v>13</v>
      </c>
      <c r="F4068">
        <v>22589</v>
      </c>
      <c r="G4068" t="s">
        <v>23</v>
      </c>
      <c r="H4068">
        <v>18</v>
      </c>
      <c r="I4068">
        <v>30611</v>
      </c>
      <c r="J4068" t="s">
        <v>67</v>
      </c>
      <c r="K4068" t="s">
        <v>25</v>
      </c>
      <c r="L4068" t="s">
        <v>32</v>
      </c>
      <c r="M4068">
        <v>1</v>
      </c>
      <c r="N4068">
        <v>287.5</v>
      </c>
      <c r="O4068">
        <v>419.74</v>
      </c>
      <c r="P4068">
        <v>41.97</v>
      </c>
      <c r="Q4068">
        <v>41.97</v>
      </c>
      <c r="R4068" t="s">
        <v>30</v>
      </c>
      <c r="S4068">
        <v>29</v>
      </c>
      <c r="T4068">
        <v>1</v>
      </c>
      <c r="U4068">
        <v>3</v>
      </c>
      <c r="V4068">
        <v>377.77</v>
      </c>
      <c r="W4068">
        <v>13130004066</v>
      </c>
    </row>
    <row r="4069" spans="1:23" x14ac:dyDescent="0.2">
      <c r="A4069" s="1">
        <v>44804</v>
      </c>
      <c r="B4069" s="2">
        <v>0.93291666666666662</v>
      </c>
      <c r="C4069">
        <v>5067</v>
      </c>
      <c r="D4069">
        <v>13002561</v>
      </c>
      <c r="E4069">
        <v>13</v>
      </c>
      <c r="F4069">
        <v>22589</v>
      </c>
      <c r="G4069" t="s">
        <v>23</v>
      </c>
      <c r="H4069">
        <v>18</v>
      </c>
      <c r="I4069">
        <v>28165</v>
      </c>
      <c r="J4069" t="s">
        <v>127</v>
      </c>
      <c r="K4069" t="s">
        <v>45</v>
      </c>
      <c r="L4069" t="s">
        <v>32</v>
      </c>
      <c r="M4069">
        <v>2</v>
      </c>
      <c r="N4069">
        <v>460.87</v>
      </c>
      <c r="O4069">
        <v>610.72</v>
      </c>
      <c r="P4069">
        <v>61.07</v>
      </c>
      <c r="Q4069">
        <v>61.07</v>
      </c>
      <c r="R4069" t="s">
        <v>30</v>
      </c>
      <c r="S4069">
        <v>29</v>
      </c>
      <c r="T4069">
        <v>1</v>
      </c>
      <c r="U4069">
        <v>1</v>
      </c>
      <c r="V4069">
        <v>549.65</v>
      </c>
      <c r="W4069">
        <v>13130004067</v>
      </c>
    </row>
    <row r="4070" spans="1:23" x14ac:dyDescent="0.2">
      <c r="A4070" s="1">
        <v>44775</v>
      </c>
      <c r="B4070" s="2">
        <v>0.36625000000000002</v>
      </c>
      <c r="C4070">
        <v>5068</v>
      </c>
      <c r="D4070">
        <v>13002561</v>
      </c>
      <c r="E4070">
        <v>13</v>
      </c>
      <c r="F4070">
        <v>22589</v>
      </c>
      <c r="G4070" t="s">
        <v>23</v>
      </c>
      <c r="H4070">
        <v>15</v>
      </c>
      <c r="I4070">
        <v>87594</v>
      </c>
      <c r="J4070" t="s">
        <v>122</v>
      </c>
      <c r="K4070" t="s">
        <v>28</v>
      </c>
      <c r="L4070" t="s">
        <v>34</v>
      </c>
      <c r="M4070">
        <v>2</v>
      </c>
      <c r="N4070">
        <v>407.66</v>
      </c>
      <c r="O4070">
        <v>510.19</v>
      </c>
      <c r="P4070">
        <v>25.51</v>
      </c>
      <c r="Q4070">
        <v>25.51</v>
      </c>
      <c r="R4070" t="s">
        <v>30</v>
      </c>
      <c r="S4070">
        <v>29</v>
      </c>
      <c r="T4070">
        <v>1</v>
      </c>
      <c r="U4070">
        <v>3</v>
      </c>
      <c r="V4070">
        <v>484.68</v>
      </c>
      <c r="W4070">
        <v>13130004068</v>
      </c>
    </row>
    <row r="4071" spans="1:23" x14ac:dyDescent="0.2">
      <c r="A4071" s="1">
        <v>44795</v>
      </c>
      <c r="B4071" s="2">
        <v>0.40836805555555561</v>
      </c>
      <c r="C4071">
        <v>5069</v>
      </c>
      <c r="D4071">
        <v>13002561</v>
      </c>
      <c r="E4071">
        <v>13</v>
      </c>
      <c r="F4071">
        <v>22589</v>
      </c>
      <c r="G4071" t="s">
        <v>23</v>
      </c>
      <c r="H4071">
        <v>15</v>
      </c>
      <c r="I4071">
        <v>72315</v>
      </c>
      <c r="J4071" t="s">
        <v>59</v>
      </c>
      <c r="K4071" t="s">
        <v>44</v>
      </c>
      <c r="L4071" t="s">
        <v>36</v>
      </c>
      <c r="M4071">
        <v>2</v>
      </c>
      <c r="N4071">
        <v>222</v>
      </c>
      <c r="O4071">
        <v>306.04000000000002</v>
      </c>
      <c r="P4071">
        <v>0</v>
      </c>
      <c r="Q4071">
        <v>0</v>
      </c>
      <c r="S4071">
        <v>29</v>
      </c>
      <c r="T4071">
        <v>1</v>
      </c>
      <c r="U4071">
        <v>1</v>
      </c>
      <c r="V4071">
        <v>306.04000000000002</v>
      </c>
      <c r="W4071">
        <v>13130004069</v>
      </c>
    </row>
    <row r="4072" spans="1:23" x14ac:dyDescent="0.2">
      <c r="A4072" s="1">
        <v>44798</v>
      </c>
      <c r="B4072" s="2">
        <v>0.72439814814814818</v>
      </c>
      <c r="C4072">
        <v>5070</v>
      </c>
      <c r="D4072">
        <v>13002561</v>
      </c>
      <c r="E4072">
        <v>13</v>
      </c>
      <c r="F4072">
        <v>22589</v>
      </c>
      <c r="G4072" t="s">
        <v>23</v>
      </c>
      <c r="H4072">
        <v>18</v>
      </c>
      <c r="I4072">
        <v>34844</v>
      </c>
      <c r="J4072" t="s">
        <v>57</v>
      </c>
      <c r="K4072" t="s">
        <v>28</v>
      </c>
      <c r="L4072" t="s">
        <v>36</v>
      </c>
      <c r="M4072">
        <v>3</v>
      </c>
      <c r="N4072">
        <v>60.2</v>
      </c>
      <c r="O4072">
        <v>92.15</v>
      </c>
      <c r="P4072">
        <v>0</v>
      </c>
      <c r="Q4072">
        <v>0</v>
      </c>
      <c r="S4072">
        <v>29</v>
      </c>
      <c r="T4072">
        <v>1</v>
      </c>
      <c r="U4072">
        <v>1</v>
      </c>
      <c r="V4072">
        <v>92.15</v>
      </c>
      <c r="W4072">
        <v>13130004070</v>
      </c>
    </row>
    <row r="4073" spans="1:23" x14ac:dyDescent="0.2">
      <c r="A4073" s="1">
        <v>44791</v>
      </c>
      <c r="B4073" s="2">
        <v>0.4932523148148148</v>
      </c>
      <c r="C4073">
        <v>5071</v>
      </c>
      <c r="D4073">
        <v>13002561</v>
      </c>
      <c r="E4073">
        <v>13</v>
      </c>
      <c r="F4073">
        <v>22589</v>
      </c>
      <c r="G4073" t="s">
        <v>23</v>
      </c>
      <c r="H4073">
        <v>15</v>
      </c>
      <c r="I4073">
        <v>93395</v>
      </c>
      <c r="J4073" t="s">
        <v>101</v>
      </c>
      <c r="K4073" t="s">
        <v>28</v>
      </c>
      <c r="L4073" t="s">
        <v>34</v>
      </c>
      <c r="M4073">
        <v>1</v>
      </c>
      <c r="N4073">
        <v>551.69000000000005</v>
      </c>
      <c r="O4073">
        <v>816.89</v>
      </c>
      <c r="P4073">
        <v>0</v>
      </c>
      <c r="Q4073">
        <v>0</v>
      </c>
      <c r="S4073">
        <v>29</v>
      </c>
      <c r="T4073">
        <v>1</v>
      </c>
      <c r="U4073">
        <v>3</v>
      </c>
      <c r="V4073">
        <v>816.89</v>
      </c>
      <c r="W4073">
        <v>13130004071</v>
      </c>
    </row>
    <row r="4074" spans="1:23" x14ac:dyDescent="0.2">
      <c r="A4074" s="1">
        <v>44788</v>
      </c>
      <c r="B4074" s="2">
        <v>0.33435185185185179</v>
      </c>
      <c r="C4074">
        <v>5072</v>
      </c>
      <c r="D4074">
        <v>13002561</v>
      </c>
      <c r="E4074">
        <v>13</v>
      </c>
      <c r="F4074">
        <v>22589</v>
      </c>
      <c r="G4074" t="s">
        <v>23</v>
      </c>
      <c r="H4074">
        <v>18</v>
      </c>
      <c r="I4074">
        <v>13236</v>
      </c>
      <c r="J4074" t="s">
        <v>90</v>
      </c>
      <c r="K4074" t="s">
        <v>25</v>
      </c>
      <c r="L4074" t="s">
        <v>36</v>
      </c>
      <c r="M4074">
        <v>3</v>
      </c>
      <c r="N4074">
        <v>437.27</v>
      </c>
      <c r="O4074">
        <v>585.77</v>
      </c>
      <c r="P4074">
        <v>29.29</v>
      </c>
      <c r="Q4074">
        <v>29.29</v>
      </c>
      <c r="R4074" t="s">
        <v>30</v>
      </c>
      <c r="S4074">
        <v>29</v>
      </c>
      <c r="T4074">
        <v>1</v>
      </c>
      <c r="U4074">
        <v>3</v>
      </c>
      <c r="V4074">
        <v>556.48</v>
      </c>
      <c r="W4074">
        <v>13130004072</v>
      </c>
    </row>
    <row r="4075" spans="1:23" x14ac:dyDescent="0.2">
      <c r="A4075" s="1">
        <v>44795</v>
      </c>
      <c r="B4075" s="2">
        <v>0.54258101851851848</v>
      </c>
      <c r="C4075">
        <v>5073</v>
      </c>
      <c r="D4075">
        <v>13002561</v>
      </c>
      <c r="E4075">
        <v>13</v>
      </c>
      <c r="F4075">
        <v>22589</v>
      </c>
      <c r="G4075" t="s">
        <v>23</v>
      </c>
      <c r="H4075">
        <v>18</v>
      </c>
      <c r="I4075">
        <v>65882</v>
      </c>
      <c r="J4075" t="s">
        <v>64</v>
      </c>
      <c r="K4075" t="s">
        <v>44</v>
      </c>
      <c r="L4075" t="s">
        <v>47</v>
      </c>
      <c r="M4075">
        <v>1</v>
      </c>
      <c r="N4075">
        <v>14.02</v>
      </c>
      <c r="O4075">
        <v>23.42</v>
      </c>
      <c r="P4075">
        <v>2.34</v>
      </c>
      <c r="Q4075">
        <v>2.34</v>
      </c>
      <c r="R4075" t="s">
        <v>30</v>
      </c>
      <c r="S4075">
        <v>29</v>
      </c>
      <c r="T4075">
        <v>1</v>
      </c>
      <c r="U4075">
        <v>2</v>
      </c>
      <c r="V4075">
        <v>21.08</v>
      </c>
      <c r="W4075">
        <v>13130004073</v>
      </c>
    </row>
    <row r="4076" spans="1:23" x14ac:dyDescent="0.2">
      <c r="A4076" s="1">
        <v>44801</v>
      </c>
      <c r="B4076" s="2">
        <v>0.5363310185185185</v>
      </c>
      <c r="C4076">
        <v>5074</v>
      </c>
      <c r="D4076">
        <v>13002561</v>
      </c>
      <c r="E4076">
        <v>13</v>
      </c>
      <c r="F4076">
        <v>22589</v>
      </c>
      <c r="G4076" t="s">
        <v>23</v>
      </c>
      <c r="H4076">
        <v>18</v>
      </c>
      <c r="I4076">
        <v>91658</v>
      </c>
      <c r="J4076" t="s">
        <v>107</v>
      </c>
      <c r="K4076" t="s">
        <v>44</v>
      </c>
      <c r="L4076" t="s">
        <v>39</v>
      </c>
      <c r="M4076">
        <v>2</v>
      </c>
      <c r="N4076">
        <v>198.2</v>
      </c>
      <c r="O4076">
        <v>275.45999999999998</v>
      </c>
      <c r="P4076">
        <v>13.77</v>
      </c>
      <c r="Q4076">
        <v>13.77</v>
      </c>
      <c r="R4076" t="s">
        <v>30</v>
      </c>
      <c r="S4076">
        <v>29</v>
      </c>
      <c r="T4076">
        <v>1</v>
      </c>
      <c r="U4076">
        <v>4</v>
      </c>
      <c r="V4076">
        <v>261.69</v>
      </c>
      <c r="W4076">
        <v>13130004074</v>
      </c>
    </row>
    <row r="4077" spans="1:23" x14ac:dyDescent="0.2">
      <c r="A4077" s="1">
        <v>44796</v>
      </c>
      <c r="B4077" s="2">
        <v>0.61971064814814814</v>
      </c>
      <c r="C4077">
        <v>5075</v>
      </c>
      <c r="D4077">
        <v>13002561</v>
      </c>
      <c r="E4077">
        <v>13</v>
      </c>
      <c r="F4077">
        <v>22589</v>
      </c>
      <c r="G4077" t="s">
        <v>23</v>
      </c>
      <c r="H4077">
        <v>18</v>
      </c>
      <c r="I4077">
        <v>15811</v>
      </c>
      <c r="J4077" t="s">
        <v>98</v>
      </c>
      <c r="K4077" t="s">
        <v>44</v>
      </c>
      <c r="L4077" t="s">
        <v>39</v>
      </c>
      <c r="M4077">
        <v>3</v>
      </c>
      <c r="N4077">
        <v>159.38999999999999</v>
      </c>
      <c r="O4077">
        <v>210.64</v>
      </c>
      <c r="P4077">
        <v>10.53</v>
      </c>
      <c r="Q4077">
        <v>10.53</v>
      </c>
      <c r="R4077" t="s">
        <v>30</v>
      </c>
      <c r="S4077">
        <v>29</v>
      </c>
      <c r="T4077">
        <v>1</v>
      </c>
      <c r="U4077">
        <v>5</v>
      </c>
      <c r="V4077">
        <v>200.11</v>
      </c>
      <c r="W4077">
        <v>13130004075</v>
      </c>
    </row>
    <row r="4078" spans="1:23" x14ac:dyDescent="0.2">
      <c r="A4078" s="1">
        <v>44784</v>
      </c>
      <c r="B4078" s="2">
        <v>0.68979166666666669</v>
      </c>
      <c r="C4078">
        <v>5076</v>
      </c>
      <c r="D4078">
        <v>13002561</v>
      </c>
      <c r="E4078">
        <v>13</v>
      </c>
      <c r="F4078">
        <v>22589</v>
      </c>
      <c r="G4078" t="s">
        <v>23</v>
      </c>
      <c r="H4078">
        <v>18</v>
      </c>
      <c r="I4078">
        <v>90330</v>
      </c>
      <c r="J4078" t="s">
        <v>80</v>
      </c>
      <c r="K4078" t="s">
        <v>28</v>
      </c>
      <c r="L4078" t="s">
        <v>36</v>
      </c>
      <c r="M4078">
        <v>1</v>
      </c>
      <c r="N4078">
        <v>456.58</v>
      </c>
      <c r="O4078">
        <v>707.24</v>
      </c>
      <c r="P4078">
        <v>0</v>
      </c>
      <c r="Q4078">
        <v>0</v>
      </c>
      <c r="S4078">
        <v>29</v>
      </c>
      <c r="T4078">
        <v>1</v>
      </c>
      <c r="U4078">
        <v>5</v>
      </c>
      <c r="V4078">
        <v>707.24</v>
      </c>
      <c r="W4078">
        <v>13130004076</v>
      </c>
    </row>
    <row r="4079" spans="1:23" x14ac:dyDescent="0.2">
      <c r="A4079" s="1">
        <v>44802</v>
      </c>
      <c r="B4079" s="2">
        <v>0.8464814814814815</v>
      </c>
      <c r="C4079">
        <v>5077</v>
      </c>
      <c r="D4079">
        <v>13002561</v>
      </c>
      <c r="E4079">
        <v>13</v>
      </c>
      <c r="F4079">
        <v>22589</v>
      </c>
      <c r="G4079" t="s">
        <v>23</v>
      </c>
      <c r="H4079">
        <v>18</v>
      </c>
      <c r="I4079">
        <v>75483</v>
      </c>
      <c r="J4079" t="s">
        <v>113</v>
      </c>
      <c r="K4079" t="s">
        <v>25</v>
      </c>
      <c r="L4079" t="s">
        <v>47</v>
      </c>
      <c r="M4079">
        <v>1</v>
      </c>
      <c r="N4079">
        <v>593.55999999999995</v>
      </c>
      <c r="O4079">
        <v>954.45</v>
      </c>
      <c r="P4079">
        <v>0</v>
      </c>
      <c r="Q4079">
        <v>0</v>
      </c>
      <c r="S4079">
        <v>29</v>
      </c>
      <c r="T4079">
        <v>1</v>
      </c>
      <c r="U4079">
        <v>6</v>
      </c>
      <c r="V4079">
        <v>954.45</v>
      </c>
      <c r="W4079">
        <v>13130004077</v>
      </c>
    </row>
    <row r="4080" spans="1:23" x14ac:dyDescent="0.2">
      <c r="A4080" s="1">
        <v>44804</v>
      </c>
      <c r="B4080" s="2">
        <v>0.92219907407407409</v>
      </c>
      <c r="C4080">
        <v>5078</v>
      </c>
      <c r="D4080">
        <v>13002561</v>
      </c>
      <c r="E4080">
        <v>13</v>
      </c>
      <c r="F4080">
        <v>22589</v>
      </c>
      <c r="G4080" t="s">
        <v>23</v>
      </c>
      <c r="H4080">
        <v>15</v>
      </c>
      <c r="I4080">
        <v>99950</v>
      </c>
      <c r="J4080" t="s">
        <v>49</v>
      </c>
      <c r="K4080" t="s">
        <v>45</v>
      </c>
      <c r="L4080" t="s">
        <v>26</v>
      </c>
      <c r="M4080">
        <v>1</v>
      </c>
      <c r="N4080">
        <v>533.28</v>
      </c>
      <c r="O4080">
        <v>803.11</v>
      </c>
      <c r="P4080">
        <v>0</v>
      </c>
      <c r="Q4080">
        <v>0</v>
      </c>
      <c r="S4080">
        <v>29</v>
      </c>
      <c r="T4080">
        <v>1</v>
      </c>
      <c r="U4080">
        <v>6</v>
      </c>
      <c r="V4080">
        <v>803.11</v>
      </c>
      <c r="W4080">
        <v>13130004078</v>
      </c>
    </row>
    <row r="4081" spans="1:23" x14ac:dyDescent="0.2">
      <c r="A4081" s="1">
        <v>44775</v>
      </c>
      <c r="B4081" s="2">
        <v>0.3959259259259259</v>
      </c>
      <c r="C4081">
        <v>5079</v>
      </c>
      <c r="D4081">
        <v>13002561</v>
      </c>
      <c r="E4081">
        <v>13</v>
      </c>
      <c r="F4081">
        <v>22589</v>
      </c>
      <c r="G4081" t="s">
        <v>23</v>
      </c>
      <c r="H4081">
        <v>18</v>
      </c>
      <c r="I4081">
        <v>94791</v>
      </c>
      <c r="J4081" t="s">
        <v>27</v>
      </c>
      <c r="K4081" t="s">
        <v>44</v>
      </c>
      <c r="L4081" t="s">
        <v>51</v>
      </c>
      <c r="M4081">
        <v>2</v>
      </c>
      <c r="N4081">
        <v>535.04</v>
      </c>
      <c r="O4081">
        <v>840.05</v>
      </c>
      <c r="P4081">
        <v>0</v>
      </c>
      <c r="Q4081">
        <v>0</v>
      </c>
      <c r="S4081">
        <v>29</v>
      </c>
      <c r="T4081">
        <v>1</v>
      </c>
      <c r="U4081">
        <v>1</v>
      </c>
      <c r="V4081">
        <v>840.05</v>
      </c>
      <c r="W4081">
        <v>13130004079</v>
      </c>
    </row>
    <row r="4082" spans="1:23" x14ac:dyDescent="0.2">
      <c r="A4082" s="1">
        <v>44795</v>
      </c>
      <c r="B4082" s="2">
        <v>0.85700231481481481</v>
      </c>
      <c r="C4082">
        <v>5080</v>
      </c>
      <c r="D4082">
        <v>13002561</v>
      </c>
      <c r="E4082">
        <v>13</v>
      </c>
      <c r="F4082">
        <v>22589</v>
      </c>
      <c r="G4082" t="s">
        <v>23</v>
      </c>
      <c r="H4082">
        <v>18</v>
      </c>
      <c r="I4082">
        <v>81655</v>
      </c>
      <c r="J4082" t="s">
        <v>110</v>
      </c>
      <c r="K4082" t="s">
        <v>60</v>
      </c>
      <c r="L4082" t="s">
        <v>51</v>
      </c>
      <c r="M4082">
        <v>3</v>
      </c>
      <c r="N4082">
        <v>577.9</v>
      </c>
      <c r="O4082">
        <v>761.36</v>
      </c>
      <c r="P4082">
        <v>38.07</v>
      </c>
      <c r="Q4082">
        <v>38.07</v>
      </c>
      <c r="R4082" t="s">
        <v>30</v>
      </c>
      <c r="S4082">
        <v>29</v>
      </c>
      <c r="T4082">
        <v>1</v>
      </c>
      <c r="U4082">
        <v>2</v>
      </c>
      <c r="V4082">
        <v>723.29</v>
      </c>
      <c r="W4082">
        <v>13130004080</v>
      </c>
    </row>
    <row r="4083" spans="1:23" x14ac:dyDescent="0.2">
      <c r="A4083" s="1">
        <v>44786</v>
      </c>
      <c r="B4083" s="2">
        <v>0.36815972222222221</v>
      </c>
      <c r="C4083">
        <v>5081</v>
      </c>
      <c r="D4083">
        <v>13002561</v>
      </c>
      <c r="E4083">
        <v>13</v>
      </c>
      <c r="F4083">
        <v>22589</v>
      </c>
      <c r="G4083" t="s">
        <v>23</v>
      </c>
      <c r="H4083">
        <v>18</v>
      </c>
      <c r="I4083">
        <v>69085</v>
      </c>
      <c r="J4083" t="s">
        <v>55</v>
      </c>
      <c r="K4083" t="s">
        <v>44</v>
      </c>
      <c r="L4083" t="s">
        <v>29</v>
      </c>
      <c r="M4083">
        <v>2</v>
      </c>
      <c r="N4083">
        <v>34.21</v>
      </c>
      <c r="O4083">
        <v>47.05</v>
      </c>
      <c r="P4083">
        <v>0</v>
      </c>
      <c r="Q4083">
        <v>0</v>
      </c>
      <c r="S4083">
        <v>29</v>
      </c>
      <c r="T4083">
        <v>1</v>
      </c>
      <c r="U4083">
        <v>2</v>
      </c>
      <c r="V4083">
        <v>47.05</v>
      </c>
      <c r="W4083">
        <v>13130004081</v>
      </c>
    </row>
    <row r="4084" spans="1:23" x14ac:dyDescent="0.2">
      <c r="A4084" s="1">
        <v>44803</v>
      </c>
      <c r="B4084" s="2">
        <v>0.75896990740740744</v>
      </c>
      <c r="C4084">
        <v>5082</v>
      </c>
      <c r="D4084">
        <v>13002561</v>
      </c>
      <c r="E4084">
        <v>13</v>
      </c>
      <c r="F4084">
        <v>22589</v>
      </c>
      <c r="G4084" t="s">
        <v>23</v>
      </c>
      <c r="H4084">
        <v>15</v>
      </c>
      <c r="I4084">
        <v>96767</v>
      </c>
      <c r="J4084" t="s">
        <v>70</v>
      </c>
      <c r="K4084" t="s">
        <v>38</v>
      </c>
      <c r="L4084" t="s">
        <v>32</v>
      </c>
      <c r="M4084">
        <v>3</v>
      </c>
      <c r="N4084">
        <v>164.02</v>
      </c>
      <c r="O4084">
        <v>261.2</v>
      </c>
      <c r="P4084">
        <v>0</v>
      </c>
      <c r="Q4084">
        <v>0</v>
      </c>
      <c r="S4084">
        <v>29</v>
      </c>
      <c r="T4084">
        <v>1</v>
      </c>
      <c r="U4084">
        <v>1</v>
      </c>
      <c r="V4084">
        <v>261.2</v>
      </c>
      <c r="W4084">
        <v>13130004082</v>
      </c>
    </row>
    <row r="4085" spans="1:23" x14ac:dyDescent="0.2">
      <c r="A4085" s="1">
        <v>44797</v>
      </c>
      <c r="B4085" s="2">
        <v>0.55136574074074074</v>
      </c>
      <c r="C4085">
        <v>5083</v>
      </c>
      <c r="D4085">
        <v>13002561</v>
      </c>
      <c r="E4085">
        <v>13</v>
      </c>
      <c r="F4085">
        <v>22589</v>
      </c>
      <c r="G4085" t="s">
        <v>23</v>
      </c>
      <c r="H4085">
        <v>15</v>
      </c>
      <c r="I4085">
        <v>86229</v>
      </c>
      <c r="J4085" t="s">
        <v>126</v>
      </c>
      <c r="K4085" t="s">
        <v>60</v>
      </c>
      <c r="L4085" t="s">
        <v>47</v>
      </c>
      <c r="M4085">
        <v>2</v>
      </c>
      <c r="N4085">
        <v>351.87</v>
      </c>
      <c r="O4085">
        <v>526.16</v>
      </c>
      <c r="P4085">
        <v>0</v>
      </c>
      <c r="Q4085">
        <v>0</v>
      </c>
      <c r="S4085">
        <v>29</v>
      </c>
      <c r="T4085">
        <v>1</v>
      </c>
      <c r="U4085">
        <v>3</v>
      </c>
      <c r="V4085">
        <v>526.16</v>
      </c>
      <c r="W4085">
        <v>13130004083</v>
      </c>
    </row>
    <row r="4086" spans="1:23" x14ac:dyDescent="0.2">
      <c r="A4086" s="1">
        <v>44804</v>
      </c>
      <c r="B4086" s="2">
        <v>0.93259259259259264</v>
      </c>
      <c r="C4086">
        <v>5084</v>
      </c>
      <c r="D4086">
        <v>13002561</v>
      </c>
      <c r="E4086">
        <v>13</v>
      </c>
      <c r="F4086">
        <v>22589</v>
      </c>
      <c r="G4086" t="s">
        <v>23</v>
      </c>
      <c r="H4086">
        <v>15</v>
      </c>
      <c r="I4086">
        <v>62801</v>
      </c>
      <c r="J4086" t="s">
        <v>46</v>
      </c>
      <c r="K4086" t="s">
        <v>44</v>
      </c>
      <c r="L4086" t="s">
        <v>36</v>
      </c>
      <c r="M4086">
        <v>1</v>
      </c>
      <c r="N4086">
        <v>519.09</v>
      </c>
      <c r="O4086">
        <v>785.7</v>
      </c>
      <c r="P4086">
        <v>78.569999999999993</v>
      </c>
      <c r="Q4086">
        <v>78.569999999999993</v>
      </c>
      <c r="R4086" t="s">
        <v>30</v>
      </c>
      <c r="S4086">
        <v>29</v>
      </c>
      <c r="T4086">
        <v>1</v>
      </c>
      <c r="U4086">
        <v>5</v>
      </c>
      <c r="V4086">
        <v>707.13</v>
      </c>
      <c r="W4086">
        <v>13130004084</v>
      </c>
    </row>
    <row r="4087" spans="1:23" x14ac:dyDescent="0.2">
      <c r="A4087" s="1">
        <v>44796</v>
      </c>
      <c r="B4087" s="2">
        <v>0.66802083333333329</v>
      </c>
      <c r="C4087">
        <v>5085</v>
      </c>
      <c r="D4087">
        <v>13002561</v>
      </c>
      <c r="E4087">
        <v>13</v>
      </c>
      <c r="F4087">
        <v>22589</v>
      </c>
      <c r="G4087" t="s">
        <v>23</v>
      </c>
      <c r="H4087">
        <v>15</v>
      </c>
      <c r="I4087">
        <v>45384</v>
      </c>
      <c r="J4087" t="s">
        <v>82</v>
      </c>
      <c r="K4087" t="s">
        <v>28</v>
      </c>
      <c r="L4087" t="s">
        <v>51</v>
      </c>
      <c r="M4087">
        <v>3</v>
      </c>
      <c r="N4087">
        <v>273.56</v>
      </c>
      <c r="O4087">
        <v>439.19</v>
      </c>
      <c r="P4087">
        <v>21.96</v>
      </c>
      <c r="Q4087">
        <v>21.96</v>
      </c>
      <c r="R4087" t="s">
        <v>30</v>
      </c>
      <c r="S4087">
        <v>29</v>
      </c>
      <c r="T4087">
        <v>1</v>
      </c>
      <c r="U4087">
        <v>4</v>
      </c>
      <c r="V4087">
        <v>417.23</v>
      </c>
      <c r="W4087">
        <v>13130004085</v>
      </c>
    </row>
    <row r="4088" spans="1:23" x14ac:dyDescent="0.2">
      <c r="A4088" s="1">
        <v>44791</v>
      </c>
      <c r="B4088" s="2">
        <v>0.59898148148148145</v>
      </c>
      <c r="C4088">
        <v>5086</v>
      </c>
      <c r="D4088">
        <v>13002561</v>
      </c>
      <c r="E4088">
        <v>13</v>
      </c>
      <c r="F4088">
        <v>22589</v>
      </c>
      <c r="G4088" t="s">
        <v>23</v>
      </c>
      <c r="H4088">
        <v>15</v>
      </c>
      <c r="I4088">
        <v>38008</v>
      </c>
      <c r="J4088" t="s">
        <v>75</v>
      </c>
      <c r="K4088" t="s">
        <v>28</v>
      </c>
      <c r="L4088" t="s">
        <v>36</v>
      </c>
      <c r="M4088">
        <v>1</v>
      </c>
      <c r="N4088">
        <v>435.48</v>
      </c>
      <c r="O4088">
        <v>596.99</v>
      </c>
      <c r="P4088">
        <v>29.85</v>
      </c>
      <c r="Q4088">
        <v>29.85</v>
      </c>
      <c r="R4088" t="s">
        <v>30</v>
      </c>
      <c r="S4088">
        <v>29</v>
      </c>
      <c r="T4088">
        <v>1</v>
      </c>
      <c r="U4088">
        <v>3</v>
      </c>
      <c r="V4088">
        <v>567.14</v>
      </c>
      <c r="W4088">
        <v>13130004086</v>
      </c>
    </row>
    <row r="4089" spans="1:23" x14ac:dyDescent="0.2">
      <c r="A4089" s="1">
        <v>44792</v>
      </c>
      <c r="B4089" s="2">
        <v>0.88233796296296296</v>
      </c>
      <c r="C4089">
        <v>5087</v>
      </c>
      <c r="D4089">
        <v>13002561</v>
      </c>
      <c r="E4089">
        <v>13</v>
      </c>
      <c r="F4089">
        <v>22589</v>
      </c>
      <c r="G4089" t="s">
        <v>23</v>
      </c>
      <c r="H4089">
        <v>15</v>
      </c>
      <c r="I4089">
        <v>86674</v>
      </c>
      <c r="J4089" t="s">
        <v>65</v>
      </c>
      <c r="K4089" t="s">
        <v>44</v>
      </c>
      <c r="L4089" t="s">
        <v>39</v>
      </c>
      <c r="M4089">
        <v>1</v>
      </c>
      <c r="N4089">
        <v>599.36</v>
      </c>
      <c r="O4089">
        <v>769.6</v>
      </c>
      <c r="P4089">
        <v>0</v>
      </c>
      <c r="Q4089">
        <v>0</v>
      </c>
      <c r="S4089">
        <v>29</v>
      </c>
      <c r="T4089">
        <v>1</v>
      </c>
      <c r="U4089">
        <v>2</v>
      </c>
      <c r="V4089">
        <v>769.6</v>
      </c>
      <c r="W4089">
        <v>13130004087</v>
      </c>
    </row>
    <row r="4090" spans="1:23" x14ac:dyDescent="0.2">
      <c r="A4090" s="1">
        <v>44789</v>
      </c>
      <c r="B4090" s="2">
        <v>0.52469907407407412</v>
      </c>
      <c r="C4090">
        <v>5088</v>
      </c>
      <c r="D4090">
        <v>13002561</v>
      </c>
      <c r="E4090">
        <v>13</v>
      </c>
      <c r="F4090">
        <v>22589</v>
      </c>
      <c r="G4090" t="s">
        <v>23</v>
      </c>
      <c r="H4090">
        <v>15</v>
      </c>
      <c r="I4090">
        <v>17125</v>
      </c>
      <c r="J4090" t="s">
        <v>125</v>
      </c>
      <c r="K4090" t="s">
        <v>60</v>
      </c>
      <c r="L4090" t="s">
        <v>32</v>
      </c>
      <c r="M4090">
        <v>1</v>
      </c>
      <c r="N4090">
        <v>70.55</v>
      </c>
      <c r="O4090">
        <v>104.64</v>
      </c>
      <c r="P4090">
        <v>10.46</v>
      </c>
      <c r="Q4090">
        <v>10.46</v>
      </c>
      <c r="R4090" t="s">
        <v>30</v>
      </c>
      <c r="S4090">
        <v>29</v>
      </c>
      <c r="T4090">
        <v>1</v>
      </c>
      <c r="U4090">
        <v>5</v>
      </c>
      <c r="V4090">
        <v>94.18</v>
      </c>
      <c r="W4090">
        <v>13130004088</v>
      </c>
    </row>
    <row r="4091" spans="1:23" x14ac:dyDescent="0.2">
      <c r="A4091" s="1">
        <v>44798</v>
      </c>
      <c r="B4091" s="2">
        <v>0.44750000000000001</v>
      </c>
      <c r="C4091">
        <v>5089</v>
      </c>
      <c r="D4091">
        <v>13002561</v>
      </c>
      <c r="E4091">
        <v>13</v>
      </c>
      <c r="F4091">
        <v>22589</v>
      </c>
      <c r="G4091" t="s">
        <v>23</v>
      </c>
      <c r="H4091">
        <v>15</v>
      </c>
      <c r="I4091">
        <v>27087</v>
      </c>
      <c r="J4091" t="s">
        <v>102</v>
      </c>
      <c r="K4091" t="s">
        <v>25</v>
      </c>
      <c r="L4091" t="s">
        <v>26</v>
      </c>
      <c r="M4091">
        <v>2</v>
      </c>
      <c r="N4091">
        <v>539.49</v>
      </c>
      <c r="O4091">
        <v>758.43</v>
      </c>
      <c r="P4091">
        <v>37.92</v>
      </c>
      <c r="Q4091">
        <v>37.92</v>
      </c>
      <c r="R4091" t="s">
        <v>30</v>
      </c>
      <c r="S4091">
        <v>29</v>
      </c>
      <c r="T4091">
        <v>1</v>
      </c>
      <c r="U4091">
        <v>4</v>
      </c>
      <c r="V4091">
        <v>720.51</v>
      </c>
      <c r="W4091">
        <v>13130004089</v>
      </c>
    </row>
    <row r="4092" spans="1:23" x14ac:dyDescent="0.2">
      <c r="A4092" s="1">
        <v>44783</v>
      </c>
      <c r="B4092" s="2">
        <v>0.69900462962962961</v>
      </c>
      <c r="C4092">
        <v>5090</v>
      </c>
      <c r="D4092">
        <v>13002561</v>
      </c>
      <c r="E4092">
        <v>13</v>
      </c>
      <c r="F4092">
        <v>22589</v>
      </c>
      <c r="G4092" t="s">
        <v>23</v>
      </c>
      <c r="H4092">
        <v>18</v>
      </c>
      <c r="I4092">
        <v>59074</v>
      </c>
      <c r="J4092" t="s">
        <v>37</v>
      </c>
      <c r="K4092" t="s">
        <v>45</v>
      </c>
      <c r="L4092" t="s">
        <v>29</v>
      </c>
      <c r="M4092">
        <v>2</v>
      </c>
      <c r="N4092">
        <v>490.67</v>
      </c>
      <c r="O4092">
        <v>620.76</v>
      </c>
      <c r="P4092">
        <v>0</v>
      </c>
      <c r="Q4092">
        <v>0</v>
      </c>
      <c r="S4092">
        <v>29</v>
      </c>
      <c r="T4092">
        <v>1</v>
      </c>
      <c r="U4092">
        <v>2</v>
      </c>
      <c r="V4092">
        <v>620.76</v>
      </c>
      <c r="W4092">
        <v>13130004090</v>
      </c>
    </row>
    <row r="4093" spans="1:23" x14ac:dyDescent="0.2">
      <c r="A4093" s="1">
        <v>44790</v>
      </c>
      <c r="B4093" s="2">
        <v>0.64916666666666667</v>
      </c>
      <c r="C4093">
        <v>5091</v>
      </c>
      <c r="D4093">
        <v>13002561</v>
      </c>
      <c r="E4093">
        <v>13</v>
      </c>
      <c r="F4093">
        <v>22589</v>
      </c>
      <c r="G4093" t="s">
        <v>23</v>
      </c>
      <c r="H4093">
        <v>18</v>
      </c>
      <c r="I4093">
        <v>79023</v>
      </c>
      <c r="J4093" t="s">
        <v>68</v>
      </c>
      <c r="K4093" t="s">
        <v>28</v>
      </c>
      <c r="L4093" t="s">
        <v>36</v>
      </c>
      <c r="M4093">
        <v>3</v>
      </c>
      <c r="N4093">
        <v>526</v>
      </c>
      <c r="O4093">
        <v>887.23</v>
      </c>
      <c r="P4093">
        <v>88.72</v>
      </c>
      <c r="Q4093">
        <v>88.72</v>
      </c>
      <c r="R4093" t="s">
        <v>30</v>
      </c>
      <c r="S4093">
        <v>29</v>
      </c>
      <c r="T4093">
        <v>1</v>
      </c>
      <c r="U4093">
        <v>2</v>
      </c>
      <c r="V4093">
        <v>798.51</v>
      </c>
      <c r="W4093">
        <v>13130004091</v>
      </c>
    </row>
    <row r="4094" spans="1:23" x14ac:dyDescent="0.2">
      <c r="A4094" s="1">
        <v>44785</v>
      </c>
      <c r="B4094" s="2">
        <v>0.82174768518518515</v>
      </c>
      <c r="C4094">
        <v>5092</v>
      </c>
      <c r="D4094">
        <v>13002561</v>
      </c>
      <c r="E4094">
        <v>13</v>
      </c>
      <c r="F4094">
        <v>22589</v>
      </c>
      <c r="G4094" t="s">
        <v>23</v>
      </c>
      <c r="H4094">
        <v>18</v>
      </c>
      <c r="I4094">
        <v>67094</v>
      </c>
      <c r="J4094" t="s">
        <v>88</v>
      </c>
      <c r="K4094" t="s">
        <v>60</v>
      </c>
      <c r="L4094" t="s">
        <v>32</v>
      </c>
      <c r="M4094">
        <v>1</v>
      </c>
      <c r="N4094">
        <v>161.97999999999999</v>
      </c>
      <c r="O4094">
        <v>202.58</v>
      </c>
      <c r="P4094">
        <v>10.130000000000001</v>
      </c>
      <c r="Q4094">
        <v>10.130000000000001</v>
      </c>
      <c r="R4094" t="s">
        <v>30</v>
      </c>
      <c r="S4094">
        <v>29</v>
      </c>
      <c r="T4094">
        <v>1</v>
      </c>
      <c r="U4094">
        <v>3</v>
      </c>
      <c r="V4094">
        <v>192.45</v>
      </c>
      <c r="W4094">
        <v>13130004092</v>
      </c>
    </row>
    <row r="4095" spans="1:23" x14ac:dyDescent="0.2">
      <c r="A4095" s="1">
        <v>44801</v>
      </c>
      <c r="B4095" s="2">
        <v>0.70355324074074077</v>
      </c>
      <c r="C4095">
        <v>5093</v>
      </c>
      <c r="D4095">
        <v>13002561</v>
      </c>
      <c r="E4095">
        <v>13</v>
      </c>
      <c r="F4095">
        <v>22589</v>
      </c>
      <c r="G4095" t="s">
        <v>23</v>
      </c>
      <c r="H4095">
        <v>18</v>
      </c>
      <c r="I4095">
        <v>17813</v>
      </c>
      <c r="J4095" t="s">
        <v>90</v>
      </c>
      <c r="K4095" t="s">
        <v>45</v>
      </c>
      <c r="L4095" t="s">
        <v>39</v>
      </c>
      <c r="M4095">
        <v>3</v>
      </c>
      <c r="N4095">
        <v>281.47000000000003</v>
      </c>
      <c r="O4095">
        <v>369.75</v>
      </c>
      <c r="P4095">
        <v>36.979999999999997</v>
      </c>
      <c r="Q4095">
        <v>36.979999999999997</v>
      </c>
      <c r="R4095" t="s">
        <v>30</v>
      </c>
      <c r="S4095">
        <v>29</v>
      </c>
      <c r="T4095">
        <v>1</v>
      </c>
      <c r="U4095">
        <v>3</v>
      </c>
      <c r="V4095">
        <v>332.77</v>
      </c>
      <c r="W4095">
        <v>13130004093</v>
      </c>
    </row>
    <row r="4096" spans="1:23" x14ac:dyDescent="0.2">
      <c r="A4096" s="1">
        <v>44776</v>
      </c>
      <c r="B4096" s="2">
        <v>0.71334490740740741</v>
      </c>
      <c r="C4096">
        <v>5094</v>
      </c>
      <c r="D4096">
        <v>13002561</v>
      </c>
      <c r="E4096">
        <v>13</v>
      </c>
      <c r="F4096">
        <v>22589</v>
      </c>
      <c r="G4096" t="s">
        <v>23</v>
      </c>
      <c r="H4096">
        <v>18</v>
      </c>
      <c r="I4096">
        <v>49922</v>
      </c>
      <c r="J4096" t="s">
        <v>114</v>
      </c>
      <c r="K4096" t="s">
        <v>45</v>
      </c>
      <c r="L4096" t="s">
        <v>34</v>
      </c>
      <c r="M4096">
        <v>3</v>
      </c>
      <c r="N4096">
        <v>479.94</v>
      </c>
      <c r="O4096">
        <v>632.71</v>
      </c>
      <c r="P4096">
        <v>63.27</v>
      </c>
      <c r="Q4096">
        <v>63.27</v>
      </c>
      <c r="R4096" t="s">
        <v>30</v>
      </c>
      <c r="S4096">
        <v>29</v>
      </c>
      <c r="T4096">
        <v>1</v>
      </c>
      <c r="U4096">
        <v>6</v>
      </c>
      <c r="V4096">
        <v>569.44000000000005</v>
      </c>
      <c r="W4096">
        <v>13130004094</v>
      </c>
    </row>
    <row r="4097" spans="1:23" x14ac:dyDescent="0.2">
      <c r="A4097" s="1">
        <v>44780</v>
      </c>
      <c r="B4097" s="2">
        <v>0.46387731481481481</v>
      </c>
      <c r="C4097">
        <v>5095</v>
      </c>
      <c r="D4097">
        <v>13002561</v>
      </c>
      <c r="E4097">
        <v>13</v>
      </c>
      <c r="F4097">
        <v>22589</v>
      </c>
      <c r="G4097" t="s">
        <v>23</v>
      </c>
      <c r="H4097">
        <v>15</v>
      </c>
      <c r="I4097">
        <v>92581</v>
      </c>
      <c r="J4097" t="s">
        <v>109</v>
      </c>
      <c r="K4097" t="s">
        <v>25</v>
      </c>
      <c r="L4097" t="s">
        <v>36</v>
      </c>
      <c r="M4097">
        <v>2</v>
      </c>
      <c r="N4097">
        <v>171.09</v>
      </c>
      <c r="O4097">
        <v>217.23</v>
      </c>
      <c r="P4097">
        <v>21.72</v>
      </c>
      <c r="Q4097">
        <v>21.72</v>
      </c>
      <c r="R4097" t="s">
        <v>30</v>
      </c>
      <c r="S4097">
        <v>29</v>
      </c>
      <c r="T4097">
        <v>1</v>
      </c>
      <c r="U4097">
        <v>5</v>
      </c>
      <c r="V4097">
        <v>195.51</v>
      </c>
      <c r="W4097">
        <v>13130004095</v>
      </c>
    </row>
    <row r="4098" spans="1:23" x14ac:dyDescent="0.2">
      <c r="A4098" s="1">
        <v>44803</v>
      </c>
      <c r="B4098" s="2">
        <v>0.78481481481481485</v>
      </c>
      <c r="C4098">
        <v>5096</v>
      </c>
      <c r="D4098">
        <v>13002561</v>
      </c>
      <c r="E4098">
        <v>13</v>
      </c>
      <c r="F4098">
        <v>22589</v>
      </c>
      <c r="G4098" t="s">
        <v>23</v>
      </c>
      <c r="H4098">
        <v>18</v>
      </c>
      <c r="I4098">
        <v>75276</v>
      </c>
      <c r="J4098" t="s">
        <v>40</v>
      </c>
      <c r="K4098" t="s">
        <v>45</v>
      </c>
      <c r="L4098" t="s">
        <v>29</v>
      </c>
      <c r="M4098">
        <v>3</v>
      </c>
      <c r="N4098">
        <v>124.13</v>
      </c>
      <c r="O4098">
        <v>205.88</v>
      </c>
      <c r="P4098">
        <v>0</v>
      </c>
      <c r="Q4098">
        <v>0</v>
      </c>
      <c r="S4098">
        <v>29</v>
      </c>
      <c r="T4098">
        <v>1</v>
      </c>
      <c r="U4098">
        <v>2</v>
      </c>
      <c r="V4098">
        <v>205.88</v>
      </c>
      <c r="W4098">
        <v>13130004096</v>
      </c>
    </row>
    <row r="4099" spans="1:23" x14ac:dyDescent="0.2">
      <c r="A4099" s="1">
        <v>44792</v>
      </c>
      <c r="B4099" s="2">
        <v>0.37626157407407412</v>
      </c>
      <c r="C4099">
        <v>5097</v>
      </c>
      <c r="D4099">
        <v>13002561</v>
      </c>
      <c r="E4099">
        <v>13</v>
      </c>
      <c r="F4099">
        <v>22589</v>
      </c>
      <c r="G4099" t="s">
        <v>23</v>
      </c>
      <c r="H4099">
        <v>15</v>
      </c>
      <c r="I4099">
        <v>71865</v>
      </c>
      <c r="J4099" t="s">
        <v>81</v>
      </c>
      <c r="K4099" t="s">
        <v>28</v>
      </c>
      <c r="L4099" t="s">
        <v>36</v>
      </c>
      <c r="M4099">
        <v>2</v>
      </c>
      <c r="N4099">
        <v>229.79</v>
      </c>
      <c r="O4099">
        <v>310.42</v>
      </c>
      <c r="P4099">
        <v>15.52</v>
      </c>
      <c r="Q4099">
        <v>15.52</v>
      </c>
      <c r="R4099" t="s">
        <v>30</v>
      </c>
      <c r="S4099">
        <v>29</v>
      </c>
      <c r="T4099">
        <v>1</v>
      </c>
      <c r="U4099">
        <v>4</v>
      </c>
      <c r="V4099">
        <v>294.89999999999998</v>
      </c>
      <c r="W4099">
        <v>13130004097</v>
      </c>
    </row>
    <row r="4100" spans="1:23" x14ac:dyDescent="0.2">
      <c r="A4100" s="1">
        <v>44780</v>
      </c>
      <c r="B4100" s="2">
        <v>0.94478009259259255</v>
      </c>
      <c r="C4100">
        <v>5098</v>
      </c>
      <c r="D4100">
        <v>13002561</v>
      </c>
      <c r="E4100">
        <v>13</v>
      </c>
      <c r="F4100">
        <v>22589</v>
      </c>
      <c r="G4100" t="s">
        <v>23</v>
      </c>
      <c r="H4100">
        <v>15</v>
      </c>
      <c r="I4100">
        <v>83126</v>
      </c>
      <c r="J4100" t="s">
        <v>111</v>
      </c>
      <c r="K4100" t="s">
        <v>60</v>
      </c>
      <c r="L4100" t="s">
        <v>32</v>
      </c>
      <c r="M4100">
        <v>3</v>
      </c>
      <c r="N4100">
        <v>202.38</v>
      </c>
      <c r="O4100">
        <v>297.14999999999998</v>
      </c>
      <c r="P4100">
        <v>29.71</v>
      </c>
      <c r="Q4100">
        <v>29.71</v>
      </c>
      <c r="R4100" t="s">
        <v>30</v>
      </c>
      <c r="S4100">
        <v>29</v>
      </c>
      <c r="T4100">
        <v>1</v>
      </c>
      <c r="U4100">
        <v>4</v>
      </c>
      <c r="V4100">
        <v>267.44</v>
      </c>
      <c r="W4100">
        <v>13130004098</v>
      </c>
    </row>
    <row r="4101" spans="1:23" x14ac:dyDescent="0.2">
      <c r="A4101" s="1">
        <v>44781</v>
      </c>
      <c r="B4101" s="2">
        <v>0.82968750000000002</v>
      </c>
      <c r="C4101">
        <v>5099</v>
      </c>
      <c r="D4101">
        <v>13002561</v>
      </c>
      <c r="E4101">
        <v>13</v>
      </c>
      <c r="F4101">
        <v>22589</v>
      </c>
      <c r="G4101" t="s">
        <v>23</v>
      </c>
      <c r="H4101">
        <v>15</v>
      </c>
      <c r="I4101">
        <v>15526</v>
      </c>
      <c r="J4101" t="s">
        <v>115</v>
      </c>
      <c r="K4101" t="s">
        <v>60</v>
      </c>
      <c r="L4101" t="s">
        <v>29</v>
      </c>
      <c r="M4101">
        <v>1</v>
      </c>
      <c r="N4101">
        <v>141.41999999999999</v>
      </c>
      <c r="O4101">
        <v>198.86</v>
      </c>
      <c r="P4101">
        <v>0</v>
      </c>
      <c r="Q4101">
        <v>0</v>
      </c>
      <c r="S4101">
        <v>29</v>
      </c>
      <c r="T4101">
        <v>1</v>
      </c>
      <c r="U4101">
        <v>3</v>
      </c>
      <c r="V4101">
        <v>198.86</v>
      </c>
      <c r="W4101">
        <v>13130004099</v>
      </c>
    </row>
    <row r="4102" spans="1:23" x14ac:dyDescent="0.2">
      <c r="A4102" s="1">
        <v>44788</v>
      </c>
      <c r="B4102" s="2">
        <v>0.52021990740740742</v>
      </c>
      <c r="C4102">
        <v>5100</v>
      </c>
      <c r="D4102">
        <v>13002561</v>
      </c>
      <c r="E4102">
        <v>13</v>
      </c>
      <c r="F4102">
        <v>22589</v>
      </c>
      <c r="G4102" t="s">
        <v>23</v>
      </c>
      <c r="H4102">
        <v>18</v>
      </c>
      <c r="I4102">
        <v>55338</v>
      </c>
      <c r="J4102" t="s">
        <v>110</v>
      </c>
      <c r="K4102" t="s">
        <v>38</v>
      </c>
      <c r="L4102" t="s">
        <v>32</v>
      </c>
      <c r="M4102">
        <v>1</v>
      </c>
      <c r="N4102">
        <v>383.31</v>
      </c>
      <c r="O4102">
        <v>519.74</v>
      </c>
      <c r="P4102">
        <v>51.97</v>
      </c>
      <c r="Q4102">
        <v>51.97</v>
      </c>
      <c r="R4102" t="s">
        <v>30</v>
      </c>
      <c r="S4102">
        <v>29</v>
      </c>
      <c r="T4102">
        <v>1</v>
      </c>
      <c r="U4102">
        <v>5</v>
      </c>
      <c r="V4102">
        <v>467.77</v>
      </c>
      <c r="W4102">
        <v>13130004100</v>
      </c>
    </row>
    <row r="4103" spans="1:23" x14ac:dyDescent="0.2">
      <c r="A4103" s="1">
        <v>44774</v>
      </c>
      <c r="B4103" s="2">
        <v>0.68298611111111107</v>
      </c>
      <c r="C4103">
        <v>5101</v>
      </c>
      <c r="D4103">
        <v>13002561</v>
      </c>
      <c r="E4103">
        <v>13</v>
      </c>
      <c r="F4103">
        <v>22589</v>
      </c>
      <c r="G4103" t="s">
        <v>23</v>
      </c>
      <c r="H4103">
        <v>15</v>
      </c>
      <c r="I4103">
        <v>18077</v>
      </c>
      <c r="J4103" t="s">
        <v>85</v>
      </c>
      <c r="K4103" t="s">
        <v>44</v>
      </c>
      <c r="L4103" t="s">
        <v>51</v>
      </c>
      <c r="M4103">
        <v>2</v>
      </c>
      <c r="N4103">
        <v>83.72</v>
      </c>
      <c r="O4103">
        <v>133.13</v>
      </c>
      <c r="P4103">
        <v>6.66</v>
      </c>
      <c r="Q4103">
        <v>6.66</v>
      </c>
      <c r="R4103" t="s">
        <v>30</v>
      </c>
      <c r="S4103">
        <v>29</v>
      </c>
      <c r="T4103">
        <v>1</v>
      </c>
      <c r="U4103">
        <v>5</v>
      </c>
      <c r="V4103">
        <v>126.47</v>
      </c>
      <c r="W4103">
        <v>13130004101</v>
      </c>
    </row>
    <row r="4104" spans="1:23" x14ac:dyDescent="0.2">
      <c r="A4104" s="1">
        <v>44793</v>
      </c>
      <c r="B4104" s="2">
        <v>0.58655092592592595</v>
      </c>
      <c r="C4104">
        <v>5102</v>
      </c>
      <c r="D4104">
        <v>13002561</v>
      </c>
      <c r="E4104">
        <v>13</v>
      </c>
      <c r="F4104">
        <v>22589</v>
      </c>
      <c r="G4104" t="s">
        <v>23</v>
      </c>
      <c r="H4104">
        <v>15</v>
      </c>
      <c r="I4104">
        <v>95501</v>
      </c>
      <c r="J4104" t="s">
        <v>91</v>
      </c>
      <c r="K4104" t="s">
        <v>45</v>
      </c>
      <c r="L4104" t="s">
        <v>34</v>
      </c>
      <c r="M4104">
        <v>3</v>
      </c>
      <c r="N4104">
        <v>251.98</v>
      </c>
      <c r="O4104">
        <v>319.42</v>
      </c>
      <c r="P4104">
        <v>0</v>
      </c>
      <c r="Q4104">
        <v>0</v>
      </c>
      <c r="S4104">
        <v>29</v>
      </c>
      <c r="T4104">
        <v>1</v>
      </c>
      <c r="U4104">
        <v>4</v>
      </c>
      <c r="V4104">
        <v>319.42</v>
      </c>
      <c r="W4104">
        <v>13130004102</v>
      </c>
    </row>
    <row r="4105" spans="1:23" x14ac:dyDescent="0.2">
      <c r="A4105" s="1">
        <v>44774</v>
      </c>
      <c r="B4105" s="2">
        <v>0.69253472222222223</v>
      </c>
      <c r="C4105">
        <v>5103</v>
      </c>
      <c r="D4105">
        <v>13002561</v>
      </c>
      <c r="E4105">
        <v>13</v>
      </c>
      <c r="F4105">
        <v>22589</v>
      </c>
      <c r="G4105" t="s">
        <v>23</v>
      </c>
      <c r="H4105">
        <v>15</v>
      </c>
      <c r="I4105">
        <v>45288</v>
      </c>
      <c r="J4105" t="s">
        <v>46</v>
      </c>
      <c r="K4105" t="s">
        <v>44</v>
      </c>
      <c r="L4105" t="s">
        <v>36</v>
      </c>
      <c r="M4105">
        <v>2</v>
      </c>
      <c r="N4105">
        <v>367.15</v>
      </c>
      <c r="O4105">
        <v>570.71</v>
      </c>
      <c r="P4105">
        <v>28.54</v>
      </c>
      <c r="Q4105">
        <v>28.54</v>
      </c>
      <c r="R4105" t="s">
        <v>30</v>
      </c>
      <c r="S4105">
        <v>29</v>
      </c>
      <c r="T4105">
        <v>1</v>
      </c>
      <c r="U4105">
        <v>2</v>
      </c>
      <c r="V4105">
        <v>542.16999999999996</v>
      </c>
      <c r="W4105">
        <v>13130004103</v>
      </c>
    </row>
    <row r="4106" spans="1:23" x14ac:dyDescent="0.2">
      <c r="A4106" s="1">
        <v>44799</v>
      </c>
      <c r="B4106" s="2">
        <v>0.81325231481481486</v>
      </c>
      <c r="C4106">
        <v>5104</v>
      </c>
      <c r="D4106">
        <v>13002561</v>
      </c>
      <c r="E4106">
        <v>13</v>
      </c>
      <c r="F4106">
        <v>22589</v>
      </c>
      <c r="G4106" t="s">
        <v>23</v>
      </c>
      <c r="H4106">
        <v>15</v>
      </c>
      <c r="I4106">
        <v>26301</v>
      </c>
      <c r="J4106" t="s">
        <v>94</v>
      </c>
      <c r="K4106" t="s">
        <v>25</v>
      </c>
      <c r="L4106" t="s">
        <v>47</v>
      </c>
      <c r="M4106">
        <v>3</v>
      </c>
      <c r="N4106">
        <v>454.32</v>
      </c>
      <c r="O4106">
        <v>624.75</v>
      </c>
      <c r="P4106">
        <v>31.24</v>
      </c>
      <c r="Q4106">
        <v>31.24</v>
      </c>
      <c r="R4106" t="s">
        <v>30</v>
      </c>
      <c r="S4106">
        <v>29</v>
      </c>
      <c r="T4106">
        <v>1</v>
      </c>
      <c r="U4106">
        <v>1</v>
      </c>
      <c r="V4106">
        <v>593.51</v>
      </c>
      <c r="W4106">
        <v>13130004104</v>
      </c>
    </row>
    <row r="4107" spans="1:23" x14ac:dyDescent="0.2">
      <c r="A4107" s="1">
        <v>44799</v>
      </c>
      <c r="B4107" s="2">
        <v>0.41346064814814809</v>
      </c>
      <c r="C4107">
        <v>5105</v>
      </c>
      <c r="D4107">
        <v>13002561</v>
      </c>
      <c r="E4107">
        <v>13</v>
      </c>
      <c r="F4107">
        <v>22589</v>
      </c>
      <c r="G4107" t="s">
        <v>23</v>
      </c>
      <c r="H4107">
        <v>18</v>
      </c>
      <c r="I4107">
        <v>78655</v>
      </c>
      <c r="J4107" t="s">
        <v>95</v>
      </c>
      <c r="K4107" t="s">
        <v>44</v>
      </c>
      <c r="L4107" t="s">
        <v>36</v>
      </c>
      <c r="M4107">
        <v>2</v>
      </c>
      <c r="N4107">
        <v>336.46</v>
      </c>
      <c r="O4107">
        <v>568.07000000000005</v>
      </c>
      <c r="P4107">
        <v>28.4</v>
      </c>
      <c r="Q4107">
        <v>28.4</v>
      </c>
      <c r="R4107" t="s">
        <v>30</v>
      </c>
      <c r="S4107">
        <v>29</v>
      </c>
      <c r="T4107">
        <v>1</v>
      </c>
      <c r="U4107">
        <v>3</v>
      </c>
      <c r="V4107">
        <v>539.66999999999996</v>
      </c>
      <c r="W4107">
        <v>13130004105</v>
      </c>
    </row>
    <row r="4108" spans="1:23" x14ac:dyDescent="0.2">
      <c r="A4108" s="1">
        <v>44783</v>
      </c>
      <c r="B4108" s="2">
        <v>0.78525462962962966</v>
      </c>
      <c r="C4108">
        <v>5106</v>
      </c>
      <c r="D4108">
        <v>13002561</v>
      </c>
      <c r="E4108">
        <v>13</v>
      </c>
      <c r="F4108">
        <v>22589</v>
      </c>
      <c r="G4108" t="s">
        <v>23</v>
      </c>
      <c r="H4108">
        <v>18</v>
      </c>
      <c r="I4108">
        <v>93563</v>
      </c>
      <c r="J4108" t="s">
        <v>86</v>
      </c>
      <c r="K4108" t="s">
        <v>45</v>
      </c>
      <c r="L4108" t="s">
        <v>34</v>
      </c>
      <c r="M4108">
        <v>3</v>
      </c>
      <c r="N4108">
        <v>56.28</v>
      </c>
      <c r="O4108">
        <v>93.15</v>
      </c>
      <c r="P4108">
        <v>9.32</v>
      </c>
      <c r="Q4108">
        <v>9.32</v>
      </c>
      <c r="R4108" t="s">
        <v>30</v>
      </c>
      <c r="S4108">
        <v>29</v>
      </c>
      <c r="T4108">
        <v>1</v>
      </c>
      <c r="U4108">
        <v>4</v>
      </c>
      <c r="V4108">
        <v>83.83</v>
      </c>
      <c r="W4108">
        <v>13130004106</v>
      </c>
    </row>
    <row r="4109" spans="1:23" x14ac:dyDescent="0.2">
      <c r="A4109" s="1">
        <v>44774</v>
      </c>
      <c r="B4109" s="2">
        <v>0.74383101851851852</v>
      </c>
      <c r="C4109">
        <v>5107</v>
      </c>
      <c r="D4109">
        <v>13002561</v>
      </c>
      <c r="E4109">
        <v>13</v>
      </c>
      <c r="F4109">
        <v>22589</v>
      </c>
      <c r="G4109" t="s">
        <v>23</v>
      </c>
      <c r="H4109">
        <v>18</v>
      </c>
      <c r="I4109">
        <v>46446</v>
      </c>
      <c r="J4109" t="s">
        <v>126</v>
      </c>
      <c r="K4109" t="s">
        <v>45</v>
      </c>
      <c r="L4109" t="s">
        <v>36</v>
      </c>
      <c r="M4109">
        <v>2</v>
      </c>
      <c r="N4109">
        <v>356.03</v>
      </c>
      <c r="O4109">
        <v>499.31</v>
      </c>
      <c r="P4109">
        <v>0</v>
      </c>
      <c r="Q4109">
        <v>0</v>
      </c>
      <c r="S4109">
        <v>29</v>
      </c>
      <c r="T4109">
        <v>1</v>
      </c>
      <c r="U4109">
        <v>6</v>
      </c>
      <c r="V4109">
        <v>499.31</v>
      </c>
      <c r="W4109">
        <v>13130004107</v>
      </c>
    </row>
    <row r="4110" spans="1:23" x14ac:dyDescent="0.2">
      <c r="A4110" s="1">
        <v>44792</v>
      </c>
      <c r="B4110" s="2">
        <v>0.35700231481481481</v>
      </c>
      <c r="C4110">
        <v>5108</v>
      </c>
      <c r="D4110">
        <v>13002561</v>
      </c>
      <c r="E4110">
        <v>13</v>
      </c>
      <c r="F4110">
        <v>22589</v>
      </c>
      <c r="G4110" t="s">
        <v>23</v>
      </c>
      <c r="H4110">
        <v>15</v>
      </c>
      <c r="I4110">
        <v>44297</v>
      </c>
      <c r="J4110" t="s">
        <v>126</v>
      </c>
      <c r="K4110" t="s">
        <v>38</v>
      </c>
      <c r="L4110" t="s">
        <v>47</v>
      </c>
      <c r="M4110">
        <v>2</v>
      </c>
      <c r="N4110">
        <v>453.98</v>
      </c>
      <c r="O4110">
        <v>727.5</v>
      </c>
      <c r="P4110">
        <v>72.75</v>
      </c>
      <c r="Q4110">
        <v>72.75</v>
      </c>
      <c r="R4110" t="s">
        <v>30</v>
      </c>
      <c r="S4110">
        <v>29</v>
      </c>
      <c r="T4110">
        <v>1</v>
      </c>
      <c r="U4110">
        <v>2</v>
      </c>
      <c r="V4110">
        <v>654.75</v>
      </c>
      <c r="W4110">
        <v>13130004108</v>
      </c>
    </row>
    <row r="4111" spans="1:23" x14ac:dyDescent="0.2">
      <c r="A4111" s="1">
        <v>44789</v>
      </c>
      <c r="B4111" s="2">
        <v>0.7711689814814815</v>
      </c>
      <c r="C4111">
        <v>5109</v>
      </c>
      <c r="D4111">
        <v>13002561</v>
      </c>
      <c r="E4111">
        <v>13</v>
      </c>
      <c r="F4111">
        <v>22589</v>
      </c>
      <c r="G4111" t="s">
        <v>23</v>
      </c>
      <c r="H4111">
        <v>15</v>
      </c>
      <c r="I4111">
        <v>88325</v>
      </c>
      <c r="J4111" t="s">
        <v>99</v>
      </c>
      <c r="K4111" t="s">
        <v>25</v>
      </c>
      <c r="L4111" t="s">
        <v>51</v>
      </c>
      <c r="M4111">
        <v>2</v>
      </c>
      <c r="N4111">
        <v>181.8</v>
      </c>
      <c r="O4111">
        <v>292.08</v>
      </c>
      <c r="P4111">
        <v>14.6</v>
      </c>
      <c r="Q4111">
        <v>14.6</v>
      </c>
      <c r="R4111" t="s">
        <v>30</v>
      </c>
      <c r="S4111">
        <v>29</v>
      </c>
      <c r="T4111">
        <v>1</v>
      </c>
      <c r="U4111">
        <v>3</v>
      </c>
      <c r="V4111">
        <v>277.48</v>
      </c>
      <c r="W4111">
        <v>13130004109</v>
      </c>
    </row>
    <row r="4112" spans="1:23" x14ac:dyDescent="0.2">
      <c r="A4112" s="1">
        <v>44783</v>
      </c>
      <c r="B4112" s="2">
        <v>0.78131944444444446</v>
      </c>
      <c r="C4112">
        <v>5110</v>
      </c>
      <c r="D4112">
        <v>13002561</v>
      </c>
      <c r="E4112">
        <v>13</v>
      </c>
      <c r="F4112">
        <v>22589</v>
      </c>
      <c r="G4112" t="s">
        <v>23</v>
      </c>
      <c r="H4112">
        <v>18</v>
      </c>
      <c r="I4112">
        <v>31103</v>
      </c>
      <c r="J4112" t="s">
        <v>69</v>
      </c>
      <c r="K4112" t="s">
        <v>44</v>
      </c>
      <c r="L4112" t="s">
        <v>47</v>
      </c>
      <c r="M4112">
        <v>1</v>
      </c>
      <c r="N4112">
        <v>110.25</v>
      </c>
      <c r="O4112">
        <v>186.65</v>
      </c>
      <c r="P4112">
        <v>9.33</v>
      </c>
      <c r="Q4112">
        <v>9.33</v>
      </c>
      <c r="R4112" t="s">
        <v>30</v>
      </c>
      <c r="S4112">
        <v>29</v>
      </c>
      <c r="T4112">
        <v>1</v>
      </c>
      <c r="U4112">
        <v>5</v>
      </c>
      <c r="V4112">
        <v>177.32</v>
      </c>
      <c r="W4112">
        <v>13130004110</v>
      </c>
    </row>
    <row r="4113" spans="1:23" x14ac:dyDescent="0.2">
      <c r="A4113" s="1">
        <v>44787</v>
      </c>
      <c r="B4113" s="2">
        <v>0.64820601851851856</v>
      </c>
      <c r="C4113">
        <v>5111</v>
      </c>
      <c r="D4113">
        <v>13002561</v>
      </c>
      <c r="E4113">
        <v>13</v>
      </c>
      <c r="F4113">
        <v>22589</v>
      </c>
      <c r="G4113" t="s">
        <v>23</v>
      </c>
      <c r="H4113">
        <v>18</v>
      </c>
      <c r="I4113">
        <v>20385</v>
      </c>
      <c r="J4113" t="s">
        <v>43</v>
      </c>
      <c r="K4113" t="s">
        <v>28</v>
      </c>
      <c r="L4113" t="s">
        <v>32</v>
      </c>
      <c r="M4113">
        <v>3</v>
      </c>
      <c r="N4113">
        <v>49.97</v>
      </c>
      <c r="O4113">
        <v>70.08</v>
      </c>
      <c r="P4113">
        <v>7.01</v>
      </c>
      <c r="Q4113">
        <v>7.01</v>
      </c>
      <c r="R4113" t="s">
        <v>30</v>
      </c>
      <c r="S4113">
        <v>29</v>
      </c>
      <c r="T4113">
        <v>1</v>
      </c>
      <c r="U4113">
        <v>6</v>
      </c>
      <c r="V4113">
        <v>63.07</v>
      </c>
      <c r="W4113">
        <v>13130004111</v>
      </c>
    </row>
    <row r="4114" spans="1:23" x14ac:dyDescent="0.2">
      <c r="A4114" s="1">
        <v>44790</v>
      </c>
      <c r="B4114" s="2">
        <v>0.45988425925925919</v>
      </c>
      <c r="C4114">
        <v>5112</v>
      </c>
      <c r="D4114">
        <v>13002561</v>
      </c>
      <c r="E4114">
        <v>13</v>
      </c>
      <c r="F4114">
        <v>22589</v>
      </c>
      <c r="G4114" t="s">
        <v>23</v>
      </c>
      <c r="H4114">
        <v>15</v>
      </c>
      <c r="I4114">
        <v>72167</v>
      </c>
      <c r="J4114" t="s">
        <v>24</v>
      </c>
      <c r="K4114" t="s">
        <v>25</v>
      </c>
      <c r="L4114" t="s">
        <v>34</v>
      </c>
      <c r="M4114">
        <v>3</v>
      </c>
      <c r="N4114">
        <v>389.1</v>
      </c>
      <c r="O4114">
        <v>527.23</v>
      </c>
      <c r="P4114">
        <v>26.36</v>
      </c>
      <c r="Q4114">
        <v>26.36</v>
      </c>
      <c r="R4114" t="s">
        <v>30</v>
      </c>
      <c r="S4114">
        <v>29</v>
      </c>
      <c r="T4114">
        <v>1</v>
      </c>
      <c r="U4114">
        <v>1</v>
      </c>
      <c r="V4114">
        <v>500.87</v>
      </c>
      <c r="W4114">
        <v>13130004112</v>
      </c>
    </row>
    <row r="4115" spans="1:23" x14ac:dyDescent="0.2">
      <c r="A4115" s="1">
        <v>44797</v>
      </c>
      <c r="B4115" s="2">
        <v>0.74994212962962958</v>
      </c>
      <c r="C4115">
        <v>5113</v>
      </c>
      <c r="D4115">
        <v>13002561</v>
      </c>
      <c r="E4115">
        <v>13</v>
      </c>
      <c r="F4115">
        <v>22589</v>
      </c>
      <c r="G4115" t="s">
        <v>23</v>
      </c>
      <c r="H4115">
        <v>18</v>
      </c>
      <c r="I4115">
        <v>22359</v>
      </c>
      <c r="J4115" t="s">
        <v>68</v>
      </c>
      <c r="K4115" t="s">
        <v>45</v>
      </c>
      <c r="L4115" t="s">
        <v>29</v>
      </c>
      <c r="M4115">
        <v>1</v>
      </c>
      <c r="N4115">
        <v>418.09</v>
      </c>
      <c r="O4115">
        <v>547.98</v>
      </c>
      <c r="P4115">
        <v>0</v>
      </c>
      <c r="Q4115">
        <v>0</v>
      </c>
      <c r="S4115">
        <v>29</v>
      </c>
      <c r="T4115">
        <v>1</v>
      </c>
      <c r="U4115">
        <v>2</v>
      </c>
      <c r="V4115">
        <v>547.98</v>
      </c>
      <c r="W4115">
        <v>13130004113</v>
      </c>
    </row>
    <row r="4116" spans="1:23" x14ac:dyDescent="0.2">
      <c r="A4116" s="1">
        <v>44774</v>
      </c>
      <c r="B4116" s="2">
        <v>0.85863425925925929</v>
      </c>
      <c r="C4116">
        <v>5114</v>
      </c>
      <c r="D4116">
        <v>13002561</v>
      </c>
      <c r="E4116">
        <v>13</v>
      </c>
      <c r="F4116">
        <v>22589</v>
      </c>
      <c r="G4116" t="s">
        <v>23</v>
      </c>
      <c r="H4116">
        <v>15</v>
      </c>
      <c r="I4116">
        <v>85791</v>
      </c>
      <c r="J4116" t="s">
        <v>88</v>
      </c>
      <c r="K4116" t="s">
        <v>60</v>
      </c>
      <c r="L4116" t="s">
        <v>47</v>
      </c>
      <c r="M4116">
        <v>1</v>
      </c>
      <c r="N4116">
        <v>176.68</v>
      </c>
      <c r="O4116">
        <v>284.98</v>
      </c>
      <c r="P4116">
        <v>0</v>
      </c>
      <c r="Q4116">
        <v>0</v>
      </c>
      <c r="S4116">
        <v>29</v>
      </c>
      <c r="T4116">
        <v>1</v>
      </c>
      <c r="U4116">
        <v>1</v>
      </c>
      <c r="V4116">
        <v>284.98</v>
      </c>
      <c r="W4116">
        <v>13130004114</v>
      </c>
    </row>
    <row r="4117" spans="1:23" x14ac:dyDescent="0.2">
      <c r="A4117" s="1">
        <v>44798</v>
      </c>
      <c r="B4117" s="2">
        <v>0.88049768518518523</v>
      </c>
      <c r="C4117">
        <v>5115</v>
      </c>
      <c r="D4117">
        <v>13002561</v>
      </c>
      <c r="E4117">
        <v>13</v>
      </c>
      <c r="F4117">
        <v>22589</v>
      </c>
      <c r="G4117" t="s">
        <v>23</v>
      </c>
      <c r="H4117">
        <v>18</v>
      </c>
      <c r="I4117">
        <v>21143</v>
      </c>
      <c r="J4117" t="s">
        <v>89</v>
      </c>
      <c r="K4117" t="s">
        <v>25</v>
      </c>
      <c r="L4117" t="s">
        <v>36</v>
      </c>
      <c r="M4117">
        <v>2</v>
      </c>
      <c r="N4117">
        <v>47.36</v>
      </c>
      <c r="O4117">
        <v>73.31</v>
      </c>
      <c r="P4117">
        <v>0</v>
      </c>
      <c r="Q4117">
        <v>0</v>
      </c>
      <c r="S4117">
        <v>29</v>
      </c>
      <c r="T4117">
        <v>1</v>
      </c>
      <c r="U4117">
        <v>1</v>
      </c>
      <c r="V4117">
        <v>73.31</v>
      </c>
      <c r="W4117">
        <v>13130004115</v>
      </c>
    </row>
    <row r="4118" spans="1:23" x14ac:dyDescent="0.2">
      <c r="A4118" s="1">
        <v>44791</v>
      </c>
      <c r="B4118" s="2">
        <v>0.43513888888888891</v>
      </c>
      <c r="C4118">
        <v>5116</v>
      </c>
      <c r="D4118">
        <v>13002561</v>
      </c>
      <c r="E4118">
        <v>13</v>
      </c>
      <c r="F4118">
        <v>22589</v>
      </c>
      <c r="G4118" t="s">
        <v>23</v>
      </c>
      <c r="H4118">
        <v>18</v>
      </c>
      <c r="I4118">
        <v>50724</v>
      </c>
      <c r="J4118" t="s">
        <v>84</v>
      </c>
      <c r="K4118" t="s">
        <v>25</v>
      </c>
      <c r="L4118" t="s">
        <v>51</v>
      </c>
      <c r="M4118">
        <v>1</v>
      </c>
      <c r="N4118">
        <v>200.74</v>
      </c>
      <c r="O4118">
        <v>292.39</v>
      </c>
      <c r="P4118">
        <v>14.62</v>
      </c>
      <c r="Q4118">
        <v>14.62</v>
      </c>
      <c r="R4118" t="s">
        <v>30</v>
      </c>
      <c r="S4118">
        <v>29</v>
      </c>
      <c r="T4118">
        <v>1</v>
      </c>
      <c r="U4118">
        <v>4</v>
      </c>
      <c r="V4118">
        <v>277.77</v>
      </c>
      <c r="W4118">
        <v>13130004116</v>
      </c>
    </row>
    <row r="4119" spans="1:23" x14ac:dyDescent="0.2">
      <c r="A4119" s="1">
        <v>44796</v>
      </c>
      <c r="B4119" s="2">
        <v>0.80981481481481477</v>
      </c>
      <c r="C4119">
        <v>5117</v>
      </c>
      <c r="D4119">
        <v>13002561</v>
      </c>
      <c r="E4119">
        <v>13</v>
      </c>
      <c r="F4119">
        <v>22589</v>
      </c>
      <c r="G4119" t="s">
        <v>23</v>
      </c>
      <c r="H4119">
        <v>15</v>
      </c>
      <c r="I4119">
        <v>97654</v>
      </c>
      <c r="J4119" t="s">
        <v>49</v>
      </c>
      <c r="K4119" t="s">
        <v>38</v>
      </c>
      <c r="L4119" t="s">
        <v>26</v>
      </c>
      <c r="M4119">
        <v>3</v>
      </c>
      <c r="N4119">
        <v>252.05</v>
      </c>
      <c r="O4119">
        <v>400.79</v>
      </c>
      <c r="P4119">
        <v>40.08</v>
      </c>
      <c r="Q4119">
        <v>40.08</v>
      </c>
      <c r="R4119" t="s">
        <v>30</v>
      </c>
      <c r="S4119">
        <v>29</v>
      </c>
      <c r="T4119">
        <v>1</v>
      </c>
      <c r="U4119">
        <v>5</v>
      </c>
      <c r="V4119">
        <v>360.71</v>
      </c>
      <c r="W4119">
        <v>13130004117</v>
      </c>
    </row>
    <row r="4120" spans="1:23" x14ac:dyDescent="0.2">
      <c r="A4120" s="1">
        <v>44799</v>
      </c>
      <c r="B4120" s="2">
        <v>0.78885416666666663</v>
      </c>
      <c r="C4120">
        <v>5118</v>
      </c>
      <c r="D4120">
        <v>13002561</v>
      </c>
      <c r="E4120">
        <v>13</v>
      </c>
      <c r="F4120">
        <v>22589</v>
      </c>
      <c r="G4120" t="s">
        <v>23</v>
      </c>
      <c r="H4120">
        <v>18</v>
      </c>
      <c r="I4120">
        <v>77109</v>
      </c>
      <c r="J4120" t="s">
        <v>93</v>
      </c>
      <c r="K4120" t="s">
        <v>60</v>
      </c>
      <c r="L4120" t="s">
        <v>29</v>
      </c>
      <c r="M4120">
        <v>3</v>
      </c>
      <c r="N4120">
        <v>378.64</v>
      </c>
      <c r="O4120">
        <v>535.27</v>
      </c>
      <c r="P4120">
        <v>26.76</v>
      </c>
      <c r="Q4120">
        <v>26.76</v>
      </c>
      <c r="R4120" t="s">
        <v>30</v>
      </c>
      <c r="S4120">
        <v>29</v>
      </c>
      <c r="T4120">
        <v>1</v>
      </c>
      <c r="U4120">
        <v>2</v>
      </c>
      <c r="V4120">
        <v>508.51</v>
      </c>
      <c r="W4120">
        <v>13130004118</v>
      </c>
    </row>
    <row r="4121" spans="1:23" x14ac:dyDescent="0.2">
      <c r="A4121" s="1">
        <v>44774</v>
      </c>
      <c r="B4121" s="2">
        <v>0.85990740740740745</v>
      </c>
      <c r="C4121">
        <v>5119</v>
      </c>
      <c r="D4121">
        <v>13002561</v>
      </c>
      <c r="E4121">
        <v>13</v>
      </c>
      <c r="F4121">
        <v>22589</v>
      </c>
      <c r="G4121" t="s">
        <v>23</v>
      </c>
      <c r="H4121">
        <v>15</v>
      </c>
      <c r="I4121">
        <v>97708</v>
      </c>
      <c r="J4121" t="s">
        <v>118</v>
      </c>
      <c r="K4121" t="s">
        <v>60</v>
      </c>
      <c r="L4121" t="s">
        <v>34</v>
      </c>
      <c r="M4121">
        <v>3</v>
      </c>
      <c r="N4121">
        <v>132.78</v>
      </c>
      <c r="O4121">
        <v>219.7</v>
      </c>
      <c r="P4121">
        <v>10.98</v>
      </c>
      <c r="Q4121">
        <v>10.98</v>
      </c>
      <c r="R4121" t="s">
        <v>30</v>
      </c>
      <c r="S4121">
        <v>29</v>
      </c>
      <c r="T4121">
        <v>1</v>
      </c>
      <c r="U4121">
        <v>6</v>
      </c>
      <c r="V4121">
        <v>208.72</v>
      </c>
      <c r="W4121">
        <v>13130004119</v>
      </c>
    </row>
    <row r="4122" spans="1:23" x14ac:dyDescent="0.2">
      <c r="A4122" s="1">
        <v>44801</v>
      </c>
      <c r="B4122" s="2">
        <v>0.36959490740740741</v>
      </c>
      <c r="C4122">
        <v>5120</v>
      </c>
      <c r="D4122">
        <v>13002561</v>
      </c>
      <c r="E4122">
        <v>13</v>
      </c>
      <c r="F4122">
        <v>22589</v>
      </c>
      <c r="G4122" t="s">
        <v>23</v>
      </c>
      <c r="H4122">
        <v>18</v>
      </c>
      <c r="I4122">
        <v>97185</v>
      </c>
      <c r="J4122" t="s">
        <v>57</v>
      </c>
      <c r="K4122" t="s">
        <v>25</v>
      </c>
      <c r="L4122" t="s">
        <v>51</v>
      </c>
      <c r="M4122">
        <v>3</v>
      </c>
      <c r="N4122">
        <v>483.71</v>
      </c>
      <c r="O4122">
        <v>798.83</v>
      </c>
      <c r="P4122">
        <v>0</v>
      </c>
      <c r="Q4122">
        <v>0</v>
      </c>
      <c r="S4122">
        <v>29</v>
      </c>
      <c r="T4122">
        <v>1</v>
      </c>
      <c r="U4122">
        <v>6</v>
      </c>
      <c r="V4122">
        <v>798.83</v>
      </c>
      <c r="W4122">
        <v>13130004120</v>
      </c>
    </row>
    <row r="4123" spans="1:23" x14ac:dyDescent="0.2">
      <c r="A4123" s="1">
        <v>44789</v>
      </c>
      <c r="B4123" s="2">
        <v>0.51581018518518518</v>
      </c>
      <c r="C4123">
        <v>5121</v>
      </c>
      <c r="D4123">
        <v>13002561</v>
      </c>
      <c r="E4123">
        <v>13</v>
      </c>
      <c r="F4123">
        <v>22589</v>
      </c>
      <c r="G4123" t="s">
        <v>23</v>
      </c>
      <c r="H4123">
        <v>15</v>
      </c>
      <c r="I4123">
        <v>30517</v>
      </c>
      <c r="J4123" t="s">
        <v>84</v>
      </c>
      <c r="K4123" t="s">
        <v>44</v>
      </c>
      <c r="L4123" t="s">
        <v>32</v>
      </c>
      <c r="M4123">
        <v>3</v>
      </c>
      <c r="N4123">
        <v>43.25</v>
      </c>
      <c r="O4123">
        <v>64.64</v>
      </c>
      <c r="P4123">
        <v>0</v>
      </c>
      <c r="Q4123">
        <v>0</v>
      </c>
      <c r="S4123">
        <v>29</v>
      </c>
      <c r="T4123">
        <v>1</v>
      </c>
      <c r="U4123">
        <v>5</v>
      </c>
      <c r="V4123">
        <v>64.64</v>
      </c>
      <c r="W4123">
        <v>13130004121</v>
      </c>
    </row>
    <row r="4124" spans="1:23" x14ac:dyDescent="0.2">
      <c r="A4124" s="1">
        <v>44779</v>
      </c>
      <c r="B4124" s="2">
        <v>0.64694444444444443</v>
      </c>
      <c r="C4124">
        <v>5122</v>
      </c>
      <c r="D4124">
        <v>13002561</v>
      </c>
      <c r="E4124">
        <v>13</v>
      </c>
      <c r="F4124">
        <v>22589</v>
      </c>
      <c r="G4124" t="s">
        <v>23</v>
      </c>
      <c r="H4124">
        <v>15</v>
      </c>
      <c r="I4124">
        <v>78846</v>
      </c>
      <c r="J4124" t="s">
        <v>42</v>
      </c>
      <c r="K4124" t="s">
        <v>28</v>
      </c>
      <c r="L4124" t="s">
        <v>47</v>
      </c>
      <c r="M4124">
        <v>2</v>
      </c>
      <c r="N4124">
        <v>294.97000000000003</v>
      </c>
      <c r="O4124">
        <v>481.85</v>
      </c>
      <c r="P4124">
        <v>0</v>
      </c>
      <c r="Q4124">
        <v>0</v>
      </c>
      <c r="S4124">
        <v>29</v>
      </c>
      <c r="T4124">
        <v>1</v>
      </c>
      <c r="U4124">
        <v>2</v>
      </c>
      <c r="V4124">
        <v>481.85</v>
      </c>
      <c r="W4124">
        <v>13130004122</v>
      </c>
    </row>
    <row r="4125" spans="1:23" x14ac:dyDescent="0.2">
      <c r="A4125" s="1">
        <v>44790</v>
      </c>
      <c r="B4125" s="2">
        <v>0.39101851851851849</v>
      </c>
      <c r="C4125">
        <v>5123</v>
      </c>
      <c r="D4125">
        <v>13002561</v>
      </c>
      <c r="E4125">
        <v>13</v>
      </c>
      <c r="F4125">
        <v>22589</v>
      </c>
      <c r="G4125" t="s">
        <v>23</v>
      </c>
      <c r="H4125">
        <v>18</v>
      </c>
      <c r="I4125">
        <v>67103</v>
      </c>
      <c r="J4125" t="s">
        <v>78</v>
      </c>
      <c r="K4125" t="s">
        <v>45</v>
      </c>
      <c r="L4125" t="s">
        <v>36</v>
      </c>
      <c r="M4125">
        <v>1</v>
      </c>
      <c r="N4125">
        <v>453.82</v>
      </c>
      <c r="O4125">
        <v>731</v>
      </c>
      <c r="P4125">
        <v>73.099999999999994</v>
      </c>
      <c r="Q4125">
        <v>73.099999999999994</v>
      </c>
      <c r="R4125" t="s">
        <v>30</v>
      </c>
      <c r="S4125">
        <v>29</v>
      </c>
      <c r="T4125">
        <v>1</v>
      </c>
      <c r="U4125">
        <v>3</v>
      </c>
      <c r="V4125">
        <v>657.9</v>
      </c>
      <c r="W4125">
        <v>13130004123</v>
      </c>
    </row>
    <row r="4126" spans="1:23" x14ac:dyDescent="0.2">
      <c r="A4126" s="1">
        <v>44803</v>
      </c>
      <c r="B4126" s="2">
        <v>0.56560185185185186</v>
      </c>
      <c r="C4126">
        <v>5124</v>
      </c>
      <c r="D4126">
        <v>13002561</v>
      </c>
      <c r="E4126">
        <v>13</v>
      </c>
      <c r="F4126">
        <v>22589</v>
      </c>
      <c r="G4126" t="s">
        <v>23</v>
      </c>
      <c r="H4126">
        <v>18</v>
      </c>
      <c r="I4126">
        <v>40603</v>
      </c>
      <c r="J4126" t="s">
        <v>64</v>
      </c>
      <c r="K4126" t="s">
        <v>60</v>
      </c>
      <c r="L4126" t="s">
        <v>39</v>
      </c>
      <c r="M4126">
        <v>2</v>
      </c>
      <c r="N4126">
        <v>11.12</v>
      </c>
      <c r="O4126">
        <v>14.69</v>
      </c>
      <c r="P4126">
        <v>0</v>
      </c>
      <c r="Q4126">
        <v>0</v>
      </c>
      <c r="S4126">
        <v>29</v>
      </c>
      <c r="T4126">
        <v>1</v>
      </c>
      <c r="U4126">
        <v>6</v>
      </c>
      <c r="V4126">
        <v>14.69</v>
      </c>
      <c r="W4126">
        <v>13130004124</v>
      </c>
    </row>
    <row r="4127" spans="1:23" x14ac:dyDescent="0.2">
      <c r="A4127" s="1">
        <v>44776</v>
      </c>
      <c r="B4127" s="2">
        <v>0.6454050925925926</v>
      </c>
      <c r="C4127">
        <v>5125</v>
      </c>
      <c r="D4127">
        <v>13002561</v>
      </c>
      <c r="E4127">
        <v>13</v>
      </c>
      <c r="F4127">
        <v>22589</v>
      </c>
      <c r="G4127" t="s">
        <v>23</v>
      </c>
      <c r="H4127">
        <v>18</v>
      </c>
      <c r="I4127">
        <v>56140</v>
      </c>
      <c r="J4127" t="s">
        <v>117</v>
      </c>
      <c r="K4127" t="s">
        <v>38</v>
      </c>
      <c r="L4127" t="s">
        <v>26</v>
      </c>
      <c r="M4127">
        <v>3</v>
      </c>
      <c r="N4127">
        <v>309.10000000000002</v>
      </c>
      <c r="O4127">
        <v>410.34</v>
      </c>
      <c r="P4127">
        <v>41.03</v>
      </c>
      <c r="Q4127">
        <v>41.03</v>
      </c>
      <c r="R4127" t="s">
        <v>30</v>
      </c>
      <c r="S4127">
        <v>29</v>
      </c>
      <c r="T4127">
        <v>1</v>
      </c>
      <c r="U4127">
        <v>5</v>
      </c>
      <c r="V4127">
        <v>369.31</v>
      </c>
      <c r="W4127">
        <v>13130004125</v>
      </c>
    </row>
    <row r="4128" spans="1:23" x14ac:dyDescent="0.2">
      <c r="A4128" s="1">
        <v>44787</v>
      </c>
      <c r="B4128" s="2">
        <v>0.68212962962962964</v>
      </c>
      <c r="C4128">
        <v>5126</v>
      </c>
      <c r="D4128">
        <v>13002561</v>
      </c>
      <c r="E4128">
        <v>13</v>
      </c>
      <c r="F4128">
        <v>22589</v>
      </c>
      <c r="G4128" t="s">
        <v>23</v>
      </c>
      <c r="H4128">
        <v>15</v>
      </c>
      <c r="I4128">
        <v>44252</v>
      </c>
      <c r="J4128" t="s">
        <v>104</v>
      </c>
      <c r="K4128" t="s">
        <v>60</v>
      </c>
      <c r="L4128" t="s">
        <v>51</v>
      </c>
      <c r="M4128">
        <v>2</v>
      </c>
      <c r="N4128">
        <v>574.97</v>
      </c>
      <c r="O4128">
        <v>764.15</v>
      </c>
      <c r="P4128">
        <v>76.42</v>
      </c>
      <c r="Q4128">
        <v>76.42</v>
      </c>
      <c r="R4128" t="s">
        <v>30</v>
      </c>
      <c r="S4128">
        <v>29</v>
      </c>
      <c r="T4128">
        <v>1</v>
      </c>
      <c r="U4128">
        <v>4</v>
      </c>
      <c r="V4128">
        <v>687.73</v>
      </c>
      <c r="W4128">
        <v>13130004126</v>
      </c>
    </row>
    <row r="4129" spans="1:23" x14ac:dyDescent="0.2">
      <c r="A4129" s="1">
        <v>44799</v>
      </c>
      <c r="B4129" s="2">
        <v>0.55222222222222217</v>
      </c>
      <c r="C4129">
        <v>5127</v>
      </c>
      <c r="D4129">
        <v>13002561</v>
      </c>
      <c r="E4129">
        <v>13</v>
      </c>
      <c r="F4129">
        <v>22589</v>
      </c>
      <c r="G4129" t="s">
        <v>23</v>
      </c>
      <c r="H4129">
        <v>15</v>
      </c>
      <c r="I4129">
        <v>78019</v>
      </c>
      <c r="J4129" t="s">
        <v>119</v>
      </c>
      <c r="K4129" t="s">
        <v>28</v>
      </c>
      <c r="L4129" t="s">
        <v>34</v>
      </c>
      <c r="M4129">
        <v>3</v>
      </c>
      <c r="N4129">
        <v>326.42</v>
      </c>
      <c r="O4129">
        <v>441.56</v>
      </c>
      <c r="P4129">
        <v>0</v>
      </c>
      <c r="Q4129">
        <v>0</v>
      </c>
      <c r="S4129">
        <v>29</v>
      </c>
      <c r="T4129">
        <v>1</v>
      </c>
      <c r="U4129">
        <v>4</v>
      </c>
      <c r="V4129">
        <v>441.56</v>
      </c>
      <c r="W4129">
        <v>13130004127</v>
      </c>
    </row>
    <row r="4130" spans="1:23" x14ac:dyDescent="0.2">
      <c r="A4130" s="1">
        <v>44787</v>
      </c>
      <c r="B4130" s="2">
        <v>0.93910879629629629</v>
      </c>
      <c r="C4130">
        <v>5128</v>
      </c>
      <c r="D4130">
        <v>13002561</v>
      </c>
      <c r="E4130">
        <v>13</v>
      </c>
      <c r="F4130">
        <v>22589</v>
      </c>
      <c r="G4130" t="s">
        <v>23</v>
      </c>
      <c r="H4130">
        <v>15</v>
      </c>
      <c r="I4130">
        <v>80485</v>
      </c>
      <c r="J4130" t="s">
        <v>101</v>
      </c>
      <c r="K4130" t="s">
        <v>45</v>
      </c>
      <c r="L4130" t="s">
        <v>26</v>
      </c>
      <c r="M4130">
        <v>3</v>
      </c>
      <c r="N4130">
        <v>229.88</v>
      </c>
      <c r="O4130">
        <v>326.05</v>
      </c>
      <c r="P4130">
        <v>0</v>
      </c>
      <c r="Q4130">
        <v>0</v>
      </c>
      <c r="S4130">
        <v>29</v>
      </c>
      <c r="T4130">
        <v>1</v>
      </c>
      <c r="U4130">
        <v>4</v>
      </c>
      <c r="V4130">
        <v>326.05</v>
      </c>
      <c r="W4130">
        <v>13130004128</v>
      </c>
    </row>
    <row r="4131" spans="1:23" x14ac:dyDescent="0.2">
      <c r="A4131" s="1">
        <v>44795</v>
      </c>
      <c r="B4131" s="2">
        <v>0.56572916666666662</v>
      </c>
      <c r="C4131">
        <v>5129</v>
      </c>
      <c r="D4131">
        <v>13002561</v>
      </c>
      <c r="E4131">
        <v>13</v>
      </c>
      <c r="F4131">
        <v>22589</v>
      </c>
      <c r="G4131" t="s">
        <v>23</v>
      </c>
      <c r="H4131">
        <v>18</v>
      </c>
      <c r="I4131">
        <v>77609</v>
      </c>
      <c r="J4131" t="s">
        <v>114</v>
      </c>
      <c r="K4131" t="s">
        <v>28</v>
      </c>
      <c r="L4131" t="s">
        <v>29</v>
      </c>
      <c r="M4131">
        <v>3</v>
      </c>
      <c r="N4131">
        <v>202.97</v>
      </c>
      <c r="O4131">
        <v>271.79000000000002</v>
      </c>
      <c r="P4131">
        <v>0</v>
      </c>
      <c r="Q4131">
        <v>0</v>
      </c>
      <c r="S4131">
        <v>29</v>
      </c>
      <c r="T4131">
        <v>1</v>
      </c>
      <c r="U4131">
        <v>1</v>
      </c>
      <c r="V4131">
        <v>271.79000000000002</v>
      </c>
      <c r="W4131">
        <v>13130004129</v>
      </c>
    </row>
    <row r="4132" spans="1:23" x14ac:dyDescent="0.2">
      <c r="A4132" s="1">
        <v>44780</v>
      </c>
      <c r="B4132" s="2">
        <v>0.88042824074074078</v>
      </c>
      <c r="C4132">
        <v>5130</v>
      </c>
      <c r="D4132">
        <v>13002561</v>
      </c>
      <c r="E4132">
        <v>13</v>
      </c>
      <c r="F4132">
        <v>22589</v>
      </c>
      <c r="G4132" t="s">
        <v>23</v>
      </c>
      <c r="H4132">
        <v>18</v>
      </c>
      <c r="I4132">
        <v>25816</v>
      </c>
      <c r="J4132" t="s">
        <v>67</v>
      </c>
      <c r="K4132" t="s">
        <v>45</v>
      </c>
      <c r="L4132" t="s">
        <v>51</v>
      </c>
      <c r="M4132">
        <v>1</v>
      </c>
      <c r="N4132">
        <v>386.61</v>
      </c>
      <c r="O4132">
        <v>504.88</v>
      </c>
      <c r="P4132">
        <v>0</v>
      </c>
      <c r="Q4132">
        <v>0</v>
      </c>
      <c r="S4132">
        <v>29</v>
      </c>
      <c r="T4132">
        <v>1</v>
      </c>
      <c r="U4132">
        <v>6</v>
      </c>
      <c r="V4132">
        <v>504.88</v>
      </c>
      <c r="W4132">
        <v>13130004130</v>
      </c>
    </row>
    <row r="4133" spans="1:23" x14ac:dyDescent="0.2">
      <c r="A4133" s="1">
        <v>44803</v>
      </c>
      <c r="B4133" s="2">
        <v>0.53274305555555557</v>
      </c>
      <c r="C4133">
        <v>5131</v>
      </c>
      <c r="D4133">
        <v>13002561</v>
      </c>
      <c r="E4133">
        <v>13</v>
      </c>
      <c r="F4133">
        <v>22589</v>
      </c>
      <c r="G4133" t="s">
        <v>23</v>
      </c>
      <c r="H4133">
        <v>15</v>
      </c>
      <c r="I4133">
        <v>56250</v>
      </c>
      <c r="J4133" t="s">
        <v>43</v>
      </c>
      <c r="K4133" t="s">
        <v>28</v>
      </c>
      <c r="L4133" t="s">
        <v>26</v>
      </c>
      <c r="M4133">
        <v>1</v>
      </c>
      <c r="N4133">
        <v>220.55</v>
      </c>
      <c r="O4133">
        <v>370.02</v>
      </c>
      <c r="P4133">
        <v>37</v>
      </c>
      <c r="Q4133">
        <v>37</v>
      </c>
      <c r="R4133" t="s">
        <v>30</v>
      </c>
      <c r="S4133">
        <v>29</v>
      </c>
      <c r="T4133">
        <v>1</v>
      </c>
      <c r="U4133">
        <v>1</v>
      </c>
      <c r="V4133">
        <v>333.02</v>
      </c>
      <c r="W4133">
        <v>13130004131</v>
      </c>
    </row>
    <row r="4134" spans="1:23" x14ac:dyDescent="0.2">
      <c r="A4134" s="1">
        <v>44784</v>
      </c>
      <c r="B4134" s="2">
        <v>0.49770833333333331</v>
      </c>
      <c r="C4134">
        <v>5132</v>
      </c>
      <c r="D4134">
        <v>13002561</v>
      </c>
      <c r="E4134">
        <v>13</v>
      </c>
      <c r="F4134">
        <v>22589</v>
      </c>
      <c r="G4134" t="s">
        <v>23</v>
      </c>
      <c r="H4134">
        <v>18</v>
      </c>
      <c r="I4134">
        <v>48168</v>
      </c>
      <c r="J4134" t="s">
        <v>98</v>
      </c>
      <c r="K4134" t="s">
        <v>38</v>
      </c>
      <c r="L4134" t="s">
        <v>39</v>
      </c>
      <c r="M4134">
        <v>1</v>
      </c>
      <c r="N4134">
        <v>468.93</v>
      </c>
      <c r="O4134">
        <v>753.01</v>
      </c>
      <c r="P4134">
        <v>0</v>
      </c>
      <c r="Q4134">
        <v>0</v>
      </c>
      <c r="S4134">
        <v>29</v>
      </c>
      <c r="T4134">
        <v>1</v>
      </c>
      <c r="U4134">
        <v>3</v>
      </c>
      <c r="V4134">
        <v>753.01</v>
      </c>
      <c r="W4134">
        <v>13130004132</v>
      </c>
    </row>
    <row r="4135" spans="1:23" x14ac:dyDescent="0.2">
      <c r="A4135" s="1">
        <v>44779</v>
      </c>
      <c r="B4135" s="2">
        <v>0.8056712962962963</v>
      </c>
      <c r="C4135">
        <v>5133</v>
      </c>
      <c r="D4135">
        <v>13002561</v>
      </c>
      <c r="E4135">
        <v>13</v>
      </c>
      <c r="F4135">
        <v>22589</v>
      </c>
      <c r="G4135" t="s">
        <v>23</v>
      </c>
      <c r="H4135">
        <v>15</v>
      </c>
      <c r="I4135">
        <v>61553</v>
      </c>
      <c r="J4135" t="s">
        <v>112</v>
      </c>
      <c r="K4135" t="s">
        <v>44</v>
      </c>
      <c r="L4135" t="s">
        <v>36</v>
      </c>
      <c r="M4135">
        <v>3</v>
      </c>
      <c r="N4135">
        <v>412.04</v>
      </c>
      <c r="O4135">
        <v>548.77</v>
      </c>
      <c r="P4135">
        <v>27.44</v>
      </c>
      <c r="Q4135">
        <v>27.44</v>
      </c>
      <c r="R4135" t="s">
        <v>30</v>
      </c>
      <c r="S4135">
        <v>29</v>
      </c>
      <c r="T4135">
        <v>1</v>
      </c>
      <c r="U4135">
        <v>6</v>
      </c>
      <c r="V4135">
        <v>521.33000000000004</v>
      </c>
      <c r="W4135">
        <v>13130004133</v>
      </c>
    </row>
    <row r="4136" spans="1:23" x14ac:dyDescent="0.2">
      <c r="A4136" s="1">
        <v>44783</v>
      </c>
      <c r="B4136" s="2">
        <v>0.50496527777777778</v>
      </c>
      <c r="C4136">
        <v>5134</v>
      </c>
      <c r="D4136">
        <v>13002561</v>
      </c>
      <c r="E4136">
        <v>13</v>
      </c>
      <c r="F4136">
        <v>22589</v>
      </c>
      <c r="G4136" t="s">
        <v>23</v>
      </c>
      <c r="H4136">
        <v>18</v>
      </c>
      <c r="I4136">
        <v>60692</v>
      </c>
      <c r="J4136" t="s">
        <v>54</v>
      </c>
      <c r="K4136" t="s">
        <v>45</v>
      </c>
      <c r="L4136" t="s">
        <v>29</v>
      </c>
      <c r="M4136">
        <v>2</v>
      </c>
      <c r="N4136">
        <v>119.16</v>
      </c>
      <c r="O4136">
        <v>153.79</v>
      </c>
      <c r="P4136">
        <v>15.38</v>
      </c>
      <c r="Q4136">
        <v>15.38</v>
      </c>
      <c r="R4136" t="s">
        <v>30</v>
      </c>
      <c r="S4136">
        <v>29</v>
      </c>
      <c r="T4136">
        <v>1</v>
      </c>
      <c r="U4136">
        <v>6</v>
      </c>
      <c r="V4136">
        <v>138.41</v>
      </c>
      <c r="W4136">
        <v>13130004134</v>
      </c>
    </row>
    <row r="4137" spans="1:23" x14ac:dyDescent="0.2">
      <c r="A4137" s="1">
        <v>44802</v>
      </c>
      <c r="B4137" s="2">
        <v>0.76291666666666669</v>
      </c>
      <c r="C4137">
        <v>5135</v>
      </c>
      <c r="D4137">
        <v>13002561</v>
      </c>
      <c r="E4137">
        <v>13</v>
      </c>
      <c r="F4137">
        <v>22589</v>
      </c>
      <c r="G4137" t="s">
        <v>23</v>
      </c>
      <c r="H4137">
        <v>15</v>
      </c>
      <c r="I4137">
        <v>59616</v>
      </c>
      <c r="J4137" t="s">
        <v>31</v>
      </c>
      <c r="K4137" t="s">
        <v>38</v>
      </c>
      <c r="L4137" t="s">
        <v>34</v>
      </c>
      <c r="M4137">
        <v>1</v>
      </c>
      <c r="N4137">
        <v>133.91</v>
      </c>
      <c r="O4137">
        <v>211.61</v>
      </c>
      <c r="P4137">
        <v>10.58</v>
      </c>
      <c r="Q4137">
        <v>10.58</v>
      </c>
      <c r="R4137" t="s">
        <v>30</v>
      </c>
      <c r="S4137">
        <v>29</v>
      </c>
      <c r="T4137">
        <v>1</v>
      </c>
      <c r="U4137">
        <v>5</v>
      </c>
      <c r="V4137">
        <v>201.03</v>
      </c>
      <c r="W4137">
        <v>13130004135</v>
      </c>
    </row>
    <row r="4138" spans="1:23" x14ac:dyDescent="0.2">
      <c r="A4138" s="1">
        <v>44775</v>
      </c>
      <c r="B4138" s="2">
        <v>0.56438657407407411</v>
      </c>
      <c r="C4138">
        <v>5136</v>
      </c>
      <c r="D4138">
        <v>13002561</v>
      </c>
      <c r="E4138">
        <v>13</v>
      </c>
      <c r="F4138">
        <v>22589</v>
      </c>
      <c r="G4138" t="s">
        <v>23</v>
      </c>
      <c r="H4138">
        <v>15</v>
      </c>
      <c r="I4138">
        <v>85020</v>
      </c>
      <c r="J4138" t="s">
        <v>127</v>
      </c>
      <c r="K4138" t="s">
        <v>38</v>
      </c>
      <c r="L4138" t="s">
        <v>26</v>
      </c>
      <c r="M4138">
        <v>1</v>
      </c>
      <c r="N4138">
        <v>536.78</v>
      </c>
      <c r="O4138">
        <v>896.59</v>
      </c>
      <c r="P4138">
        <v>44.83</v>
      </c>
      <c r="Q4138">
        <v>44.83</v>
      </c>
      <c r="R4138" t="s">
        <v>30</v>
      </c>
      <c r="S4138">
        <v>29</v>
      </c>
      <c r="T4138">
        <v>1</v>
      </c>
      <c r="U4138">
        <v>1</v>
      </c>
      <c r="V4138">
        <v>851.76</v>
      </c>
      <c r="W4138">
        <v>13130004136</v>
      </c>
    </row>
    <row r="4139" spans="1:23" x14ac:dyDescent="0.2">
      <c r="A4139" s="1">
        <v>44800</v>
      </c>
      <c r="B4139" s="2">
        <v>0.66826388888888888</v>
      </c>
      <c r="C4139">
        <v>5137</v>
      </c>
      <c r="D4139">
        <v>13002561</v>
      </c>
      <c r="E4139">
        <v>13</v>
      </c>
      <c r="F4139">
        <v>22589</v>
      </c>
      <c r="G4139" t="s">
        <v>23</v>
      </c>
      <c r="H4139">
        <v>15</v>
      </c>
      <c r="I4139">
        <v>45909</v>
      </c>
      <c r="J4139" t="s">
        <v>43</v>
      </c>
      <c r="K4139" t="s">
        <v>45</v>
      </c>
      <c r="L4139" t="s">
        <v>51</v>
      </c>
      <c r="M4139">
        <v>3</v>
      </c>
      <c r="N4139">
        <v>459.24</v>
      </c>
      <c r="O4139">
        <v>684.4</v>
      </c>
      <c r="P4139">
        <v>34.22</v>
      </c>
      <c r="Q4139">
        <v>34.22</v>
      </c>
      <c r="R4139" t="s">
        <v>30</v>
      </c>
      <c r="S4139">
        <v>29</v>
      </c>
      <c r="T4139">
        <v>1</v>
      </c>
      <c r="U4139">
        <v>3</v>
      </c>
      <c r="V4139">
        <v>650.17999999999995</v>
      </c>
      <c r="W4139">
        <v>13130004137</v>
      </c>
    </row>
    <row r="4140" spans="1:23" x14ac:dyDescent="0.2">
      <c r="A4140" s="1">
        <v>44801</v>
      </c>
      <c r="B4140" s="2">
        <v>0.61041666666666672</v>
      </c>
      <c r="C4140">
        <v>5138</v>
      </c>
      <c r="D4140">
        <v>13002561</v>
      </c>
      <c r="E4140">
        <v>13</v>
      </c>
      <c r="F4140">
        <v>22589</v>
      </c>
      <c r="G4140" t="s">
        <v>23</v>
      </c>
      <c r="H4140">
        <v>15</v>
      </c>
      <c r="I4140">
        <v>17929</v>
      </c>
      <c r="J4140" t="s">
        <v>103</v>
      </c>
      <c r="K4140" t="s">
        <v>25</v>
      </c>
      <c r="L4140" t="s">
        <v>36</v>
      </c>
      <c r="M4140">
        <v>3</v>
      </c>
      <c r="N4140">
        <v>57.22</v>
      </c>
      <c r="O4140">
        <v>87.5</v>
      </c>
      <c r="P4140">
        <v>4.38</v>
      </c>
      <c r="Q4140">
        <v>4.38</v>
      </c>
      <c r="R4140" t="s">
        <v>30</v>
      </c>
      <c r="S4140">
        <v>29</v>
      </c>
      <c r="T4140">
        <v>1</v>
      </c>
      <c r="U4140">
        <v>5</v>
      </c>
      <c r="V4140">
        <v>83.12</v>
      </c>
      <c r="W4140">
        <v>13130004138</v>
      </c>
    </row>
    <row r="4141" spans="1:23" x14ac:dyDescent="0.2">
      <c r="A4141" s="1">
        <v>44777</v>
      </c>
      <c r="B4141" s="2">
        <v>0.76265046296296302</v>
      </c>
      <c r="C4141">
        <v>5139</v>
      </c>
      <c r="D4141">
        <v>13002561</v>
      </c>
      <c r="E4141">
        <v>13</v>
      </c>
      <c r="F4141">
        <v>22589</v>
      </c>
      <c r="G4141" t="s">
        <v>23</v>
      </c>
      <c r="H4141">
        <v>15</v>
      </c>
      <c r="I4141">
        <v>34575</v>
      </c>
      <c r="J4141" t="s">
        <v>94</v>
      </c>
      <c r="K4141" t="s">
        <v>25</v>
      </c>
      <c r="L4141" t="s">
        <v>39</v>
      </c>
      <c r="M4141">
        <v>2</v>
      </c>
      <c r="N4141">
        <v>118.76</v>
      </c>
      <c r="O4141">
        <v>191.69</v>
      </c>
      <c r="P4141">
        <v>19.170000000000002</v>
      </c>
      <c r="Q4141">
        <v>19.170000000000002</v>
      </c>
      <c r="R4141" t="s">
        <v>30</v>
      </c>
      <c r="S4141">
        <v>29</v>
      </c>
      <c r="T4141">
        <v>1</v>
      </c>
      <c r="U4141">
        <v>4</v>
      </c>
      <c r="V4141">
        <v>172.52</v>
      </c>
      <c r="W4141">
        <v>13130004139</v>
      </c>
    </row>
    <row r="4142" spans="1:23" x14ac:dyDescent="0.2">
      <c r="A4142" s="1">
        <v>44776</v>
      </c>
      <c r="B4142" s="2">
        <v>0.81974537037037032</v>
      </c>
      <c r="C4142">
        <v>5140</v>
      </c>
      <c r="D4142">
        <v>13002561</v>
      </c>
      <c r="E4142">
        <v>13</v>
      </c>
      <c r="F4142">
        <v>22589</v>
      </c>
      <c r="G4142" t="s">
        <v>23</v>
      </c>
      <c r="H4142">
        <v>15</v>
      </c>
      <c r="I4142">
        <v>19452</v>
      </c>
      <c r="J4142" t="s">
        <v>103</v>
      </c>
      <c r="K4142" t="s">
        <v>45</v>
      </c>
      <c r="L4142" t="s">
        <v>47</v>
      </c>
      <c r="M4142">
        <v>3</v>
      </c>
      <c r="N4142">
        <v>576.55999999999995</v>
      </c>
      <c r="O4142">
        <v>725.97</v>
      </c>
      <c r="P4142">
        <v>36.299999999999997</v>
      </c>
      <c r="Q4142">
        <v>36.299999999999997</v>
      </c>
      <c r="R4142" t="s">
        <v>30</v>
      </c>
      <c r="S4142">
        <v>29</v>
      </c>
      <c r="T4142">
        <v>1</v>
      </c>
      <c r="U4142">
        <v>2</v>
      </c>
      <c r="V4142">
        <v>689.67</v>
      </c>
      <c r="W4142">
        <v>13130004140</v>
      </c>
    </row>
    <row r="4143" spans="1:23" x14ac:dyDescent="0.2">
      <c r="A4143" s="1">
        <v>44777</v>
      </c>
      <c r="B4143" s="2">
        <v>0.73009259259259263</v>
      </c>
      <c r="C4143">
        <v>5141</v>
      </c>
      <c r="D4143">
        <v>13002561</v>
      </c>
      <c r="E4143">
        <v>13</v>
      </c>
      <c r="F4143">
        <v>22589</v>
      </c>
      <c r="G4143" t="s">
        <v>23</v>
      </c>
      <c r="H4143">
        <v>18</v>
      </c>
      <c r="I4143">
        <v>88698</v>
      </c>
      <c r="J4143" t="s">
        <v>48</v>
      </c>
      <c r="K4143" t="s">
        <v>38</v>
      </c>
      <c r="L4143" t="s">
        <v>47</v>
      </c>
      <c r="M4143">
        <v>2</v>
      </c>
      <c r="N4143">
        <v>572.37</v>
      </c>
      <c r="O4143">
        <v>959.5</v>
      </c>
      <c r="P4143">
        <v>47.98</v>
      </c>
      <c r="Q4143">
        <v>47.98</v>
      </c>
      <c r="R4143" t="s">
        <v>30</v>
      </c>
      <c r="S4143">
        <v>29</v>
      </c>
      <c r="T4143">
        <v>1</v>
      </c>
      <c r="U4143">
        <v>2</v>
      </c>
      <c r="V4143">
        <v>911.52</v>
      </c>
      <c r="W4143">
        <v>13130004141</v>
      </c>
    </row>
    <row r="4144" spans="1:23" x14ac:dyDescent="0.2">
      <c r="A4144" s="1">
        <v>44774</v>
      </c>
      <c r="B4144" s="2">
        <v>0.53208333333333335</v>
      </c>
      <c r="C4144">
        <v>5142</v>
      </c>
      <c r="D4144">
        <v>13002561</v>
      </c>
      <c r="E4144">
        <v>13</v>
      </c>
      <c r="F4144">
        <v>22589</v>
      </c>
      <c r="G4144" t="s">
        <v>23</v>
      </c>
      <c r="H4144">
        <v>15</v>
      </c>
      <c r="I4144">
        <v>59866</v>
      </c>
      <c r="J4144" t="s">
        <v>55</v>
      </c>
      <c r="K4144" t="s">
        <v>60</v>
      </c>
      <c r="L4144" t="s">
        <v>47</v>
      </c>
      <c r="M4144">
        <v>2</v>
      </c>
      <c r="N4144">
        <v>523.39</v>
      </c>
      <c r="O4144">
        <v>886.51</v>
      </c>
      <c r="P4144">
        <v>0</v>
      </c>
      <c r="Q4144">
        <v>0</v>
      </c>
      <c r="S4144">
        <v>29</v>
      </c>
      <c r="T4144">
        <v>1</v>
      </c>
      <c r="U4144">
        <v>4</v>
      </c>
      <c r="V4144">
        <v>886.51</v>
      </c>
      <c r="W4144">
        <v>13130004142</v>
      </c>
    </row>
    <row r="4145" spans="1:23" x14ac:dyDescent="0.2">
      <c r="A4145" s="1">
        <v>44777</v>
      </c>
      <c r="B4145" s="2">
        <v>0.92820601851851847</v>
      </c>
      <c r="C4145">
        <v>5143</v>
      </c>
      <c r="D4145">
        <v>13002561</v>
      </c>
      <c r="E4145">
        <v>13</v>
      </c>
      <c r="F4145">
        <v>22589</v>
      </c>
      <c r="G4145" t="s">
        <v>23</v>
      </c>
      <c r="H4145">
        <v>18</v>
      </c>
      <c r="I4145">
        <v>70271</v>
      </c>
      <c r="J4145" t="s">
        <v>27</v>
      </c>
      <c r="K4145" t="s">
        <v>60</v>
      </c>
      <c r="L4145" t="s">
        <v>39</v>
      </c>
      <c r="M4145">
        <v>2</v>
      </c>
      <c r="N4145">
        <v>353.46</v>
      </c>
      <c r="O4145">
        <v>573.1</v>
      </c>
      <c r="P4145">
        <v>57.31</v>
      </c>
      <c r="Q4145">
        <v>57.31</v>
      </c>
      <c r="R4145" t="s">
        <v>30</v>
      </c>
      <c r="S4145">
        <v>29</v>
      </c>
      <c r="T4145">
        <v>1</v>
      </c>
      <c r="U4145">
        <v>2</v>
      </c>
      <c r="V4145">
        <v>515.79</v>
      </c>
      <c r="W4145">
        <v>13130004143</v>
      </c>
    </row>
    <row r="4146" spans="1:23" x14ac:dyDescent="0.2">
      <c r="A4146" s="1">
        <v>44804</v>
      </c>
      <c r="B4146" s="2">
        <v>0.45178240740740738</v>
      </c>
      <c r="C4146">
        <v>5144</v>
      </c>
      <c r="D4146">
        <v>13002561</v>
      </c>
      <c r="E4146">
        <v>13</v>
      </c>
      <c r="F4146">
        <v>22589</v>
      </c>
      <c r="G4146" t="s">
        <v>23</v>
      </c>
      <c r="H4146">
        <v>15</v>
      </c>
      <c r="I4146">
        <v>96721</v>
      </c>
      <c r="J4146" t="s">
        <v>49</v>
      </c>
      <c r="K4146" t="s">
        <v>44</v>
      </c>
      <c r="L4146" t="s">
        <v>51</v>
      </c>
      <c r="M4146">
        <v>3</v>
      </c>
      <c r="N4146">
        <v>309.52999999999997</v>
      </c>
      <c r="O4146">
        <v>509.78</v>
      </c>
      <c r="P4146">
        <v>25.49</v>
      </c>
      <c r="Q4146">
        <v>25.49</v>
      </c>
      <c r="R4146" t="s">
        <v>30</v>
      </c>
      <c r="S4146">
        <v>29</v>
      </c>
      <c r="T4146">
        <v>1</v>
      </c>
      <c r="U4146">
        <v>5</v>
      </c>
      <c r="V4146">
        <v>484.29</v>
      </c>
      <c r="W4146">
        <v>13130004144</v>
      </c>
    </row>
    <row r="4147" spans="1:23" x14ac:dyDescent="0.2">
      <c r="A4147" s="1">
        <v>44783</v>
      </c>
      <c r="B4147" s="2">
        <v>0.85671296296296295</v>
      </c>
      <c r="C4147">
        <v>5145</v>
      </c>
      <c r="D4147">
        <v>13002561</v>
      </c>
      <c r="E4147">
        <v>13</v>
      </c>
      <c r="F4147">
        <v>22589</v>
      </c>
      <c r="G4147" t="s">
        <v>23</v>
      </c>
      <c r="H4147">
        <v>15</v>
      </c>
      <c r="I4147">
        <v>44035</v>
      </c>
      <c r="J4147" t="s">
        <v>68</v>
      </c>
      <c r="K4147" t="s">
        <v>25</v>
      </c>
      <c r="L4147" t="s">
        <v>36</v>
      </c>
      <c r="M4147">
        <v>2</v>
      </c>
      <c r="N4147">
        <v>507.66</v>
      </c>
      <c r="O4147">
        <v>739.05</v>
      </c>
      <c r="P4147">
        <v>0</v>
      </c>
      <c r="Q4147">
        <v>0</v>
      </c>
      <c r="S4147">
        <v>29</v>
      </c>
      <c r="T4147">
        <v>1</v>
      </c>
      <c r="U4147">
        <v>3</v>
      </c>
      <c r="V4147">
        <v>739.05</v>
      </c>
      <c r="W4147">
        <v>13130004145</v>
      </c>
    </row>
    <row r="4148" spans="1:23" x14ac:dyDescent="0.2">
      <c r="A4148" s="1">
        <v>44789</v>
      </c>
      <c r="B4148" s="2">
        <v>0.47893518518518519</v>
      </c>
      <c r="C4148">
        <v>5146</v>
      </c>
      <c r="D4148">
        <v>13002561</v>
      </c>
      <c r="E4148">
        <v>13</v>
      </c>
      <c r="F4148">
        <v>22589</v>
      </c>
      <c r="G4148" t="s">
        <v>23</v>
      </c>
      <c r="H4148">
        <v>18</v>
      </c>
      <c r="I4148">
        <v>10182</v>
      </c>
      <c r="J4148" t="s">
        <v>104</v>
      </c>
      <c r="K4148" t="s">
        <v>60</v>
      </c>
      <c r="L4148" t="s">
        <v>26</v>
      </c>
      <c r="M4148">
        <v>3</v>
      </c>
      <c r="N4148">
        <v>391.88</v>
      </c>
      <c r="O4148">
        <v>529.13</v>
      </c>
      <c r="P4148">
        <v>52.91</v>
      </c>
      <c r="Q4148">
        <v>52.91</v>
      </c>
      <c r="R4148" t="s">
        <v>30</v>
      </c>
      <c r="S4148">
        <v>29</v>
      </c>
      <c r="T4148">
        <v>1</v>
      </c>
      <c r="U4148">
        <v>6</v>
      </c>
      <c r="V4148">
        <v>476.22</v>
      </c>
      <c r="W4148">
        <v>13130004146</v>
      </c>
    </row>
    <row r="4149" spans="1:23" x14ac:dyDescent="0.2">
      <c r="A4149" s="1">
        <v>44779</v>
      </c>
      <c r="B4149" s="2">
        <v>0.84215277777777775</v>
      </c>
      <c r="C4149">
        <v>5147</v>
      </c>
      <c r="D4149">
        <v>13002561</v>
      </c>
      <c r="E4149">
        <v>13</v>
      </c>
      <c r="F4149">
        <v>22589</v>
      </c>
      <c r="G4149" t="s">
        <v>23</v>
      </c>
      <c r="H4149">
        <v>18</v>
      </c>
      <c r="I4149">
        <v>88865</v>
      </c>
      <c r="J4149" t="s">
        <v>78</v>
      </c>
      <c r="K4149" t="s">
        <v>44</v>
      </c>
      <c r="L4149" t="s">
        <v>47</v>
      </c>
      <c r="M4149">
        <v>2</v>
      </c>
      <c r="N4149">
        <v>367.25</v>
      </c>
      <c r="O4149">
        <v>572.57000000000005</v>
      </c>
      <c r="P4149">
        <v>0</v>
      </c>
      <c r="Q4149">
        <v>0</v>
      </c>
      <c r="S4149">
        <v>29</v>
      </c>
      <c r="T4149">
        <v>1</v>
      </c>
      <c r="U4149">
        <v>5</v>
      </c>
      <c r="V4149">
        <v>572.57000000000005</v>
      </c>
      <c r="W4149">
        <v>13130004147</v>
      </c>
    </row>
    <row r="4150" spans="1:23" x14ac:dyDescent="0.2">
      <c r="A4150" s="1">
        <v>44785</v>
      </c>
      <c r="B4150" s="2">
        <v>0.60653935185185182</v>
      </c>
      <c r="C4150">
        <v>5148</v>
      </c>
      <c r="D4150">
        <v>13002561</v>
      </c>
      <c r="E4150">
        <v>13</v>
      </c>
      <c r="F4150">
        <v>22589</v>
      </c>
      <c r="G4150" t="s">
        <v>23</v>
      </c>
      <c r="H4150">
        <v>15</v>
      </c>
      <c r="I4150">
        <v>62663</v>
      </c>
      <c r="J4150" t="s">
        <v>82</v>
      </c>
      <c r="K4150" t="s">
        <v>28</v>
      </c>
      <c r="L4150" t="s">
        <v>36</v>
      </c>
      <c r="M4150">
        <v>3</v>
      </c>
      <c r="N4150">
        <v>32.840000000000003</v>
      </c>
      <c r="O4150">
        <v>52.36</v>
      </c>
      <c r="P4150">
        <v>2.62</v>
      </c>
      <c r="Q4150">
        <v>2.62</v>
      </c>
      <c r="R4150" t="s">
        <v>30</v>
      </c>
      <c r="S4150">
        <v>29</v>
      </c>
      <c r="T4150">
        <v>1</v>
      </c>
      <c r="U4150">
        <v>4</v>
      </c>
      <c r="V4150">
        <v>49.74</v>
      </c>
      <c r="W4150">
        <v>13130004148</v>
      </c>
    </row>
    <row r="4151" spans="1:23" x14ac:dyDescent="0.2">
      <c r="A4151" s="1">
        <v>44779</v>
      </c>
      <c r="B4151" s="2">
        <v>0.76493055555555556</v>
      </c>
      <c r="C4151">
        <v>5149</v>
      </c>
      <c r="D4151">
        <v>13002561</v>
      </c>
      <c r="E4151">
        <v>13</v>
      </c>
      <c r="F4151">
        <v>22589</v>
      </c>
      <c r="G4151" t="s">
        <v>23</v>
      </c>
      <c r="H4151">
        <v>18</v>
      </c>
      <c r="I4151">
        <v>28490</v>
      </c>
      <c r="J4151" t="s">
        <v>49</v>
      </c>
      <c r="K4151" t="s">
        <v>28</v>
      </c>
      <c r="L4151" t="s">
        <v>32</v>
      </c>
      <c r="M4151">
        <v>3</v>
      </c>
      <c r="N4151">
        <v>69.09</v>
      </c>
      <c r="O4151">
        <v>87.95</v>
      </c>
      <c r="P4151">
        <v>8.7899999999999991</v>
      </c>
      <c r="Q4151">
        <v>8.7899999999999991</v>
      </c>
      <c r="R4151" t="s">
        <v>30</v>
      </c>
      <c r="S4151">
        <v>29</v>
      </c>
      <c r="T4151">
        <v>1</v>
      </c>
      <c r="U4151">
        <v>1</v>
      </c>
      <c r="V4151">
        <v>79.16</v>
      </c>
      <c r="W4151">
        <v>13130004149</v>
      </c>
    </row>
    <row r="4152" spans="1:23" x14ac:dyDescent="0.2">
      <c r="A4152" s="1">
        <v>44788</v>
      </c>
      <c r="B4152" s="2">
        <v>0.6613310185185185</v>
      </c>
      <c r="C4152">
        <v>5150</v>
      </c>
      <c r="D4152">
        <v>13002561</v>
      </c>
      <c r="E4152">
        <v>13</v>
      </c>
      <c r="F4152">
        <v>22589</v>
      </c>
      <c r="G4152" t="s">
        <v>23</v>
      </c>
      <c r="H4152">
        <v>15</v>
      </c>
      <c r="I4152">
        <v>72352</v>
      </c>
      <c r="J4152" t="s">
        <v>40</v>
      </c>
      <c r="K4152" t="s">
        <v>38</v>
      </c>
      <c r="L4152" t="s">
        <v>32</v>
      </c>
      <c r="M4152">
        <v>3</v>
      </c>
      <c r="N4152">
        <v>206.38</v>
      </c>
      <c r="O4152">
        <v>350.16</v>
      </c>
      <c r="P4152">
        <v>0</v>
      </c>
      <c r="Q4152">
        <v>0</v>
      </c>
      <c r="S4152">
        <v>29</v>
      </c>
      <c r="T4152">
        <v>1</v>
      </c>
      <c r="U4152">
        <v>4</v>
      </c>
      <c r="V4152">
        <v>350.16</v>
      </c>
      <c r="W4152">
        <v>13130004150</v>
      </c>
    </row>
    <row r="4153" spans="1:23" x14ac:dyDescent="0.2">
      <c r="A4153" s="1">
        <v>44787</v>
      </c>
      <c r="B4153" s="2">
        <v>0.72548611111111116</v>
      </c>
      <c r="C4153">
        <v>5151</v>
      </c>
      <c r="D4153">
        <v>13002561</v>
      </c>
      <c r="E4153">
        <v>13</v>
      </c>
      <c r="F4153">
        <v>22589</v>
      </c>
      <c r="G4153" t="s">
        <v>23</v>
      </c>
      <c r="H4153">
        <v>15</v>
      </c>
      <c r="I4153">
        <v>19395</v>
      </c>
      <c r="J4153" t="s">
        <v>79</v>
      </c>
      <c r="K4153" t="s">
        <v>45</v>
      </c>
      <c r="L4153" t="s">
        <v>26</v>
      </c>
      <c r="M4153">
        <v>1</v>
      </c>
      <c r="N4153">
        <v>486.22</v>
      </c>
      <c r="O4153">
        <v>652.14</v>
      </c>
      <c r="P4153">
        <v>32.61</v>
      </c>
      <c r="Q4153">
        <v>32.61</v>
      </c>
      <c r="R4153" t="s">
        <v>30</v>
      </c>
      <c r="S4153">
        <v>29</v>
      </c>
      <c r="T4153">
        <v>1</v>
      </c>
      <c r="U4153">
        <v>5</v>
      </c>
      <c r="V4153">
        <v>619.53</v>
      </c>
      <c r="W4153">
        <v>13130004151</v>
      </c>
    </row>
    <row r="4154" spans="1:23" x14ac:dyDescent="0.2">
      <c r="A4154" s="1">
        <v>44795</v>
      </c>
      <c r="B4154" s="2">
        <v>0.46065972222222218</v>
      </c>
      <c r="C4154">
        <v>5152</v>
      </c>
      <c r="D4154">
        <v>13002561</v>
      </c>
      <c r="E4154">
        <v>13</v>
      </c>
      <c r="F4154">
        <v>22589</v>
      </c>
      <c r="G4154" t="s">
        <v>23</v>
      </c>
      <c r="H4154">
        <v>15</v>
      </c>
      <c r="I4154">
        <v>38108</v>
      </c>
      <c r="J4154" t="s">
        <v>56</v>
      </c>
      <c r="K4154" t="s">
        <v>60</v>
      </c>
      <c r="L4154" t="s">
        <v>51</v>
      </c>
      <c r="M4154">
        <v>1</v>
      </c>
      <c r="N4154">
        <v>72.489999999999995</v>
      </c>
      <c r="O4154">
        <v>107.8</v>
      </c>
      <c r="P4154">
        <v>5.39</v>
      </c>
      <c r="Q4154">
        <v>5.39</v>
      </c>
      <c r="R4154" t="s">
        <v>30</v>
      </c>
      <c r="S4154">
        <v>29</v>
      </c>
      <c r="T4154">
        <v>1</v>
      </c>
      <c r="U4154">
        <v>1</v>
      </c>
      <c r="V4154">
        <v>102.41</v>
      </c>
      <c r="W4154">
        <v>13130004152</v>
      </c>
    </row>
    <row r="4155" spans="1:23" x14ac:dyDescent="0.2">
      <c r="A4155" s="1">
        <v>44779</v>
      </c>
      <c r="B4155" s="2">
        <v>0.53696759259259264</v>
      </c>
      <c r="C4155">
        <v>5153</v>
      </c>
      <c r="D4155">
        <v>13002561</v>
      </c>
      <c r="E4155">
        <v>13</v>
      </c>
      <c r="F4155">
        <v>22589</v>
      </c>
      <c r="G4155" t="s">
        <v>23</v>
      </c>
      <c r="H4155">
        <v>18</v>
      </c>
      <c r="I4155">
        <v>69290</v>
      </c>
      <c r="J4155" t="s">
        <v>113</v>
      </c>
      <c r="K4155" t="s">
        <v>38</v>
      </c>
      <c r="L4155" t="s">
        <v>51</v>
      </c>
      <c r="M4155">
        <v>2</v>
      </c>
      <c r="N4155">
        <v>20.34</v>
      </c>
      <c r="O4155">
        <v>26.94</v>
      </c>
      <c r="P4155">
        <v>1.35</v>
      </c>
      <c r="Q4155">
        <v>1.35</v>
      </c>
      <c r="R4155" t="s">
        <v>30</v>
      </c>
      <c r="S4155">
        <v>29</v>
      </c>
      <c r="T4155">
        <v>1</v>
      </c>
      <c r="U4155">
        <v>3</v>
      </c>
      <c r="V4155">
        <v>25.59</v>
      </c>
      <c r="W4155">
        <v>13130004153</v>
      </c>
    </row>
    <row r="4156" spans="1:23" x14ac:dyDescent="0.2">
      <c r="A4156" s="1">
        <v>44804</v>
      </c>
      <c r="B4156" s="2">
        <v>0.83436342592592594</v>
      </c>
      <c r="C4156">
        <v>5154</v>
      </c>
      <c r="D4156">
        <v>13002561</v>
      </c>
      <c r="E4156">
        <v>13</v>
      </c>
      <c r="F4156">
        <v>22589</v>
      </c>
      <c r="G4156" t="s">
        <v>23</v>
      </c>
      <c r="H4156">
        <v>18</v>
      </c>
      <c r="I4156">
        <v>10719</v>
      </c>
      <c r="J4156" t="s">
        <v>92</v>
      </c>
      <c r="K4156" t="s">
        <v>44</v>
      </c>
      <c r="L4156" t="s">
        <v>36</v>
      </c>
      <c r="M4156">
        <v>1</v>
      </c>
      <c r="N4156">
        <v>242.49</v>
      </c>
      <c r="O4156">
        <v>358.22</v>
      </c>
      <c r="P4156">
        <v>35.82</v>
      </c>
      <c r="Q4156">
        <v>35.82</v>
      </c>
      <c r="R4156" t="s">
        <v>30</v>
      </c>
      <c r="S4156">
        <v>29</v>
      </c>
      <c r="T4156">
        <v>1</v>
      </c>
      <c r="U4156">
        <v>5</v>
      </c>
      <c r="V4156">
        <v>322.39999999999998</v>
      </c>
      <c r="W4156">
        <v>13130004154</v>
      </c>
    </row>
    <row r="4157" spans="1:23" x14ac:dyDescent="0.2">
      <c r="A4157" s="1">
        <v>44774</v>
      </c>
      <c r="B4157" s="2">
        <v>0.93932870370370369</v>
      </c>
      <c r="C4157">
        <v>5155</v>
      </c>
      <c r="D4157">
        <v>13002561</v>
      </c>
      <c r="E4157">
        <v>13</v>
      </c>
      <c r="F4157">
        <v>22589</v>
      </c>
      <c r="G4157" t="s">
        <v>23</v>
      </c>
      <c r="H4157">
        <v>18</v>
      </c>
      <c r="I4157">
        <v>51165</v>
      </c>
      <c r="J4157" t="s">
        <v>89</v>
      </c>
      <c r="K4157" t="s">
        <v>60</v>
      </c>
      <c r="L4157" t="s">
        <v>26</v>
      </c>
      <c r="M4157">
        <v>1</v>
      </c>
      <c r="N4157">
        <v>588.91999999999996</v>
      </c>
      <c r="O4157">
        <v>969.96</v>
      </c>
      <c r="P4157">
        <v>97</v>
      </c>
      <c r="Q4157">
        <v>97</v>
      </c>
      <c r="R4157" t="s">
        <v>30</v>
      </c>
      <c r="S4157">
        <v>29</v>
      </c>
      <c r="T4157">
        <v>1</v>
      </c>
      <c r="U4157">
        <v>2</v>
      </c>
      <c r="V4157">
        <v>872.96</v>
      </c>
      <c r="W4157">
        <v>13130004155</v>
      </c>
    </row>
    <row r="4158" spans="1:23" x14ac:dyDescent="0.2">
      <c r="A4158" s="1">
        <v>44776</v>
      </c>
      <c r="B4158" s="2">
        <v>0.38792824074074073</v>
      </c>
      <c r="C4158">
        <v>5156</v>
      </c>
      <c r="D4158">
        <v>13002561</v>
      </c>
      <c r="E4158">
        <v>13</v>
      </c>
      <c r="F4158">
        <v>22589</v>
      </c>
      <c r="G4158" t="s">
        <v>23</v>
      </c>
      <c r="H4158">
        <v>15</v>
      </c>
      <c r="I4158">
        <v>56096</v>
      </c>
      <c r="J4158" t="s">
        <v>24</v>
      </c>
      <c r="K4158" t="s">
        <v>45</v>
      </c>
      <c r="L4158" t="s">
        <v>34</v>
      </c>
      <c r="M4158">
        <v>3</v>
      </c>
      <c r="N4158">
        <v>374.26</v>
      </c>
      <c r="O4158">
        <v>504.4</v>
      </c>
      <c r="P4158">
        <v>25.22</v>
      </c>
      <c r="Q4158">
        <v>25.22</v>
      </c>
      <c r="R4158" t="s">
        <v>30</v>
      </c>
      <c r="S4158">
        <v>29</v>
      </c>
      <c r="T4158">
        <v>1</v>
      </c>
      <c r="U4158">
        <v>3</v>
      </c>
      <c r="V4158">
        <v>479.18</v>
      </c>
      <c r="W4158">
        <v>13130004156</v>
      </c>
    </row>
    <row r="4159" spans="1:23" x14ac:dyDescent="0.2">
      <c r="A4159" s="1">
        <v>44784</v>
      </c>
      <c r="B4159" s="2">
        <v>0.49784722222222222</v>
      </c>
      <c r="C4159">
        <v>5157</v>
      </c>
      <c r="D4159">
        <v>13002561</v>
      </c>
      <c r="E4159">
        <v>13</v>
      </c>
      <c r="F4159">
        <v>22589</v>
      </c>
      <c r="G4159" t="s">
        <v>23</v>
      </c>
      <c r="H4159">
        <v>18</v>
      </c>
      <c r="I4159">
        <v>54705</v>
      </c>
      <c r="J4159" t="s">
        <v>55</v>
      </c>
      <c r="K4159" t="s">
        <v>60</v>
      </c>
      <c r="L4159" t="s">
        <v>47</v>
      </c>
      <c r="M4159">
        <v>3</v>
      </c>
      <c r="N4159">
        <v>596.58000000000004</v>
      </c>
      <c r="O4159">
        <v>941.19</v>
      </c>
      <c r="P4159">
        <v>0</v>
      </c>
      <c r="Q4159">
        <v>0</v>
      </c>
      <c r="S4159">
        <v>29</v>
      </c>
      <c r="T4159">
        <v>1</v>
      </c>
      <c r="U4159">
        <v>6</v>
      </c>
      <c r="V4159">
        <v>941.19</v>
      </c>
      <c r="W4159">
        <v>13130004157</v>
      </c>
    </row>
    <row r="4160" spans="1:23" x14ac:dyDescent="0.2">
      <c r="A4160" s="1">
        <v>44798</v>
      </c>
      <c r="B4160" s="2">
        <v>0.36667824074074068</v>
      </c>
      <c r="C4160">
        <v>5158</v>
      </c>
      <c r="D4160">
        <v>13002561</v>
      </c>
      <c r="E4160">
        <v>13</v>
      </c>
      <c r="F4160">
        <v>22589</v>
      </c>
      <c r="G4160" t="s">
        <v>23</v>
      </c>
      <c r="H4160">
        <v>15</v>
      </c>
      <c r="I4160">
        <v>73662</v>
      </c>
      <c r="J4160" t="s">
        <v>123</v>
      </c>
      <c r="K4160" t="s">
        <v>38</v>
      </c>
      <c r="L4160" t="s">
        <v>47</v>
      </c>
      <c r="M4160">
        <v>2</v>
      </c>
      <c r="N4160">
        <v>537.96</v>
      </c>
      <c r="O4160">
        <v>713.92</v>
      </c>
      <c r="P4160">
        <v>71.39</v>
      </c>
      <c r="Q4160">
        <v>71.39</v>
      </c>
      <c r="R4160" t="s">
        <v>30</v>
      </c>
      <c r="S4160">
        <v>29</v>
      </c>
      <c r="T4160">
        <v>1</v>
      </c>
      <c r="U4160">
        <v>3</v>
      </c>
      <c r="V4160">
        <v>642.53</v>
      </c>
      <c r="W4160">
        <v>13130004158</v>
      </c>
    </row>
    <row r="4161" spans="1:23" x14ac:dyDescent="0.2">
      <c r="A4161" s="1">
        <v>44802</v>
      </c>
      <c r="B4161" s="2">
        <v>0.8527893518518519</v>
      </c>
      <c r="C4161">
        <v>5159</v>
      </c>
      <c r="D4161">
        <v>13002561</v>
      </c>
      <c r="E4161">
        <v>13</v>
      </c>
      <c r="F4161">
        <v>22589</v>
      </c>
      <c r="G4161" t="s">
        <v>23</v>
      </c>
      <c r="H4161">
        <v>18</v>
      </c>
      <c r="I4161">
        <v>29467</v>
      </c>
      <c r="J4161" t="s">
        <v>86</v>
      </c>
      <c r="K4161" t="s">
        <v>28</v>
      </c>
      <c r="L4161" t="s">
        <v>39</v>
      </c>
      <c r="M4161">
        <v>2</v>
      </c>
      <c r="N4161">
        <v>467.78</v>
      </c>
      <c r="O4161">
        <v>766.85</v>
      </c>
      <c r="P4161">
        <v>0</v>
      </c>
      <c r="Q4161">
        <v>0</v>
      </c>
      <c r="S4161">
        <v>29</v>
      </c>
      <c r="T4161">
        <v>1</v>
      </c>
      <c r="U4161">
        <v>2</v>
      </c>
      <c r="V4161">
        <v>766.85</v>
      </c>
      <c r="W4161">
        <v>13130004159</v>
      </c>
    </row>
    <row r="4162" spans="1:23" x14ac:dyDescent="0.2">
      <c r="A4162" s="1">
        <v>44788</v>
      </c>
      <c r="B4162" s="2">
        <v>0.90449074074074076</v>
      </c>
      <c r="C4162">
        <v>5160</v>
      </c>
      <c r="D4162">
        <v>13002561</v>
      </c>
      <c r="E4162">
        <v>13</v>
      </c>
      <c r="F4162">
        <v>22589</v>
      </c>
      <c r="G4162" t="s">
        <v>23</v>
      </c>
      <c r="H4162">
        <v>18</v>
      </c>
      <c r="I4162">
        <v>35179</v>
      </c>
      <c r="J4162" t="s">
        <v>107</v>
      </c>
      <c r="K4162" t="s">
        <v>60</v>
      </c>
      <c r="L4162" t="s">
        <v>32</v>
      </c>
      <c r="M4162">
        <v>1</v>
      </c>
      <c r="N4162">
        <v>284.35000000000002</v>
      </c>
      <c r="O4162">
        <v>422.02</v>
      </c>
      <c r="P4162">
        <v>42.2</v>
      </c>
      <c r="Q4162">
        <v>42.2</v>
      </c>
      <c r="R4162" t="s">
        <v>30</v>
      </c>
      <c r="S4162">
        <v>29</v>
      </c>
      <c r="T4162">
        <v>1</v>
      </c>
      <c r="U4162">
        <v>4</v>
      </c>
      <c r="V4162">
        <v>379.82</v>
      </c>
      <c r="W4162">
        <v>13130004160</v>
      </c>
    </row>
    <row r="4163" spans="1:23" x14ac:dyDescent="0.2">
      <c r="A4163" s="1">
        <v>44801</v>
      </c>
      <c r="B4163" s="2">
        <v>0.42251157407407408</v>
      </c>
      <c r="C4163">
        <v>5161</v>
      </c>
      <c r="D4163">
        <v>13002561</v>
      </c>
      <c r="E4163">
        <v>13</v>
      </c>
      <c r="F4163">
        <v>22589</v>
      </c>
      <c r="G4163" t="s">
        <v>23</v>
      </c>
      <c r="H4163">
        <v>18</v>
      </c>
      <c r="I4163">
        <v>99796</v>
      </c>
      <c r="J4163" t="s">
        <v>108</v>
      </c>
      <c r="K4163" t="s">
        <v>45</v>
      </c>
      <c r="L4163" t="s">
        <v>29</v>
      </c>
      <c r="M4163">
        <v>1</v>
      </c>
      <c r="N4163">
        <v>194.88</v>
      </c>
      <c r="O4163">
        <v>303.58</v>
      </c>
      <c r="P4163">
        <v>30.36</v>
      </c>
      <c r="Q4163">
        <v>30.36</v>
      </c>
      <c r="R4163" t="s">
        <v>30</v>
      </c>
      <c r="S4163">
        <v>29</v>
      </c>
      <c r="T4163">
        <v>1</v>
      </c>
      <c r="U4163">
        <v>4</v>
      </c>
      <c r="V4163">
        <v>273.22000000000003</v>
      </c>
      <c r="W4163">
        <v>13130004161</v>
      </c>
    </row>
    <row r="4164" spans="1:23" x14ac:dyDescent="0.2">
      <c r="A4164" s="1">
        <v>44783</v>
      </c>
      <c r="B4164" s="2">
        <v>0.45280092592592591</v>
      </c>
      <c r="C4164">
        <v>5162</v>
      </c>
      <c r="D4164">
        <v>13002561</v>
      </c>
      <c r="E4164">
        <v>13</v>
      </c>
      <c r="F4164">
        <v>22589</v>
      </c>
      <c r="G4164" t="s">
        <v>23</v>
      </c>
      <c r="H4164">
        <v>15</v>
      </c>
      <c r="I4164">
        <v>21753</v>
      </c>
      <c r="J4164" t="s">
        <v>95</v>
      </c>
      <c r="K4164" t="s">
        <v>28</v>
      </c>
      <c r="L4164" t="s">
        <v>32</v>
      </c>
      <c r="M4164">
        <v>2</v>
      </c>
      <c r="N4164">
        <v>21.55</v>
      </c>
      <c r="O4164">
        <v>27.5</v>
      </c>
      <c r="P4164">
        <v>2.75</v>
      </c>
      <c r="Q4164">
        <v>2.75</v>
      </c>
      <c r="R4164" t="s">
        <v>30</v>
      </c>
      <c r="S4164">
        <v>29</v>
      </c>
      <c r="T4164">
        <v>1</v>
      </c>
      <c r="U4164">
        <v>3</v>
      </c>
      <c r="V4164">
        <v>24.75</v>
      </c>
      <c r="W4164">
        <v>13130004162</v>
      </c>
    </row>
    <row r="4165" spans="1:23" x14ac:dyDescent="0.2">
      <c r="A4165" s="1">
        <v>44802</v>
      </c>
      <c r="B4165" s="2">
        <v>0.57239583333333333</v>
      </c>
      <c r="C4165">
        <v>5163</v>
      </c>
      <c r="D4165">
        <v>13002561</v>
      </c>
      <c r="E4165">
        <v>13</v>
      </c>
      <c r="F4165">
        <v>22589</v>
      </c>
      <c r="G4165" t="s">
        <v>23</v>
      </c>
      <c r="H4165">
        <v>18</v>
      </c>
      <c r="I4165">
        <v>69194</v>
      </c>
      <c r="J4165" t="s">
        <v>81</v>
      </c>
      <c r="K4165" t="s">
        <v>38</v>
      </c>
      <c r="L4165" t="s">
        <v>51</v>
      </c>
      <c r="M4165">
        <v>1</v>
      </c>
      <c r="N4165">
        <v>433.69</v>
      </c>
      <c r="O4165">
        <v>725.73</v>
      </c>
      <c r="P4165">
        <v>72.569999999999993</v>
      </c>
      <c r="Q4165">
        <v>72.569999999999993</v>
      </c>
      <c r="R4165" t="s">
        <v>30</v>
      </c>
      <c r="S4165">
        <v>29</v>
      </c>
      <c r="T4165">
        <v>1</v>
      </c>
      <c r="U4165">
        <v>4</v>
      </c>
      <c r="V4165">
        <v>653.16</v>
      </c>
      <c r="W4165">
        <v>13130004163</v>
      </c>
    </row>
    <row r="4166" spans="1:23" x14ac:dyDescent="0.2">
      <c r="A4166" s="1">
        <v>44785</v>
      </c>
      <c r="B4166" s="2">
        <v>0.51134259259259263</v>
      </c>
      <c r="C4166">
        <v>5164</v>
      </c>
      <c r="D4166">
        <v>13002561</v>
      </c>
      <c r="E4166">
        <v>13</v>
      </c>
      <c r="F4166">
        <v>22589</v>
      </c>
      <c r="G4166" t="s">
        <v>23</v>
      </c>
      <c r="H4166">
        <v>18</v>
      </c>
      <c r="I4166">
        <v>92492</v>
      </c>
      <c r="J4166" t="s">
        <v>102</v>
      </c>
      <c r="K4166" t="s">
        <v>44</v>
      </c>
      <c r="L4166" t="s">
        <v>32</v>
      </c>
      <c r="M4166">
        <v>3</v>
      </c>
      <c r="N4166">
        <v>549.19000000000005</v>
      </c>
      <c r="O4166">
        <v>828.38</v>
      </c>
      <c r="P4166">
        <v>82.84</v>
      </c>
      <c r="Q4166">
        <v>82.84</v>
      </c>
      <c r="R4166" t="s">
        <v>30</v>
      </c>
      <c r="S4166">
        <v>29</v>
      </c>
      <c r="T4166">
        <v>1</v>
      </c>
      <c r="U4166">
        <v>6</v>
      </c>
      <c r="V4166">
        <v>745.54</v>
      </c>
      <c r="W4166">
        <v>13130004164</v>
      </c>
    </row>
    <row r="4167" spans="1:23" x14ac:dyDescent="0.2">
      <c r="A4167" s="1">
        <v>44802</v>
      </c>
      <c r="B4167" s="2">
        <v>0.53665509259259259</v>
      </c>
      <c r="C4167">
        <v>5165</v>
      </c>
      <c r="D4167">
        <v>13002561</v>
      </c>
      <c r="E4167">
        <v>13</v>
      </c>
      <c r="F4167">
        <v>22589</v>
      </c>
      <c r="G4167" t="s">
        <v>23</v>
      </c>
      <c r="H4167">
        <v>18</v>
      </c>
      <c r="I4167">
        <v>46443</v>
      </c>
      <c r="J4167" t="s">
        <v>92</v>
      </c>
      <c r="K4167" t="s">
        <v>28</v>
      </c>
      <c r="L4167" t="s">
        <v>26</v>
      </c>
      <c r="M4167">
        <v>3</v>
      </c>
      <c r="N4167">
        <v>98.71</v>
      </c>
      <c r="O4167">
        <v>139.68</v>
      </c>
      <c r="P4167">
        <v>6.98</v>
      </c>
      <c r="Q4167">
        <v>6.98</v>
      </c>
      <c r="R4167" t="s">
        <v>30</v>
      </c>
      <c r="S4167">
        <v>29</v>
      </c>
      <c r="T4167">
        <v>1</v>
      </c>
      <c r="U4167">
        <v>1</v>
      </c>
      <c r="V4167">
        <v>132.69999999999999</v>
      </c>
      <c r="W4167">
        <v>13130004165</v>
      </c>
    </row>
    <row r="4168" spans="1:23" x14ac:dyDescent="0.2">
      <c r="A4168" s="1">
        <v>44789</v>
      </c>
      <c r="B4168" s="2">
        <v>0.61423611111111109</v>
      </c>
      <c r="C4168">
        <v>5166</v>
      </c>
      <c r="D4168">
        <v>13002561</v>
      </c>
      <c r="E4168">
        <v>13</v>
      </c>
      <c r="F4168">
        <v>22589</v>
      </c>
      <c r="G4168" t="s">
        <v>23</v>
      </c>
      <c r="H4168">
        <v>15</v>
      </c>
      <c r="I4168">
        <v>20801</v>
      </c>
      <c r="J4168" t="s">
        <v>116</v>
      </c>
      <c r="K4168" t="s">
        <v>28</v>
      </c>
      <c r="L4168" t="s">
        <v>47</v>
      </c>
      <c r="M4168">
        <v>1</v>
      </c>
      <c r="N4168">
        <v>229.09</v>
      </c>
      <c r="O4168">
        <v>328.23</v>
      </c>
      <c r="P4168">
        <v>0</v>
      </c>
      <c r="Q4168">
        <v>0</v>
      </c>
      <c r="S4168">
        <v>29</v>
      </c>
      <c r="T4168">
        <v>1</v>
      </c>
      <c r="U4168">
        <v>5</v>
      </c>
      <c r="V4168">
        <v>328.23</v>
      </c>
      <c r="W4168">
        <v>13130004166</v>
      </c>
    </row>
    <row r="4169" spans="1:23" x14ac:dyDescent="0.2">
      <c r="A4169" s="1">
        <v>44786</v>
      </c>
      <c r="B4169" s="2">
        <v>0.48741898148148149</v>
      </c>
      <c r="C4169">
        <v>5167</v>
      </c>
      <c r="D4169">
        <v>13002561</v>
      </c>
      <c r="E4169">
        <v>13</v>
      </c>
      <c r="F4169">
        <v>22589</v>
      </c>
      <c r="G4169" t="s">
        <v>23</v>
      </c>
      <c r="H4169">
        <v>18</v>
      </c>
      <c r="I4169">
        <v>67373</v>
      </c>
      <c r="J4169" t="s">
        <v>122</v>
      </c>
      <c r="K4169" t="s">
        <v>45</v>
      </c>
      <c r="L4169" t="s">
        <v>51</v>
      </c>
      <c r="M4169">
        <v>3</v>
      </c>
      <c r="N4169">
        <v>250.99</v>
      </c>
      <c r="O4169">
        <v>415.96</v>
      </c>
      <c r="P4169">
        <v>0</v>
      </c>
      <c r="Q4169">
        <v>0</v>
      </c>
      <c r="S4169">
        <v>29</v>
      </c>
      <c r="T4169">
        <v>1</v>
      </c>
      <c r="U4169">
        <v>2</v>
      </c>
      <c r="V4169">
        <v>415.96</v>
      </c>
      <c r="W4169">
        <v>13130004167</v>
      </c>
    </row>
    <row r="4170" spans="1:23" x14ac:dyDescent="0.2">
      <c r="A4170" s="1">
        <v>44787</v>
      </c>
      <c r="B4170" s="2">
        <v>0.66631944444444446</v>
      </c>
      <c r="C4170">
        <v>5168</v>
      </c>
      <c r="D4170">
        <v>13002561</v>
      </c>
      <c r="E4170">
        <v>13</v>
      </c>
      <c r="F4170">
        <v>22589</v>
      </c>
      <c r="G4170" t="s">
        <v>23</v>
      </c>
      <c r="H4170">
        <v>15</v>
      </c>
      <c r="I4170">
        <v>77705</v>
      </c>
      <c r="J4170" t="s">
        <v>74</v>
      </c>
      <c r="K4170" t="s">
        <v>28</v>
      </c>
      <c r="L4170" t="s">
        <v>26</v>
      </c>
      <c r="M4170">
        <v>2</v>
      </c>
      <c r="N4170">
        <v>171.34</v>
      </c>
      <c r="O4170">
        <v>250.85</v>
      </c>
      <c r="P4170">
        <v>12.54</v>
      </c>
      <c r="Q4170">
        <v>12.54</v>
      </c>
      <c r="R4170" t="s">
        <v>30</v>
      </c>
      <c r="S4170">
        <v>29</v>
      </c>
      <c r="T4170">
        <v>1</v>
      </c>
      <c r="U4170">
        <v>5</v>
      </c>
      <c r="V4170">
        <v>238.31</v>
      </c>
      <c r="W4170">
        <v>13130004168</v>
      </c>
    </row>
    <row r="4171" spans="1:23" x14ac:dyDescent="0.2">
      <c r="A4171" s="1">
        <v>44775</v>
      </c>
      <c r="B4171" s="2">
        <v>0.56557870370370367</v>
      </c>
      <c r="C4171">
        <v>5169</v>
      </c>
      <c r="D4171">
        <v>13002561</v>
      </c>
      <c r="E4171">
        <v>13</v>
      </c>
      <c r="F4171">
        <v>22589</v>
      </c>
      <c r="G4171" t="s">
        <v>23</v>
      </c>
      <c r="H4171">
        <v>15</v>
      </c>
      <c r="I4171">
        <v>82099</v>
      </c>
      <c r="J4171" t="s">
        <v>107</v>
      </c>
      <c r="K4171" t="s">
        <v>44</v>
      </c>
      <c r="L4171" t="s">
        <v>36</v>
      </c>
      <c r="M4171">
        <v>2</v>
      </c>
      <c r="N4171">
        <v>492.63</v>
      </c>
      <c r="O4171">
        <v>644.53</v>
      </c>
      <c r="P4171">
        <v>64.45</v>
      </c>
      <c r="Q4171">
        <v>64.45</v>
      </c>
      <c r="R4171" t="s">
        <v>30</v>
      </c>
      <c r="S4171">
        <v>29</v>
      </c>
      <c r="T4171">
        <v>1</v>
      </c>
      <c r="U4171">
        <v>3</v>
      </c>
      <c r="V4171">
        <v>580.08000000000004</v>
      </c>
      <c r="W4171">
        <v>13130004169</v>
      </c>
    </row>
    <row r="4172" spans="1:23" x14ac:dyDescent="0.2">
      <c r="A4172" s="1">
        <v>44793</v>
      </c>
      <c r="B4172" s="2">
        <v>0.78782407407407407</v>
      </c>
      <c r="C4172">
        <v>5170</v>
      </c>
      <c r="D4172">
        <v>13002561</v>
      </c>
      <c r="E4172">
        <v>13</v>
      </c>
      <c r="F4172">
        <v>22589</v>
      </c>
      <c r="G4172" t="s">
        <v>23</v>
      </c>
      <c r="H4172">
        <v>15</v>
      </c>
      <c r="I4172">
        <v>67442</v>
      </c>
      <c r="J4172" t="s">
        <v>98</v>
      </c>
      <c r="K4172" t="s">
        <v>28</v>
      </c>
      <c r="L4172" t="s">
        <v>36</v>
      </c>
      <c r="M4172">
        <v>3</v>
      </c>
      <c r="N4172">
        <v>97.7</v>
      </c>
      <c r="O4172">
        <v>154.08000000000001</v>
      </c>
      <c r="P4172">
        <v>15.41</v>
      </c>
      <c r="Q4172">
        <v>15.41</v>
      </c>
      <c r="R4172" t="s">
        <v>30</v>
      </c>
      <c r="S4172">
        <v>29</v>
      </c>
      <c r="T4172">
        <v>1</v>
      </c>
      <c r="U4172">
        <v>6</v>
      </c>
      <c r="V4172">
        <v>138.66999999999999</v>
      </c>
      <c r="W4172">
        <v>13130004170</v>
      </c>
    </row>
    <row r="4173" spans="1:23" x14ac:dyDescent="0.2">
      <c r="A4173" s="1">
        <v>44803</v>
      </c>
      <c r="B4173" s="2">
        <v>0.55804398148148149</v>
      </c>
      <c r="C4173">
        <v>5171</v>
      </c>
      <c r="D4173">
        <v>13002561</v>
      </c>
      <c r="E4173">
        <v>13</v>
      </c>
      <c r="F4173">
        <v>22589</v>
      </c>
      <c r="G4173" t="s">
        <v>23</v>
      </c>
      <c r="H4173">
        <v>18</v>
      </c>
      <c r="I4173">
        <v>19115</v>
      </c>
      <c r="J4173" t="s">
        <v>105</v>
      </c>
      <c r="K4173" t="s">
        <v>28</v>
      </c>
      <c r="L4173" t="s">
        <v>29</v>
      </c>
      <c r="M4173">
        <v>1</v>
      </c>
      <c r="N4173">
        <v>147.41999999999999</v>
      </c>
      <c r="O4173">
        <v>244.27</v>
      </c>
      <c r="P4173">
        <v>24.43</v>
      </c>
      <c r="Q4173">
        <v>24.43</v>
      </c>
      <c r="R4173" t="s">
        <v>30</v>
      </c>
      <c r="S4173">
        <v>29</v>
      </c>
      <c r="T4173">
        <v>1</v>
      </c>
      <c r="U4173">
        <v>4</v>
      </c>
      <c r="V4173">
        <v>219.84</v>
      </c>
      <c r="W4173">
        <v>13130004171</v>
      </c>
    </row>
    <row r="4174" spans="1:23" x14ac:dyDescent="0.2">
      <c r="A4174" s="1">
        <v>44779</v>
      </c>
      <c r="B4174" s="2">
        <v>0.80850694444444449</v>
      </c>
      <c r="C4174">
        <v>5172</v>
      </c>
      <c r="D4174">
        <v>13002561</v>
      </c>
      <c r="E4174">
        <v>13</v>
      </c>
      <c r="F4174">
        <v>22589</v>
      </c>
      <c r="G4174" t="s">
        <v>23</v>
      </c>
      <c r="H4174">
        <v>15</v>
      </c>
      <c r="I4174">
        <v>94534</v>
      </c>
      <c r="J4174" t="s">
        <v>113</v>
      </c>
      <c r="K4174" t="s">
        <v>28</v>
      </c>
      <c r="L4174" t="s">
        <v>36</v>
      </c>
      <c r="M4174">
        <v>2</v>
      </c>
      <c r="N4174">
        <v>549.20000000000005</v>
      </c>
      <c r="O4174">
        <v>802.98</v>
      </c>
      <c r="P4174">
        <v>0</v>
      </c>
      <c r="Q4174">
        <v>0</v>
      </c>
      <c r="S4174">
        <v>29</v>
      </c>
      <c r="T4174">
        <v>1</v>
      </c>
      <c r="U4174">
        <v>6</v>
      </c>
      <c r="V4174">
        <v>802.98</v>
      </c>
      <c r="W4174">
        <v>13130004172</v>
      </c>
    </row>
    <row r="4175" spans="1:23" x14ac:dyDescent="0.2">
      <c r="A4175" s="1">
        <v>44788</v>
      </c>
      <c r="B4175" s="2">
        <v>0.40359953703703699</v>
      </c>
      <c r="C4175">
        <v>5173</v>
      </c>
      <c r="D4175">
        <v>13002561</v>
      </c>
      <c r="E4175">
        <v>13</v>
      </c>
      <c r="F4175">
        <v>22589</v>
      </c>
      <c r="G4175" t="s">
        <v>23</v>
      </c>
      <c r="H4175">
        <v>18</v>
      </c>
      <c r="I4175">
        <v>25311</v>
      </c>
      <c r="J4175" t="s">
        <v>118</v>
      </c>
      <c r="K4175" t="s">
        <v>25</v>
      </c>
      <c r="L4175" t="s">
        <v>34</v>
      </c>
      <c r="M4175">
        <v>1</v>
      </c>
      <c r="N4175">
        <v>591.1</v>
      </c>
      <c r="O4175">
        <v>917.94</v>
      </c>
      <c r="P4175">
        <v>91.79</v>
      </c>
      <c r="Q4175">
        <v>91.79</v>
      </c>
      <c r="R4175" t="s">
        <v>30</v>
      </c>
      <c r="S4175">
        <v>29</v>
      </c>
      <c r="T4175">
        <v>1</v>
      </c>
      <c r="U4175">
        <v>6</v>
      </c>
      <c r="V4175">
        <v>826.15</v>
      </c>
      <c r="W4175">
        <v>13130004173</v>
      </c>
    </row>
    <row r="4176" spans="1:23" x14ac:dyDescent="0.2">
      <c r="A4176" s="1">
        <v>44785</v>
      </c>
      <c r="B4176" s="2">
        <v>0.3527777777777778</v>
      </c>
      <c r="C4176">
        <v>5174</v>
      </c>
      <c r="D4176">
        <v>13002561</v>
      </c>
      <c r="E4176">
        <v>13</v>
      </c>
      <c r="F4176">
        <v>22589</v>
      </c>
      <c r="G4176" t="s">
        <v>23</v>
      </c>
      <c r="H4176">
        <v>18</v>
      </c>
      <c r="I4176">
        <v>63803</v>
      </c>
      <c r="J4176" t="s">
        <v>86</v>
      </c>
      <c r="K4176" t="s">
        <v>38</v>
      </c>
      <c r="L4176" t="s">
        <v>29</v>
      </c>
      <c r="M4176">
        <v>2</v>
      </c>
      <c r="N4176">
        <v>490.74</v>
      </c>
      <c r="O4176">
        <v>817.52</v>
      </c>
      <c r="P4176">
        <v>81.75</v>
      </c>
      <c r="Q4176">
        <v>81.75</v>
      </c>
      <c r="R4176" t="s">
        <v>30</v>
      </c>
      <c r="S4176">
        <v>29</v>
      </c>
      <c r="T4176">
        <v>1</v>
      </c>
      <c r="U4176">
        <v>4</v>
      </c>
      <c r="V4176">
        <v>735.77</v>
      </c>
      <c r="W4176">
        <v>13130004174</v>
      </c>
    </row>
    <row r="4177" spans="1:23" x14ac:dyDescent="0.2">
      <c r="A4177" s="1">
        <v>44788</v>
      </c>
      <c r="B4177" s="2">
        <v>0.86203703703703705</v>
      </c>
      <c r="C4177">
        <v>5175</v>
      </c>
      <c r="D4177">
        <v>13002561</v>
      </c>
      <c r="E4177">
        <v>13</v>
      </c>
      <c r="F4177">
        <v>22589</v>
      </c>
      <c r="G4177" t="s">
        <v>23</v>
      </c>
      <c r="H4177">
        <v>15</v>
      </c>
      <c r="I4177">
        <v>54538</v>
      </c>
      <c r="J4177" t="s">
        <v>96</v>
      </c>
      <c r="K4177" t="s">
        <v>25</v>
      </c>
      <c r="L4177" t="s">
        <v>29</v>
      </c>
      <c r="M4177">
        <v>2</v>
      </c>
      <c r="N4177">
        <v>569.30999999999995</v>
      </c>
      <c r="O4177">
        <v>806.83</v>
      </c>
      <c r="P4177">
        <v>40.340000000000003</v>
      </c>
      <c r="Q4177">
        <v>40.340000000000003</v>
      </c>
      <c r="R4177" t="s">
        <v>30</v>
      </c>
      <c r="S4177">
        <v>29</v>
      </c>
      <c r="T4177">
        <v>1</v>
      </c>
      <c r="U4177">
        <v>2</v>
      </c>
      <c r="V4177">
        <v>766.49</v>
      </c>
      <c r="W4177">
        <v>13130004175</v>
      </c>
    </row>
    <row r="4178" spans="1:23" x14ac:dyDescent="0.2">
      <c r="A4178" s="1">
        <v>44793</v>
      </c>
      <c r="B4178" s="2">
        <v>0.92510416666666662</v>
      </c>
      <c r="C4178">
        <v>5176</v>
      </c>
      <c r="D4178">
        <v>13002561</v>
      </c>
      <c r="E4178">
        <v>13</v>
      </c>
      <c r="F4178">
        <v>22589</v>
      </c>
      <c r="G4178" t="s">
        <v>23</v>
      </c>
      <c r="H4178">
        <v>18</v>
      </c>
      <c r="I4178">
        <v>44311</v>
      </c>
      <c r="J4178" t="s">
        <v>81</v>
      </c>
      <c r="K4178" t="s">
        <v>60</v>
      </c>
      <c r="L4178" t="s">
        <v>32</v>
      </c>
      <c r="M4178">
        <v>3</v>
      </c>
      <c r="N4178">
        <v>138.96</v>
      </c>
      <c r="O4178">
        <v>186.93</v>
      </c>
      <c r="P4178">
        <v>9.35</v>
      </c>
      <c r="Q4178">
        <v>9.35</v>
      </c>
      <c r="R4178" t="s">
        <v>30</v>
      </c>
      <c r="S4178">
        <v>29</v>
      </c>
      <c r="T4178">
        <v>1</v>
      </c>
      <c r="U4178">
        <v>5</v>
      </c>
      <c r="V4178">
        <v>177.58</v>
      </c>
      <c r="W4178">
        <v>13130004176</v>
      </c>
    </row>
    <row r="4179" spans="1:23" x14ac:dyDescent="0.2">
      <c r="A4179" s="1">
        <v>44779</v>
      </c>
      <c r="B4179" s="2">
        <v>0.91271990740740738</v>
      </c>
      <c r="C4179">
        <v>5177</v>
      </c>
      <c r="D4179">
        <v>13002561</v>
      </c>
      <c r="E4179">
        <v>13</v>
      </c>
      <c r="F4179">
        <v>22589</v>
      </c>
      <c r="G4179" t="s">
        <v>23</v>
      </c>
      <c r="H4179">
        <v>18</v>
      </c>
      <c r="I4179">
        <v>84429</v>
      </c>
      <c r="J4179" t="s">
        <v>116</v>
      </c>
      <c r="K4179" t="s">
        <v>45</v>
      </c>
      <c r="L4179" t="s">
        <v>51</v>
      </c>
      <c r="M4179">
        <v>1</v>
      </c>
      <c r="N4179">
        <v>227.61</v>
      </c>
      <c r="O4179">
        <v>374.02</v>
      </c>
      <c r="P4179">
        <v>0</v>
      </c>
      <c r="Q4179">
        <v>0</v>
      </c>
      <c r="S4179">
        <v>29</v>
      </c>
      <c r="T4179">
        <v>1</v>
      </c>
      <c r="U4179">
        <v>3</v>
      </c>
      <c r="V4179">
        <v>374.02</v>
      </c>
      <c r="W4179">
        <v>13130004177</v>
      </c>
    </row>
    <row r="4180" spans="1:23" x14ac:dyDescent="0.2">
      <c r="A4180" s="1">
        <v>44780</v>
      </c>
      <c r="B4180" s="2">
        <v>0.38930555555555563</v>
      </c>
      <c r="C4180">
        <v>5178</v>
      </c>
      <c r="D4180">
        <v>13002561</v>
      </c>
      <c r="E4180">
        <v>13</v>
      </c>
      <c r="F4180">
        <v>22589</v>
      </c>
      <c r="G4180" t="s">
        <v>23</v>
      </c>
      <c r="H4180">
        <v>15</v>
      </c>
      <c r="I4180">
        <v>98925</v>
      </c>
      <c r="J4180" t="s">
        <v>64</v>
      </c>
      <c r="K4180" t="s">
        <v>28</v>
      </c>
      <c r="L4180" t="s">
        <v>34</v>
      </c>
      <c r="M4180">
        <v>3</v>
      </c>
      <c r="N4180">
        <v>591.54</v>
      </c>
      <c r="O4180">
        <v>948.34</v>
      </c>
      <c r="P4180">
        <v>47.42</v>
      </c>
      <c r="Q4180">
        <v>47.42</v>
      </c>
      <c r="R4180" t="s">
        <v>30</v>
      </c>
      <c r="S4180">
        <v>29</v>
      </c>
      <c r="T4180">
        <v>1</v>
      </c>
      <c r="U4180">
        <v>3</v>
      </c>
      <c r="V4180">
        <v>900.92</v>
      </c>
      <c r="W4180">
        <v>13130004178</v>
      </c>
    </row>
    <row r="4181" spans="1:23" x14ac:dyDescent="0.2">
      <c r="A4181" s="1">
        <v>44790</v>
      </c>
      <c r="B4181" s="2">
        <v>0.36459490740740741</v>
      </c>
      <c r="C4181">
        <v>5179</v>
      </c>
      <c r="D4181">
        <v>13002561</v>
      </c>
      <c r="E4181">
        <v>13</v>
      </c>
      <c r="F4181">
        <v>22589</v>
      </c>
      <c r="G4181" t="s">
        <v>23</v>
      </c>
      <c r="H4181">
        <v>15</v>
      </c>
      <c r="I4181">
        <v>84407</v>
      </c>
      <c r="J4181" t="s">
        <v>102</v>
      </c>
      <c r="K4181" t="s">
        <v>60</v>
      </c>
      <c r="L4181" t="s">
        <v>36</v>
      </c>
      <c r="M4181">
        <v>1</v>
      </c>
      <c r="N4181">
        <v>319.48</v>
      </c>
      <c r="O4181">
        <v>414.77</v>
      </c>
      <c r="P4181">
        <v>20.74</v>
      </c>
      <c r="Q4181">
        <v>20.74</v>
      </c>
      <c r="R4181" t="s">
        <v>30</v>
      </c>
      <c r="S4181">
        <v>29</v>
      </c>
      <c r="T4181">
        <v>1</v>
      </c>
      <c r="U4181">
        <v>4</v>
      </c>
      <c r="V4181">
        <v>394.03</v>
      </c>
      <c r="W4181">
        <v>13130004179</v>
      </c>
    </row>
    <row r="4182" spans="1:23" x14ac:dyDescent="0.2">
      <c r="A4182" s="1">
        <v>44776</v>
      </c>
      <c r="B4182" s="2">
        <v>0.35991898148148149</v>
      </c>
      <c r="C4182">
        <v>5180</v>
      </c>
      <c r="D4182">
        <v>13002561</v>
      </c>
      <c r="E4182">
        <v>13</v>
      </c>
      <c r="F4182">
        <v>22589</v>
      </c>
      <c r="G4182" t="s">
        <v>23</v>
      </c>
      <c r="H4182">
        <v>15</v>
      </c>
      <c r="I4182">
        <v>61036</v>
      </c>
      <c r="J4182" t="s">
        <v>63</v>
      </c>
      <c r="K4182" t="s">
        <v>38</v>
      </c>
      <c r="L4182" t="s">
        <v>34</v>
      </c>
      <c r="M4182">
        <v>3</v>
      </c>
      <c r="N4182">
        <v>328.02</v>
      </c>
      <c r="O4182">
        <v>550.62</v>
      </c>
      <c r="P4182">
        <v>55.06</v>
      </c>
      <c r="Q4182">
        <v>55.06</v>
      </c>
      <c r="R4182" t="s">
        <v>30</v>
      </c>
      <c r="S4182">
        <v>29</v>
      </c>
      <c r="T4182">
        <v>1</v>
      </c>
      <c r="U4182">
        <v>6</v>
      </c>
      <c r="V4182">
        <v>495.56</v>
      </c>
      <c r="W4182">
        <v>13130004180</v>
      </c>
    </row>
    <row r="4183" spans="1:23" x14ac:dyDescent="0.2">
      <c r="A4183" s="1">
        <v>44778</v>
      </c>
      <c r="B4183" s="2">
        <v>0.4085300925925926</v>
      </c>
      <c r="C4183">
        <v>5181</v>
      </c>
      <c r="D4183">
        <v>13002561</v>
      </c>
      <c r="E4183">
        <v>13</v>
      </c>
      <c r="F4183">
        <v>22589</v>
      </c>
      <c r="G4183" t="s">
        <v>23</v>
      </c>
      <c r="H4183">
        <v>18</v>
      </c>
      <c r="I4183">
        <v>25289</v>
      </c>
      <c r="J4183" t="s">
        <v>123</v>
      </c>
      <c r="K4183" t="s">
        <v>38</v>
      </c>
      <c r="L4183" t="s">
        <v>29</v>
      </c>
      <c r="M4183">
        <v>1</v>
      </c>
      <c r="N4183">
        <v>379.44</v>
      </c>
      <c r="O4183">
        <v>519.04</v>
      </c>
      <c r="P4183">
        <v>0</v>
      </c>
      <c r="Q4183">
        <v>0</v>
      </c>
      <c r="S4183">
        <v>29</v>
      </c>
      <c r="T4183">
        <v>1</v>
      </c>
      <c r="U4183">
        <v>4</v>
      </c>
      <c r="V4183">
        <v>519.04</v>
      </c>
      <c r="W4183">
        <v>13130004181</v>
      </c>
    </row>
    <row r="4184" spans="1:23" x14ac:dyDescent="0.2">
      <c r="A4184" s="1">
        <v>44800</v>
      </c>
      <c r="B4184" s="2">
        <v>0.57813657407407404</v>
      </c>
      <c r="C4184">
        <v>5182</v>
      </c>
      <c r="D4184">
        <v>13002561</v>
      </c>
      <c r="E4184">
        <v>13</v>
      </c>
      <c r="F4184">
        <v>22589</v>
      </c>
      <c r="G4184" t="s">
        <v>23</v>
      </c>
      <c r="H4184">
        <v>15</v>
      </c>
      <c r="I4184">
        <v>76082</v>
      </c>
      <c r="J4184" t="s">
        <v>89</v>
      </c>
      <c r="K4184" t="s">
        <v>44</v>
      </c>
      <c r="L4184" t="s">
        <v>39</v>
      </c>
      <c r="M4184">
        <v>1</v>
      </c>
      <c r="N4184">
        <v>195.13</v>
      </c>
      <c r="O4184">
        <v>317.48</v>
      </c>
      <c r="P4184">
        <v>0</v>
      </c>
      <c r="Q4184">
        <v>0</v>
      </c>
      <c r="S4184">
        <v>29</v>
      </c>
      <c r="T4184">
        <v>1</v>
      </c>
      <c r="U4184">
        <v>1</v>
      </c>
      <c r="V4184">
        <v>317.48</v>
      </c>
      <c r="W4184">
        <v>13130004182</v>
      </c>
    </row>
    <row r="4185" spans="1:23" x14ac:dyDescent="0.2">
      <c r="A4185" s="1">
        <v>44796</v>
      </c>
      <c r="B4185" s="2">
        <v>0.63314814814814813</v>
      </c>
      <c r="C4185">
        <v>5183</v>
      </c>
      <c r="D4185">
        <v>13002561</v>
      </c>
      <c r="E4185">
        <v>13</v>
      </c>
      <c r="F4185">
        <v>22589</v>
      </c>
      <c r="G4185" t="s">
        <v>23</v>
      </c>
      <c r="H4185">
        <v>15</v>
      </c>
      <c r="I4185">
        <v>96433</v>
      </c>
      <c r="J4185" t="s">
        <v>124</v>
      </c>
      <c r="K4185" t="s">
        <v>25</v>
      </c>
      <c r="L4185" t="s">
        <v>39</v>
      </c>
      <c r="M4185">
        <v>2</v>
      </c>
      <c r="N4185">
        <v>210.33</v>
      </c>
      <c r="O4185">
        <v>310.94</v>
      </c>
      <c r="P4185">
        <v>31.09</v>
      </c>
      <c r="Q4185">
        <v>31.09</v>
      </c>
      <c r="R4185" t="s">
        <v>30</v>
      </c>
      <c r="S4185">
        <v>29</v>
      </c>
      <c r="T4185">
        <v>1</v>
      </c>
      <c r="U4185">
        <v>6</v>
      </c>
      <c r="V4185">
        <v>279.85000000000002</v>
      </c>
      <c r="W4185">
        <v>13130004183</v>
      </c>
    </row>
    <row r="4186" spans="1:23" x14ac:dyDescent="0.2">
      <c r="A4186" s="1">
        <v>44796</v>
      </c>
      <c r="B4186" s="2">
        <v>0.52353009259259264</v>
      </c>
      <c r="C4186">
        <v>5184</v>
      </c>
      <c r="D4186">
        <v>13002561</v>
      </c>
      <c r="E4186">
        <v>13</v>
      </c>
      <c r="F4186">
        <v>22589</v>
      </c>
      <c r="G4186" t="s">
        <v>23</v>
      </c>
      <c r="H4186">
        <v>15</v>
      </c>
      <c r="I4186">
        <v>49893</v>
      </c>
      <c r="J4186" t="s">
        <v>87</v>
      </c>
      <c r="K4186" t="s">
        <v>38</v>
      </c>
      <c r="L4186" t="s">
        <v>39</v>
      </c>
      <c r="M4186">
        <v>1</v>
      </c>
      <c r="N4186">
        <v>472.26</v>
      </c>
      <c r="O4186">
        <v>635.12</v>
      </c>
      <c r="P4186">
        <v>0</v>
      </c>
      <c r="Q4186">
        <v>0</v>
      </c>
      <c r="S4186">
        <v>29</v>
      </c>
      <c r="T4186">
        <v>1</v>
      </c>
      <c r="U4186">
        <v>6</v>
      </c>
      <c r="V4186">
        <v>635.12</v>
      </c>
      <c r="W4186">
        <v>13130004184</v>
      </c>
    </row>
    <row r="4187" spans="1:23" x14ac:dyDescent="0.2">
      <c r="A4187" s="1">
        <v>44782</v>
      </c>
      <c r="B4187" s="2">
        <v>0.62001157407407403</v>
      </c>
      <c r="C4187">
        <v>5185</v>
      </c>
      <c r="D4187">
        <v>13002561</v>
      </c>
      <c r="E4187">
        <v>13</v>
      </c>
      <c r="F4187">
        <v>22589</v>
      </c>
      <c r="G4187" t="s">
        <v>23</v>
      </c>
      <c r="H4187">
        <v>15</v>
      </c>
      <c r="I4187">
        <v>34458</v>
      </c>
      <c r="J4187" t="s">
        <v>84</v>
      </c>
      <c r="K4187" t="s">
        <v>38</v>
      </c>
      <c r="L4187" t="s">
        <v>26</v>
      </c>
      <c r="M4187">
        <v>3</v>
      </c>
      <c r="N4187">
        <v>17.12</v>
      </c>
      <c r="O4187">
        <v>22.01</v>
      </c>
      <c r="P4187">
        <v>0</v>
      </c>
      <c r="Q4187">
        <v>0</v>
      </c>
      <c r="S4187">
        <v>29</v>
      </c>
      <c r="T4187">
        <v>1</v>
      </c>
      <c r="U4187">
        <v>4</v>
      </c>
      <c r="V4187">
        <v>22.01</v>
      </c>
      <c r="W4187">
        <v>13130004185</v>
      </c>
    </row>
    <row r="4188" spans="1:23" x14ac:dyDescent="0.2">
      <c r="A4188" s="1">
        <v>44779</v>
      </c>
      <c r="B4188" s="2">
        <v>0.87870370370370365</v>
      </c>
      <c r="C4188">
        <v>5186</v>
      </c>
      <c r="D4188">
        <v>13002561</v>
      </c>
      <c r="E4188">
        <v>13</v>
      </c>
      <c r="F4188">
        <v>22589</v>
      </c>
      <c r="G4188" t="s">
        <v>23</v>
      </c>
      <c r="H4188">
        <v>18</v>
      </c>
      <c r="I4188">
        <v>22262</v>
      </c>
      <c r="J4188" t="s">
        <v>120</v>
      </c>
      <c r="K4188" t="s">
        <v>60</v>
      </c>
      <c r="L4188" t="s">
        <v>39</v>
      </c>
      <c r="M4188">
        <v>3</v>
      </c>
      <c r="N4188">
        <v>472.5</v>
      </c>
      <c r="O4188">
        <v>602.16999999999996</v>
      </c>
      <c r="P4188">
        <v>60.22</v>
      </c>
      <c r="Q4188">
        <v>60.22</v>
      </c>
      <c r="R4188" t="s">
        <v>30</v>
      </c>
      <c r="S4188">
        <v>29</v>
      </c>
      <c r="T4188">
        <v>1</v>
      </c>
      <c r="U4188">
        <v>6</v>
      </c>
      <c r="V4188">
        <v>541.95000000000005</v>
      </c>
      <c r="W4188">
        <v>13130004186</v>
      </c>
    </row>
    <row r="4189" spans="1:23" x14ac:dyDescent="0.2">
      <c r="A4189" s="1">
        <v>44787</v>
      </c>
      <c r="B4189" s="2">
        <v>0.75182870370370369</v>
      </c>
      <c r="C4189">
        <v>5187</v>
      </c>
      <c r="D4189">
        <v>13002561</v>
      </c>
      <c r="E4189">
        <v>13</v>
      </c>
      <c r="F4189">
        <v>22589</v>
      </c>
      <c r="G4189" t="s">
        <v>23</v>
      </c>
      <c r="H4189">
        <v>18</v>
      </c>
      <c r="I4189">
        <v>45971</v>
      </c>
      <c r="J4189" t="s">
        <v>118</v>
      </c>
      <c r="K4189" t="s">
        <v>44</v>
      </c>
      <c r="L4189" t="s">
        <v>39</v>
      </c>
      <c r="M4189">
        <v>2</v>
      </c>
      <c r="N4189">
        <v>312.61</v>
      </c>
      <c r="O4189">
        <v>520.34</v>
      </c>
      <c r="P4189">
        <v>52.03</v>
      </c>
      <c r="Q4189">
        <v>52.03</v>
      </c>
      <c r="R4189" t="s">
        <v>30</v>
      </c>
      <c r="S4189">
        <v>29</v>
      </c>
      <c r="T4189">
        <v>1</v>
      </c>
      <c r="U4189">
        <v>1</v>
      </c>
      <c r="V4189">
        <v>468.31</v>
      </c>
      <c r="W4189">
        <v>13130004187</v>
      </c>
    </row>
    <row r="4190" spans="1:23" x14ac:dyDescent="0.2">
      <c r="A4190" s="1">
        <v>44799</v>
      </c>
      <c r="B4190" s="2">
        <v>0.58900462962962963</v>
      </c>
      <c r="C4190">
        <v>5188</v>
      </c>
      <c r="D4190">
        <v>13002561</v>
      </c>
      <c r="E4190">
        <v>13</v>
      </c>
      <c r="F4190">
        <v>22589</v>
      </c>
      <c r="G4190" t="s">
        <v>23</v>
      </c>
      <c r="H4190">
        <v>18</v>
      </c>
      <c r="I4190">
        <v>28962</v>
      </c>
      <c r="J4190" t="s">
        <v>92</v>
      </c>
      <c r="K4190" t="s">
        <v>38</v>
      </c>
      <c r="L4190" t="s">
        <v>47</v>
      </c>
      <c r="M4190">
        <v>1</v>
      </c>
      <c r="N4190">
        <v>325.18</v>
      </c>
      <c r="O4190">
        <v>517.1</v>
      </c>
      <c r="P4190">
        <v>25.86</v>
      </c>
      <c r="Q4190">
        <v>25.86</v>
      </c>
      <c r="R4190" t="s">
        <v>30</v>
      </c>
      <c r="S4190">
        <v>29</v>
      </c>
      <c r="T4190">
        <v>1</v>
      </c>
      <c r="U4190">
        <v>1</v>
      </c>
      <c r="V4190">
        <v>491.24</v>
      </c>
      <c r="W4190">
        <v>13130004188</v>
      </c>
    </row>
    <row r="4191" spans="1:23" x14ac:dyDescent="0.2">
      <c r="A4191" s="1">
        <v>44792</v>
      </c>
      <c r="B4191" s="2">
        <v>0.54423611111111114</v>
      </c>
      <c r="C4191">
        <v>5189</v>
      </c>
      <c r="D4191">
        <v>13002561</v>
      </c>
      <c r="E4191">
        <v>13</v>
      </c>
      <c r="F4191">
        <v>22589</v>
      </c>
      <c r="G4191" t="s">
        <v>23</v>
      </c>
      <c r="H4191">
        <v>15</v>
      </c>
      <c r="I4191">
        <v>18772</v>
      </c>
      <c r="J4191" t="s">
        <v>119</v>
      </c>
      <c r="K4191" t="s">
        <v>25</v>
      </c>
      <c r="L4191" t="s">
        <v>29</v>
      </c>
      <c r="M4191">
        <v>3</v>
      </c>
      <c r="N4191">
        <v>387.42</v>
      </c>
      <c r="O4191">
        <v>530.25</v>
      </c>
      <c r="P4191">
        <v>53.03</v>
      </c>
      <c r="Q4191">
        <v>53.03</v>
      </c>
      <c r="R4191" t="s">
        <v>30</v>
      </c>
      <c r="S4191">
        <v>29</v>
      </c>
      <c r="T4191">
        <v>1</v>
      </c>
      <c r="U4191">
        <v>2</v>
      </c>
      <c r="V4191">
        <v>477.22</v>
      </c>
      <c r="W4191">
        <v>13130004189</v>
      </c>
    </row>
    <row r="4192" spans="1:23" x14ac:dyDescent="0.2">
      <c r="A4192" s="1">
        <v>44785</v>
      </c>
      <c r="B4192" s="2">
        <v>0.42393518518518519</v>
      </c>
      <c r="C4192">
        <v>5190</v>
      </c>
      <c r="D4192">
        <v>13002561</v>
      </c>
      <c r="E4192">
        <v>13</v>
      </c>
      <c r="F4192">
        <v>22589</v>
      </c>
      <c r="G4192" t="s">
        <v>23</v>
      </c>
      <c r="H4192">
        <v>15</v>
      </c>
      <c r="I4192">
        <v>60843</v>
      </c>
      <c r="J4192" t="s">
        <v>93</v>
      </c>
      <c r="K4192" t="s">
        <v>60</v>
      </c>
      <c r="L4192" t="s">
        <v>39</v>
      </c>
      <c r="M4192">
        <v>3</v>
      </c>
      <c r="N4192">
        <v>350.11</v>
      </c>
      <c r="O4192">
        <v>560.42999999999995</v>
      </c>
      <c r="P4192">
        <v>56.04</v>
      </c>
      <c r="Q4192">
        <v>56.04</v>
      </c>
      <c r="R4192" t="s">
        <v>30</v>
      </c>
      <c r="S4192">
        <v>29</v>
      </c>
      <c r="T4192">
        <v>1</v>
      </c>
      <c r="U4192">
        <v>5</v>
      </c>
      <c r="V4192">
        <v>504.39</v>
      </c>
      <c r="W4192">
        <v>13130004190</v>
      </c>
    </row>
    <row r="4193" spans="1:23" x14ac:dyDescent="0.2">
      <c r="A4193" s="1">
        <v>44791</v>
      </c>
      <c r="B4193" s="2">
        <v>0.86763888888888885</v>
      </c>
      <c r="C4193">
        <v>5191</v>
      </c>
      <c r="D4193">
        <v>13002561</v>
      </c>
      <c r="E4193">
        <v>13</v>
      </c>
      <c r="F4193">
        <v>22589</v>
      </c>
      <c r="G4193" t="s">
        <v>23</v>
      </c>
      <c r="H4193">
        <v>15</v>
      </c>
      <c r="I4193">
        <v>42043</v>
      </c>
      <c r="J4193" t="s">
        <v>114</v>
      </c>
      <c r="K4193" t="s">
        <v>28</v>
      </c>
      <c r="L4193" t="s">
        <v>51</v>
      </c>
      <c r="M4193">
        <v>2</v>
      </c>
      <c r="N4193">
        <v>546.72</v>
      </c>
      <c r="O4193">
        <v>922.47</v>
      </c>
      <c r="P4193">
        <v>92.25</v>
      </c>
      <c r="Q4193">
        <v>92.25</v>
      </c>
      <c r="R4193" t="s">
        <v>30</v>
      </c>
      <c r="S4193">
        <v>29</v>
      </c>
      <c r="T4193">
        <v>1</v>
      </c>
      <c r="U4193">
        <v>3</v>
      </c>
      <c r="V4193">
        <v>830.22</v>
      </c>
      <c r="W4193">
        <v>13130004191</v>
      </c>
    </row>
    <row r="4194" spans="1:23" x14ac:dyDescent="0.2">
      <c r="A4194" s="1">
        <v>44799</v>
      </c>
      <c r="B4194" s="2">
        <v>0.38666666666666671</v>
      </c>
      <c r="C4194">
        <v>5192</v>
      </c>
      <c r="D4194">
        <v>13002561</v>
      </c>
      <c r="E4194">
        <v>13</v>
      </c>
      <c r="F4194">
        <v>22589</v>
      </c>
      <c r="G4194" t="s">
        <v>23</v>
      </c>
      <c r="H4194">
        <v>18</v>
      </c>
      <c r="I4194">
        <v>71742</v>
      </c>
      <c r="J4194" t="s">
        <v>50</v>
      </c>
      <c r="K4194" t="s">
        <v>28</v>
      </c>
      <c r="L4194" t="s">
        <v>34</v>
      </c>
      <c r="M4194">
        <v>2</v>
      </c>
      <c r="N4194">
        <v>565.39</v>
      </c>
      <c r="O4194">
        <v>832.6</v>
      </c>
      <c r="P4194">
        <v>41.63</v>
      </c>
      <c r="Q4194">
        <v>41.63</v>
      </c>
      <c r="R4194" t="s">
        <v>30</v>
      </c>
      <c r="S4194">
        <v>29</v>
      </c>
      <c r="T4194">
        <v>1</v>
      </c>
      <c r="U4194">
        <v>3</v>
      </c>
      <c r="V4194">
        <v>790.97</v>
      </c>
      <c r="W4194">
        <v>13130004192</v>
      </c>
    </row>
    <row r="4195" spans="1:23" x14ac:dyDescent="0.2">
      <c r="A4195" s="1">
        <v>44803</v>
      </c>
      <c r="B4195" s="2">
        <v>0.71390046296296295</v>
      </c>
      <c r="C4195">
        <v>5193</v>
      </c>
      <c r="D4195">
        <v>13002561</v>
      </c>
      <c r="E4195">
        <v>13</v>
      </c>
      <c r="F4195">
        <v>22589</v>
      </c>
      <c r="G4195" t="s">
        <v>23</v>
      </c>
      <c r="H4195">
        <v>15</v>
      </c>
      <c r="I4195">
        <v>29359</v>
      </c>
      <c r="J4195" t="s">
        <v>35</v>
      </c>
      <c r="K4195" t="s">
        <v>60</v>
      </c>
      <c r="L4195" t="s">
        <v>47</v>
      </c>
      <c r="M4195">
        <v>1</v>
      </c>
      <c r="N4195">
        <v>296.16000000000003</v>
      </c>
      <c r="O4195">
        <v>423.17</v>
      </c>
      <c r="P4195">
        <v>21.16</v>
      </c>
      <c r="Q4195">
        <v>21.16</v>
      </c>
      <c r="R4195" t="s">
        <v>30</v>
      </c>
      <c r="S4195">
        <v>29</v>
      </c>
      <c r="T4195">
        <v>1</v>
      </c>
      <c r="U4195">
        <v>5</v>
      </c>
      <c r="V4195">
        <v>402.01</v>
      </c>
      <c r="W4195">
        <v>13130004193</v>
      </c>
    </row>
    <row r="4196" spans="1:23" x14ac:dyDescent="0.2">
      <c r="A4196" s="1">
        <v>44775</v>
      </c>
      <c r="B4196" s="2">
        <v>0.89848379629629627</v>
      </c>
      <c r="C4196">
        <v>5194</v>
      </c>
      <c r="D4196">
        <v>13002561</v>
      </c>
      <c r="E4196">
        <v>13</v>
      </c>
      <c r="F4196">
        <v>22589</v>
      </c>
      <c r="G4196" t="s">
        <v>23</v>
      </c>
      <c r="H4196">
        <v>18</v>
      </c>
      <c r="I4196">
        <v>78159</v>
      </c>
      <c r="J4196" t="s">
        <v>72</v>
      </c>
      <c r="K4196" t="s">
        <v>28</v>
      </c>
      <c r="L4196" t="s">
        <v>26</v>
      </c>
      <c r="M4196">
        <v>2</v>
      </c>
      <c r="N4196">
        <v>245.25</v>
      </c>
      <c r="O4196">
        <v>348.38</v>
      </c>
      <c r="P4196">
        <v>0</v>
      </c>
      <c r="Q4196">
        <v>0</v>
      </c>
      <c r="S4196">
        <v>29</v>
      </c>
      <c r="T4196">
        <v>1</v>
      </c>
      <c r="U4196">
        <v>1</v>
      </c>
      <c r="V4196">
        <v>348.38</v>
      </c>
      <c r="W4196">
        <v>13130004194</v>
      </c>
    </row>
    <row r="4197" spans="1:23" x14ac:dyDescent="0.2">
      <c r="A4197" s="1">
        <v>44796</v>
      </c>
      <c r="B4197" s="2">
        <v>0.74506944444444445</v>
      </c>
      <c r="C4197">
        <v>5195</v>
      </c>
      <c r="D4197">
        <v>13002561</v>
      </c>
      <c r="E4197">
        <v>13</v>
      </c>
      <c r="F4197">
        <v>22589</v>
      </c>
      <c r="G4197" t="s">
        <v>23</v>
      </c>
      <c r="H4197">
        <v>15</v>
      </c>
      <c r="I4197">
        <v>39347</v>
      </c>
      <c r="J4197" t="s">
        <v>126</v>
      </c>
      <c r="K4197" t="s">
        <v>28</v>
      </c>
      <c r="L4197" t="s">
        <v>26</v>
      </c>
      <c r="M4197">
        <v>2</v>
      </c>
      <c r="N4197">
        <v>82.43</v>
      </c>
      <c r="O4197">
        <v>134.58000000000001</v>
      </c>
      <c r="P4197">
        <v>6.73</v>
      </c>
      <c r="Q4197">
        <v>6.73</v>
      </c>
      <c r="R4197" t="s">
        <v>30</v>
      </c>
      <c r="S4197">
        <v>29</v>
      </c>
      <c r="T4197">
        <v>1</v>
      </c>
      <c r="U4197">
        <v>1</v>
      </c>
      <c r="V4197">
        <v>127.85</v>
      </c>
      <c r="W4197">
        <v>13130004195</v>
      </c>
    </row>
    <row r="4198" spans="1:23" x14ac:dyDescent="0.2">
      <c r="A4198" s="1">
        <v>44800</v>
      </c>
      <c r="B4198" s="2">
        <v>0.73083333333333333</v>
      </c>
      <c r="C4198">
        <v>5196</v>
      </c>
      <c r="D4198">
        <v>13002561</v>
      </c>
      <c r="E4198">
        <v>13</v>
      </c>
      <c r="F4198">
        <v>22589</v>
      </c>
      <c r="G4198" t="s">
        <v>23</v>
      </c>
      <c r="H4198">
        <v>15</v>
      </c>
      <c r="I4198">
        <v>18053</v>
      </c>
      <c r="J4198" t="s">
        <v>103</v>
      </c>
      <c r="K4198" t="s">
        <v>28</v>
      </c>
      <c r="L4198" t="s">
        <v>36</v>
      </c>
      <c r="M4198">
        <v>3</v>
      </c>
      <c r="N4198">
        <v>479.21</v>
      </c>
      <c r="O4198">
        <v>723.03</v>
      </c>
      <c r="P4198">
        <v>72.3</v>
      </c>
      <c r="Q4198">
        <v>72.3</v>
      </c>
      <c r="R4198" t="s">
        <v>30</v>
      </c>
      <c r="S4198">
        <v>29</v>
      </c>
      <c r="T4198">
        <v>1</v>
      </c>
      <c r="U4198">
        <v>1</v>
      </c>
      <c r="V4198">
        <v>650.73</v>
      </c>
      <c r="W4198">
        <v>13130004196</v>
      </c>
    </row>
    <row r="4199" spans="1:23" x14ac:dyDescent="0.2">
      <c r="A4199" s="1">
        <v>44776</v>
      </c>
      <c r="B4199" s="2">
        <v>0.92282407407407407</v>
      </c>
      <c r="C4199">
        <v>5197</v>
      </c>
      <c r="D4199">
        <v>13002561</v>
      </c>
      <c r="E4199">
        <v>13</v>
      </c>
      <c r="F4199">
        <v>22589</v>
      </c>
      <c r="G4199" t="s">
        <v>23</v>
      </c>
      <c r="H4199">
        <v>15</v>
      </c>
      <c r="I4199">
        <v>88439</v>
      </c>
      <c r="J4199" t="s">
        <v>125</v>
      </c>
      <c r="K4199" t="s">
        <v>28</v>
      </c>
      <c r="L4199" t="s">
        <v>29</v>
      </c>
      <c r="M4199">
        <v>3</v>
      </c>
      <c r="N4199">
        <v>197.03</v>
      </c>
      <c r="O4199">
        <v>260.67</v>
      </c>
      <c r="P4199">
        <v>13.03</v>
      </c>
      <c r="Q4199">
        <v>13.03</v>
      </c>
      <c r="R4199" t="s">
        <v>30</v>
      </c>
      <c r="S4199">
        <v>29</v>
      </c>
      <c r="T4199">
        <v>1</v>
      </c>
      <c r="U4199">
        <v>4</v>
      </c>
      <c r="V4199">
        <v>247.64</v>
      </c>
      <c r="W4199">
        <v>13130004197</v>
      </c>
    </row>
    <row r="4200" spans="1:23" x14ac:dyDescent="0.2">
      <c r="A4200" s="1">
        <v>44782</v>
      </c>
      <c r="B4200" s="2">
        <v>0.70130787037037035</v>
      </c>
      <c r="C4200">
        <v>5198</v>
      </c>
      <c r="D4200">
        <v>13002561</v>
      </c>
      <c r="E4200">
        <v>13</v>
      </c>
      <c r="F4200">
        <v>22589</v>
      </c>
      <c r="G4200" t="s">
        <v>23</v>
      </c>
      <c r="H4200">
        <v>18</v>
      </c>
      <c r="I4200">
        <v>38069</v>
      </c>
      <c r="J4200" t="s">
        <v>118</v>
      </c>
      <c r="K4200" t="s">
        <v>28</v>
      </c>
      <c r="L4200" t="s">
        <v>29</v>
      </c>
      <c r="M4200">
        <v>2</v>
      </c>
      <c r="N4200">
        <v>411.05</v>
      </c>
      <c r="O4200">
        <v>685.15</v>
      </c>
      <c r="P4200">
        <v>68.52</v>
      </c>
      <c r="Q4200">
        <v>68.52</v>
      </c>
      <c r="R4200" t="s">
        <v>30</v>
      </c>
      <c r="S4200">
        <v>29</v>
      </c>
      <c r="T4200">
        <v>1</v>
      </c>
      <c r="U4200">
        <v>5</v>
      </c>
      <c r="V4200">
        <v>616.63</v>
      </c>
      <c r="W4200">
        <v>13130004198</v>
      </c>
    </row>
    <row r="4201" spans="1:23" x14ac:dyDescent="0.2">
      <c r="A4201" s="1">
        <v>44783</v>
      </c>
      <c r="B4201" s="2">
        <v>0.83208333333333329</v>
      </c>
      <c r="C4201">
        <v>5199</v>
      </c>
      <c r="D4201">
        <v>13002561</v>
      </c>
      <c r="E4201">
        <v>13</v>
      </c>
      <c r="F4201">
        <v>22589</v>
      </c>
      <c r="G4201" t="s">
        <v>23</v>
      </c>
      <c r="H4201">
        <v>18</v>
      </c>
      <c r="I4201">
        <v>63441</v>
      </c>
      <c r="J4201" t="s">
        <v>61</v>
      </c>
      <c r="K4201" t="s">
        <v>44</v>
      </c>
      <c r="L4201" t="s">
        <v>51</v>
      </c>
      <c r="M4201">
        <v>2</v>
      </c>
      <c r="N4201">
        <v>84.44</v>
      </c>
      <c r="O4201">
        <v>113.81</v>
      </c>
      <c r="P4201">
        <v>11.38</v>
      </c>
      <c r="Q4201">
        <v>11.38</v>
      </c>
      <c r="R4201" t="s">
        <v>30</v>
      </c>
      <c r="S4201">
        <v>29</v>
      </c>
      <c r="T4201">
        <v>1</v>
      </c>
      <c r="U4201">
        <v>1</v>
      </c>
      <c r="V4201">
        <v>102.43</v>
      </c>
      <c r="W4201">
        <v>13130004199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47FB-D5A3-034F-A25E-3683B1006D6A}">
  <dimension ref="A1:D92"/>
  <sheetViews>
    <sheetView workbookViewId="0">
      <selection activeCell="F26" sqref="F26"/>
    </sheetView>
  </sheetViews>
  <sheetFormatPr baseColWidth="10" defaultRowHeight="15" x14ac:dyDescent="0.2"/>
  <cols>
    <col min="1" max="1" width="23.83203125" customWidth="1"/>
    <col min="2" max="2" width="12.5" bestFit="1" customWidth="1"/>
    <col min="3" max="3" width="13" bestFit="1" customWidth="1"/>
    <col min="4" max="4" width="11.6640625" bestFit="1" customWidth="1"/>
  </cols>
  <sheetData>
    <row r="1" spans="1:4" x14ac:dyDescent="0.2">
      <c r="A1" s="3" t="s">
        <v>129</v>
      </c>
      <c r="B1" t="s">
        <v>132</v>
      </c>
      <c r="C1" t="s">
        <v>131</v>
      </c>
      <c r="D1" s="5" t="s">
        <v>133</v>
      </c>
    </row>
    <row r="2" spans="1:4" x14ac:dyDescent="0.2">
      <c r="A2" s="4" t="s">
        <v>49</v>
      </c>
      <c r="B2">
        <v>91</v>
      </c>
      <c r="C2">
        <v>14826.480000000003</v>
      </c>
      <c r="D2" s="6">
        <f>B2/30</f>
        <v>3.0333333333333332</v>
      </c>
    </row>
    <row r="3" spans="1:4" x14ac:dyDescent="0.2">
      <c r="A3" s="4" t="s">
        <v>77</v>
      </c>
      <c r="B3">
        <v>86</v>
      </c>
      <c r="C3">
        <v>18652.000000000007</v>
      </c>
      <c r="D3" s="6">
        <f t="shared" ref="D3:D66" si="0">B3/30</f>
        <v>2.8666666666666667</v>
      </c>
    </row>
    <row r="4" spans="1:4" x14ac:dyDescent="0.2">
      <c r="A4" s="4" t="s">
        <v>67</v>
      </c>
      <c r="B4">
        <v>98</v>
      </c>
      <c r="C4">
        <v>20659.180000000008</v>
      </c>
      <c r="D4" s="6">
        <f t="shared" si="0"/>
        <v>3.2666666666666666</v>
      </c>
    </row>
    <row r="5" spans="1:4" x14ac:dyDescent="0.2">
      <c r="A5" s="4" t="s">
        <v>121</v>
      </c>
      <c r="B5">
        <v>74</v>
      </c>
      <c r="C5">
        <v>17389.25</v>
      </c>
      <c r="D5" s="6">
        <f t="shared" si="0"/>
        <v>2.4666666666666668</v>
      </c>
    </row>
    <row r="6" spans="1:4" x14ac:dyDescent="0.2">
      <c r="A6" s="4" t="s">
        <v>124</v>
      </c>
      <c r="B6">
        <v>73</v>
      </c>
      <c r="C6">
        <v>15270.32</v>
      </c>
      <c r="D6" s="6">
        <f t="shared" si="0"/>
        <v>2.4333333333333331</v>
      </c>
    </row>
    <row r="7" spans="1:4" x14ac:dyDescent="0.2">
      <c r="A7" s="4" t="s">
        <v>40</v>
      </c>
      <c r="B7">
        <v>92</v>
      </c>
      <c r="C7">
        <v>20776.27</v>
      </c>
      <c r="D7" s="6">
        <f t="shared" si="0"/>
        <v>3.0666666666666669</v>
      </c>
    </row>
    <row r="8" spans="1:4" x14ac:dyDescent="0.2">
      <c r="A8" s="4" t="s">
        <v>107</v>
      </c>
      <c r="B8">
        <v>80</v>
      </c>
      <c r="C8">
        <v>16526.520000000004</v>
      </c>
      <c r="D8" s="6">
        <f t="shared" si="0"/>
        <v>2.6666666666666665</v>
      </c>
    </row>
    <row r="9" spans="1:4" x14ac:dyDescent="0.2">
      <c r="A9" s="4" t="s">
        <v>62</v>
      </c>
      <c r="B9">
        <v>95</v>
      </c>
      <c r="C9">
        <v>20246.990000000005</v>
      </c>
      <c r="D9" s="6">
        <f t="shared" si="0"/>
        <v>3.1666666666666665</v>
      </c>
    </row>
    <row r="10" spans="1:4" x14ac:dyDescent="0.2">
      <c r="A10" s="4" t="s">
        <v>31</v>
      </c>
      <c r="B10">
        <v>126</v>
      </c>
      <c r="C10">
        <v>28943.97</v>
      </c>
      <c r="D10" s="6">
        <f t="shared" si="0"/>
        <v>4.2</v>
      </c>
    </row>
    <row r="11" spans="1:4" x14ac:dyDescent="0.2">
      <c r="A11" s="4" t="s">
        <v>70</v>
      </c>
      <c r="B11">
        <v>99</v>
      </c>
      <c r="C11">
        <v>19132.980000000007</v>
      </c>
      <c r="D11" s="6">
        <f t="shared" si="0"/>
        <v>3.3</v>
      </c>
    </row>
    <row r="12" spans="1:4" x14ac:dyDescent="0.2">
      <c r="A12" s="4" t="s">
        <v>102</v>
      </c>
      <c r="B12">
        <v>83</v>
      </c>
      <c r="C12">
        <v>19045.539999999994</v>
      </c>
      <c r="D12" s="6">
        <f t="shared" si="0"/>
        <v>2.7666666666666666</v>
      </c>
    </row>
    <row r="13" spans="1:4" x14ac:dyDescent="0.2">
      <c r="A13" s="4" t="s">
        <v>89</v>
      </c>
      <c r="B13">
        <v>75</v>
      </c>
      <c r="C13">
        <v>14915.619999999995</v>
      </c>
      <c r="D13" s="6">
        <f t="shared" si="0"/>
        <v>2.5</v>
      </c>
    </row>
    <row r="14" spans="1:4" x14ac:dyDescent="0.2">
      <c r="A14" s="4" t="s">
        <v>55</v>
      </c>
      <c r="B14">
        <v>103</v>
      </c>
      <c r="C14">
        <v>24630.389999999996</v>
      </c>
      <c r="D14" s="6">
        <f t="shared" si="0"/>
        <v>3.4333333333333331</v>
      </c>
    </row>
    <row r="15" spans="1:4" x14ac:dyDescent="0.2">
      <c r="A15" s="4" t="s">
        <v>96</v>
      </c>
      <c r="B15">
        <v>97</v>
      </c>
      <c r="C15">
        <v>21662.290000000012</v>
      </c>
      <c r="D15" s="6">
        <f t="shared" si="0"/>
        <v>3.2333333333333334</v>
      </c>
    </row>
    <row r="16" spans="1:4" x14ac:dyDescent="0.2">
      <c r="A16" s="4" t="s">
        <v>100</v>
      </c>
      <c r="B16">
        <v>108</v>
      </c>
      <c r="C16">
        <v>20288.82</v>
      </c>
      <c r="D16" s="6">
        <f t="shared" si="0"/>
        <v>3.6</v>
      </c>
    </row>
    <row r="17" spans="1:4" x14ac:dyDescent="0.2">
      <c r="A17" s="4" t="s">
        <v>104</v>
      </c>
      <c r="B17">
        <v>80</v>
      </c>
      <c r="C17">
        <v>16151.149999999998</v>
      </c>
      <c r="D17" s="6">
        <f t="shared" si="0"/>
        <v>2.6666666666666665</v>
      </c>
    </row>
    <row r="18" spans="1:4" x14ac:dyDescent="0.2">
      <c r="A18" s="4" t="s">
        <v>122</v>
      </c>
      <c r="B18">
        <v>73</v>
      </c>
      <c r="C18">
        <v>16224.899999999998</v>
      </c>
      <c r="D18" s="6">
        <f t="shared" si="0"/>
        <v>2.4333333333333331</v>
      </c>
    </row>
    <row r="19" spans="1:4" x14ac:dyDescent="0.2">
      <c r="A19" s="4" t="s">
        <v>127</v>
      </c>
      <c r="B19">
        <v>75</v>
      </c>
      <c r="C19">
        <v>15729.200000000003</v>
      </c>
      <c r="D19" s="6">
        <f t="shared" si="0"/>
        <v>2.5</v>
      </c>
    </row>
    <row r="20" spans="1:4" x14ac:dyDescent="0.2">
      <c r="A20" s="4" t="s">
        <v>53</v>
      </c>
      <c r="B20">
        <v>107</v>
      </c>
      <c r="C20">
        <v>18987.909999999996</v>
      </c>
      <c r="D20" s="6">
        <f t="shared" si="0"/>
        <v>3.5666666666666669</v>
      </c>
    </row>
    <row r="21" spans="1:4" x14ac:dyDescent="0.2">
      <c r="A21" s="4" t="s">
        <v>119</v>
      </c>
      <c r="B21">
        <v>82</v>
      </c>
      <c r="C21">
        <v>16134.539999999997</v>
      </c>
      <c r="D21" s="6">
        <f t="shared" si="0"/>
        <v>2.7333333333333334</v>
      </c>
    </row>
    <row r="22" spans="1:4" x14ac:dyDescent="0.2">
      <c r="A22" s="4" t="s">
        <v>111</v>
      </c>
      <c r="B22">
        <v>84</v>
      </c>
      <c r="C22">
        <v>18629.450000000004</v>
      </c>
      <c r="D22" s="6">
        <f t="shared" si="0"/>
        <v>2.8</v>
      </c>
    </row>
    <row r="23" spans="1:4" x14ac:dyDescent="0.2">
      <c r="A23" s="4" t="s">
        <v>91</v>
      </c>
      <c r="B23">
        <v>91</v>
      </c>
      <c r="C23">
        <v>15537.609999999995</v>
      </c>
      <c r="D23" s="6">
        <f t="shared" si="0"/>
        <v>3.0333333333333332</v>
      </c>
    </row>
    <row r="24" spans="1:4" x14ac:dyDescent="0.2">
      <c r="A24" s="4" t="s">
        <v>59</v>
      </c>
      <c r="B24">
        <v>112</v>
      </c>
      <c r="C24">
        <v>23589.23</v>
      </c>
      <c r="D24" s="6">
        <f t="shared" si="0"/>
        <v>3.7333333333333334</v>
      </c>
    </row>
    <row r="25" spans="1:4" x14ac:dyDescent="0.2">
      <c r="A25" s="4" t="s">
        <v>116</v>
      </c>
      <c r="B25">
        <v>72</v>
      </c>
      <c r="C25">
        <v>14062.990000000002</v>
      </c>
      <c r="D25" s="6">
        <f t="shared" si="0"/>
        <v>2.4</v>
      </c>
    </row>
    <row r="26" spans="1:4" x14ac:dyDescent="0.2">
      <c r="A26" s="4" t="s">
        <v>42</v>
      </c>
      <c r="B26">
        <v>81</v>
      </c>
      <c r="C26">
        <v>19099.099999999999</v>
      </c>
      <c r="D26" s="6">
        <f t="shared" si="0"/>
        <v>2.7</v>
      </c>
    </row>
    <row r="27" spans="1:4" x14ac:dyDescent="0.2">
      <c r="A27" s="4" t="s">
        <v>73</v>
      </c>
      <c r="B27">
        <v>100</v>
      </c>
      <c r="C27">
        <v>20797.279999999995</v>
      </c>
      <c r="D27" s="6">
        <f t="shared" si="0"/>
        <v>3.3333333333333335</v>
      </c>
    </row>
    <row r="28" spans="1:4" x14ac:dyDescent="0.2">
      <c r="A28" s="4" t="s">
        <v>75</v>
      </c>
      <c r="B28">
        <v>107</v>
      </c>
      <c r="C28">
        <v>19049.400000000001</v>
      </c>
      <c r="D28" s="6">
        <f t="shared" si="0"/>
        <v>3.5666666666666669</v>
      </c>
    </row>
    <row r="29" spans="1:4" x14ac:dyDescent="0.2">
      <c r="A29" s="4" t="s">
        <v>63</v>
      </c>
      <c r="B29">
        <v>89</v>
      </c>
      <c r="C29">
        <v>17727.769999999997</v>
      </c>
      <c r="D29" s="6">
        <f t="shared" si="0"/>
        <v>2.9666666666666668</v>
      </c>
    </row>
    <row r="30" spans="1:4" x14ac:dyDescent="0.2">
      <c r="A30" s="4" t="s">
        <v>86</v>
      </c>
      <c r="B30">
        <v>84</v>
      </c>
      <c r="C30">
        <v>23308.930000000004</v>
      </c>
      <c r="D30" s="6">
        <f t="shared" si="0"/>
        <v>2.8</v>
      </c>
    </row>
    <row r="31" spans="1:4" x14ac:dyDescent="0.2">
      <c r="A31" s="4" t="s">
        <v>57</v>
      </c>
      <c r="B31">
        <v>93</v>
      </c>
      <c r="C31">
        <v>21596.090000000007</v>
      </c>
      <c r="D31" s="6">
        <f t="shared" si="0"/>
        <v>3.1</v>
      </c>
    </row>
    <row r="32" spans="1:4" x14ac:dyDescent="0.2">
      <c r="A32" s="4" t="s">
        <v>81</v>
      </c>
      <c r="B32">
        <v>69</v>
      </c>
      <c r="C32">
        <v>15193.52</v>
      </c>
      <c r="D32" s="6">
        <f t="shared" si="0"/>
        <v>2.2999999999999998</v>
      </c>
    </row>
    <row r="33" spans="1:4" x14ac:dyDescent="0.2">
      <c r="A33" s="4" t="s">
        <v>101</v>
      </c>
      <c r="B33">
        <v>126</v>
      </c>
      <c r="C33">
        <v>22879.349999999995</v>
      </c>
      <c r="D33" s="6">
        <f t="shared" si="0"/>
        <v>4.2</v>
      </c>
    </row>
    <row r="34" spans="1:4" x14ac:dyDescent="0.2">
      <c r="A34" s="4" t="s">
        <v>52</v>
      </c>
      <c r="B34">
        <v>95</v>
      </c>
      <c r="C34">
        <v>23493.719999999998</v>
      </c>
      <c r="D34" s="6">
        <f t="shared" si="0"/>
        <v>3.1666666666666665</v>
      </c>
    </row>
    <row r="35" spans="1:4" x14ac:dyDescent="0.2">
      <c r="A35" s="4" t="s">
        <v>50</v>
      </c>
      <c r="B35">
        <v>106</v>
      </c>
      <c r="C35">
        <v>22535.97</v>
      </c>
      <c r="D35" s="6">
        <f t="shared" si="0"/>
        <v>3.5333333333333332</v>
      </c>
    </row>
    <row r="36" spans="1:4" x14ac:dyDescent="0.2">
      <c r="A36" s="4" t="s">
        <v>117</v>
      </c>
      <c r="B36">
        <v>90</v>
      </c>
      <c r="C36">
        <v>16354.699999999995</v>
      </c>
      <c r="D36" s="6">
        <f t="shared" si="0"/>
        <v>3</v>
      </c>
    </row>
    <row r="37" spans="1:4" x14ac:dyDescent="0.2">
      <c r="A37" s="4" t="s">
        <v>85</v>
      </c>
      <c r="B37">
        <v>105</v>
      </c>
      <c r="C37">
        <v>18859.640000000003</v>
      </c>
      <c r="D37" s="6">
        <f t="shared" si="0"/>
        <v>3.5</v>
      </c>
    </row>
    <row r="38" spans="1:4" x14ac:dyDescent="0.2">
      <c r="A38" s="4" t="s">
        <v>74</v>
      </c>
      <c r="B38">
        <v>99</v>
      </c>
      <c r="C38">
        <v>14949.66</v>
      </c>
      <c r="D38" s="6">
        <f t="shared" si="0"/>
        <v>3.3</v>
      </c>
    </row>
    <row r="39" spans="1:4" x14ac:dyDescent="0.2">
      <c r="A39" s="4" t="s">
        <v>115</v>
      </c>
      <c r="B39">
        <v>88</v>
      </c>
      <c r="C39">
        <v>16857.740000000005</v>
      </c>
      <c r="D39" s="6">
        <f t="shared" si="0"/>
        <v>2.9333333333333331</v>
      </c>
    </row>
    <row r="40" spans="1:4" x14ac:dyDescent="0.2">
      <c r="A40" s="4" t="s">
        <v>94</v>
      </c>
      <c r="B40">
        <v>127</v>
      </c>
      <c r="C40">
        <v>29716.960000000006</v>
      </c>
      <c r="D40" s="6">
        <f t="shared" si="0"/>
        <v>4.2333333333333334</v>
      </c>
    </row>
    <row r="41" spans="1:4" x14ac:dyDescent="0.2">
      <c r="A41" s="4" t="s">
        <v>48</v>
      </c>
      <c r="B41">
        <v>114</v>
      </c>
      <c r="C41">
        <v>20870.329999999998</v>
      </c>
      <c r="D41" s="6">
        <f t="shared" si="0"/>
        <v>3.8</v>
      </c>
    </row>
    <row r="42" spans="1:4" x14ac:dyDescent="0.2">
      <c r="A42" s="4" t="s">
        <v>87</v>
      </c>
      <c r="B42">
        <v>78</v>
      </c>
      <c r="C42">
        <v>16725.77</v>
      </c>
      <c r="D42" s="6">
        <f>B42/30</f>
        <v>2.6</v>
      </c>
    </row>
    <row r="43" spans="1:4" x14ac:dyDescent="0.2">
      <c r="A43" s="4" t="s">
        <v>97</v>
      </c>
      <c r="B43">
        <v>83</v>
      </c>
      <c r="C43">
        <v>16567.329999999998</v>
      </c>
      <c r="D43" s="6">
        <f t="shared" si="0"/>
        <v>2.7666666666666666</v>
      </c>
    </row>
    <row r="44" spans="1:4" x14ac:dyDescent="0.2">
      <c r="A44" s="4" t="s">
        <v>33</v>
      </c>
      <c r="B44">
        <v>104</v>
      </c>
      <c r="C44">
        <v>20029.220000000005</v>
      </c>
      <c r="D44" s="6">
        <f t="shared" si="0"/>
        <v>3.4666666666666668</v>
      </c>
    </row>
    <row r="45" spans="1:4" x14ac:dyDescent="0.2">
      <c r="A45" s="4" t="s">
        <v>54</v>
      </c>
      <c r="B45">
        <v>110</v>
      </c>
      <c r="C45">
        <v>22232.570000000003</v>
      </c>
      <c r="D45" s="6">
        <f t="shared" si="0"/>
        <v>3.6666666666666665</v>
      </c>
    </row>
    <row r="46" spans="1:4" x14ac:dyDescent="0.2">
      <c r="A46" s="4" t="s">
        <v>35</v>
      </c>
      <c r="B46">
        <v>107</v>
      </c>
      <c r="C46">
        <v>22917.249999999993</v>
      </c>
      <c r="D46" s="6">
        <f t="shared" si="0"/>
        <v>3.5666666666666669</v>
      </c>
    </row>
    <row r="47" spans="1:4" x14ac:dyDescent="0.2">
      <c r="A47" s="4" t="s">
        <v>56</v>
      </c>
      <c r="B47">
        <v>90</v>
      </c>
      <c r="C47">
        <v>16847.670000000002</v>
      </c>
      <c r="D47" s="6">
        <f t="shared" si="0"/>
        <v>3</v>
      </c>
    </row>
    <row r="48" spans="1:4" x14ac:dyDescent="0.2">
      <c r="A48" s="4" t="s">
        <v>95</v>
      </c>
      <c r="B48">
        <v>56</v>
      </c>
      <c r="C48">
        <v>10849.660000000002</v>
      </c>
      <c r="D48" s="6">
        <f t="shared" si="0"/>
        <v>1.8666666666666667</v>
      </c>
    </row>
    <row r="49" spans="1:4" x14ac:dyDescent="0.2">
      <c r="A49" s="4" t="s">
        <v>120</v>
      </c>
      <c r="B49">
        <v>90</v>
      </c>
      <c r="C49">
        <v>15778.340000000006</v>
      </c>
      <c r="D49" s="6">
        <f t="shared" si="0"/>
        <v>3</v>
      </c>
    </row>
    <row r="50" spans="1:4" x14ac:dyDescent="0.2">
      <c r="A50" s="4" t="s">
        <v>58</v>
      </c>
      <c r="B50">
        <v>95</v>
      </c>
      <c r="C50">
        <v>21529.660000000007</v>
      </c>
      <c r="D50" s="6">
        <f t="shared" si="0"/>
        <v>3.1666666666666665</v>
      </c>
    </row>
    <row r="51" spans="1:4" x14ac:dyDescent="0.2">
      <c r="A51" s="4" t="s">
        <v>27</v>
      </c>
      <c r="B51">
        <v>114</v>
      </c>
      <c r="C51">
        <v>22358.98</v>
      </c>
      <c r="D51" s="6">
        <f t="shared" si="0"/>
        <v>3.8</v>
      </c>
    </row>
    <row r="52" spans="1:4" x14ac:dyDescent="0.2">
      <c r="A52" s="4" t="s">
        <v>99</v>
      </c>
      <c r="B52">
        <v>74</v>
      </c>
      <c r="C52">
        <v>15574.890000000001</v>
      </c>
      <c r="D52" s="6">
        <f t="shared" si="0"/>
        <v>2.4666666666666668</v>
      </c>
    </row>
    <row r="53" spans="1:4" x14ac:dyDescent="0.2">
      <c r="A53" s="4" t="s">
        <v>78</v>
      </c>
      <c r="B53">
        <v>97</v>
      </c>
      <c r="C53">
        <v>16514.29</v>
      </c>
      <c r="D53" s="6">
        <f t="shared" si="0"/>
        <v>3.2333333333333334</v>
      </c>
    </row>
    <row r="54" spans="1:4" x14ac:dyDescent="0.2">
      <c r="A54" s="4" t="s">
        <v>76</v>
      </c>
      <c r="B54">
        <v>85</v>
      </c>
      <c r="C54">
        <v>18080.979999999992</v>
      </c>
      <c r="D54" s="6">
        <f t="shared" si="0"/>
        <v>2.8333333333333335</v>
      </c>
    </row>
    <row r="55" spans="1:4" x14ac:dyDescent="0.2">
      <c r="A55" s="4" t="s">
        <v>108</v>
      </c>
      <c r="B55">
        <v>101</v>
      </c>
      <c r="C55">
        <v>18514.159999999996</v>
      </c>
      <c r="D55" s="6">
        <f t="shared" si="0"/>
        <v>3.3666666666666667</v>
      </c>
    </row>
    <row r="56" spans="1:4" x14ac:dyDescent="0.2">
      <c r="A56" s="4" t="s">
        <v>126</v>
      </c>
      <c r="B56">
        <v>95</v>
      </c>
      <c r="C56">
        <v>20953.199999999997</v>
      </c>
      <c r="D56" s="6">
        <f t="shared" si="0"/>
        <v>3.1666666666666665</v>
      </c>
    </row>
    <row r="57" spans="1:4" x14ac:dyDescent="0.2">
      <c r="A57" s="4" t="s">
        <v>98</v>
      </c>
      <c r="B57">
        <v>120</v>
      </c>
      <c r="C57">
        <v>23490.75</v>
      </c>
      <c r="D57" s="6">
        <f t="shared" si="0"/>
        <v>4</v>
      </c>
    </row>
    <row r="58" spans="1:4" x14ac:dyDescent="0.2">
      <c r="A58" s="4" t="s">
        <v>69</v>
      </c>
      <c r="B58">
        <v>107</v>
      </c>
      <c r="C58">
        <v>22429.639999999996</v>
      </c>
      <c r="D58" s="6">
        <f t="shared" si="0"/>
        <v>3.5666666666666669</v>
      </c>
    </row>
    <row r="59" spans="1:4" x14ac:dyDescent="0.2">
      <c r="A59" s="4" t="s">
        <v>118</v>
      </c>
      <c r="B59">
        <v>67</v>
      </c>
      <c r="C59">
        <v>12637.65</v>
      </c>
      <c r="D59" s="6">
        <f t="shared" si="0"/>
        <v>2.2333333333333334</v>
      </c>
    </row>
    <row r="60" spans="1:4" x14ac:dyDescent="0.2">
      <c r="A60" s="4" t="s">
        <v>46</v>
      </c>
      <c r="B60">
        <v>92</v>
      </c>
      <c r="C60">
        <v>22246.080000000002</v>
      </c>
      <c r="D60" s="6">
        <f t="shared" si="0"/>
        <v>3.0666666666666669</v>
      </c>
    </row>
    <row r="61" spans="1:4" x14ac:dyDescent="0.2">
      <c r="A61" s="4" t="s">
        <v>110</v>
      </c>
      <c r="B61">
        <v>83</v>
      </c>
      <c r="C61">
        <v>18584.399999999998</v>
      </c>
      <c r="D61" s="6">
        <f>B61/30</f>
        <v>2.7666666666666666</v>
      </c>
    </row>
    <row r="62" spans="1:4" x14ac:dyDescent="0.2">
      <c r="A62" s="4" t="s">
        <v>105</v>
      </c>
      <c r="B62">
        <v>83</v>
      </c>
      <c r="C62">
        <v>18922.950000000004</v>
      </c>
      <c r="D62" s="6">
        <f t="shared" si="0"/>
        <v>2.7666666666666666</v>
      </c>
    </row>
    <row r="63" spans="1:4" x14ac:dyDescent="0.2">
      <c r="A63" s="4" t="s">
        <v>109</v>
      </c>
      <c r="B63">
        <v>104</v>
      </c>
      <c r="C63">
        <v>21127.46</v>
      </c>
      <c r="D63" s="6">
        <f t="shared" si="0"/>
        <v>3.4666666666666668</v>
      </c>
    </row>
    <row r="64" spans="1:4" x14ac:dyDescent="0.2">
      <c r="A64" s="4" t="s">
        <v>125</v>
      </c>
      <c r="B64">
        <v>78</v>
      </c>
      <c r="C64">
        <v>15168.570000000002</v>
      </c>
      <c r="D64" s="6">
        <f t="shared" si="0"/>
        <v>2.6</v>
      </c>
    </row>
    <row r="65" spans="1:4" x14ac:dyDescent="0.2">
      <c r="A65" s="4" t="s">
        <v>88</v>
      </c>
      <c r="B65">
        <v>89</v>
      </c>
      <c r="C65">
        <v>17463.07</v>
      </c>
      <c r="D65" s="6">
        <f t="shared" si="0"/>
        <v>2.9666666666666668</v>
      </c>
    </row>
    <row r="66" spans="1:4" x14ac:dyDescent="0.2">
      <c r="A66" s="4" t="s">
        <v>79</v>
      </c>
      <c r="B66">
        <v>100</v>
      </c>
      <c r="C66">
        <v>21642.219999999998</v>
      </c>
      <c r="D66" s="6">
        <f t="shared" si="0"/>
        <v>3.3333333333333335</v>
      </c>
    </row>
    <row r="67" spans="1:4" x14ac:dyDescent="0.2">
      <c r="A67" s="4" t="s">
        <v>90</v>
      </c>
      <c r="B67">
        <v>102</v>
      </c>
      <c r="C67">
        <v>23914.410000000007</v>
      </c>
      <c r="D67" s="6">
        <f t="shared" ref="D67:D91" si="1">B67/30</f>
        <v>3.4</v>
      </c>
    </row>
    <row r="68" spans="1:4" x14ac:dyDescent="0.2">
      <c r="A68" s="4" t="s">
        <v>103</v>
      </c>
      <c r="B68">
        <v>85</v>
      </c>
      <c r="C68">
        <v>17282.439999999999</v>
      </c>
      <c r="D68" s="6">
        <f t="shared" si="1"/>
        <v>2.8333333333333335</v>
      </c>
    </row>
    <row r="69" spans="1:4" x14ac:dyDescent="0.2">
      <c r="A69" s="4" t="s">
        <v>93</v>
      </c>
      <c r="B69">
        <v>97</v>
      </c>
      <c r="C69">
        <v>21707.420000000002</v>
      </c>
      <c r="D69" s="6">
        <f t="shared" si="1"/>
        <v>3.2333333333333334</v>
      </c>
    </row>
    <row r="70" spans="1:4" x14ac:dyDescent="0.2">
      <c r="A70" s="4" t="s">
        <v>66</v>
      </c>
      <c r="B70">
        <v>130</v>
      </c>
      <c r="C70">
        <v>24515.810000000009</v>
      </c>
      <c r="D70" s="6">
        <f t="shared" si="1"/>
        <v>4.333333333333333</v>
      </c>
    </row>
    <row r="71" spans="1:4" x14ac:dyDescent="0.2">
      <c r="A71" s="4" t="s">
        <v>123</v>
      </c>
      <c r="B71">
        <v>106</v>
      </c>
      <c r="C71">
        <v>25040.800000000007</v>
      </c>
      <c r="D71" s="6">
        <f t="shared" si="1"/>
        <v>3.5333333333333332</v>
      </c>
    </row>
    <row r="72" spans="1:4" x14ac:dyDescent="0.2">
      <c r="A72" s="4" t="s">
        <v>114</v>
      </c>
      <c r="B72">
        <v>80</v>
      </c>
      <c r="C72">
        <v>17858.890000000003</v>
      </c>
      <c r="D72" s="6">
        <f t="shared" si="1"/>
        <v>2.6666666666666665</v>
      </c>
    </row>
    <row r="73" spans="1:4" x14ac:dyDescent="0.2">
      <c r="A73" s="4" t="s">
        <v>82</v>
      </c>
      <c r="B73">
        <v>83</v>
      </c>
      <c r="C73">
        <v>17761.640000000003</v>
      </c>
      <c r="D73" s="6">
        <f t="shared" si="1"/>
        <v>2.7666666666666666</v>
      </c>
    </row>
    <row r="74" spans="1:4" x14ac:dyDescent="0.2">
      <c r="A74" s="4" t="s">
        <v>112</v>
      </c>
      <c r="B74">
        <v>83</v>
      </c>
      <c r="C74">
        <v>20258.300000000003</v>
      </c>
      <c r="D74" s="6">
        <f t="shared" si="1"/>
        <v>2.7666666666666666</v>
      </c>
    </row>
    <row r="75" spans="1:4" x14ac:dyDescent="0.2">
      <c r="A75" s="4" t="s">
        <v>37</v>
      </c>
      <c r="B75">
        <v>88</v>
      </c>
      <c r="C75">
        <v>19212.279999999995</v>
      </c>
      <c r="D75" s="6">
        <f t="shared" si="1"/>
        <v>2.9333333333333331</v>
      </c>
    </row>
    <row r="76" spans="1:4" x14ac:dyDescent="0.2">
      <c r="A76" s="4" t="s">
        <v>72</v>
      </c>
      <c r="B76">
        <v>102</v>
      </c>
      <c r="C76">
        <v>18084.099999999999</v>
      </c>
      <c r="D76" s="6">
        <f t="shared" si="1"/>
        <v>3.4</v>
      </c>
    </row>
    <row r="77" spans="1:4" x14ac:dyDescent="0.2">
      <c r="A77" s="4" t="s">
        <v>80</v>
      </c>
      <c r="B77">
        <v>91</v>
      </c>
      <c r="C77">
        <v>22688.61</v>
      </c>
      <c r="D77" s="6">
        <f t="shared" si="1"/>
        <v>3.0333333333333332</v>
      </c>
    </row>
    <row r="78" spans="1:4" x14ac:dyDescent="0.2">
      <c r="A78" s="4" t="s">
        <v>92</v>
      </c>
      <c r="B78">
        <v>91</v>
      </c>
      <c r="C78">
        <v>17512.950000000004</v>
      </c>
      <c r="D78" s="6">
        <f t="shared" si="1"/>
        <v>3.0333333333333332</v>
      </c>
    </row>
    <row r="79" spans="1:4" x14ac:dyDescent="0.2">
      <c r="A79" s="4" t="s">
        <v>128</v>
      </c>
      <c r="B79">
        <v>81</v>
      </c>
      <c r="C79">
        <v>18869.150000000001</v>
      </c>
      <c r="D79" s="6">
        <f t="shared" si="1"/>
        <v>2.7</v>
      </c>
    </row>
    <row r="80" spans="1:4" x14ac:dyDescent="0.2">
      <c r="A80" s="4" t="s">
        <v>41</v>
      </c>
      <c r="B80">
        <v>116</v>
      </c>
      <c r="C80">
        <v>23165.39</v>
      </c>
      <c r="D80" s="6">
        <f t="shared" si="1"/>
        <v>3.8666666666666667</v>
      </c>
    </row>
    <row r="81" spans="1:4" x14ac:dyDescent="0.2">
      <c r="A81" s="4" t="s">
        <v>64</v>
      </c>
      <c r="B81">
        <v>84</v>
      </c>
      <c r="C81">
        <v>17659.86</v>
      </c>
      <c r="D81" s="6">
        <f t="shared" si="1"/>
        <v>2.8</v>
      </c>
    </row>
    <row r="82" spans="1:4" x14ac:dyDescent="0.2">
      <c r="A82" s="4" t="s">
        <v>83</v>
      </c>
      <c r="B82">
        <v>116</v>
      </c>
      <c r="C82">
        <v>25306.870000000003</v>
      </c>
      <c r="D82" s="6">
        <f t="shared" si="1"/>
        <v>3.8666666666666667</v>
      </c>
    </row>
    <row r="83" spans="1:4" x14ac:dyDescent="0.2">
      <c r="A83" s="4" t="s">
        <v>84</v>
      </c>
      <c r="B83">
        <v>102</v>
      </c>
      <c r="C83">
        <v>21107.850000000002</v>
      </c>
      <c r="D83" s="6">
        <f t="shared" si="1"/>
        <v>3.4</v>
      </c>
    </row>
    <row r="84" spans="1:4" x14ac:dyDescent="0.2">
      <c r="A84" s="4" t="s">
        <v>106</v>
      </c>
      <c r="B84">
        <v>94</v>
      </c>
      <c r="C84">
        <v>19186.239999999994</v>
      </c>
      <c r="D84" s="6">
        <f t="shared" si="1"/>
        <v>3.1333333333333333</v>
      </c>
    </row>
    <row r="85" spans="1:4" x14ac:dyDescent="0.2">
      <c r="A85" s="4" t="s">
        <v>61</v>
      </c>
      <c r="B85">
        <v>94</v>
      </c>
      <c r="C85">
        <v>20015.420000000002</v>
      </c>
      <c r="D85" s="6">
        <f t="shared" si="1"/>
        <v>3.1333333333333333</v>
      </c>
    </row>
    <row r="86" spans="1:4" x14ac:dyDescent="0.2">
      <c r="A86" s="4" t="s">
        <v>24</v>
      </c>
      <c r="B86">
        <v>98</v>
      </c>
      <c r="C86">
        <v>20065.200000000012</v>
      </c>
      <c r="D86" s="6">
        <f t="shared" si="1"/>
        <v>3.2666666666666666</v>
      </c>
    </row>
    <row r="87" spans="1:4" x14ac:dyDescent="0.2">
      <c r="A87" s="4" t="s">
        <v>65</v>
      </c>
      <c r="B87">
        <v>94</v>
      </c>
      <c r="C87">
        <v>20160.850000000002</v>
      </c>
      <c r="D87" s="6">
        <f t="shared" si="1"/>
        <v>3.1333333333333333</v>
      </c>
    </row>
    <row r="88" spans="1:4" x14ac:dyDescent="0.2">
      <c r="A88" s="4" t="s">
        <v>71</v>
      </c>
      <c r="B88">
        <v>73</v>
      </c>
      <c r="C88">
        <v>15238.140000000001</v>
      </c>
      <c r="D88" s="6">
        <f t="shared" si="1"/>
        <v>2.4333333333333331</v>
      </c>
    </row>
    <row r="89" spans="1:4" x14ac:dyDescent="0.2">
      <c r="A89" s="4" t="s">
        <v>43</v>
      </c>
      <c r="B89">
        <v>106</v>
      </c>
      <c r="C89">
        <v>25243.32</v>
      </c>
      <c r="D89" s="6">
        <f t="shared" si="1"/>
        <v>3.5333333333333332</v>
      </c>
    </row>
    <row r="90" spans="1:4" x14ac:dyDescent="0.2">
      <c r="A90" s="4" t="s">
        <v>113</v>
      </c>
      <c r="B90">
        <v>103</v>
      </c>
      <c r="C90">
        <v>22323.890000000007</v>
      </c>
      <c r="D90" s="6">
        <f t="shared" si="1"/>
        <v>3.4333333333333331</v>
      </c>
    </row>
    <row r="91" spans="1:4" x14ac:dyDescent="0.2">
      <c r="A91" s="4" t="s">
        <v>68</v>
      </c>
      <c r="B91">
        <v>111</v>
      </c>
      <c r="C91">
        <v>24092.659999999996</v>
      </c>
      <c r="D91" s="6">
        <f t="shared" si="1"/>
        <v>3.7</v>
      </c>
    </row>
    <row r="92" spans="1:4" x14ac:dyDescent="0.2">
      <c r="A92" s="4" t="s">
        <v>130</v>
      </c>
      <c r="B92">
        <v>8441</v>
      </c>
      <c r="C92">
        <v>1758763.0099999993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E9F7-0599-9F4C-A955-810470AF5E43}">
  <dimension ref="A1:R93"/>
  <sheetViews>
    <sheetView workbookViewId="0">
      <selection activeCell="F3" sqref="F3:G3"/>
    </sheetView>
  </sheetViews>
  <sheetFormatPr baseColWidth="10" defaultRowHeight="15" x14ac:dyDescent="0.2"/>
  <cols>
    <col min="1" max="1" width="21.6640625" customWidth="1"/>
    <col min="2" max="4" width="10.83203125" style="8"/>
    <col min="5" max="5" width="0.5" style="7" customWidth="1"/>
    <col min="6" max="6" width="8.6640625" customWidth="1"/>
    <col min="7" max="7" width="9.33203125" customWidth="1"/>
    <col min="8" max="8" width="7" style="8" customWidth="1"/>
    <col min="9" max="10" width="8.33203125" customWidth="1"/>
    <col min="11" max="11" width="8.5" customWidth="1"/>
    <col min="12" max="12" width="8.1640625" customWidth="1"/>
    <col min="13" max="13" width="9.33203125" customWidth="1"/>
    <col min="14" max="14" width="8" customWidth="1"/>
    <col min="15" max="15" width="3.83203125" style="8" hidden="1" customWidth="1"/>
    <col min="16" max="16" width="15.5" style="8" customWidth="1"/>
    <col min="17" max="17" width="7.83203125" customWidth="1"/>
    <col min="18" max="18" width="12.1640625" customWidth="1"/>
  </cols>
  <sheetData>
    <row r="1" spans="1:18" x14ac:dyDescent="0.2">
      <c r="E1"/>
    </row>
    <row r="2" spans="1:18" x14ac:dyDescent="0.2">
      <c r="A2" s="15"/>
      <c r="B2" s="16"/>
      <c r="C2" s="16"/>
      <c r="D2" s="16"/>
      <c r="E2"/>
      <c r="F2" s="22" t="s">
        <v>136</v>
      </c>
      <c r="G2" s="22"/>
      <c r="H2" s="22"/>
      <c r="I2" s="22" t="s">
        <v>137</v>
      </c>
      <c r="J2" s="22"/>
      <c r="K2" s="22"/>
      <c r="L2" s="22" t="s">
        <v>144</v>
      </c>
      <c r="M2" s="22"/>
      <c r="N2" s="22"/>
    </row>
    <row r="3" spans="1:18" x14ac:dyDescent="0.2">
      <c r="A3" s="17" t="s">
        <v>129</v>
      </c>
      <c r="B3" s="14" t="s">
        <v>134</v>
      </c>
      <c r="C3" s="14" t="s">
        <v>131</v>
      </c>
      <c r="D3" s="14" t="s">
        <v>135</v>
      </c>
      <c r="F3" s="14" t="s">
        <v>138</v>
      </c>
      <c r="G3" s="14" t="s">
        <v>140</v>
      </c>
      <c r="H3" s="14" t="s">
        <v>139</v>
      </c>
      <c r="I3" s="14" t="s">
        <v>138</v>
      </c>
      <c r="J3" s="14" t="s">
        <v>140</v>
      </c>
      <c r="K3" s="14" t="s">
        <v>139</v>
      </c>
      <c r="L3" s="14" t="s">
        <v>138</v>
      </c>
      <c r="M3" s="14" t="s">
        <v>140</v>
      </c>
      <c r="N3" s="14" t="s">
        <v>139</v>
      </c>
    </row>
    <row r="4" spans="1:18" x14ac:dyDescent="0.2">
      <c r="A4" t="s">
        <v>66</v>
      </c>
      <c r="B4" s="8">
        <v>130</v>
      </c>
      <c r="C4" s="8">
        <v>24515.810000000009</v>
      </c>
      <c r="D4" s="9">
        <v>4.333333333333333</v>
      </c>
      <c r="F4" s="12">
        <v>1.5401018836630731E-2</v>
      </c>
      <c r="G4" s="13">
        <v>1.5401018836630731E-2</v>
      </c>
      <c r="H4" s="8" t="s">
        <v>141</v>
      </c>
      <c r="I4" s="12">
        <v>1.6896511827366682E-2</v>
      </c>
      <c r="J4" s="13">
        <v>1.6896511827366682E-2</v>
      </c>
      <c r="K4" s="8" t="s">
        <v>141</v>
      </c>
      <c r="L4" s="12">
        <f t="shared" ref="L4:L35" si="0">D4/SUM($D$4:$D$93)</f>
        <v>1.5401018836630732E-2</v>
      </c>
      <c r="M4" s="13">
        <f>L4</f>
        <v>1.5401018836630732E-2</v>
      </c>
      <c r="N4" s="8" t="str">
        <f>IF(M4&lt;0.8,"A",IF(M4&lt; 0.95,"B","C"))</f>
        <v>A</v>
      </c>
      <c r="O4" s="8" t="str">
        <f>VLOOKUP(A4,XYZ!A:AK,37,0)</f>
        <v>Z</v>
      </c>
      <c r="P4" s="10" t="str">
        <f>H4&amp;K4&amp;N4&amp;O4</f>
        <v>AAAZ</v>
      </c>
      <c r="Q4" s="18" t="s">
        <v>141</v>
      </c>
      <c r="R4" s="4" t="s">
        <v>151</v>
      </c>
    </row>
    <row r="5" spans="1:18" x14ac:dyDescent="0.2">
      <c r="A5" t="s">
        <v>94</v>
      </c>
      <c r="B5" s="8">
        <v>127</v>
      </c>
      <c r="C5" s="8">
        <v>29716.960000000006</v>
      </c>
      <c r="D5" s="9">
        <v>4.2333333333333334</v>
      </c>
      <c r="F5" s="12">
        <v>1.5045610709631561E-2</v>
      </c>
      <c r="G5" s="13">
        <v>3.0446629546262292E-2</v>
      </c>
      <c r="H5" s="8" t="s">
        <v>141</v>
      </c>
      <c r="I5" s="12">
        <v>1.6457004062190288E-2</v>
      </c>
      <c r="J5" s="13">
        <v>3.335351588955697E-2</v>
      </c>
      <c r="K5" s="8" t="s">
        <v>141</v>
      </c>
      <c r="L5" s="12">
        <f t="shared" si="0"/>
        <v>1.5045610709631563E-2</v>
      </c>
      <c r="M5" s="13">
        <f>M4+L5</f>
        <v>3.0446629546262295E-2</v>
      </c>
      <c r="N5" s="8" t="str">
        <f t="shared" ref="N5:N68" si="1">IF(M5&lt;0.8,"A",IF(M5&lt; 0.95,"B","C"))</f>
        <v>A</v>
      </c>
      <c r="O5" s="8" t="str">
        <f>VLOOKUP(A5,XYZ!A:AK,37,0)</f>
        <v>Z</v>
      </c>
      <c r="P5" s="10" t="str">
        <f t="shared" ref="P5:P68" si="2">H5&amp;K5&amp;N5&amp;O5</f>
        <v>AAAZ</v>
      </c>
      <c r="Q5" s="19" t="s">
        <v>142</v>
      </c>
      <c r="R5" t="s">
        <v>150</v>
      </c>
    </row>
    <row r="6" spans="1:18" x14ac:dyDescent="0.2">
      <c r="A6" t="s">
        <v>31</v>
      </c>
      <c r="B6" s="8">
        <v>126</v>
      </c>
      <c r="C6" s="8">
        <v>28943.97</v>
      </c>
      <c r="D6" s="9">
        <v>4.2</v>
      </c>
      <c r="F6" s="12">
        <v>1.4927141333965169E-2</v>
      </c>
      <c r="G6" s="13">
        <v>4.5373770880227461E-2</v>
      </c>
      <c r="H6" s="8" t="s">
        <v>141</v>
      </c>
      <c r="I6" s="12">
        <v>1.4389016516784725E-2</v>
      </c>
      <c r="J6" s="13">
        <v>4.7742532406341694E-2</v>
      </c>
      <c r="K6" s="8" t="s">
        <v>141</v>
      </c>
      <c r="L6" s="12">
        <f t="shared" si="0"/>
        <v>1.4927141333965173E-2</v>
      </c>
      <c r="M6" s="13">
        <f t="shared" ref="M6:M69" si="3">M5+L6</f>
        <v>4.5373770880227468E-2</v>
      </c>
      <c r="N6" s="8" t="str">
        <f t="shared" si="1"/>
        <v>A</v>
      </c>
      <c r="O6" s="8" t="str">
        <f>VLOOKUP(A6,XYZ!A:AK,37,0)</f>
        <v>Y</v>
      </c>
      <c r="P6" s="10" t="str">
        <f t="shared" si="2"/>
        <v>AAAY</v>
      </c>
      <c r="Q6" s="20" t="s">
        <v>143</v>
      </c>
      <c r="R6" t="s">
        <v>152</v>
      </c>
    </row>
    <row r="7" spans="1:18" x14ac:dyDescent="0.2">
      <c r="A7" t="s">
        <v>101</v>
      </c>
      <c r="B7" s="8">
        <v>126</v>
      </c>
      <c r="C7" s="8">
        <v>22879.349999999995</v>
      </c>
      <c r="D7" s="9">
        <v>4.2</v>
      </c>
      <c r="F7" s="12">
        <v>1.4927141333965169E-2</v>
      </c>
      <c r="G7" s="13">
        <v>6.0300912214192634E-2</v>
      </c>
      <c r="H7" s="8" t="s">
        <v>141</v>
      </c>
      <c r="I7" s="12">
        <v>1.4352883166447773E-2</v>
      </c>
      <c r="J7" s="13">
        <v>6.209541557278947E-2</v>
      </c>
      <c r="K7" s="8" t="s">
        <v>141</v>
      </c>
      <c r="L7" s="12">
        <f t="shared" si="0"/>
        <v>1.4927141333965173E-2</v>
      </c>
      <c r="M7" s="13">
        <f t="shared" si="3"/>
        <v>6.0300912214192641E-2</v>
      </c>
      <c r="N7" s="8" t="str">
        <f t="shared" si="1"/>
        <v>A</v>
      </c>
      <c r="O7" s="8" t="str">
        <f>VLOOKUP(A7,XYZ!A:AK,37,0)</f>
        <v>Z</v>
      </c>
      <c r="P7" s="10" t="str">
        <f t="shared" si="2"/>
        <v>AAAZ</v>
      </c>
      <c r="Q7" s="10"/>
    </row>
    <row r="8" spans="1:18" x14ac:dyDescent="0.2">
      <c r="A8" t="s">
        <v>98</v>
      </c>
      <c r="B8" s="8">
        <v>120</v>
      </c>
      <c r="C8" s="8">
        <v>23490.75</v>
      </c>
      <c r="D8" s="9">
        <v>4</v>
      </c>
      <c r="F8" s="12">
        <v>1.4216325079966828E-2</v>
      </c>
      <c r="G8" s="13">
        <v>7.4517237294159461E-2</v>
      </c>
      <c r="H8" s="8" t="s">
        <v>141</v>
      </c>
      <c r="I8" s="12">
        <v>1.423773405377682E-2</v>
      </c>
      <c r="J8" s="13">
        <v>7.6333149626566288E-2</v>
      </c>
      <c r="K8" s="8" t="s">
        <v>141</v>
      </c>
      <c r="L8" s="12">
        <f t="shared" si="0"/>
        <v>1.4216325079966832E-2</v>
      </c>
      <c r="M8" s="13">
        <f t="shared" si="3"/>
        <v>7.4517237294159475E-2</v>
      </c>
      <c r="N8" s="8" t="str">
        <f t="shared" si="1"/>
        <v>A</v>
      </c>
      <c r="O8" s="8" t="str">
        <f>VLOOKUP(A8,XYZ!A:AK,37,0)</f>
        <v>Y</v>
      </c>
      <c r="P8" s="10" t="str">
        <f t="shared" si="2"/>
        <v>AAAY</v>
      </c>
      <c r="Q8" s="18" t="s">
        <v>147</v>
      </c>
      <c r="R8" t="s">
        <v>153</v>
      </c>
    </row>
    <row r="9" spans="1:18" x14ac:dyDescent="0.2">
      <c r="A9" t="s">
        <v>83</v>
      </c>
      <c r="B9" s="8">
        <v>116</v>
      </c>
      <c r="C9" s="8">
        <v>25306.870000000003</v>
      </c>
      <c r="D9" s="9">
        <v>3.8666666666666667</v>
      </c>
      <c r="F9" s="12">
        <v>1.3742447577301267E-2</v>
      </c>
      <c r="G9" s="13">
        <v>8.8259684871460728E-2</v>
      </c>
      <c r="H9" s="8" t="s">
        <v>141</v>
      </c>
      <c r="I9" s="12">
        <v>1.4004382546116894E-2</v>
      </c>
      <c r="J9" s="13">
        <v>9.0337532172683185E-2</v>
      </c>
      <c r="K9" s="8" t="s">
        <v>141</v>
      </c>
      <c r="L9" s="12">
        <f t="shared" si="0"/>
        <v>1.3742447577301271E-2</v>
      </c>
      <c r="M9" s="13">
        <f t="shared" si="3"/>
        <v>8.8259684871460742E-2</v>
      </c>
      <c r="N9" s="8" t="str">
        <f t="shared" si="1"/>
        <v>A</v>
      </c>
      <c r="O9" s="8" t="str">
        <f>VLOOKUP(A9,XYZ!A:AK,37,0)</f>
        <v>Y</v>
      </c>
      <c r="P9" s="10" t="str">
        <f t="shared" si="2"/>
        <v>AAAY</v>
      </c>
      <c r="Q9" s="19" t="s">
        <v>148</v>
      </c>
      <c r="R9" t="s">
        <v>154</v>
      </c>
    </row>
    <row r="10" spans="1:18" x14ac:dyDescent="0.2">
      <c r="A10" t="s">
        <v>41</v>
      </c>
      <c r="B10" s="8">
        <v>116</v>
      </c>
      <c r="C10" s="8">
        <v>23165.39</v>
      </c>
      <c r="D10" s="9">
        <v>3.8666666666666667</v>
      </c>
      <c r="F10" s="12">
        <v>1.3742447577301267E-2</v>
      </c>
      <c r="G10" s="13">
        <v>0.102002132448762</v>
      </c>
      <c r="H10" s="8" t="s">
        <v>141</v>
      </c>
      <c r="I10" s="12">
        <v>1.3939234485037312E-2</v>
      </c>
      <c r="J10" s="13">
        <v>0.1042767666577205</v>
      </c>
      <c r="K10" s="8" t="s">
        <v>141</v>
      </c>
      <c r="L10" s="12">
        <f t="shared" si="0"/>
        <v>1.3742447577301271E-2</v>
      </c>
      <c r="M10" s="13">
        <f t="shared" si="3"/>
        <v>0.10200213244876201</v>
      </c>
      <c r="N10" s="8" t="str">
        <f t="shared" si="1"/>
        <v>A</v>
      </c>
      <c r="O10" s="8" t="str">
        <f>VLOOKUP(A10,XYZ!A:AK,37,0)</f>
        <v>Z</v>
      </c>
      <c r="P10" s="10" t="str">
        <f t="shared" si="2"/>
        <v>AAAZ</v>
      </c>
      <c r="Q10" s="20" t="s">
        <v>149</v>
      </c>
      <c r="R10" t="s">
        <v>155</v>
      </c>
    </row>
    <row r="11" spans="1:18" x14ac:dyDescent="0.2">
      <c r="A11" t="s">
        <v>27</v>
      </c>
      <c r="B11" s="8">
        <v>114</v>
      </c>
      <c r="C11" s="8">
        <v>22358.98</v>
      </c>
      <c r="D11" s="9">
        <v>3.8</v>
      </c>
      <c r="F11" s="12">
        <v>1.3505508825968487E-2</v>
      </c>
      <c r="G11" s="13">
        <v>0.11550764127473048</v>
      </c>
      <c r="H11" s="8" t="s">
        <v>141</v>
      </c>
      <c r="I11" s="12">
        <v>1.3698639249866877E-2</v>
      </c>
      <c r="J11" s="13">
        <v>0.11797540590758737</v>
      </c>
      <c r="K11" s="8" t="s">
        <v>141</v>
      </c>
      <c r="L11" s="12">
        <f t="shared" si="0"/>
        <v>1.3505508825968489E-2</v>
      </c>
      <c r="M11" s="13">
        <f t="shared" si="3"/>
        <v>0.1155076412747305</v>
      </c>
      <c r="N11" s="8" t="str">
        <f t="shared" si="1"/>
        <v>A</v>
      </c>
      <c r="O11" s="8" t="str">
        <f>VLOOKUP(A11,XYZ!A:AK,37,0)</f>
        <v>Y</v>
      </c>
      <c r="P11" s="10" t="str">
        <f t="shared" si="2"/>
        <v>AAAY</v>
      </c>
    </row>
    <row r="12" spans="1:18" x14ac:dyDescent="0.2">
      <c r="A12" t="s">
        <v>48</v>
      </c>
      <c r="B12" s="8">
        <v>114</v>
      </c>
      <c r="C12" s="8">
        <v>20870.329999999998</v>
      </c>
      <c r="D12" s="9">
        <v>3.8</v>
      </c>
      <c r="F12" s="12">
        <v>1.3505508825968487E-2</v>
      </c>
      <c r="G12" s="13">
        <v>0.12901315010069897</v>
      </c>
      <c r="H12" s="8" t="s">
        <v>141</v>
      </c>
      <c r="I12" s="12">
        <v>1.3597289608677876E-2</v>
      </c>
      <c r="J12" s="13">
        <v>0.13157269551626524</v>
      </c>
      <c r="K12" s="8" t="s">
        <v>141</v>
      </c>
      <c r="L12" s="12">
        <f t="shared" si="0"/>
        <v>1.3505508825968489E-2</v>
      </c>
      <c r="M12" s="13">
        <f t="shared" si="3"/>
        <v>0.129013150100699</v>
      </c>
      <c r="N12" s="8" t="str">
        <f t="shared" si="1"/>
        <v>A</v>
      </c>
      <c r="O12" s="8" t="str">
        <f>VLOOKUP(A12,XYZ!A:AK,37,0)</f>
        <v>Y</v>
      </c>
      <c r="P12" s="10" t="str">
        <f t="shared" si="2"/>
        <v>AAAY</v>
      </c>
    </row>
    <row r="13" spans="1:18" x14ac:dyDescent="0.2">
      <c r="A13" t="s">
        <v>59</v>
      </c>
      <c r="B13" s="8">
        <v>112</v>
      </c>
      <c r="C13" s="8">
        <v>23589.23</v>
      </c>
      <c r="D13" s="9">
        <v>3.7333333333333334</v>
      </c>
      <c r="F13" s="12">
        <v>1.3268570074635706E-2</v>
      </c>
      <c r="G13" s="13">
        <v>0.14228172017533466</v>
      </c>
      <c r="H13" s="8" t="s">
        <v>141</v>
      </c>
      <c r="I13" s="12">
        <v>1.3412398296914384E-2</v>
      </c>
      <c r="J13" s="13">
        <v>0.14498509381317962</v>
      </c>
      <c r="K13" s="8" t="s">
        <v>141</v>
      </c>
      <c r="L13" s="12">
        <f t="shared" si="0"/>
        <v>1.3268570074635709E-2</v>
      </c>
      <c r="M13" s="13">
        <f t="shared" si="3"/>
        <v>0.14228172017533472</v>
      </c>
      <c r="N13" s="8" t="str">
        <f t="shared" si="1"/>
        <v>A</v>
      </c>
      <c r="O13" s="8" t="str">
        <f>VLOOKUP(A13,XYZ!A:AK,37,0)</f>
        <v>Y</v>
      </c>
      <c r="P13" s="10" t="str">
        <f t="shared" si="2"/>
        <v>AAAY</v>
      </c>
    </row>
    <row r="14" spans="1:18" x14ac:dyDescent="0.2">
      <c r="A14" t="s">
        <v>68</v>
      </c>
      <c r="B14" s="8">
        <v>111</v>
      </c>
      <c r="C14" s="8">
        <v>24092.659999999996</v>
      </c>
      <c r="D14" s="9">
        <v>3.7</v>
      </c>
      <c r="F14" s="12">
        <v>1.3150100698969316E-2</v>
      </c>
      <c r="G14" s="13">
        <v>0.15543182087430399</v>
      </c>
      <c r="H14" s="8" t="s">
        <v>141</v>
      </c>
      <c r="I14" s="12">
        <v>1.3358093083843066E-2</v>
      </c>
      <c r="J14" s="13">
        <v>0.15834318689702268</v>
      </c>
      <c r="K14" s="8" t="s">
        <v>141</v>
      </c>
      <c r="L14" s="12">
        <f t="shared" si="0"/>
        <v>1.315010069896932E-2</v>
      </c>
      <c r="M14" s="13">
        <f t="shared" si="3"/>
        <v>0.15543182087430404</v>
      </c>
      <c r="N14" s="8" t="str">
        <f t="shared" si="1"/>
        <v>A</v>
      </c>
      <c r="O14" s="8" t="str">
        <f>VLOOKUP(A14,XYZ!A:AK,37,0)</f>
        <v>Y</v>
      </c>
      <c r="P14" s="10" t="str">
        <f t="shared" si="2"/>
        <v>AAAY</v>
      </c>
    </row>
    <row r="15" spans="1:18" x14ac:dyDescent="0.2">
      <c r="A15" t="s">
        <v>54</v>
      </c>
      <c r="B15" s="8">
        <v>110</v>
      </c>
      <c r="C15" s="8">
        <v>22232.570000000003</v>
      </c>
      <c r="D15" s="9">
        <v>3.6666666666666665</v>
      </c>
      <c r="F15" s="12">
        <v>1.3031631323302926E-2</v>
      </c>
      <c r="G15" s="13">
        <v>0.16846345219760692</v>
      </c>
      <c r="H15" s="8" t="s">
        <v>141</v>
      </c>
      <c r="I15" s="12">
        <v>1.3356404396974449E-2</v>
      </c>
      <c r="J15" s="13">
        <v>0.17169959129399712</v>
      </c>
      <c r="K15" s="8" t="s">
        <v>141</v>
      </c>
      <c r="L15" s="12">
        <f t="shared" si="0"/>
        <v>1.3031631323302928E-2</v>
      </c>
      <c r="M15" s="13">
        <f t="shared" si="3"/>
        <v>0.16846345219760697</v>
      </c>
      <c r="N15" s="8" t="str">
        <f t="shared" si="1"/>
        <v>A</v>
      </c>
      <c r="O15" s="8" t="str">
        <f>VLOOKUP(A15,XYZ!A:AK,37,0)</f>
        <v>Y</v>
      </c>
      <c r="P15" s="10" t="str">
        <f t="shared" si="2"/>
        <v>AAAY</v>
      </c>
    </row>
    <row r="16" spans="1:18" x14ac:dyDescent="0.2">
      <c r="A16" t="s">
        <v>100</v>
      </c>
      <c r="B16" s="8">
        <v>108</v>
      </c>
      <c r="C16" s="8">
        <v>20288.82</v>
      </c>
      <c r="D16" s="9">
        <v>3.6</v>
      </c>
      <c r="F16" s="12">
        <v>1.2794692571970146E-2</v>
      </c>
      <c r="G16" s="13">
        <v>0.18125814476957705</v>
      </c>
      <c r="H16" s="8" t="s">
        <v>141</v>
      </c>
      <c r="I16" s="12">
        <v>1.3253024920054476E-2</v>
      </c>
      <c r="J16" s="13">
        <v>0.1849526162140516</v>
      </c>
      <c r="K16" s="8" t="s">
        <v>141</v>
      </c>
      <c r="L16" s="12">
        <f t="shared" si="0"/>
        <v>1.2794692571970148E-2</v>
      </c>
      <c r="M16" s="13">
        <f t="shared" si="3"/>
        <v>0.18125814476957713</v>
      </c>
      <c r="N16" s="8" t="str">
        <f t="shared" si="1"/>
        <v>A</v>
      </c>
      <c r="O16" s="8" t="str">
        <f>VLOOKUP(A16,XYZ!A:AK,37,0)</f>
        <v>Y</v>
      </c>
      <c r="P16" s="10" t="str">
        <f t="shared" si="2"/>
        <v>AAAY</v>
      </c>
    </row>
    <row r="17" spans="1:16" x14ac:dyDescent="0.2">
      <c r="A17" t="s">
        <v>35</v>
      </c>
      <c r="B17" s="8">
        <v>107</v>
      </c>
      <c r="C17" s="8">
        <v>22917.249999999993</v>
      </c>
      <c r="D17" s="9">
        <v>3.5666666666666669</v>
      </c>
      <c r="F17" s="12">
        <v>1.2676223196303755E-2</v>
      </c>
      <c r="G17" s="13">
        <v>0.19393436796588082</v>
      </c>
      <c r="H17" s="8" t="s">
        <v>141</v>
      </c>
      <c r="I17" s="12">
        <v>1.3171410740552256E-2</v>
      </c>
      <c r="J17" s="13">
        <v>0.19812402695460385</v>
      </c>
      <c r="K17" s="8" t="s">
        <v>141</v>
      </c>
      <c r="L17" s="12">
        <f t="shared" si="0"/>
        <v>1.2676223196303758E-2</v>
      </c>
      <c r="M17" s="13">
        <f t="shared" si="3"/>
        <v>0.1939343679658809</v>
      </c>
      <c r="N17" s="8" t="str">
        <f t="shared" si="1"/>
        <v>A</v>
      </c>
      <c r="O17" s="8" t="str">
        <f>VLOOKUP(A17,XYZ!A:AK,37,0)</f>
        <v>Y</v>
      </c>
      <c r="P17" s="10" t="str">
        <f t="shared" si="2"/>
        <v>AAAY</v>
      </c>
    </row>
    <row r="18" spans="1:16" x14ac:dyDescent="0.2">
      <c r="A18" t="s">
        <v>69</v>
      </c>
      <c r="B18" s="8">
        <v>107</v>
      </c>
      <c r="C18" s="8">
        <v>22429.639999999996</v>
      </c>
      <c r="D18" s="9">
        <v>3.5666666666666669</v>
      </c>
      <c r="F18" s="12">
        <v>1.2676223196303755E-2</v>
      </c>
      <c r="G18" s="13">
        <v>0.20661059116218458</v>
      </c>
      <c r="H18" s="8" t="s">
        <v>141</v>
      </c>
      <c r="I18" s="12">
        <v>1.3030322942714157E-2</v>
      </c>
      <c r="J18" s="13">
        <v>0.21115434989731802</v>
      </c>
      <c r="K18" s="8" t="s">
        <v>141</v>
      </c>
      <c r="L18" s="12">
        <f t="shared" si="0"/>
        <v>1.2676223196303758E-2</v>
      </c>
      <c r="M18" s="13">
        <f t="shared" si="3"/>
        <v>0.20661059116218466</v>
      </c>
      <c r="N18" s="8" t="str">
        <f t="shared" si="1"/>
        <v>A</v>
      </c>
      <c r="O18" s="8" t="str">
        <f>VLOOKUP(A18,XYZ!A:AK,37,0)</f>
        <v>Z</v>
      </c>
      <c r="P18" s="10" t="str">
        <f t="shared" si="2"/>
        <v>AAAZ</v>
      </c>
    </row>
    <row r="19" spans="1:16" x14ac:dyDescent="0.2">
      <c r="A19" t="s">
        <v>75</v>
      </c>
      <c r="B19" s="8">
        <v>107</v>
      </c>
      <c r="C19" s="8">
        <v>19049.400000000001</v>
      </c>
      <c r="D19" s="9">
        <v>3.5666666666666669</v>
      </c>
      <c r="F19" s="12">
        <v>1.2676223196303755E-2</v>
      </c>
      <c r="G19" s="13">
        <v>0.21928681435848835</v>
      </c>
      <c r="H19" s="8" t="s">
        <v>141</v>
      </c>
      <c r="I19" s="12">
        <v>1.3008773706242554E-2</v>
      </c>
      <c r="J19" s="13">
        <v>0.22416312360356058</v>
      </c>
      <c r="K19" s="8" t="s">
        <v>141</v>
      </c>
      <c r="L19" s="12">
        <f t="shared" si="0"/>
        <v>1.2676223196303758E-2</v>
      </c>
      <c r="M19" s="13">
        <f t="shared" si="3"/>
        <v>0.21928681435848843</v>
      </c>
      <c r="N19" s="8" t="str">
        <f t="shared" si="1"/>
        <v>A</v>
      </c>
      <c r="O19" s="8" t="str">
        <f>VLOOKUP(A19,XYZ!A:AK,37,0)</f>
        <v>Y</v>
      </c>
      <c r="P19" s="10" t="str">
        <f t="shared" si="2"/>
        <v>AAAY</v>
      </c>
    </row>
    <row r="20" spans="1:16" x14ac:dyDescent="0.2">
      <c r="A20" t="s">
        <v>53</v>
      </c>
      <c r="B20" s="8">
        <v>107</v>
      </c>
      <c r="C20" s="8">
        <v>18987.909999999996</v>
      </c>
      <c r="D20" s="9">
        <v>3.5666666666666669</v>
      </c>
      <c r="F20" s="12">
        <v>1.2676223196303755E-2</v>
      </c>
      <c r="G20" s="13">
        <v>0.23196303755479211</v>
      </c>
      <c r="H20" s="8" t="s">
        <v>141</v>
      </c>
      <c r="I20" s="12">
        <v>1.2900322482902352E-2</v>
      </c>
      <c r="J20" s="13">
        <v>0.23706344608646293</v>
      </c>
      <c r="K20" s="8" t="s">
        <v>141</v>
      </c>
      <c r="L20" s="12">
        <f t="shared" si="0"/>
        <v>1.2676223196303758E-2</v>
      </c>
      <c r="M20" s="13">
        <f t="shared" si="3"/>
        <v>0.2319630375547922</v>
      </c>
      <c r="N20" s="8" t="str">
        <f t="shared" si="1"/>
        <v>A</v>
      </c>
      <c r="O20" s="8" t="str">
        <f>VLOOKUP(A20,XYZ!A:AK,37,0)</f>
        <v>Z</v>
      </c>
      <c r="P20" s="10" t="str">
        <f t="shared" si="2"/>
        <v>AAAZ</v>
      </c>
    </row>
    <row r="21" spans="1:16" x14ac:dyDescent="0.2">
      <c r="A21" t="s">
        <v>43</v>
      </c>
      <c r="B21" s="8">
        <v>106</v>
      </c>
      <c r="C21" s="8">
        <v>25243.32</v>
      </c>
      <c r="D21" s="9">
        <v>3.5333333333333332</v>
      </c>
      <c r="F21" s="12">
        <v>1.2557753820637365E-2</v>
      </c>
      <c r="G21" s="13">
        <v>0.24452079137542948</v>
      </c>
      <c r="H21" s="8" t="s">
        <v>141</v>
      </c>
      <c r="I21" s="12">
        <v>1.2813534212321202E-2</v>
      </c>
      <c r="J21" s="13">
        <v>0.24987698029878413</v>
      </c>
      <c r="K21" s="8" t="s">
        <v>141</v>
      </c>
      <c r="L21" s="12">
        <f t="shared" si="0"/>
        <v>1.2557753820637367E-2</v>
      </c>
      <c r="M21" s="13">
        <f t="shared" si="3"/>
        <v>0.24452079137542956</v>
      </c>
      <c r="N21" s="8" t="str">
        <f t="shared" si="1"/>
        <v>A</v>
      </c>
      <c r="O21" s="8" t="str">
        <f>VLOOKUP(A21,XYZ!A:AK,37,0)</f>
        <v>Y</v>
      </c>
      <c r="P21" s="10" t="str">
        <f t="shared" si="2"/>
        <v>AAAY</v>
      </c>
    </row>
    <row r="22" spans="1:16" x14ac:dyDescent="0.2">
      <c r="A22" t="s">
        <v>123</v>
      </c>
      <c r="B22" s="8">
        <v>106</v>
      </c>
      <c r="C22" s="8">
        <v>25040.800000000007</v>
      </c>
      <c r="D22" s="9">
        <v>3.5333333333333332</v>
      </c>
      <c r="F22" s="12">
        <v>1.2557753820637365E-2</v>
      </c>
      <c r="G22" s="13">
        <v>0.25707854519606682</v>
      </c>
      <c r="H22" s="8" t="s">
        <v>141</v>
      </c>
      <c r="I22" s="12">
        <v>1.2753076948098886E-2</v>
      </c>
      <c r="J22" s="13">
        <v>0.26263005724688304</v>
      </c>
      <c r="K22" s="8" t="s">
        <v>141</v>
      </c>
      <c r="L22" s="12">
        <f t="shared" si="0"/>
        <v>1.2557753820637367E-2</v>
      </c>
      <c r="M22" s="13">
        <f t="shared" si="3"/>
        <v>0.25707854519606693</v>
      </c>
      <c r="N22" s="8" t="str">
        <f t="shared" si="1"/>
        <v>A</v>
      </c>
      <c r="O22" s="8" t="str">
        <f>VLOOKUP(A22,XYZ!A:AK,37,0)</f>
        <v>Y</v>
      </c>
      <c r="P22" s="10" t="str">
        <f t="shared" si="2"/>
        <v>AAAY</v>
      </c>
    </row>
    <row r="23" spans="1:16" x14ac:dyDescent="0.2">
      <c r="A23" t="s">
        <v>50</v>
      </c>
      <c r="B23" s="8">
        <v>106</v>
      </c>
      <c r="C23" s="8">
        <v>22535.97</v>
      </c>
      <c r="D23" s="9">
        <v>3.5333333333333332</v>
      </c>
      <c r="F23" s="12">
        <v>1.2557753820637365E-2</v>
      </c>
      <c r="G23" s="13">
        <v>0.26963629901670416</v>
      </c>
      <c r="H23" s="8" t="s">
        <v>141</v>
      </c>
      <c r="I23" s="12">
        <v>1.2712900983743123E-2</v>
      </c>
      <c r="J23" s="13">
        <v>0.27534295823062616</v>
      </c>
      <c r="K23" s="8" t="s">
        <v>141</v>
      </c>
      <c r="L23" s="12">
        <f t="shared" si="0"/>
        <v>1.2557753820637367E-2</v>
      </c>
      <c r="M23" s="13">
        <f t="shared" si="3"/>
        <v>0.26963629901670427</v>
      </c>
      <c r="N23" s="8" t="str">
        <f t="shared" si="1"/>
        <v>A</v>
      </c>
      <c r="O23" s="8" t="str">
        <f>VLOOKUP(A23,XYZ!A:AK,37,0)</f>
        <v>Y</v>
      </c>
      <c r="P23" s="10" t="str">
        <f t="shared" si="2"/>
        <v>AAAY</v>
      </c>
    </row>
    <row r="24" spans="1:16" x14ac:dyDescent="0.2">
      <c r="A24" t="s">
        <v>85</v>
      </c>
      <c r="B24" s="8">
        <v>105</v>
      </c>
      <c r="C24" s="8">
        <v>18859.640000000003</v>
      </c>
      <c r="D24" s="9">
        <v>3.5</v>
      </c>
      <c r="F24" s="12">
        <v>1.2439284444970975E-2</v>
      </c>
      <c r="G24" s="13">
        <v>0.28207558346167516</v>
      </c>
      <c r="H24" s="8" t="s">
        <v>141</v>
      </c>
      <c r="I24" s="12">
        <v>1.2692949461110182E-2</v>
      </c>
      <c r="J24" s="13">
        <v>0.28803590769173631</v>
      </c>
      <c r="K24" s="8" t="s">
        <v>141</v>
      </c>
      <c r="L24" s="12">
        <f t="shared" si="0"/>
        <v>1.2439284444970977E-2</v>
      </c>
      <c r="M24" s="13">
        <f t="shared" si="3"/>
        <v>0.28207558346167527</v>
      </c>
      <c r="N24" s="8" t="str">
        <f t="shared" si="1"/>
        <v>A</v>
      </c>
      <c r="O24" s="8" t="str">
        <f>VLOOKUP(A24,XYZ!A:AK,37,0)</f>
        <v>Y</v>
      </c>
      <c r="P24" s="10" t="str">
        <f t="shared" si="2"/>
        <v>AAAY</v>
      </c>
    </row>
    <row r="25" spans="1:16" x14ac:dyDescent="0.2">
      <c r="A25" t="s">
        <v>109</v>
      </c>
      <c r="B25" s="8">
        <v>104</v>
      </c>
      <c r="C25" s="8">
        <v>21127.46</v>
      </c>
      <c r="D25" s="9">
        <v>3.4666666666666668</v>
      </c>
      <c r="F25" s="12">
        <v>1.2320815069304585E-2</v>
      </c>
      <c r="G25" s="13">
        <v>0.29439639853097976</v>
      </c>
      <c r="H25" s="8" t="s">
        <v>141</v>
      </c>
      <c r="I25" s="12">
        <v>1.2648708139478108E-2</v>
      </c>
      <c r="J25" s="13">
        <v>0.30068461583121442</v>
      </c>
      <c r="K25" s="8" t="s">
        <v>141</v>
      </c>
      <c r="L25" s="12">
        <f t="shared" si="0"/>
        <v>1.2320815069304587E-2</v>
      </c>
      <c r="M25" s="13">
        <f t="shared" si="3"/>
        <v>0.29439639853097987</v>
      </c>
      <c r="N25" s="8" t="str">
        <f t="shared" si="1"/>
        <v>A</v>
      </c>
      <c r="O25" s="8" t="str">
        <f>VLOOKUP(A25,XYZ!A:AK,37,0)</f>
        <v>Y</v>
      </c>
      <c r="P25" s="10" t="str">
        <f t="shared" si="2"/>
        <v>AAAY</v>
      </c>
    </row>
    <row r="26" spans="1:16" x14ac:dyDescent="0.2">
      <c r="A26" t="s">
        <v>33</v>
      </c>
      <c r="B26" s="8">
        <v>104</v>
      </c>
      <c r="C26" s="8">
        <v>20029.220000000005</v>
      </c>
      <c r="D26" s="9">
        <v>3.4666666666666668</v>
      </c>
      <c r="F26" s="12">
        <v>1.2320815069304585E-2</v>
      </c>
      <c r="G26" s="13">
        <v>0.30671721360028437</v>
      </c>
      <c r="H26" s="8" t="s">
        <v>141</v>
      </c>
      <c r="I26" s="12">
        <v>1.2641026604260922E-2</v>
      </c>
      <c r="J26" s="13">
        <v>0.31332564243547534</v>
      </c>
      <c r="K26" s="8" t="s">
        <v>141</v>
      </c>
      <c r="L26" s="12">
        <f t="shared" si="0"/>
        <v>1.2320815069304587E-2</v>
      </c>
      <c r="M26" s="13">
        <f t="shared" si="3"/>
        <v>0.30671721360028448</v>
      </c>
      <c r="N26" s="8" t="str">
        <f t="shared" si="1"/>
        <v>A</v>
      </c>
      <c r="O26" s="8" t="str">
        <f>VLOOKUP(A26,XYZ!A:AK,37,0)</f>
        <v>Y</v>
      </c>
      <c r="P26" s="10" t="str">
        <f t="shared" si="2"/>
        <v>AAAY</v>
      </c>
    </row>
    <row r="27" spans="1:16" x14ac:dyDescent="0.2">
      <c r="A27" t="s">
        <v>55</v>
      </c>
      <c r="B27" s="8">
        <v>103</v>
      </c>
      <c r="C27" s="8">
        <v>24630.389999999996</v>
      </c>
      <c r="D27" s="9">
        <v>3.4333333333333331</v>
      </c>
      <c r="F27" s="12">
        <v>1.2202345693638195E-2</v>
      </c>
      <c r="G27" s="13">
        <v>0.31891955929392257</v>
      </c>
      <c r="H27" s="8" t="s">
        <v>141</v>
      </c>
      <c r="I27" s="12">
        <v>1.2342436062491453E-2</v>
      </c>
      <c r="J27" s="13">
        <v>0.32566807849796681</v>
      </c>
      <c r="K27" s="8" t="s">
        <v>141</v>
      </c>
      <c r="L27" s="12">
        <f t="shared" si="0"/>
        <v>1.2202345693638195E-2</v>
      </c>
      <c r="M27" s="13">
        <f t="shared" si="3"/>
        <v>0.31891955929392268</v>
      </c>
      <c r="N27" s="8" t="str">
        <f t="shared" si="1"/>
        <v>A</v>
      </c>
      <c r="O27" s="8" t="str">
        <f>VLOOKUP(A27,XYZ!A:AK,37,0)</f>
        <v>Y</v>
      </c>
      <c r="P27" s="10" t="str">
        <f t="shared" si="2"/>
        <v>AAAY</v>
      </c>
    </row>
    <row r="28" spans="1:16" x14ac:dyDescent="0.2">
      <c r="A28" t="s">
        <v>113</v>
      </c>
      <c r="B28" s="8">
        <v>103</v>
      </c>
      <c r="C28" s="8">
        <v>22323.890000000007</v>
      </c>
      <c r="D28" s="9">
        <v>3.4333333333333331</v>
      </c>
      <c r="F28" s="12">
        <v>1.2202345693638195E-2</v>
      </c>
      <c r="G28" s="13">
        <v>0.33112190498756078</v>
      </c>
      <c r="H28" s="8" t="s">
        <v>141</v>
      </c>
      <c r="I28" s="12">
        <v>1.231677598222857E-2</v>
      </c>
      <c r="J28" s="13">
        <v>0.33798485448019538</v>
      </c>
      <c r="K28" s="8" t="s">
        <v>141</v>
      </c>
      <c r="L28" s="12">
        <f t="shared" si="0"/>
        <v>1.2202345693638195E-2</v>
      </c>
      <c r="M28" s="13">
        <f t="shared" si="3"/>
        <v>0.33112190498756089</v>
      </c>
      <c r="N28" s="8" t="str">
        <f t="shared" si="1"/>
        <v>A</v>
      </c>
      <c r="O28" s="8" t="str">
        <f>VLOOKUP(A28,XYZ!A:AK,37,0)</f>
        <v>Y</v>
      </c>
      <c r="P28" s="10" t="str">
        <f t="shared" si="2"/>
        <v>AAAY</v>
      </c>
    </row>
    <row r="29" spans="1:16" x14ac:dyDescent="0.2">
      <c r="A29" t="s">
        <v>90</v>
      </c>
      <c r="B29" s="8">
        <v>102</v>
      </c>
      <c r="C29" s="8">
        <v>23914.410000000007</v>
      </c>
      <c r="D29" s="9">
        <v>3.4</v>
      </c>
      <c r="F29" s="12">
        <v>1.2083876317971804E-2</v>
      </c>
      <c r="G29" s="13">
        <v>0.34320578130553259</v>
      </c>
      <c r="H29" s="8" t="s">
        <v>141</v>
      </c>
      <c r="I29" s="12">
        <v>1.2305364552783044E-2</v>
      </c>
      <c r="J29" s="13">
        <v>0.35029021903297841</v>
      </c>
      <c r="K29" s="8" t="s">
        <v>141</v>
      </c>
      <c r="L29" s="12">
        <f t="shared" si="0"/>
        <v>1.2083876317971805E-2</v>
      </c>
      <c r="M29" s="13">
        <f t="shared" si="3"/>
        <v>0.3432057813055327</v>
      </c>
      <c r="N29" s="8" t="str">
        <f t="shared" si="1"/>
        <v>A</v>
      </c>
      <c r="O29" s="8" t="str">
        <f>VLOOKUP(A29,XYZ!A:AK,37,0)</f>
        <v>Z</v>
      </c>
      <c r="P29" s="10" t="str">
        <f t="shared" si="2"/>
        <v>AAAZ</v>
      </c>
    </row>
    <row r="30" spans="1:16" x14ac:dyDescent="0.2">
      <c r="A30" t="s">
        <v>84</v>
      </c>
      <c r="B30" s="8">
        <v>102</v>
      </c>
      <c r="C30" s="8">
        <v>21107.850000000002</v>
      </c>
      <c r="D30" s="9">
        <v>3.4</v>
      </c>
      <c r="F30" s="12">
        <v>1.2083876317971804E-2</v>
      </c>
      <c r="G30" s="13">
        <v>0.3552896576235044</v>
      </c>
      <c r="H30" s="8" t="s">
        <v>141</v>
      </c>
      <c r="I30" s="12">
        <v>1.2279135891082916E-2</v>
      </c>
      <c r="J30" s="13">
        <v>0.36256935492406134</v>
      </c>
      <c r="K30" s="8" t="s">
        <v>141</v>
      </c>
      <c r="L30" s="12">
        <f t="shared" si="0"/>
        <v>1.2083876317971805E-2</v>
      </c>
      <c r="M30" s="13">
        <f t="shared" si="3"/>
        <v>0.35528965762350451</v>
      </c>
      <c r="N30" s="8" t="str">
        <f t="shared" si="1"/>
        <v>A</v>
      </c>
      <c r="O30" s="8" t="str">
        <f>VLOOKUP(A30,XYZ!A:AK,37,0)</f>
        <v>Z</v>
      </c>
      <c r="P30" s="10" t="str">
        <f t="shared" si="2"/>
        <v>AAAZ</v>
      </c>
    </row>
    <row r="31" spans="1:16" x14ac:dyDescent="0.2">
      <c r="A31" t="s">
        <v>72</v>
      </c>
      <c r="B31" s="8">
        <v>102</v>
      </c>
      <c r="C31" s="8">
        <v>18084.099999999999</v>
      </c>
      <c r="D31" s="9">
        <v>3.4</v>
      </c>
      <c r="F31" s="12">
        <v>1.2083876317971804E-2</v>
      </c>
      <c r="G31" s="13">
        <v>0.3673735339414762</v>
      </c>
      <c r="H31" s="8" t="s">
        <v>141</v>
      </c>
      <c r="I31" s="12">
        <v>1.2241365026206699E-2</v>
      </c>
      <c r="J31" s="13">
        <v>0.37481071995026805</v>
      </c>
      <c r="K31" s="8" t="s">
        <v>141</v>
      </c>
      <c r="L31" s="12">
        <f t="shared" si="0"/>
        <v>1.2083876317971805E-2</v>
      </c>
      <c r="M31" s="13">
        <f t="shared" si="3"/>
        <v>0.36737353394147632</v>
      </c>
      <c r="N31" s="8" t="str">
        <f t="shared" si="1"/>
        <v>A</v>
      </c>
      <c r="O31" s="8" t="str">
        <f>VLOOKUP(A31,XYZ!A:AK,37,0)</f>
        <v>Y</v>
      </c>
      <c r="P31" s="10" t="str">
        <f t="shared" si="2"/>
        <v>AAAY</v>
      </c>
    </row>
    <row r="32" spans="1:16" x14ac:dyDescent="0.2">
      <c r="A32" t="s">
        <v>108</v>
      </c>
      <c r="B32" s="8">
        <v>101</v>
      </c>
      <c r="C32" s="8">
        <v>18514.159999999996</v>
      </c>
      <c r="D32" s="9">
        <v>3.3666666666666667</v>
      </c>
      <c r="F32" s="12">
        <v>1.1965406942305414E-2</v>
      </c>
      <c r="G32" s="13">
        <v>0.37933894088378162</v>
      </c>
      <c r="H32" s="8" t="s">
        <v>141</v>
      </c>
      <c r="I32" s="12">
        <v>1.2012681572146558E-2</v>
      </c>
      <c r="J32" s="13">
        <v>0.38682340152241462</v>
      </c>
      <c r="K32" s="8" t="s">
        <v>141</v>
      </c>
      <c r="L32" s="12">
        <f t="shared" si="0"/>
        <v>1.1965406942305416E-2</v>
      </c>
      <c r="M32" s="13">
        <f t="shared" si="3"/>
        <v>0.37933894088378173</v>
      </c>
      <c r="N32" s="8" t="str">
        <f t="shared" si="1"/>
        <v>A</v>
      </c>
      <c r="O32" s="8" t="str">
        <f>VLOOKUP(A32,XYZ!A:AK,37,0)</f>
        <v>Y</v>
      </c>
      <c r="P32" s="10" t="str">
        <f t="shared" si="2"/>
        <v>AAAY</v>
      </c>
    </row>
    <row r="33" spans="1:16" x14ac:dyDescent="0.2">
      <c r="A33" t="s">
        <v>79</v>
      </c>
      <c r="B33" s="8">
        <v>100</v>
      </c>
      <c r="C33" s="8">
        <v>21642.219999999998</v>
      </c>
      <c r="D33" s="9">
        <v>3.3333333333333335</v>
      </c>
      <c r="F33" s="12">
        <v>1.1846937566639024E-2</v>
      </c>
      <c r="G33" s="13">
        <v>0.39118587845042063</v>
      </c>
      <c r="H33" s="8" t="s">
        <v>141</v>
      </c>
      <c r="I33" s="12">
        <v>1.2001531690162177E-2</v>
      </c>
      <c r="J33" s="13">
        <v>0.39882493321257678</v>
      </c>
      <c r="K33" s="8" t="s">
        <v>141</v>
      </c>
      <c r="L33" s="12">
        <f t="shared" si="0"/>
        <v>1.1846937566639026E-2</v>
      </c>
      <c r="M33" s="13">
        <f t="shared" si="3"/>
        <v>0.39118587845042074</v>
      </c>
      <c r="N33" s="8" t="str">
        <f t="shared" si="1"/>
        <v>A</v>
      </c>
      <c r="O33" s="8" t="str">
        <f>VLOOKUP(A33,XYZ!A:AK,37,0)</f>
        <v>Z</v>
      </c>
      <c r="P33" s="10" t="str">
        <f t="shared" si="2"/>
        <v>AAAZ</v>
      </c>
    </row>
    <row r="34" spans="1:16" x14ac:dyDescent="0.2">
      <c r="A34" t="s">
        <v>73</v>
      </c>
      <c r="B34" s="8">
        <v>100</v>
      </c>
      <c r="C34" s="8">
        <v>20797.279999999995</v>
      </c>
      <c r="D34" s="9">
        <v>3.3333333333333335</v>
      </c>
      <c r="F34" s="12">
        <v>1.1846937566639024E-2</v>
      </c>
      <c r="G34" s="13">
        <v>0.40303281601705965</v>
      </c>
      <c r="H34" s="8" t="s">
        <v>141</v>
      </c>
      <c r="I34" s="12">
        <v>1.1913600570892158E-2</v>
      </c>
      <c r="J34" s="13">
        <v>0.41073853378346892</v>
      </c>
      <c r="K34" s="8" t="s">
        <v>141</v>
      </c>
      <c r="L34" s="12">
        <f t="shared" si="0"/>
        <v>1.1846937566639026E-2</v>
      </c>
      <c r="M34" s="13">
        <f t="shared" si="3"/>
        <v>0.40303281601705976</v>
      </c>
      <c r="N34" s="8" t="str">
        <f t="shared" si="1"/>
        <v>A</v>
      </c>
      <c r="O34" s="8" t="str">
        <f>VLOOKUP(A34,XYZ!A:AK,37,0)</f>
        <v>Y</v>
      </c>
      <c r="P34" s="10" t="str">
        <f t="shared" si="2"/>
        <v>AAAY</v>
      </c>
    </row>
    <row r="35" spans="1:16" x14ac:dyDescent="0.2">
      <c r="A35" t="s">
        <v>70</v>
      </c>
      <c r="B35" s="8">
        <v>99</v>
      </c>
      <c r="C35" s="8">
        <v>19132.980000000007</v>
      </c>
      <c r="D35" s="9">
        <v>3.3</v>
      </c>
      <c r="F35" s="12">
        <v>1.1728468190972634E-2</v>
      </c>
      <c r="G35" s="13">
        <v>0.41476128420803227</v>
      </c>
      <c r="H35" s="8" t="s">
        <v>141</v>
      </c>
      <c r="I35" s="12">
        <v>1.1866482227187626E-2</v>
      </c>
      <c r="J35" s="13">
        <v>0.42260501601065653</v>
      </c>
      <c r="K35" s="8" t="s">
        <v>141</v>
      </c>
      <c r="L35" s="12">
        <f t="shared" si="0"/>
        <v>1.1728468190972636E-2</v>
      </c>
      <c r="M35" s="13">
        <f t="shared" si="3"/>
        <v>0.41476128420803238</v>
      </c>
      <c r="N35" s="8" t="str">
        <f t="shared" si="1"/>
        <v>A</v>
      </c>
      <c r="O35" s="8" t="str">
        <f>VLOOKUP(A35,XYZ!A:AK,37,0)</f>
        <v>Y</v>
      </c>
      <c r="P35" s="10" t="str">
        <f t="shared" si="2"/>
        <v>AAAY</v>
      </c>
    </row>
    <row r="36" spans="1:16" x14ac:dyDescent="0.2">
      <c r="A36" t="s">
        <v>74</v>
      </c>
      <c r="B36" s="8">
        <v>99</v>
      </c>
      <c r="C36" s="8">
        <v>14949.66</v>
      </c>
      <c r="D36" s="9">
        <v>3.3</v>
      </c>
      <c r="F36" s="12">
        <v>1.1728468190972634E-2</v>
      </c>
      <c r="G36" s="13">
        <v>0.42648975239900488</v>
      </c>
      <c r="H36" s="8" t="s">
        <v>141</v>
      </c>
      <c r="I36" s="12">
        <v>1.182494735319684E-2</v>
      </c>
      <c r="J36" s="13">
        <v>0.43442996336385337</v>
      </c>
      <c r="K36" s="8" t="s">
        <v>141</v>
      </c>
      <c r="L36" s="12">
        <f t="shared" ref="L36:L67" si="4">D36/SUM($D$4:$D$93)</f>
        <v>1.1728468190972636E-2</v>
      </c>
      <c r="M36" s="13">
        <f t="shared" si="3"/>
        <v>0.426489752399005</v>
      </c>
      <c r="N36" s="8" t="str">
        <f t="shared" si="1"/>
        <v>A</v>
      </c>
      <c r="O36" s="8" t="str">
        <f>VLOOKUP(A36,XYZ!A:AK,37,0)</f>
        <v>Y</v>
      </c>
      <c r="P36" s="10" t="str">
        <f t="shared" si="2"/>
        <v>AAAY</v>
      </c>
    </row>
    <row r="37" spans="1:16" x14ac:dyDescent="0.2">
      <c r="A37" t="s">
        <v>67</v>
      </c>
      <c r="B37" s="8">
        <v>98</v>
      </c>
      <c r="C37" s="8">
        <v>20659.180000000008</v>
      </c>
      <c r="D37" s="9">
        <v>3.2666666666666666</v>
      </c>
      <c r="F37" s="12">
        <v>1.1609998815306243E-2</v>
      </c>
      <c r="G37" s="13">
        <v>0.43809975121431111</v>
      </c>
      <c r="H37" s="8" t="s">
        <v>141</v>
      </c>
      <c r="I37" s="12">
        <v>1.1813001457200316E-2</v>
      </c>
      <c r="J37" s="13">
        <v>0.44624296482105369</v>
      </c>
      <c r="K37" s="8" t="s">
        <v>141</v>
      </c>
      <c r="L37" s="12">
        <f t="shared" si="4"/>
        <v>1.1609998815306246E-2</v>
      </c>
      <c r="M37" s="13">
        <f t="shared" si="3"/>
        <v>0.43809975121431122</v>
      </c>
      <c r="N37" s="8" t="str">
        <f t="shared" si="1"/>
        <v>A</v>
      </c>
      <c r="O37" s="8" t="str">
        <f>VLOOKUP(A37,XYZ!A:AK,37,0)</f>
        <v>Z</v>
      </c>
      <c r="P37" s="10" t="str">
        <f t="shared" si="2"/>
        <v>AAAZ</v>
      </c>
    </row>
    <row r="38" spans="1:16" x14ac:dyDescent="0.2">
      <c r="A38" t="s">
        <v>24</v>
      </c>
      <c r="B38" s="8">
        <v>98</v>
      </c>
      <c r="C38" s="8">
        <v>20065.200000000012</v>
      </c>
      <c r="D38" s="9">
        <v>3.2666666666666666</v>
      </c>
      <c r="F38" s="12">
        <v>1.1609998815306243E-2</v>
      </c>
      <c r="G38" s="13">
        <v>0.44970975002961733</v>
      </c>
      <c r="H38" s="8" t="s">
        <v>141</v>
      </c>
      <c r="I38" s="12">
        <v>1.1746426256713245E-2</v>
      </c>
      <c r="J38" s="13">
        <v>0.45798939107776693</v>
      </c>
      <c r="K38" s="8" t="s">
        <v>141</v>
      </c>
      <c r="L38" s="12">
        <f t="shared" si="4"/>
        <v>1.1609998815306246E-2</v>
      </c>
      <c r="M38" s="13">
        <f t="shared" si="3"/>
        <v>0.44970975002961744</v>
      </c>
      <c r="N38" s="8" t="str">
        <f t="shared" si="1"/>
        <v>A</v>
      </c>
      <c r="O38" s="8" t="str">
        <f>VLOOKUP(A38,XYZ!A:AK,37,0)</f>
        <v>Y</v>
      </c>
      <c r="P38" s="10" t="str">
        <f t="shared" si="2"/>
        <v>AAAY</v>
      </c>
    </row>
    <row r="39" spans="1:16" x14ac:dyDescent="0.2">
      <c r="A39" t="s">
        <v>93</v>
      </c>
      <c r="B39" s="8">
        <v>97</v>
      </c>
      <c r="C39" s="8">
        <v>21707.420000000002</v>
      </c>
      <c r="D39" s="9">
        <v>3.2333333333333334</v>
      </c>
      <c r="F39" s="12">
        <v>1.1491529439639853E-2</v>
      </c>
      <c r="G39" s="13">
        <v>0.46120127946925715</v>
      </c>
      <c r="H39" s="8" t="s">
        <v>141</v>
      </c>
      <c r="I39" s="12">
        <v>1.1535846435615003E-2</v>
      </c>
      <c r="J39" s="13">
        <v>0.46952523751338193</v>
      </c>
      <c r="K39" s="8" t="s">
        <v>141</v>
      </c>
      <c r="L39" s="12">
        <f t="shared" si="4"/>
        <v>1.1491529439639856E-2</v>
      </c>
      <c r="M39" s="13">
        <f t="shared" si="3"/>
        <v>0.46120127946925732</v>
      </c>
      <c r="N39" s="8" t="str">
        <f t="shared" si="1"/>
        <v>A</v>
      </c>
      <c r="O39" s="8" t="str">
        <f>VLOOKUP(A39,XYZ!A:AK,37,0)</f>
        <v>Y</v>
      </c>
      <c r="P39" s="10" t="str">
        <f t="shared" si="2"/>
        <v>AAAY</v>
      </c>
    </row>
    <row r="40" spans="1:16" x14ac:dyDescent="0.2">
      <c r="A40" t="s">
        <v>96</v>
      </c>
      <c r="B40" s="8">
        <v>97</v>
      </c>
      <c r="C40" s="8">
        <v>21662.290000000012</v>
      </c>
      <c r="D40" s="9">
        <v>3.2333333333333334</v>
      </c>
      <c r="F40" s="12">
        <v>1.1491529439639853E-2</v>
      </c>
      <c r="G40" s="13">
        <v>0.47269280890889698</v>
      </c>
      <c r="H40" s="8" t="s">
        <v>141</v>
      </c>
      <c r="I40" s="12">
        <v>1.1518493330150273E-2</v>
      </c>
      <c r="J40" s="13">
        <v>0.48104373084353219</v>
      </c>
      <c r="K40" s="8" t="s">
        <v>141</v>
      </c>
      <c r="L40" s="12">
        <f t="shared" si="4"/>
        <v>1.1491529439639856E-2</v>
      </c>
      <c r="M40" s="13">
        <f t="shared" si="3"/>
        <v>0.4726928089088972</v>
      </c>
      <c r="N40" s="8" t="str">
        <f t="shared" si="1"/>
        <v>A</v>
      </c>
      <c r="O40" s="8" t="str">
        <f>VLOOKUP(A40,XYZ!A:AK,37,0)</f>
        <v>Z</v>
      </c>
      <c r="P40" s="10" t="str">
        <f t="shared" si="2"/>
        <v>AAAZ</v>
      </c>
    </row>
    <row r="41" spans="1:16" x14ac:dyDescent="0.2">
      <c r="A41" t="s">
        <v>78</v>
      </c>
      <c r="B41" s="8">
        <v>97</v>
      </c>
      <c r="C41" s="8">
        <v>16514.29</v>
      </c>
      <c r="D41" s="9">
        <v>3.2333333333333334</v>
      </c>
      <c r="F41" s="12">
        <v>1.1491529439639853E-2</v>
      </c>
      <c r="G41" s="13">
        <v>0.4841843383485368</v>
      </c>
      <c r="H41" s="8" t="s">
        <v>141</v>
      </c>
      <c r="I41" s="12">
        <v>1.1512062674095026E-2</v>
      </c>
      <c r="J41" s="13">
        <v>0.49255579351762724</v>
      </c>
      <c r="K41" s="8" t="s">
        <v>141</v>
      </c>
      <c r="L41" s="12">
        <f t="shared" si="4"/>
        <v>1.1491529439639856E-2</v>
      </c>
      <c r="M41" s="13">
        <f t="shared" si="3"/>
        <v>0.48418433834853708</v>
      </c>
      <c r="N41" s="8" t="str">
        <f t="shared" si="1"/>
        <v>A</v>
      </c>
      <c r="O41" s="8" t="str">
        <f>VLOOKUP(A41,XYZ!A:AK,37,0)</f>
        <v>Y</v>
      </c>
      <c r="P41" s="10" t="str">
        <f t="shared" si="2"/>
        <v>AAAY</v>
      </c>
    </row>
    <row r="42" spans="1:16" x14ac:dyDescent="0.2">
      <c r="A42" t="s">
        <v>52</v>
      </c>
      <c r="B42" s="8">
        <v>95</v>
      </c>
      <c r="C42" s="8">
        <v>23493.719999999998</v>
      </c>
      <c r="D42" s="9">
        <v>3.1666666666666665</v>
      </c>
      <c r="F42" s="12">
        <v>1.1254590688307073E-2</v>
      </c>
      <c r="G42" s="13">
        <v>0.49543892903684389</v>
      </c>
      <c r="H42" s="8" t="s">
        <v>141</v>
      </c>
      <c r="I42" s="12">
        <v>1.1463085069090698E-2</v>
      </c>
      <c r="J42" s="13">
        <v>0.5040188785867179</v>
      </c>
      <c r="K42" s="8" t="s">
        <v>141</v>
      </c>
      <c r="L42" s="12">
        <f t="shared" si="4"/>
        <v>1.1254590688307075E-2</v>
      </c>
      <c r="M42" s="13">
        <f t="shared" si="3"/>
        <v>0.49543892903684417</v>
      </c>
      <c r="N42" s="8" t="str">
        <f t="shared" si="1"/>
        <v>A</v>
      </c>
      <c r="O42" s="8" t="str">
        <f>VLOOKUP(A42,XYZ!A:AK,37,0)</f>
        <v>Y</v>
      </c>
      <c r="P42" s="10" t="str">
        <f t="shared" si="2"/>
        <v>AAAY</v>
      </c>
    </row>
    <row r="43" spans="1:16" x14ac:dyDescent="0.2">
      <c r="A43" t="s">
        <v>58</v>
      </c>
      <c r="B43" s="8">
        <v>95</v>
      </c>
      <c r="C43" s="8">
        <v>21529.660000000007</v>
      </c>
      <c r="D43" s="9">
        <v>3.1666666666666665</v>
      </c>
      <c r="F43" s="12">
        <v>1.1254590688307073E-2</v>
      </c>
      <c r="G43" s="13">
        <v>0.50669351972515098</v>
      </c>
      <c r="H43" s="8" t="s">
        <v>141</v>
      </c>
      <c r="I43" s="12">
        <v>1.1408700254618173E-2</v>
      </c>
      <c r="J43" s="13">
        <v>0.51542757884133605</v>
      </c>
      <c r="K43" s="8" t="s">
        <v>141</v>
      </c>
      <c r="L43" s="12">
        <f t="shared" si="4"/>
        <v>1.1254590688307075E-2</v>
      </c>
      <c r="M43" s="13">
        <f t="shared" si="3"/>
        <v>0.5066935197251512</v>
      </c>
      <c r="N43" s="8" t="str">
        <f t="shared" si="1"/>
        <v>A</v>
      </c>
      <c r="O43" s="8" t="str">
        <f>VLOOKUP(A43,XYZ!A:AK,37,0)</f>
        <v>Z</v>
      </c>
      <c r="P43" s="10" t="str">
        <f t="shared" si="2"/>
        <v>AAAZ</v>
      </c>
    </row>
    <row r="44" spans="1:16" x14ac:dyDescent="0.2">
      <c r="A44" t="s">
        <v>126</v>
      </c>
      <c r="B44" s="8">
        <v>95</v>
      </c>
      <c r="C44" s="8">
        <v>20953.199999999997</v>
      </c>
      <c r="D44" s="9">
        <v>3.1666666666666665</v>
      </c>
      <c r="F44" s="12">
        <v>1.1254590688307073E-2</v>
      </c>
      <c r="G44" s="13">
        <v>0.51794811041345801</v>
      </c>
      <c r="H44" s="8" t="s">
        <v>141</v>
      </c>
      <c r="I44" s="12">
        <v>1.1388242694506077E-2</v>
      </c>
      <c r="J44" s="13">
        <v>0.52681582153584217</v>
      </c>
      <c r="K44" s="8" t="s">
        <v>141</v>
      </c>
      <c r="L44" s="12">
        <f t="shared" si="4"/>
        <v>1.1254590688307075E-2</v>
      </c>
      <c r="M44" s="13">
        <f t="shared" si="3"/>
        <v>0.51794811041345823</v>
      </c>
      <c r="N44" s="8" t="str">
        <f t="shared" si="1"/>
        <v>A</v>
      </c>
      <c r="O44" s="8" t="str">
        <f>VLOOKUP(A44,XYZ!A:AK,37,0)</f>
        <v>Y</v>
      </c>
      <c r="P44" s="10" t="str">
        <f t="shared" si="2"/>
        <v>AAAY</v>
      </c>
    </row>
    <row r="45" spans="1:16" x14ac:dyDescent="0.2">
      <c r="A45" t="s">
        <v>62</v>
      </c>
      <c r="B45" s="8">
        <v>95</v>
      </c>
      <c r="C45" s="8">
        <v>20246.990000000005</v>
      </c>
      <c r="D45" s="9">
        <v>3.1666666666666665</v>
      </c>
      <c r="F45" s="12">
        <v>1.1254590688307073E-2</v>
      </c>
      <c r="G45" s="13">
        <v>0.52920270110176504</v>
      </c>
      <c r="H45" s="8" t="s">
        <v>141</v>
      </c>
      <c r="I45" s="12">
        <v>1.1380396270672088E-2</v>
      </c>
      <c r="J45" s="13">
        <v>0.53819621780651428</v>
      </c>
      <c r="K45" s="8" t="s">
        <v>141</v>
      </c>
      <c r="L45" s="12">
        <f t="shared" si="4"/>
        <v>1.1254590688307075E-2</v>
      </c>
      <c r="M45" s="13">
        <f t="shared" si="3"/>
        <v>0.52920270110176526</v>
      </c>
      <c r="N45" s="8" t="str">
        <f t="shared" si="1"/>
        <v>A</v>
      </c>
      <c r="O45" s="8" t="str">
        <f>VLOOKUP(A45,XYZ!A:AK,37,0)</f>
        <v>Z</v>
      </c>
      <c r="P45" s="10" t="str">
        <f t="shared" si="2"/>
        <v>AAAZ</v>
      </c>
    </row>
    <row r="46" spans="1:16" x14ac:dyDescent="0.2">
      <c r="A46" t="s">
        <v>65</v>
      </c>
      <c r="B46" s="8">
        <v>94</v>
      </c>
      <c r="C46" s="8">
        <v>20160.850000000002</v>
      </c>
      <c r="D46" s="9">
        <v>3.1333333333333333</v>
      </c>
      <c r="F46" s="12">
        <v>1.1136121312640683E-2</v>
      </c>
      <c r="G46" s="13">
        <v>0.54033882241440567</v>
      </c>
      <c r="H46" s="8" t="s">
        <v>141</v>
      </c>
      <c r="I46" s="12">
        <v>1.0923745775162742E-2</v>
      </c>
      <c r="J46" s="13">
        <v>0.54911996358167703</v>
      </c>
      <c r="K46" s="8" t="s">
        <v>141</v>
      </c>
      <c r="L46" s="12">
        <f t="shared" si="4"/>
        <v>1.1136121312640685E-2</v>
      </c>
      <c r="M46" s="13">
        <f t="shared" si="3"/>
        <v>0.54033882241440589</v>
      </c>
      <c r="N46" s="8" t="str">
        <f t="shared" si="1"/>
        <v>A</v>
      </c>
      <c r="O46" s="8" t="str">
        <f>VLOOKUP(A46,XYZ!A:AK,37,0)</f>
        <v>Z</v>
      </c>
      <c r="P46" s="10" t="str">
        <f t="shared" si="2"/>
        <v>AAAZ</v>
      </c>
    </row>
    <row r="47" spans="1:16" x14ac:dyDescent="0.2">
      <c r="A47" t="s">
        <v>61</v>
      </c>
      <c r="B47" s="8">
        <v>94</v>
      </c>
      <c r="C47" s="8">
        <v>20015.420000000002</v>
      </c>
      <c r="D47" s="9">
        <v>3.1333333333333333</v>
      </c>
      <c r="F47" s="12">
        <v>1.1136121312640683E-2</v>
      </c>
      <c r="G47" s="13">
        <v>0.55147494372704631</v>
      </c>
      <c r="H47" s="8" t="s">
        <v>141</v>
      </c>
      <c r="I47" s="12">
        <v>1.0908939914536869E-2</v>
      </c>
      <c r="J47" s="13">
        <v>0.56002890349621393</v>
      </c>
      <c r="K47" s="8" t="s">
        <v>141</v>
      </c>
      <c r="L47" s="12">
        <f t="shared" si="4"/>
        <v>1.1136121312640685E-2</v>
      </c>
      <c r="M47" s="13">
        <f t="shared" si="3"/>
        <v>0.55147494372704653</v>
      </c>
      <c r="N47" s="8" t="str">
        <f t="shared" si="1"/>
        <v>A</v>
      </c>
      <c r="O47" s="8" t="str">
        <f>VLOOKUP(A47,XYZ!A:AK,37,0)</f>
        <v>Z</v>
      </c>
      <c r="P47" s="10" t="str">
        <f t="shared" si="2"/>
        <v>AAAZ</v>
      </c>
    </row>
    <row r="48" spans="1:16" x14ac:dyDescent="0.2">
      <c r="A48" t="s">
        <v>106</v>
      </c>
      <c r="B48" s="8">
        <v>94</v>
      </c>
      <c r="C48" s="8">
        <v>19186.239999999994</v>
      </c>
      <c r="D48" s="9">
        <v>3.1333333333333333</v>
      </c>
      <c r="F48" s="12">
        <v>1.1136121312640683E-2</v>
      </c>
      <c r="G48" s="13">
        <v>0.56261106503968694</v>
      </c>
      <c r="H48" s="8" t="s">
        <v>141</v>
      </c>
      <c r="I48" s="12">
        <v>1.0878657267189182E-2</v>
      </c>
      <c r="J48" s="13">
        <v>0.5709075607634031</v>
      </c>
      <c r="K48" s="8" t="s">
        <v>141</v>
      </c>
      <c r="L48" s="12">
        <f t="shared" si="4"/>
        <v>1.1136121312640685E-2</v>
      </c>
      <c r="M48" s="13">
        <f t="shared" si="3"/>
        <v>0.56261106503968716</v>
      </c>
      <c r="N48" s="8" t="str">
        <f t="shared" si="1"/>
        <v>A</v>
      </c>
      <c r="O48" s="8" t="str">
        <f>VLOOKUP(A48,XYZ!A:AK,37,0)</f>
        <v>Z</v>
      </c>
      <c r="P48" s="10" t="str">
        <f t="shared" si="2"/>
        <v>AAAZ</v>
      </c>
    </row>
    <row r="49" spans="1:16" x14ac:dyDescent="0.2">
      <c r="A49" t="s">
        <v>57</v>
      </c>
      <c r="B49" s="8">
        <v>93</v>
      </c>
      <c r="C49" s="8">
        <v>21596.090000000007</v>
      </c>
      <c r="D49" s="9">
        <v>3.1</v>
      </c>
      <c r="F49" s="12">
        <v>1.1017651936974291E-2</v>
      </c>
      <c r="G49" s="13">
        <v>0.57362871697666118</v>
      </c>
      <c r="H49" s="8" t="s">
        <v>141</v>
      </c>
      <c r="I49" s="12">
        <v>1.08593937280953E-2</v>
      </c>
      <c r="J49" s="13">
        <v>0.5817669544914984</v>
      </c>
      <c r="K49" s="8" t="s">
        <v>141</v>
      </c>
      <c r="L49" s="12">
        <f t="shared" si="4"/>
        <v>1.1017651936974295E-2</v>
      </c>
      <c r="M49" s="13">
        <f t="shared" si="3"/>
        <v>0.57362871697666151</v>
      </c>
      <c r="N49" s="8" t="str">
        <f t="shared" si="1"/>
        <v>A</v>
      </c>
      <c r="O49" s="8" t="str">
        <f>VLOOKUP(A49,XYZ!A:AK,37,0)</f>
        <v>Z</v>
      </c>
      <c r="P49" s="10" t="str">
        <f t="shared" si="2"/>
        <v>AAAZ</v>
      </c>
    </row>
    <row r="50" spans="1:16" x14ac:dyDescent="0.2">
      <c r="A50" t="s">
        <v>46</v>
      </c>
      <c r="B50" s="8">
        <v>92</v>
      </c>
      <c r="C50" s="8">
        <v>22246.080000000002</v>
      </c>
      <c r="D50" s="9">
        <v>3.0666666666666669</v>
      </c>
      <c r="F50" s="12">
        <v>1.0899182561307902E-2</v>
      </c>
      <c r="G50" s="13">
        <v>0.58452789953796913</v>
      </c>
      <c r="H50" s="8" t="s">
        <v>141</v>
      </c>
      <c r="I50" s="12">
        <v>1.08311352306642E-2</v>
      </c>
      <c r="J50" s="13">
        <v>0.59259808972216255</v>
      </c>
      <c r="K50" s="8" t="s">
        <v>141</v>
      </c>
      <c r="L50" s="12">
        <f t="shared" si="4"/>
        <v>1.0899182561307905E-2</v>
      </c>
      <c r="M50" s="13">
        <f t="shared" si="3"/>
        <v>0.58452789953796946</v>
      </c>
      <c r="N50" s="8" t="str">
        <f t="shared" si="1"/>
        <v>A</v>
      </c>
      <c r="O50" s="8" t="str">
        <f>VLOOKUP(A50,XYZ!A:AK,37,0)</f>
        <v>Y</v>
      </c>
      <c r="P50" s="10" t="str">
        <f t="shared" si="2"/>
        <v>AAAY</v>
      </c>
    </row>
    <row r="51" spans="1:16" x14ac:dyDescent="0.2">
      <c r="A51" t="s">
        <v>40</v>
      </c>
      <c r="B51" s="8">
        <v>92</v>
      </c>
      <c r="C51" s="8">
        <v>20776.27</v>
      </c>
      <c r="D51" s="9">
        <v>3.0666666666666669</v>
      </c>
      <c r="F51" s="12">
        <v>1.0899182561307902E-2</v>
      </c>
      <c r="G51" s="13">
        <v>0.59542708209927708</v>
      </c>
      <c r="H51" s="8" t="s">
        <v>141</v>
      </c>
      <c r="I51" s="12">
        <v>1.0828940506316428E-2</v>
      </c>
      <c r="J51" s="13">
        <v>0.60342703022847899</v>
      </c>
      <c r="K51" s="8" t="s">
        <v>141</v>
      </c>
      <c r="L51" s="12">
        <f t="shared" si="4"/>
        <v>1.0899182561307905E-2</v>
      </c>
      <c r="M51" s="13">
        <f t="shared" si="3"/>
        <v>0.59542708209927742</v>
      </c>
      <c r="N51" s="8" t="str">
        <f t="shared" si="1"/>
        <v>A</v>
      </c>
      <c r="O51" s="8" t="str">
        <f>VLOOKUP(A51,XYZ!A:AK,37,0)</f>
        <v>Z</v>
      </c>
      <c r="P51" s="10" t="str">
        <f t="shared" si="2"/>
        <v>AAAZ</v>
      </c>
    </row>
    <row r="52" spans="1:16" x14ac:dyDescent="0.2">
      <c r="A52" t="s">
        <v>80</v>
      </c>
      <c r="B52" s="8">
        <v>91</v>
      </c>
      <c r="C52" s="8">
        <v>22688.61</v>
      </c>
      <c r="D52" s="9">
        <v>3.0333333333333332</v>
      </c>
      <c r="F52" s="12">
        <v>1.0780713185641512E-2</v>
      </c>
      <c r="G52" s="13">
        <v>0.60620779528491864</v>
      </c>
      <c r="H52" s="8" t="s">
        <v>141</v>
      </c>
      <c r="I52" s="12">
        <v>1.0796173158087972E-2</v>
      </c>
      <c r="J52" s="13">
        <v>0.614223203386567</v>
      </c>
      <c r="K52" s="8" t="s">
        <v>141</v>
      </c>
      <c r="L52" s="12">
        <f t="shared" si="4"/>
        <v>1.0780713185641513E-2</v>
      </c>
      <c r="M52" s="13">
        <f t="shared" si="3"/>
        <v>0.60620779528491897</v>
      </c>
      <c r="N52" s="8" t="str">
        <f t="shared" si="1"/>
        <v>A</v>
      </c>
      <c r="O52" s="8" t="str">
        <f>VLOOKUP(A52,XYZ!A:AK,37,0)</f>
        <v>Y</v>
      </c>
      <c r="P52" s="10" t="str">
        <f t="shared" si="2"/>
        <v>AAAY</v>
      </c>
    </row>
    <row r="53" spans="1:16" x14ac:dyDescent="0.2">
      <c r="A53" t="s">
        <v>92</v>
      </c>
      <c r="B53" s="8">
        <v>91</v>
      </c>
      <c r="C53" s="8">
        <v>17512.950000000004</v>
      </c>
      <c r="D53" s="9">
        <v>3.0333333333333332</v>
      </c>
      <c r="F53" s="12">
        <v>1.0780713185641512E-2</v>
      </c>
      <c r="G53" s="13">
        <v>0.61698850847056019</v>
      </c>
      <c r="H53" s="8" t="s">
        <v>141</v>
      </c>
      <c r="I53" s="12">
        <v>1.075923810792451E-2</v>
      </c>
      <c r="J53" s="13">
        <v>0.62498244149449156</v>
      </c>
      <c r="K53" s="8" t="s">
        <v>141</v>
      </c>
      <c r="L53" s="12">
        <f t="shared" si="4"/>
        <v>1.0780713185641513E-2</v>
      </c>
      <c r="M53" s="13">
        <f t="shared" si="3"/>
        <v>0.61698850847056053</v>
      </c>
      <c r="N53" s="8" t="str">
        <f t="shared" si="1"/>
        <v>A</v>
      </c>
      <c r="O53" s="8" t="str">
        <f>VLOOKUP(A53,XYZ!A:AK,37,0)</f>
        <v>Z</v>
      </c>
      <c r="P53" s="10" t="str">
        <f t="shared" si="2"/>
        <v>AAAZ</v>
      </c>
    </row>
    <row r="54" spans="1:16" x14ac:dyDescent="0.2">
      <c r="A54" t="s">
        <v>91</v>
      </c>
      <c r="B54" s="8">
        <v>91</v>
      </c>
      <c r="C54" s="8">
        <v>15537.609999999995</v>
      </c>
      <c r="D54" s="9">
        <v>3.0333333333333332</v>
      </c>
      <c r="F54" s="12">
        <v>1.0780713185641512E-2</v>
      </c>
      <c r="G54" s="13">
        <v>0.62776922165620175</v>
      </c>
      <c r="H54" s="8" t="s">
        <v>141</v>
      </c>
      <c r="I54" s="12">
        <v>1.0728648426600701E-2</v>
      </c>
      <c r="J54" s="13">
        <v>0.63571108992109226</v>
      </c>
      <c r="K54" s="8" t="s">
        <v>141</v>
      </c>
      <c r="L54" s="12">
        <f t="shared" si="4"/>
        <v>1.0780713185641513E-2</v>
      </c>
      <c r="M54" s="13">
        <f t="shared" si="3"/>
        <v>0.62776922165620208</v>
      </c>
      <c r="N54" s="8" t="str">
        <f t="shared" si="1"/>
        <v>A</v>
      </c>
      <c r="O54" s="8" t="str">
        <f>VLOOKUP(A54,XYZ!A:AK,37,0)</f>
        <v>Y</v>
      </c>
      <c r="P54" s="10" t="str">
        <f t="shared" si="2"/>
        <v>AAAY</v>
      </c>
    </row>
    <row r="55" spans="1:16" x14ac:dyDescent="0.2">
      <c r="A55" t="s">
        <v>49</v>
      </c>
      <c r="B55" s="8">
        <v>91</v>
      </c>
      <c r="C55" s="8">
        <v>14826.480000000003</v>
      </c>
      <c r="D55" s="9">
        <v>3.0333333333333332</v>
      </c>
      <c r="F55" s="12">
        <v>1.0780713185641512E-2</v>
      </c>
      <c r="G55" s="13">
        <v>0.6385499348418433</v>
      </c>
      <c r="H55" s="8" t="s">
        <v>141</v>
      </c>
      <c r="I55" s="12">
        <v>1.0723241217132497E-2</v>
      </c>
      <c r="J55" s="13">
        <v>0.64643433113822479</v>
      </c>
      <c r="K55" s="8" t="s">
        <v>141</v>
      </c>
      <c r="L55" s="12">
        <f t="shared" si="4"/>
        <v>1.0780713185641513E-2</v>
      </c>
      <c r="M55" s="13">
        <f t="shared" si="3"/>
        <v>0.63854993484184364</v>
      </c>
      <c r="N55" s="8" t="str">
        <f t="shared" si="1"/>
        <v>A</v>
      </c>
      <c r="O55" s="8" t="str">
        <f>VLOOKUP(A55,XYZ!A:AK,37,0)</f>
        <v>Z</v>
      </c>
      <c r="P55" s="10" t="str">
        <f t="shared" si="2"/>
        <v>AAAZ</v>
      </c>
    </row>
    <row r="56" spans="1:16" x14ac:dyDescent="0.2">
      <c r="A56" t="s">
        <v>56</v>
      </c>
      <c r="B56" s="8">
        <v>90</v>
      </c>
      <c r="C56" s="8">
        <v>16847.670000000002</v>
      </c>
      <c r="D56" s="9">
        <v>3</v>
      </c>
      <c r="F56" s="12">
        <v>1.0662243809975122E-2</v>
      </c>
      <c r="G56" s="13">
        <v>0.64921217865181846</v>
      </c>
      <c r="H56" s="8" t="s">
        <v>141</v>
      </c>
      <c r="I56" s="12">
        <v>1.0605180967502847E-2</v>
      </c>
      <c r="J56" s="13">
        <v>0.65703951210572764</v>
      </c>
      <c r="K56" s="8" t="s">
        <v>141</v>
      </c>
      <c r="L56" s="12">
        <f t="shared" si="4"/>
        <v>1.0662243809975123E-2</v>
      </c>
      <c r="M56" s="13">
        <f t="shared" si="3"/>
        <v>0.64921217865181879</v>
      </c>
      <c r="N56" s="8" t="str">
        <f t="shared" si="1"/>
        <v>A</v>
      </c>
      <c r="O56" s="8" t="str">
        <f>VLOOKUP(A56,XYZ!A:AK,37,0)</f>
        <v>Y</v>
      </c>
      <c r="P56" s="10" t="str">
        <f t="shared" si="2"/>
        <v>AAAY</v>
      </c>
    </row>
    <row r="57" spans="1:16" x14ac:dyDescent="0.2">
      <c r="A57" t="s">
        <v>117</v>
      </c>
      <c r="B57" s="8">
        <v>90</v>
      </c>
      <c r="C57" s="8">
        <v>16354.699999999995</v>
      </c>
      <c r="D57" s="9">
        <v>3</v>
      </c>
      <c r="F57" s="12">
        <v>1.0662243809975122E-2</v>
      </c>
      <c r="G57" s="13">
        <v>0.65987442246179362</v>
      </c>
      <c r="H57" s="8" t="s">
        <v>141</v>
      </c>
      <c r="I57" s="12">
        <v>1.0592359456092959E-2</v>
      </c>
      <c r="J57" s="13">
        <v>0.66763187156182058</v>
      </c>
      <c r="K57" s="8" t="s">
        <v>141</v>
      </c>
      <c r="L57" s="12">
        <f t="shared" si="4"/>
        <v>1.0662243809975123E-2</v>
      </c>
      <c r="M57" s="13">
        <f t="shared" si="3"/>
        <v>0.65987442246179395</v>
      </c>
      <c r="N57" s="8" t="str">
        <f t="shared" si="1"/>
        <v>A</v>
      </c>
      <c r="O57" s="8" t="str">
        <f>VLOOKUP(A57,XYZ!A:AK,37,0)</f>
        <v>Z</v>
      </c>
      <c r="P57" s="10" t="str">
        <f t="shared" si="2"/>
        <v>AAAZ</v>
      </c>
    </row>
    <row r="58" spans="1:16" x14ac:dyDescent="0.2">
      <c r="A58" t="s">
        <v>120</v>
      </c>
      <c r="B58" s="8">
        <v>90</v>
      </c>
      <c r="C58" s="8">
        <v>15778.340000000006</v>
      </c>
      <c r="D58" s="9">
        <v>3</v>
      </c>
      <c r="F58" s="12">
        <v>1.0662243809975122E-2</v>
      </c>
      <c r="G58" s="13">
        <v>0.67053666627176878</v>
      </c>
      <c r="H58" s="8" t="s">
        <v>141</v>
      </c>
      <c r="I58" s="12">
        <v>1.0566744862345047E-2</v>
      </c>
      <c r="J58" s="13">
        <v>0.67819861642416568</v>
      </c>
      <c r="K58" s="8" t="s">
        <v>141</v>
      </c>
      <c r="L58" s="12">
        <f t="shared" si="4"/>
        <v>1.0662243809975123E-2</v>
      </c>
      <c r="M58" s="13">
        <f t="shared" si="3"/>
        <v>0.67053666627176911</v>
      </c>
      <c r="N58" s="8" t="str">
        <f t="shared" si="1"/>
        <v>A</v>
      </c>
      <c r="O58" s="8" t="str">
        <f>VLOOKUP(A58,XYZ!A:AK,37,0)</f>
        <v>Y</v>
      </c>
      <c r="P58" s="10" t="str">
        <f t="shared" si="2"/>
        <v>AAAY</v>
      </c>
    </row>
    <row r="59" spans="1:16" x14ac:dyDescent="0.2">
      <c r="A59" t="s">
        <v>63</v>
      </c>
      <c r="B59" s="8">
        <v>89</v>
      </c>
      <c r="C59" s="8">
        <v>17727.769999999997</v>
      </c>
      <c r="D59" s="9">
        <v>2.9666666666666668</v>
      </c>
      <c r="F59" s="12">
        <v>1.0543774434308732E-2</v>
      </c>
      <c r="G59" s="13">
        <v>0.68108044070607754</v>
      </c>
      <c r="H59" s="8" t="s">
        <v>141</v>
      </c>
      <c r="I59" s="12">
        <v>1.0526807702192923E-2</v>
      </c>
      <c r="J59" s="13">
        <v>0.68872542412635862</v>
      </c>
      <c r="K59" s="8" t="s">
        <v>141</v>
      </c>
      <c r="L59" s="12">
        <f t="shared" si="4"/>
        <v>1.0543774434308734E-2</v>
      </c>
      <c r="M59" s="13">
        <f t="shared" si="3"/>
        <v>0.68108044070607787</v>
      </c>
      <c r="N59" s="8" t="str">
        <f t="shared" si="1"/>
        <v>A</v>
      </c>
      <c r="O59" s="8" t="str">
        <f>VLOOKUP(A59,XYZ!A:AK,37,0)</f>
        <v>Y</v>
      </c>
      <c r="P59" s="10" t="str">
        <f t="shared" si="2"/>
        <v>AAAY</v>
      </c>
    </row>
    <row r="60" spans="1:16" x14ac:dyDescent="0.2">
      <c r="A60" t="s">
        <v>88</v>
      </c>
      <c r="B60" s="8">
        <v>89</v>
      </c>
      <c r="C60" s="8">
        <v>17463.07</v>
      </c>
      <c r="D60" s="9">
        <v>2.9666666666666668</v>
      </c>
      <c r="F60" s="12">
        <v>1.0543774434308732E-2</v>
      </c>
      <c r="G60" s="13">
        <v>0.6916242151403863</v>
      </c>
      <c r="H60" s="8" t="s">
        <v>141</v>
      </c>
      <c r="I60" s="12">
        <v>1.028228356929113E-2</v>
      </c>
      <c r="J60" s="13">
        <v>0.69900770769564979</v>
      </c>
      <c r="K60" s="8" t="s">
        <v>141</v>
      </c>
      <c r="L60" s="12">
        <f t="shared" si="4"/>
        <v>1.0543774434308734E-2</v>
      </c>
      <c r="M60" s="13">
        <f t="shared" si="3"/>
        <v>0.69162421514038663</v>
      </c>
      <c r="N60" s="8" t="str">
        <f t="shared" si="1"/>
        <v>A</v>
      </c>
      <c r="O60" s="8" t="str">
        <f>VLOOKUP(A60,XYZ!A:AK,37,0)</f>
        <v>Y</v>
      </c>
      <c r="P60" s="10" t="str">
        <f t="shared" si="2"/>
        <v>AAAY</v>
      </c>
    </row>
    <row r="61" spans="1:16" x14ac:dyDescent="0.2">
      <c r="A61" t="s">
        <v>37</v>
      </c>
      <c r="B61" s="8">
        <v>88</v>
      </c>
      <c r="C61" s="8">
        <v>19212.279999999995</v>
      </c>
      <c r="D61" s="9">
        <v>2.9333333333333331</v>
      </c>
      <c r="F61" s="12">
        <v>1.042530505864234E-2</v>
      </c>
      <c r="G61" s="13">
        <v>0.70204952019902866</v>
      </c>
      <c r="H61" s="8" t="s">
        <v>141</v>
      </c>
      <c r="I61" s="12">
        <v>1.028050959520692E-2</v>
      </c>
      <c r="J61" s="13">
        <v>0.70928821729085667</v>
      </c>
      <c r="K61" s="8" t="s">
        <v>141</v>
      </c>
      <c r="L61" s="12">
        <f t="shared" si="4"/>
        <v>1.0425305058642342E-2</v>
      </c>
      <c r="M61" s="13">
        <f t="shared" si="3"/>
        <v>0.702049520199029</v>
      </c>
      <c r="N61" s="8" t="str">
        <f t="shared" si="1"/>
        <v>A</v>
      </c>
      <c r="O61" s="8" t="str">
        <f>VLOOKUP(A61,XYZ!A:AK,37,0)</f>
        <v>Y</v>
      </c>
      <c r="P61" s="10" t="str">
        <f t="shared" si="2"/>
        <v>AAAY</v>
      </c>
    </row>
    <row r="62" spans="1:16" x14ac:dyDescent="0.2">
      <c r="A62" t="s">
        <v>115</v>
      </c>
      <c r="B62" s="8">
        <v>88</v>
      </c>
      <c r="C62" s="8">
        <v>16857.740000000005</v>
      </c>
      <c r="D62" s="9">
        <v>2.9333333333333331</v>
      </c>
      <c r="F62" s="12">
        <v>1.042530505864234E-2</v>
      </c>
      <c r="G62" s="13">
        <v>0.71247482525767103</v>
      </c>
      <c r="H62" s="8" t="s">
        <v>141</v>
      </c>
      <c r="I62" s="12">
        <v>1.0154233343809075E-2</v>
      </c>
      <c r="J62" s="13">
        <v>0.71944245063466572</v>
      </c>
      <c r="K62" s="8" t="s">
        <v>141</v>
      </c>
      <c r="L62" s="12">
        <f t="shared" si="4"/>
        <v>1.0425305058642342E-2</v>
      </c>
      <c r="M62" s="13">
        <f t="shared" si="3"/>
        <v>0.71247482525767136</v>
      </c>
      <c r="N62" s="8" t="str">
        <f t="shared" si="1"/>
        <v>A</v>
      </c>
      <c r="O62" s="8" t="str">
        <f>VLOOKUP(A62,XYZ!A:AK,37,0)</f>
        <v>Y</v>
      </c>
      <c r="P62" s="10" t="str">
        <f t="shared" si="2"/>
        <v>AAAY</v>
      </c>
    </row>
    <row r="63" spans="1:16" x14ac:dyDescent="0.2">
      <c r="A63" t="s">
        <v>77</v>
      </c>
      <c r="B63" s="8">
        <v>86</v>
      </c>
      <c r="C63" s="8">
        <v>18652.000000000007</v>
      </c>
      <c r="D63" s="9">
        <v>2.8666666666666667</v>
      </c>
      <c r="F63" s="12">
        <v>1.0188366307309561E-2</v>
      </c>
      <c r="G63" s="13">
        <v>0.7226631915649806</v>
      </c>
      <c r="H63" s="8" t="s">
        <v>141</v>
      </c>
      <c r="I63" s="12">
        <v>1.0098938799036951E-2</v>
      </c>
      <c r="J63" s="13">
        <v>0.72954138943370272</v>
      </c>
      <c r="K63" s="8" t="s">
        <v>141</v>
      </c>
      <c r="L63" s="12">
        <f t="shared" si="4"/>
        <v>1.0188366307309562E-2</v>
      </c>
      <c r="M63" s="13">
        <f t="shared" si="3"/>
        <v>0.72266319156498093</v>
      </c>
      <c r="N63" s="8" t="str">
        <f t="shared" si="1"/>
        <v>A</v>
      </c>
      <c r="O63" s="8" t="str">
        <f>VLOOKUP(A63,XYZ!A:AK,37,0)</f>
        <v>Y</v>
      </c>
      <c r="P63" s="10" t="str">
        <f t="shared" si="2"/>
        <v>AAAY</v>
      </c>
    </row>
    <row r="64" spans="1:16" x14ac:dyDescent="0.2">
      <c r="A64" t="s">
        <v>76</v>
      </c>
      <c r="B64" s="8">
        <v>85</v>
      </c>
      <c r="C64" s="8">
        <v>18080.979999999992</v>
      </c>
      <c r="D64" s="9">
        <v>2.8333333333333335</v>
      </c>
      <c r="F64" s="12">
        <v>1.0069896931643171E-2</v>
      </c>
      <c r="G64" s="13">
        <v>0.73273308849662377</v>
      </c>
      <c r="H64" s="8" t="s">
        <v>141</v>
      </c>
      <c r="I64" s="12">
        <v>1.0079680945757443E-2</v>
      </c>
      <c r="J64" s="13">
        <v>0.73962107037946012</v>
      </c>
      <c r="K64" s="8" t="s">
        <v>141</v>
      </c>
      <c r="L64" s="12">
        <f t="shared" si="4"/>
        <v>1.0069896931643172E-2</v>
      </c>
      <c r="M64" s="13">
        <f t="shared" si="3"/>
        <v>0.73273308849662411</v>
      </c>
      <c r="N64" s="8" t="str">
        <f t="shared" si="1"/>
        <v>A</v>
      </c>
      <c r="O64" s="8" t="str">
        <f>VLOOKUP(A64,XYZ!A:AK,37,0)</f>
        <v>Y</v>
      </c>
      <c r="P64" s="10" t="str">
        <f t="shared" si="2"/>
        <v>AAAY</v>
      </c>
    </row>
    <row r="65" spans="1:16" x14ac:dyDescent="0.2">
      <c r="A65" t="s">
        <v>103</v>
      </c>
      <c r="B65" s="8">
        <v>85</v>
      </c>
      <c r="C65" s="8">
        <v>17282.439999999999</v>
      </c>
      <c r="D65" s="9">
        <v>2.8333333333333335</v>
      </c>
      <c r="F65" s="12">
        <v>1.0069896931643171E-2</v>
      </c>
      <c r="G65" s="13">
        <v>0.74280298542826695</v>
      </c>
      <c r="H65" s="8" t="s">
        <v>141</v>
      </c>
      <c r="I65" s="12">
        <v>1.0041068580354105E-2</v>
      </c>
      <c r="J65" s="13">
        <v>0.74966213895981426</v>
      </c>
      <c r="K65" s="8" t="s">
        <v>141</v>
      </c>
      <c r="L65" s="12">
        <f t="shared" si="4"/>
        <v>1.0069896931643172E-2</v>
      </c>
      <c r="M65" s="13">
        <f t="shared" si="3"/>
        <v>0.74280298542826728</v>
      </c>
      <c r="N65" s="8" t="str">
        <f t="shared" si="1"/>
        <v>A</v>
      </c>
      <c r="O65" s="8" t="str">
        <f>VLOOKUP(A65,XYZ!A:AK,37,0)</f>
        <v>Z</v>
      </c>
      <c r="P65" s="10" t="str">
        <f t="shared" si="2"/>
        <v>AAAZ</v>
      </c>
    </row>
    <row r="66" spans="1:16" x14ac:dyDescent="0.2">
      <c r="A66" t="s">
        <v>86</v>
      </c>
      <c r="B66" s="8">
        <v>84</v>
      </c>
      <c r="C66" s="8">
        <v>23308.930000000004</v>
      </c>
      <c r="D66" s="9">
        <v>2.8</v>
      </c>
      <c r="F66" s="12">
        <v>9.9514275559767808E-3</v>
      </c>
      <c r="G66" s="13">
        <v>0.75275441298424373</v>
      </c>
      <c r="H66" s="8" t="s">
        <v>141</v>
      </c>
      <c r="I66" s="12">
        <v>9.9575382814083725E-3</v>
      </c>
      <c r="J66" s="13">
        <v>0.75961967724122259</v>
      </c>
      <c r="K66" s="8" t="s">
        <v>141</v>
      </c>
      <c r="L66" s="12">
        <f t="shared" si="4"/>
        <v>9.9514275559767808E-3</v>
      </c>
      <c r="M66" s="13">
        <f t="shared" si="3"/>
        <v>0.75275441298424406</v>
      </c>
      <c r="N66" s="8" t="str">
        <f t="shared" si="1"/>
        <v>A</v>
      </c>
      <c r="O66" s="8" t="str">
        <f>VLOOKUP(A66,XYZ!A:AK,37,0)</f>
        <v>Z</v>
      </c>
      <c r="P66" s="10" t="str">
        <f t="shared" si="2"/>
        <v>AAAZ</v>
      </c>
    </row>
    <row r="67" spans="1:16" x14ac:dyDescent="0.2">
      <c r="A67" t="s">
        <v>111</v>
      </c>
      <c r="B67" s="8">
        <v>84</v>
      </c>
      <c r="C67" s="8">
        <v>18629.450000000004</v>
      </c>
      <c r="D67" s="9">
        <v>2.8</v>
      </c>
      <c r="F67" s="12">
        <v>9.9514275559767808E-3</v>
      </c>
      <c r="G67" s="13">
        <v>0.7627058405402205</v>
      </c>
      <c r="H67" s="8" t="s">
        <v>141</v>
      </c>
      <c r="I67" s="12">
        <v>9.929177439318565E-3</v>
      </c>
      <c r="J67" s="13">
        <v>0.76954885468054113</v>
      </c>
      <c r="K67" s="8" t="s">
        <v>141</v>
      </c>
      <c r="L67" s="12">
        <f t="shared" si="4"/>
        <v>9.9514275559767808E-3</v>
      </c>
      <c r="M67" s="13">
        <f t="shared" si="3"/>
        <v>0.76270584054022084</v>
      </c>
      <c r="N67" s="8" t="str">
        <f t="shared" si="1"/>
        <v>A</v>
      </c>
      <c r="O67" s="8" t="str">
        <f>VLOOKUP(A67,XYZ!A:AK,37,0)</f>
        <v>Y</v>
      </c>
      <c r="P67" s="10" t="str">
        <f t="shared" si="2"/>
        <v>AAAY</v>
      </c>
    </row>
    <row r="68" spans="1:16" x14ac:dyDescent="0.2">
      <c r="A68" t="s">
        <v>64</v>
      </c>
      <c r="B68" s="8">
        <v>84</v>
      </c>
      <c r="C68" s="8">
        <v>17659.86</v>
      </c>
      <c r="D68" s="9">
        <v>2.8</v>
      </c>
      <c r="F68" s="12">
        <v>9.9514275559767808E-3</v>
      </c>
      <c r="G68" s="13">
        <v>0.77265726809619728</v>
      </c>
      <c r="H68" s="8" t="s">
        <v>141</v>
      </c>
      <c r="I68" s="12">
        <v>9.8872047576211031E-3</v>
      </c>
      <c r="J68" s="13">
        <v>0.77943605943816219</v>
      </c>
      <c r="K68" s="8" t="s">
        <v>141</v>
      </c>
      <c r="L68" s="12">
        <f t="shared" ref="L68:L93" si="5">D68/SUM($D$4:$D$93)</f>
        <v>9.9514275559767808E-3</v>
      </c>
      <c r="M68" s="13">
        <f t="shared" si="3"/>
        <v>0.77265726809619761</v>
      </c>
      <c r="N68" s="8" t="str">
        <f t="shared" si="1"/>
        <v>A</v>
      </c>
      <c r="O68" s="8" t="str">
        <f>VLOOKUP(A68,XYZ!A:AK,37,0)</f>
        <v>Y</v>
      </c>
      <c r="P68" s="10" t="str">
        <f t="shared" si="2"/>
        <v>AAAY</v>
      </c>
    </row>
    <row r="69" spans="1:16" x14ac:dyDescent="0.2">
      <c r="A69" t="s">
        <v>112</v>
      </c>
      <c r="B69" s="8">
        <v>83</v>
      </c>
      <c r="C69" s="8">
        <v>20258.300000000003</v>
      </c>
      <c r="D69" s="9">
        <v>2.7666666666666666</v>
      </c>
      <c r="F69" s="12">
        <v>9.8329581803103892E-3</v>
      </c>
      <c r="G69" s="13">
        <v>0.78249022627650766</v>
      </c>
      <c r="H69" s="8" t="s">
        <v>141</v>
      </c>
      <c r="I69" s="12">
        <v>9.8264745743089112E-3</v>
      </c>
      <c r="J69" s="13">
        <v>0.78926253401247115</v>
      </c>
      <c r="K69" s="8" t="s">
        <v>141</v>
      </c>
      <c r="L69" s="12">
        <f t="shared" si="5"/>
        <v>9.8329581803103909E-3</v>
      </c>
      <c r="M69" s="13">
        <f t="shared" si="3"/>
        <v>0.78249022627650799</v>
      </c>
      <c r="N69" s="8" t="str">
        <f t="shared" ref="N69:N93" si="6">IF(M69&lt;0.8,"A",IF(M69&lt; 0.95,"B","C"))</f>
        <v>A</v>
      </c>
      <c r="O69" s="8" t="str">
        <f>VLOOKUP(A69,XYZ!A:AK,37,0)</f>
        <v>Z</v>
      </c>
      <c r="P69" s="10" t="str">
        <f t="shared" ref="P69:P93" si="7">H69&amp;K69&amp;N69&amp;O69</f>
        <v>AAAZ</v>
      </c>
    </row>
    <row r="70" spans="1:16" x14ac:dyDescent="0.2">
      <c r="A70" t="s">
        <v>102</v>
      </c>
      <c r="B70" s="8">
        <v>83</v>
      </c>
      <c r="C70" s="8">
        <v>19045.539999999994</v>
      </c>
      <c r="D70" s="9">
        <v>2.7666666666666666</v>
      </c>
      <c r="F70" s="12">
        <v>9.8329581803103892E-3</v>
      </c>
      <c r="G70" s="13">
        <v>0.79232318445681804</v>
      </c>
      <c r="H70" s="8" t="s">
        <v>141</v>
      </c>
      <c r="I70" s="12">
        <v>9.584998037910757E-3</v>
      </c>
      <c r="J70" s="13">
        <v>0.79884753205038195</v>
      </c>
      <c r="K70" s="8" t="s">
        <v>141</v>
      </c>
      <c r="L70" s="12">
        <f t="shared" si="5"/>
        <v>9.8329581803103909E-3</v>
      </c>
      <c r="M70" s="13">
        <f t="shared" ref="M70:M93" si="8">M69+L70</f>
        <v>0.79232318445681837</v>
      </c>
      <c r="N70" s="8" t="str">
        <f t="shared" si="6"/>
        <v>A</v>
      </c>
      <c r="O70" s="8" t="str">
        <f>VLOOKUP(A70,XYZ!A:AK,37,0)</f>
        <v>Y</v>
      </c>
      <c r="P70" s="10" t="str">
        <f t="shared" si="7"/>
        <v>AAAY</v>
      </c>
    </row>
    <row r="71" spans="1:16" x14ac:dyDescent="0.2">
      <c r="A71" t="s">
        <v>105</v>
      </c>
      <c r="B71" s="8">
        <v>83</v>
      </c>
      <c r="C71" s="8">
        <v>18922.950000000004</v>
      </c>
      <c r="D71" s="9">
        <v>2.7666666666666666</v>
      </c>
      <c r="F71" s="12">
        <v>9.8329581803103892E-3</v>
      </c>
      <c r="G71" s="13">
        <v>0.80215614263712842</v>
      </c>
      <c r="H71" s="8" t="s">
        <v>142</v>
      </c>
      <c r="I71" s="12">
        <v>9.5792724228376917E-3</v>
      </c>
      <c r="J71" s="13">
        <v>0.80842680447321968</v>
      </c>
      <c r="K71" s="8" t="s">
        <v>142</v>
      </c>
      <c r="L71" s="12">
        <f t="shared" si="5"/>
        <v>9.8329581803103909E-3</v>
      </c>
      <c r="M71" s="13">
        <f t="shared" si="8"/>
        <v>0.80215614263712876</v>
      </c>
      <c r="N71" s="8" t="str">
        <f t="shared" si="6"/>
        <v>B</v>
      </c>
      <c r="O71" s="8" t="str">
        <f>VLOOKUP(A71,XYZ!A:AK,37,0)</f>
        <v>Z</v>
      </c>
      <c r="P71" s="10" t="str">
        <f t="shared" si="7"/>
        <v>BBBZ</v>
      </c>
    </row>
    <row r="72" spans="1:16" x14ac:dyDescent="0.2">
      <c r="A72" t="s">
        <v>110</v>
      </c>
      <c r="B72" s="8">
        <v>83</v>
      </c>
      <c r="C72" s="8">
        <v>18584.399999999998</v>
      </c>
      <c r="D72" s="9">
        <v>2.7666666666666666</v>
      </c>
      <c r="F72" s="12">
        <v>9.8329581803103892E-3</v>
      </c>
      <c r="G72" s="13">
        <v>0.8119891008174388</v>
      </c>
      <c r="H72" s="8" t="s">
        <v>142</v>
      </c>
      <c r="I72" s="12">
        <v>9.5099623456374668E-3</v>
      </c>
      <c r="J72" s="13">
        <v>0.81793676681885719</v>
      </c>
      <c r="K72" s="8" t="s">
        <v>142</v>
      </c>
      <c r="L72" s="12">
        <f t="shared" si="5"/>
        <v>9.8329581803103909E-3</v>
      </c>
      <c r="M72" s="13">
        <f t="shared" si="8"/>
        <v>0.81198910081743914</v>
      </c>
      <c r="N72" s="8" t="str">
        <f t="shared" si="6"/>
        <v>B</v>
      </c>
      <c r="O72" s="8" t="str">
        <f>VLOOKUP(A72,XYZ!A:AK,37,0)</f>
        <v>Y</v>
      </c>
      <c r="P72" s="10" t="str">
        <f t="shared" si="7"/>
        <v>BBBY</v>
      </c>
    </row>
    <row r="73" spans="1:16" x14ac:dyDescent="0.2">
      <c r="A73" t="s">
        <v>82</v>
      </c>
      <c r="B73" s="8">
        <v>83</v>
      </c>
      <c r="C73" s="8">
        <v>17761.640000000003</v>
      </c>
      <c r="D73" s="9">
        <v>2.7666666666666666</v>
      </c>
      <c r="F73" s="12">
        <v>9.8329581803103892E-3</v>
      </c>
      <c r="G73" s="13">
        <v>0.82182205899774918</v>
      </c>
      <c r="H73" s="8" t="s">
        <v>142</v>
      </c>
      <c r="I73" s="12">
        <v>9.4198763027202904E-3</v>
      </c>
      <c r="J73" s="13">
        <v>0.82735664312157753</v>
      </c>
      <c r="K73" s="8" t="s">
        <v>142</v>
      </c>
      <c r="L73" s="12">
        <f t="shared" si="5"/>
        <v>9.8329581803103909E-3</v>
      </c>
      <c r="M73" s="13">
        <f t="shared" si="8"/>
        <v>0.82182205899774952</v>
      </c>
      <c r="N73" s="8" t="str">
        <f t="shared" si="6"/>
        <v>B</v>
      </c>
      <c r="O73" s="8" t="str">
        <f>VLOOKUP(A73,XYZ!A:AK,37,0)</f>
        <v>Z</v>
      </c>
      <c r="P73" s="10" t="str">
        <f t="shared" si="7"/>
        <v>BBBZ</v>
      </c>
    </row>
    <row r="74" spans="1:16" x14ac:dyDescent="0.2">
      <c r="A74" t="s">
        <v>97</v>
      </c>
      <c r="B74" s="8">
        <v>83</v>
      </c>
      <c r="C74" s="8">
        <v>16567.329999999998</v>
      </c>
      <c r="D74" s="9">
        <v>2.7666666666666666</v>
      </c>
      <c r="F74" s="12">
        <v>9.8329581803103892E-3</v>
      </c>
      <c r="G74" s="13">
        <v>0.83165501717805956</v>
      </c>
      <c r="H74" s="8" t="s">
        <v>142</v>
      </c>
      <c r="I74" s="12">
        <v>9.396672494266305E-3</v>
      </c>
      <c r="J74" s="13">
        <v>0.83675331561584387</v>
      </c>
      <c r="K74" s="8" t="s">
        <v>142</v>
      </c>
      <c r="L74" s="12">
        <f t="shared" si="5"/>
        <v>9.8329581803103909E-3</v>
      </c>
      <c r="M74" s="13">
        <f t="shared" si="8"/>
        <v>0.8316550171780599</v>
      </c>
      <c r="N74" s="8" t="str">
        <f t="shared" si="6"/>
        <v>B</v>
      </c>
      <c r="O74" s="8" t="str">
        <f>VLOOKUP(A74,XYZ!A:AK,37,0)</f>
        <v>Z</v>
      </c>
      <c r="P74" s="10" t="str">
        <f t="shared" si="7"/>
        <v>BBBZ</v>
      </c>
    </row>
    <row r="75" spans="1:16" x14ac:dyDescent="0.2">
      <c r="A75" t="s">
        <v>119</v>
      </c>
      <c r="B75" s="8">
        <v>82</v>
      </c>
      <c r="C75" s="8">
        <v>16134.539999999997</v>
      </c>
      <c r="D75" s="9">
        <v>2.7333333333333334</v>
      </c>
      <c r="F75" s="12">
        <v>9.7144888046439993E-3</v>
      </c>
      <c r="G75" s="13">
        <v>0.84136950598270355</v>
      </c>
      <c r="H75" s="8" t="s">
        <v>142</v>
      </c>
      <c r="I75" s="12">
        <v>9.3897187432887916E-3</v>
      </c>
      <c r="J75" s="13">
        <v>0.84614303435913263</v>
      </c>
      <c r="K75" s="8" t="s">
        <v>142</v>
      </c>
      <c r="L75" s="12">
        <f t="shared" si="5"/>
        <v>9.714488804644001E-3</v>
      </c>
      <c r="M75" s="13">
        <f t="shared" si="8"/>
        <v>0.84136950598270388</v>
      </c>
      <c r="N75" s="8" t="str">
        <f t="shared" si="6"/>
        <v>B</v>
      </c>
      <c r="O75" s="8" t="str">
        <f>VLOOKUP(A75,XYZ!A:AK,37,0)</f>
        <v>Z</v>
      </c>
      <c r="P75" s="10" t="str">
        <f t="shared" si="7"/>
        <v>BBBZ</v>
      </c>
    </row>
    <row r="76" spans="1:16" x14ac:dyDescent="0.2">
      <c r="A76" t="s">
        <v>42</v>
      </c>
      <c r="B76" s="8">
        <v>81</v>
      </c>
      <c r="C76" s="8">
        <v>19099.099999999999</v>
      </c>
      <c r="D76" s="9">
        <v>2.7</v>
      </c>
      <c r="F76" s="12">
        <v>9.5960194289776094E-3</v>
      </c>
      <c r="G76" s="13">
        <v>0.85096552541168113</v>
      </c>
      <c r="H76" s="8" t="s">
        <v>142</v>
      </c>
      <c r="I76" s="12">
        <v>9.2989788317187801E-3</v>
      </c>
      <c r="J76" s="13">
        <v>0.85544201319085145</v>
      </c>
      <c r="K76" s="8" t="s">
        <v>142</v>
      </c>
      <c r="L76" s="12">
        <f t="shared" si="5"/>
        <v>9.5960194289776111E-3</v>
      </c>
      <c r="M76" s="13">
        <f t="shared" si="8"/>
        <v>0.85096552541168147</v>
      </c>
      <c r="N76" s="8" t="str">
        <f t="shared" si="6"/>
        <v>B</v>
      </c>
      <c r="O76" s="8" t="str">
        <f>VLOOKUP(A76,XYZ!A:AK,37,0)</f>
        <v>Y</v>
      </c>
      <c r="P76" s="10" t="str">
        <f t="shared" si="7"/>
        <v>BBBY</v>
      </c>
    </row>
    <row r="77" spans="1:16" x14ac:dyDescent="0.2">
      <c r="A77" t="s">
        <v>128</v>
      </c>
      <c r="B77" s="8">
        <v>81</v>
      </c>
      <c r="C77" s="8">
        <v>18869.150000000001</v>
      </c>
      <c r="D77" s="9">
        <v>2.7</v>
      </c>
      <c r="F77" s="12">
        <v>9.5960194289776094E-3</v>
      </c>
      <c r="G77" s="13">
        <v>0.86056154484065872</v>
      </c>
      <c r="H77" s="8" t="s">
        <v>142</v>
      </c>
      <c r="I77" s="12">
        <v>9.2251769611643181E-3</v>
      </c>
      <c r="J77" s="13">
        <v>0.86466719015201576</v>
      </c>
      <c r="K77" s="8" t="s">
        <v>142</v>
      </c>
      <c r="L77" s="12">
        <f t="shared" si="5"/>
        <v>9.5960194289776111E-3</v>
      </c>
      <c r="M77" s="13">
        <f t="shared" si="8"/>
        <v>0.86056154484065905</v>
      </c>
      <c r="N77" s="8" t="str">
        <f t="shared" si="6"/>
        <v>B</v>
      </c>
      <c r="O77" s="8" t="str">
        <f>VLOOKUP(A77,XYZ!A:AK,37,0)</f>
        <v>Z</v>
      </c>
      <c r="P77" s="10" t="str">
        <f t="shared" si="7"/>
        <v>BBBZ</v>
      </c>
    </row>
    <row r="78" spans="1:16" x14ac:dyDescent="0.2">
      <c r="A78" t="s">
        <v>114</v>
      </c>
      <c r="B78" s="8">
        <v>80</v>
      </c>
      <c r="C78" s="8">
        <v>17858.890000000003</v>
      </c>
      <c r="D78" s="9">
        <v>2.6666666666666665</v>
      </c>
      <c r="F78" s="12">
        <v>9.4775500533112195E-3</v>
      </c>
      <c r="G78" s="13">
        <v>0.87003909489396991</v>
      </c>
      <c r="H78" s="8" t="s">
        <v>142</v>
      </c>
      <c r="I78" s="12">
        <v>9.1832440801674631E-3</v>
      </c>
      <c r="J78" s="13">
        <v>0.87385043423218323</v>
      </c>
      <c r="K78" s="8" t="s">
        <v>142</v>
      </c>
      <c r="L78" s="12">
        <f t="shared" si="5"/>
        <v>9.4775500533112195E-3</v>
      </c>
      <c r="M78" s="13">
        <f t="shared" si="8"/>
        <v>0.87003909489397024</v>
      </c>
      <c r="N78" s="8" t="str">
        <f t="shared" si="6"/>
        <v>B</v>
      </c>
      <c r="O78" s="8" t="str">
        <f>VLOOKUP(A78,XYZ!A:AK,37,0)</f>
        <v>Z</v>
      </c>
      <c r="P78" s="10" t="str">
        <f t="shared" si="7"/>
        <v>BBBZ</v>
      </c>
    </row>
    <row r="79" spans="1:16" x14ac:dyDescent="0.2">
      <c r="A79" t="s">
        <v>107</v>
      </c>
      <c r="B79" s="8">
        <v>80</v>
      </c>
      <c r="C79" s="8">
        <v>16526.520000000004</v>
      </c>
      <c r="D79" s="9">
        <v>2.6666666666666665</v>
      </c>
      <c r="F79" s="12">
        <v>9.4775500533112195E-3</v>
      </c>
      <c r="G79" s="13">
        <v>0.8795166449472811</v>
      </c>
      <c r="H79" s="8" t="s">
        <v>142</v>
      </c>
      <c r="I79" s="12">
        <v>9.1737999424948147E-3</v>
      </c>
      <c r="J79" s="13">
        <v>0.88302423417467801</v>
      </c>
      <c r="K79" s="8" t="s">
        <v>142</v>
      </c>
      <c r="L79" s="12">
        <f t="shared" si="5"/>
        <v>9.4775500533112195E-3</v>
      </c>
      <c r="M79" s="13">
        <f t="shared" si="8"/>
        <v>0.87951664494728143</v>
      </c>
      <c r="N79" s="8" t="str">
        <f t="shared" si="6"/>
        <v>B</v>
      </c>
      <c r="O79" s="8" t="str">
        <f>VLOOKUP(A79,XYZ!A:AK,37,0)</f>
        <v>Z</v>
      </c>
      <c r="P79" s="10" t="str">
        <f t="shared" si="7"/>
        <v>BBBZ</v>
      </c>
    </row>
    <row r="80" spans="1:16" x14ac:dyDescent="0.2">
      <c r="A80" t="s">
        <v>104</v>
      </c>
      <c r="B80" s="8">
        <v>80</v>
      </c>
      <c r="C80" s="8">
        <v>16151.149999999998</v>
      </c>
      <c r="D80" s="9">
        <v>2.6666666666666665</v>
      </c>
      <c r="F80" s="12">
        <v>9.4775500533112195E-3</v>
      </c>
      <c r="G80" s="13">
        <v>0.88899419500059229</v>
      </c>
      <c r="H80" s="8" t="s">
        <v>142</v>
      </c>
      <c r="I80" s="12">
        <v>8.9712712345479777E-3</v>
      </c>
      <c r="J80" s="13">
        <v>0.89199550540922601</v>
      </c>
      <c r="K80" s="8" t="s">
        <v>142</v>
      </c>
      <c r="L80" s="12">
        <f t="shared" si="5"/>
        <v>9.4775500533112195E-3</v>
      </c>
      <c r="M80" s="13">
        <f t="shared" si="8"/>
        <v>0.88899419500059262</v>
      </c>
      <c r="N80" s="8" t="str">
        <f t="shared" si="6"/>
        <v>B</v>
      </c>
      <c r="O80" s="8" t="str">
        <f>VLOOKUP(A80,XYZ!A:AK,37,0)</f>
        <v>Z</v>
      </c>
      <c r="P80" s="10" t="str">
        <f t="shared" si="7"/>
        <v>BBBZ</v>
      </c>
    </row>
    <row r="81" spans="1:16" x14ac:dyDescent="0.2">
      <c r="A81" t="s">
        <v>87</v>
      </c>
      <c r="B81" s="8">
        <v>78</v>
      </c>
      <c r="C81" s="8">
        <v>16725.77</v>
      </c>
      <c r="D81" s="9">
        <v>2.6</v>
      </c>
      <c r="F81" s="12">
        <v>9.2406113019784381E-3</v>
      </c>
      <c r="G81" s="13">
        <v>0.89823480630257069</v>
      </c>
      <c r="H81" s="8" t="s">
        <v>142</v>
      </c>
      <c r="I81" s="12">
        <v>8.9433311427217325E-3</v>
      </c>
      <c r="J81" s="13">
        <v>0.90093883655194773</v>
      </c>
      <c r="K81" s="8" t="s">
        <v>142</v>
      </c>
      <c r="L81" s="12">
        <f t="shared" si="5"/>
        <v>9.2406113019784398E-3</v>
      </c>
      <c r="M81" s="13">
        <f t="shared" si="8"/>
        <v>0.89823480630257102</v>
      </c>
      <c r="N81" s="8" t="str">
        <f t="shared" si="6"/>
        <v>B</v>
      </c>
      <c r="O81" s="8" t="str">
        <f>VLOOKUP(A81,XYZ!A:AK,37,0)</f>
        <v>Y</v>
      </c>
      <c r="P81" s="10" t="str">
        <f t="shared" si="7"/>
        <v>BBBY</v>
      </c>
    </row>
    <row r="82" spans="1:16" x14ac:dyDescent="0.2">
      <c r="A82" t="s">
        <v>125</v>
      </c>
      <c r="B82" s="8">
        <v>78</v>
      </c>
      <c r="C82" s="8">
        <v>15168.570000000002</v>
      </c>
      <c r="D82" s="9">
        <v>2.6</v>
      </c>
      <c r="F82" s="12">
        <v>9.2406113019784381E-3</v>
      </c>
      <c r="G82" s="13">
        <v>0.90747541760454908</v>
      </c>
      <c r="H82" s="8" t="s">
        <v>142</v>
      </c>
      <c r="I82" s="12">
        <v>8.85559334114038E-3</v>
      </c>
      <c r="J82" s="13">
        <v>0.90979442989308812</v>
      </c>
      <c r="K82" s="8" t="s">
        <v>142</v>
      </c>
      <c r="L82" s="12">
        <f t="shared" si="5"/>
        <v>9.2406113019784398E-3</v>
      </c>
      <c r="M82" s="13">
        <f t="shared" si="8"/>
        <v>0.90747541760454942</v>
      </c>
      <c r="N82" s="8" t="str">
        <f t="shared" si="6"/>
        <v>B</v>
      </c>
      <c r="O82" s="8" t="str">
        <f>VLOOKUP(A82,XYZ!A:AK,37,0)</f>
        <v>Z</v>
      </c>
      <c r="P82" s="10" t="str">
        <f t="shared" si="7"/>
        <v>BBBZ</v>
      </c>
    </row>
    <row r="83" spans="1:16" x14ac:dyDescent="0.2">
      <c r="A83" t="s">
        <v>127</v>
      </c>
      <c r="B83" s="8">
        <v>75</v>
      </c>
      <c r="C83" s="8">
        <v>15729.200000000003</v>
      </c>
      <c r="D83" s="9">
        <v>2.5</v>
      </c>
      <c r="F83" s="12">
        <v>8.8852031749792684E-3</v>
      </c>
      <c r="G83" s="13">
        <v>0.9163606207795284</v>
      </c>
      <c r="H83" s="8" t="s">
        <v>142</v>
      </c>
      <c r="I83" s="12">
        <v>8.8343966251598644E-3</v>
      </c>
      <c r="J83" s="13">
        <v>0.91862882651824795</v>
      </c>
      <c r="K83" s="8" t="s">
        <v>142</v>
      </c>
      <c r="L83" s="12">
        <f t="shared" si="5"/>
        <v>8.8852031749792702E-3</v>
      </c>
      <c r="M83" s="13">
        <f t="shared" si="8"/>
        <v>0.91636062077952873</v>
      </c>
      <c r="N83" s="8" t="str">
        <f t="shared" si="6"/>
        <v>B</v>
      </c>
      <c r="O83" s="8" t="str">
        <f>VLOOKUP(A83,XYZ!A:AK,37,0)</f>
        <v>Z</v>
      </c>
      <c r="P83" s="10" t="str">
        <f t="shared" si="7"/>
        <v>BBBZ</v>
      </c>
    </row>
    <row r="84" spans="1:16" x14ac:dyDescent="0.2">
      <c r="A84" t="s">
        <v>89</v>
      </c>
      <c r="B84" s="8">
        <v>75</v>
      </c>
      <c r="C84" s="8">
        <v>14915.619999999995</v>
      </c>
      <c r="D84" s="9">
        <v>2.5</v>
      </c>
      <c r="F84" s="12">
        <v>8.8852031749792684E-3</v>
      </c>
      <c r="G84" s="13">
        <v>0.92524582395450772</v>
      </c>
      <c r="H84" s="8" t="s">
        <v>142</v>
      </c>
      <c r="I84" s="12">
        <v>8.6824204927985205E-3</v>
      </c>
      <c r="J84" s="13">
        <v>0.9273112470110465</v>
      </c>
      <c r="K84" s="8" t="s">
        <v>142</v>
      </c>
      <c r="L84" s="12">
        <f t="shared" si="5"/>
        <v>8.8852031749792702E-3</v>
      </c>
      <c r="M84" s="13">
        <f t="shared" si="8"/>
        <v>0.92524582395450805</v>
      </c>
      <c r="N84" s="8" t="str">
        <f t="shared" si="6"/>
        <v>B</v>
      </c>
      <c r="O84" s="8" t="str">
        <f>VLOOKUP(A84,XYZ!A:AK,37,0)</f>
        <v>Y</v>
      </c>
      <c r="P84" s="10" t="str">
        <f t="shared" si="7"/>
        <v>BBBY</v>
      </c>
    </row>
    <row r="85" spans="1:16" x14ac:dyDescent="0.2">
      <c r="A85" t="s">
        <v>121</v>
      </c>
      <c r="B85" s="8">
        <v>74</v>
      </c>
      <c r="C85" s="8">
        <v>17389.25</v>
      </c>
      <c r="D85" s="9">
        <v>2.4666666666666668</v>
      </c>
      <c r="F85" s="12">
        <v>8.7667337993128768E-3</v>
      </c>
      <c r="G85" s="13">
        <v>0.93401255775382064</v>
      </c>
      <c r="H85" s="8" t="s">
        <v>142</v>
      </c>
      <c r="I85" s="12">
        <v>8.6641235421479612E-3</v>
      </c>
      <c r="J85" s="13">
        <v>0.93597537055319446</v>
      </c>
      <c r="K85" s="8" t="s">
        <v>142</v>
      </c>
      <c r="L85" s="12">
        <f t="shared" si="5"/>
        <v>8.7667337993128803E-3</v>
      </c>
      <c r="M85" s="13">
        <f t="shared" si="8"/>
        <v>0.93401255775382097</v>
      </c>
      <c r="N85" s="8" t="str">
        <f t="shared" si="6"/>
        <v>B</v>
      </c>
      <c r="O85" s="8" t="str">
        <f>VLOOKUP(A85,XYZ!A:AK,37,0)</f>
        <v>Z</v>
      </c>
      <c r="P85" s="10" t="str">
        <f t="shared" si="7"/>
        <v>BBBZ</v>
      </c>
    </row>
    <row r="86" spans="1:16" x14ac:dyDescent="0.2">
      <c r="A86" t="s">
        <v>99</v>
      </c>
      <c r="B86" s="8">
        <v>74</v>
      </c>
      <c r="C86" s="8">
        <v>15574.890000000001</v>
      </c>
      <c r="D86" s="9">
        <v>2.4666666666666668</v>
      </c>
      <c r="F86" s="12">
        <v>8.7667337993128768E-3</v>
      </c>
      <c r="G86" s="13">
        <v>0.94277929155313356</v>
      </c>
      <c r="H86" s="8" t="s">
        <v>142</v>
      </c>
      <c r="I86" s="12">
        <v>8.6387534384180682E-3</v>
      </c>
      <c r="J86" s="13">
        <v>0.94461412399161249</v>
      </c>
      <c r="K86" s="8" t="s">
        <v>142</v>
      </c>
      <c r="L86" s="12">
        <f t="shared" si="5"/>
        <v>8.7667337993128803E-3</v>
      </c>
      <c r="M86" s="13">
        <f t="shared" si="8"/>
        <v>0.94277929155313389</v>
      </c>
      <c r="N86" s="8" t="str">
        <f t="shared" si="6"/>
        <v>B</v>
      </c>
      <c r="O86" s="8" t="str">
        <f>VLOOKUP(A86,XYZ!A:AK,37,0)</f>
        <v>Y</v>
      </c>
      <c r="P86" s="10" t="str">
        <f t="shared" si="7"/>
        <v>BBBY</v>
      </c>
    </row>
    <row r="87" spans="1:16" x14ac:dyDescent="0.2">
      <c r="A87" t="s">
        <v>122</v>
      </c>
      <c r="B87" s="8">
        <v>73</v>
      </c>
      <c r="C87" s="8">
        <v>16224.899999999998</v>
      </c>
      <c r="D87" s="9">
        <v>2.4333333333333331</v>
      </c>
      <c r="F87" s="12">
        <v>8.6482644236464869E-3</v>
      </c>
      <c r="G87" s="13">
        <v>0.95142755597678008</v>
      </c>
      <c r="H87" s="8" t="s">
        <v>143</v>
      </c>
      <c r="I87" s="12">
        <v>8.624567331558794E-3</v>
      </c>
      <c r="J87" s="13">
        <v>0.95323869132317129</v>
      </c>
      <c r="K87" s="8" t="s">
        <v>143</v>
      </c>
      <c r="L87" s="12">
        <f t="shared" si="5"/>
        <v>8.6482644236464887E-3</v>
      </c>
      <c r="M87" s="13">
        <f t="shared" si="8"/>
        <v>0.95142755597678041</v>
      </c>
      <c r="N87" s="8" t="str">
        <f t="shared" si="6"/>
        <v>C</v>
      </c>
      <c r="O87" s="8" t="str">
        <f>VLOOKUP(A87,XYZ!A:AK,37,0)</f>
        <v>Z</v>
      </c>
      <c r="P87" s="10" t="str">
        <f t="shared" si="7"/>
        <v>CCCZ</v>
      </c>
    </row>
    <row r="88" spans="1:16" x14ac:dyDescent="0.2">
      <c r="A88" t="s">
        <v>124</v>
      </c>
      <c r="B88" s="8">
        <v>73</v>
      </c>
      <c r="C88" s="8">
        <v>15270.32</v>
      </c>
      <c r="D88" s="9">
        <v>2.4333333333333331</v>
      </c>
      <c r="F88" s="12">
        <v>8.6482644236464869E-3</v>
      </c>
      <c r="G88" s="13">
        <v>0.9600758204004266</v>
      </c>
      <c r="H88" s="8" t="s">
        <v>143</v>
      </c>
      <c r="I88" s="12">
        <v>8.5000991691313831E-3</v>
      </c>
      <c r="J88" s="13">
        <v>0.96173879049230271</v>
      </c>
      <c r="K88" s="8" t="s">
        <v>143</v>
      </c>
      <c r="L88" s="12">
        <f t="shared" si="5"/>
        <v>8.6482644236464887E-3</v>
      </c>
      <c r="M88" s="13">
        <f t="shared" si="8"/>
        <v>0.96007582040042694</v>
      </c>
      <c r="N88" s="8" t="str">
        <f t="shared" si="6"/>
        <v>C</v>
      </c>
      <c r="O88" s="8" t="str">
        <f>VLOOKUP(A88,XYZ!A:AK,37,0)</f>
        <v>Z</v>
      </c>
      <c r="P88" s="10" t="str">
        <f t="shared" si="7"/>
        <v>CCCZ</v>
      </c>
    </row>
    <row r="89" spans="1:16" x14ac:dyDescent="0.2">
      <c r="A89" t="s">
        <v>71</v>
      </c>
      <c r="B89" s="8">
        <v>73</v>
      </c>
      <c r="C89" s="8">
        <v>15238.140000000001</v>
      </c>
      <c r="D89" s="9">
        <v>2.4333333333333331</v>
      </c>
      <c r="F89" s="12">
        <v>8.6482644236464869E-3</v>
      </c>
      <c r="G89" s="13">
        <v>0.96872408482407313</v>
      </c>
      <c r="H89" s="8" t="s">
        <v>143</v>
      </c>
      <c r="I89" s="12">
        <v>8.480744657007544E-3</v>
      </c>
      <c r="J89" s="13">
        <v>0.97021953514931025</v>
      </c>
      <c r="K89" s="8" t="s">
        <v>143</v>
      </c>
      <c r="L89" s="12">
        <f t="shared" si="5"/>
        <v>8.6482644236464887E-3</v>
      </c>
      <c r="M89" s="13">
        <f t="shared" si="8"/>
        <v>0.96872408482407346</v>
      </c>
      <c r="N89" s="8" t="str">
        <f t="shared" si="6"/>
        <v>C</v>
      </c>
      <c r="O89" s="8" t="str">
        <f>VLOOKUP(A89,XYZ!A:AK,37,0)</f>
        <v>Y</v>
      </c>
      <c r="P89" s="10" t="str">
        <f t="shared" si="7"/>
        <v>CCCY</v>
      </c>
    </row>
    <row r="90" spans="1:16" x14ac:dyDescent="0.2">
      <c r="A90" t="s">
        <v>116</v>
      </c>
      <c r="B90" s="8">
        <v>72</v>
      </c>
      <c r="C90" s="8">
        <v>14062.990000000002</v>
      </c>
      <c r="D90" s="9">
        <v>2.4</v>
      </c>
      <c r="F90" s="12">
        <v>8.5297950479800971E-3</v>
      </c>
      <c r="G90" s="13">
        <v>0.97725387987205325</v>
      </c>
      <c r="H90" s="8" t="s">
        <v>143</v>
      </c>
      <c r="I90" s="12">
        <v>8.430061307691486E-3</v>
      </c>
      <c r="J90" s="13">
        <v>0.97864959645700178</v>
      </c>
      <c r="K90" s="8" t="s">
        <v>143</v>
      </c>
      <c r="L90" s="12">
        <f t="shared" si="5"/>
        <v>8.5297950479800988E-3</v>
      </c>
      <c r="M90" s="13">
        <f t="shared" si="8"/>
        <v>0.97725387987205359</v>
      </c>
      <c r="N90" s="8" t="str">
        <f t="shared" si="6"/>
        <v>C</v>
      </c>
      <c r="O90" s="8" t="str">
        <f>VLOOKUP(A90,XYZ!A:AK,37,0)</f>
        <v>Y</v>
      </c>
      <c r="P90" s="10" t="str">
        <f t="shared" si="7"/>
        <v>CCCY</v>
      </c>
    </row>
    <row r="91" spans="1:16" x14ac:dyDescent="0.2">
      <c r="A91" t="s">
        <v>81</v>
      </c>
      <c r="B91" s="8">
        <v>69</v>
      </c>
      <c r="C91" s="8">
        <v>15193.52</v>
      </c>
      <c r="D91" s="9">
        <v>2.2999999999999998</v>
      </c>
      <c r="F91" s="12">
        <v>8.1743869209809257E-3</v>
      </c>
      <c r="G91" s="13">
        <v>0.98542826679303419</v>
      </c>
      <c r="H91" s="8" t="s">
        <v>143</v>
      </c>
      <c r="I91" s="12">
        <v>7.995955066168927E-3</v>
      </c>
      <c r="J91" s="13">
        <v>0.98664555152317068</v>
      </c>
      <c r="K91" s="8" t="s">
        <v>143</v>
      </c>
      <c r="L91" s="12">
        <f t="shared" si="5"/>
        <v>8.1743869209809274E-3</v>
      </c>
      <c r="M91" s="13">
        <f t="shared" si="8"/>
        <v>0.98542826679303452</v>
      </c>
      <c r="N91" s="8" t="str">
        <f t="shared" si="6"/>
        <v>C</v>
      </c>
      <c r="O91" s="8" t="str">
        <f>VLOOKUP(A91,XYZ!A:AK,37,0)</f>
        <v>Y</v>
      </c>
      <c r="P91" s="10" t="str">
        <f t="shared" si="7"/>
        <v>CCCY</v>
      </c>
    </row>
    <row r="92" spans="1:16" x14ac:dyDescent="0.2">
      <c r="A92" t="s">
        <v>118</v>
      </c>
      <c r="B92" s="8">
        <v>67</v>
      </c>
      <c r="C92" s="8">
        <v>12637.65</v>
      </c>
      <c r="D92" s="9">
        <v>2.2333333333333334</v>
      </c>
      <c r="F92" s="12">
        <v>7.937448169648146E-3</v>
      </c>
      <c r="G92" s="13">
        <v>0.99336571496268233</v>
      </c>
      <c r="H92" s="8" t="s">
        <v>143</v>
      </c>
      <c r="I92" s="12">
        <v>7.1855332004054414E-3</v>
      </c>
      <c r="J92" s="13">
        <v>0.99383108472357617</v>
      </c>
      <c r="K92" s="8" t="s">
        <v>143</v>
      </c>
      <c r="L92" s="12">
        <f t="shared" si="5"/>
        <v>7.9374481696481477E-3</v>
      </c>
      <c r="M92" s="13">
        <f t="shared" si="8"/>
        <v>0.99336571496268267</v>
      </c>
      <c r="N92" s="8" t="str">
        <f t="shared" si="6"/>
        <v>C</v>
      </c>
      <c r="O92" s="8" t="str">
        <f>VLOOKUP(A92,XYZ!A:AK,37,0)</f>
        <v>Z</v>
      </c>
      <c r="P92" s="10" t="str">
        <f t="shared" si="7"/>
        <v>CCCZ</v>
      </c>
    </row>
    <row r="93" spans="1:16" x14ac:dyDescent="0.2">
      <c r="A93" t="s">
        <v>95</v>
      </c>
      <c r="B93" s="8">
        <v>56</v>
      </c>
      <c r="C93" s="8">
        <v>10849.660000000002</v>
      </c>
      <c r="D93" s="9">
        <v>1.8666666666666667</v>
      </c>
      <c r="F93" s="12">
        <v>6.634285037317853E-3</v>
      </c>
      <c r="G93" s="13">
        <v>1.0000000000000002</v>
      </c>
      <c r="H93" s="8" t="s">
        <v>143</v>
      </c>
      <c r="I93" s="12">
        <v>6.1689152764248826E-3</v>
      </c>
      <c r="J93" s="13">
        <v>1.0000000000000011</v>
      </c>
      <c r="K93" s="8" t="s">
        <v>143</v>
      </c>
      <c r="L93" s="12">
        <f t="shared" si="5"/>
        <v>6.6342850373178547E-3</v>
      </c>
      <c r="M93" s="13">
        <f t="shared" si="8"/>
        <v>1.0000000000000004</v>
      </c>
      <c r="N93" s="8" t="str">
        <f t="shared" si="6"/>
        <v>C</v>
      </c>
      <c r="O93" s="8" t="str">
        <f>VLOOKUP(A93,XYZ!A:AK,37,0)</f>
        <v>Z</v>
      </c>
      <c r="P93" s="10" t="str">
        <f t="shared" si="7"/>
        <v>CCCZ</v>
      </c>
    </row>
  </sheetData>
  <autoFilter ref="A3:D93" xr:uid="{8F11E9F7-0599-9F4C-A955-810470AF5E43}">
    <sortState xmlns:xlrd2="http://schemas.microsoft.com/office/spreadsheetml/2017/richdata2" ref="A4:D93">
      <sortCondition descending="1" ref="D3:D93"/>
    </sortState>
  </autoFilter>
  <mergeCells count="3">
    <mergeCell ref="F2:H2"/>
    <mergeCell ref="I2:K2"/>
    <mergeCell ref="L2:N2"/>
  </mergeCells>
  <conditionalFormatting sqref="H4:H93">
    <cfRule type="containsText" dxfId="11" priority="7" operator="containsText" text="C">
      <formula>NOT(ISERROR(SEARCH("C",H4)))</formula>
    </cfRule>
    <cfRule type="containsText" dxfId="10" priority="8" operator="containsText" text="B">
      <formula>NOT(ISERROR(SEARCH("B",H4)))</formula>
    </cfRule>
  </conditionalFormatting>
  <conditionalFormatting sqref="H4:H100">
    <cfRule type="containsText" dxfId="9" priority="9" stopIfTrue="1" operator="containsText" text="A">
      <formula>NOT(ISERROR(SEARCH("A",H4)))</formula>
    </cfRule>
  </conditionalFormatting>
  <conditionalFormatting sqref="K4:K93">
    <cfRule type="containsText" dxfId="8" priority="4" operator="containsText" text="C">
      <formula>NOT(ISERROR(SEARCH("C",K4)))</formula>
    </cfRule>
    <cfRule type="containsText" dxfId="7" priority="5" operator="containsText" text="B">
      <formula>NOT(ISERROR(SEARCH("B",K4)))</formula>
    </cfRule>
    <cfRule type="containsText" dxfId="6" priority="6" stopIfTrue="1" operator="containsText" text="A">
      <formula>NOT(ISERROR(SEARCH("A",K4)))</formula>
    </cfRule>
  </conditionalFormatting>
  <conditionalFormatting sqref="N4:N93">
    <cfRule type="containsText" dxfId="5" priority="1" operator="containsText" text="C">
      <formula>NOT(ISERROR(SEARCH("C",N4)))</formula>
    </cfRule>
    <cfRule type="containsText" dxfId="4" priority="2" operator="containsText" text="B">
      <formula>NOT(ISERROR(SEARCH("B",N4)))</formula>
    </cfRule>
    <cfRule type="containsText" dxfId="3" priority="3" stopIfTrue="1" operator="containsText" text="A">
      <formula>NOT(ISERROR(SEARCH("A",N4)))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8D72-A983-0D43-9DB6-89C8E9F81007}">
  <dimension ref="A2:AK95"/>
  <sheetViews>
    <sheetView workbookViewId="0">
      <selection activeCell="AJ4" sqref="AJ4"/>
    </sheetView>
  </sheetViews>
  <sheetFormatPr baseColWidth="10" defaultRowHeight="15" x14ac:dyDescent="0.2"/>
  <cols>
    <col min="1" max="1" width="18.83203125" bestFit="1" customWidth="1"/>
    <col min="2" max="33" width="5.33203125" customWidth="1"/>
    <col min="34" max="34" width="1.6640625" customWidth="1"/>
    <col min="35" max="35" width="6.33203125" hidden="1" customWidth="1"/>
    <col min="36" max="36" width="6.33203125" style="11" customWidth="1"/>
    <col min="37" max="37" width="10.83203125" style="8"/>
  </cols>
  <sheetData>
    <row r="2" spans="1:37" x14ac:dyDescent="0.2">
      <c r="C2" s="23" t="s">
        <v>156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7" x14ac:dyDescent="0.2">
      <c r="A3" s="3" t="s">
        <v>132</v>
      </c>
      <c r="B3" s="3" t="s">
        <v>145</v>
      </c>
    </row>
    <row r="4" spans="1:37" ht="44" x14ac:dyDescent="0.2">
      <c r="A4" s="3" t="s">
        <v>129</v>
      </c>
      <c r="B4" s="21">
        <v>44774</v>
      </c>
      <c r="C4" s="21">
        <v>44775</v>
      </c>
      <c r="D4" s="21">
        <v>44776</v>
      </c>
      <c r="E4" s="21">
        <v>44777</v>
      </c>
      <c r="F4" s="21">
        <v>44778</v>
      </c>
      <c r="G4" s="21">
        <v>44779</v>
      </c>
      <c r="H4" s="21">
        <v>44780</v>
      </c>
      <c r="I4" s="21">
        <v>44781</v>
      </c>
      <c r="J4" s="21">
        <v>44782</v>
      </c>
      <c r="K4" s="21">
        <v>44783</v>
      </c>
      <c r="L4" s="21">
        <v>44784</v>
      </c>
      <c r="M4" s="21">
        <v>44785</v>
      </c>
      <c r="N4" s="21">
        <v>44786</v>
      </c>
      <c r="O4" s="21">
        <v>44787</v>
      </c>
      <c r="P4" s="21">
        <v>44788</v>
      </c>
      <c r="Q4" s="21">
        <v>44789</v>
      </c>
      <c r="R4" s="21">
        <v>44790</v>
      </c>
      <c r="S4" s="21">
        <v>44791</v>
      </c>
      <c r="T4" s="21">
        <v>44792</v>
      </c>
      <c r="U4" s="21">
        <v>44793</v>
      </c>
      <c r="V4" s="21">
        <v>44794</v>
      </c>
      <c r="W4" s="21">
        <v>44795</v>
      </c>
      <c r="X4" s="21">
        <v>44796</v>
      </c>
      <c r="Y4" s="21">
        <v>44797</v>
      </c>
      <c r="Z4" s="21">
        <v>44798</v>
      </c>
      <c r="AA4" s="21">
        <v>44799</v>
      </c>
      <c r="AB4" s="21">
        <v>44800</v>
      </c>
      <c r="AC4" s="21">
        <v>44801</v>
      </c>
      <c r="AD4" s="21">
        <v>44802</v>
      </c>
      <c r="AE4" s="21">
        <v>44803</v>
      </c>
      <c r="AF4" s="21">
        <v>44804</v>
      </c>
      <c r="AG4" s="1" t="s">
        <v>130</v>
      </c>
      <c r="AI4" t="s">
        <v>146</v>
      </c>
    </row>
    <row r="5" spans="1:37" x14ac:dyDescent="0.2">
      <c r="A5" s="4" t="s">
        <v>49</v>
      </c>
      <c r="B5" s="6">
        <v>1</v>
      </c>
      <c r="C5" s="6">
        <v>3</v>
      </c>
      <c r="D5" s="6">
        <v>6</v>
      </c>
      <c r="E5" s="6">
        <v>3</v>
      </c>
      <c r="F5" s="6">
        <v>3</v>
      </c>
      <c r="G5" s="6">
        <v>11</v>
      </c>
      <c r="H5" s="6"/>
      <c r="I5" s="6">
        <v>2</v>
      </c>
      <c r="J5" s="6">
        <v>1</v>
      </c>
      <c r="K5" s="6"/>
      <c r="L5" s="6"/>
      <c r="M5" s="6"/>
      <c r="N5" s="6">
        <v>1</v>
      </c>
      <c r="O5" s="6">
        <v>8</v>
      </c>
      <c r="P5" s="6">
        <v>3</v>
      </c>
      <c r="Q5" s="6">
        <v>1</v>
      </c>
      <c r="R5" s="6">
        <v>3</v>
      </c>
      <c r="S5" s="6">
        <v>11</v>
      </c>
      <c r="T5" s="6">
        <v>3</v>
      </c>
      <c r="U5" s="6"/>
      <c r="V5" s="6">
        <v>2</v>
      </c>
      <c r="W5" s="6">
        <v>3</v>
      </c>
      <c r="X5" s="6">
        <v>4</v>
      </c>
      <c r="Y5" s="6">
        <v>2</v>
      </c>
      <c r="Z5" s="6">
        <v>3</v>
      </c>
      <c r="AA5" s="6">
        <v>6</v>
      </c>
      <c r="AB5" s="6"/>
      <c r="AC5" s="6">
        <v>3</v>
      </c>
      <c r="AD5" s="6">
        <v>3</v>
      </c>
      <c r="AE5" s="6"/>
      <c r="AF5" s="6">
        <v>5</v>
      </c>
      <c r="AG5" s="6">
        <v>91</v>
      </c>
      <c r="AI5">
        <f>IF(COUNT(B5:AF5)&gt;=20,COUNT(B5:AF5),"")</f>
        <v>24</v>
      </c>
      <c r="AJ5" s="11">
        <f>IF(AVERAGE(B5:AF5)&gt;0,_xlfn.STDEV.P(B5:AF5)/AVERAGE(B5:AF5),"")</f>
        <v>0.72218790332517613</v>
      </c>
      <c r="AK5" s="8" t="str">
        <f>IF(AJ5&lt;&gt;"",IF(AJ5&lt;=0.3,"X",IF(AJ5&lt;=0.6,"Y","Z")),"")</f>
        <v>Z</v>
      </c>
    </row>
    <row r="6" spans="1:37" x14ac:dyDescent="0.2">
      <c r="A6" s="4" t="s">
        <v>77</v>
      </c>
      <c r="B6" s="6">
        <v>6</v>
      </c>
      <c r="C6" s="6">
        <v>2</v>
      </c>
      <c r="D6" s="6">
        <v>6</v>
      </c>
      <c r="E6" s="6">
        <v>3</v>
      </c>
      <c r="F6" s="6">
        <v>3</v>
      </c>
      <c r="G6" s="6"/>
      <c r="H6" s="6">
        <v>2</v>
      </c>
      <c r="I6" s="6">
        <v>3</v>
      </c>
      <c r="J6" s="6"/>
      <c r="K6" s="6">
        <v>6</v>
      </c>
      <c r="L6" s="6">
        <v>7</v>
      </c>
      <c r="M6" s="6"/>
      <c r="N6" s="6">
        <v>6</v>
      </c>
      <c r="O6" s="6">
        <v>5</v>
      </c>
      <c r="P6" s="6">
        <v>4</v>
      </c>
      <c r="Q6" s="6">
        <v>2</v>
      </c>
      <c r="R6" s="6">
        <v>1</v>
      </c>
      <c r="S6" s="6">
        <v>1</v>
      </c>
      <c r="T6" s="6">
        <v>2</v>
      </c>
      <c r="U6" s="6"/>
      <c r="V6" s="6"/>
      <c r="W6" s="6">
        <v>2</v>
      </c>
      <c r="X6" s="6"/>
      <c r="Y6" s="6">
        <v>5</v>
      </c>
      <c r="Z6" s="6"/>
      <c r="AA6" s="6">
        <v>2</v>
      </c>
      <c r="AB6" s="6"/>
      <c r="AC6" s="6">
        <v>4</v>
      </c>
      <c r="AD6" s="6">
        <v>10</v>
      </c>
      <c r="AE6" s="6">
        <v>4</v>
      </c>
      <c r="AF6" s="6"/>
      <c r="AG6" s="6">
        <v>86</v>
      </c>
      <c r="AI6">
        <f t="shared" ref="AI6:AI69" si="0">IF(COUNT(B6:AF6)&gt;=20,COUNT(B6:AF6),"")</f>
        <v>22</v>
      </c>
      <c r="AJ6" s="11">
        <f t="shared" ref="AJ6:AJ69" si="1">IF(AVERAGE(B6:AF6)&gt;0,_xlfn.STDEV.P(B6:AF6)/AVERAGE(B6:AF6),"")</f>
        <v>0.5663160772970196</v>
      </c>
      <c r="AK6" s="8" t="str">
        <f t="shared" ref="AK6:AK69" si="2">IF(AJ6&lt;&gt;"",IF(AJ6&lt;=0.3,"X",IF(AJ6&lt;=0.6,"Y","Z")),"")</f>
        <v>Y</v>
      </c>
    </row>
    <row r="7" spans="1:37" x14ac:dyDescent="0.2">
      <c r="A7" s="4" t="s">
        <v>67</v>
      </c>
      <c r="B7" s="6">
        <v>2</v>
      </c>
      <c r="C7" s="6"/>
      <c r="D7" s="6">
        <v>6</v>
      </c>
      <c r="E7" s="6">
        <v>5</v>
      </c>
      <c r="F7" s="6"/>
      <c r="G7" s="6">
        <v>7</v>
      </c>
      <c r="H7" s="6">
        <v>9</v>
      </c>
      <c r="I7" s="6"/>
      <c r="J7" s="6">
        <v>2</v>
      </c>
      <c r="K7" s="6"/>
      <c r="L7" s="6">
        <v>2</v>
      </c>
      <c r="M7" s="6">
        <v>1</v>
      </c>
      <c r="N7" s="6"/>
      <c r="O7" s="6"/>
      <c r="P7" s="6">
        <v>6</v>
      </c>
      <c r="Q7" s="6">
        <v>3</v>
      </c>
      <c r="R7" s="6">
        <v>4</v>
      </c>
      <c r="S7" s="6">
        <v>2</v>
      </c>
      <c r="T7" s="6">
        <v>10</v>
      </c>
      <c r="U7" s="6">
        <v>1</v>
      </c>
      <c r="V7" s="6">
        <v>6</v>
      </c>
      <c r="W7" s="6">
        <v>3</v>
      </c>
      <c r="X7" s="6">
        <v>5</v>
      </c>
      <c r="Y7" s="6"/>
      <c r="Z7" s="6">
        <v>1</v>
      </c>
      <c r="AA7" s="6">
        <v>4</v>
      </c>
      <c r="AB7" s="6">
        <v>1</v>
      </c>
      <c r="AC7" s="6">
        <v>2</v>
      </c>
      <c r="AD7" s="6">
        <v>2</v>
      </c>
      <c r="AE7" s="6">
        <v>10</v>
      </c>
      <c r="AF7" s="6">
        <v>4</v>
      </c>
      <c r="AG7" s="6">
        <v>98</v>
      </c>
      <c r="AI7">
        <f t="shared" si="0"/>
        <v>24</v>
      </c>
      <c r="AJ7" s="11">
        <f t="shared" si="1"/>
        <v>0.67408753326178561</v>
      </c>
      <c r="AK7" s="8" t="str">
        <f t="shared" si="2"/>
        <v>Z</v>
      </c>
    </row>
    <row r="8" spans="1:37" x14ac:dyDescent="0.2">
      <c r="A8" s="4" t="s">
        <v>121</v>
      </c>
      <c r="B8" s="6">
        <v>1</v>
      </c>
      <c r="C8" s="6">
        <v>1</v>
      </c>
      <c r="D8" s="6"/>
      <c r="E8" s="6">
        <v>3</v>
      </c>
      <c r="F8" s="6">
        <v>11</v>
      </c>
      <c r="G8" s="6">
        <v>3</v>
      </c>
      <c r="H8" s="6"/>
      <c r="I8" s="6">
        <v>6</v>
      </c>
      <c r="J8" s="6"/>
      <c r="K8" s="6"/>
      <c r="L8" s="6"/>
      <c r="M8" s="6">
        <v>5</v>
      </c>
      <c r="N8" s="6">
        <v>3</v>
      </c>
      <c r="O8" s="6">
        <v>2</v>
      </c>
      <c r="P8" s="6">
        <v>2</v>
      </c>
      <c r="Q8" s="6">
        <v>3</v>
      </c>
      <c r="R8" s="6"/>
      <c r="S8" s="6"/>
      <c r="T8" s="6">
        <v>2</v>
      </c>
      <c r="U8" s="6"/>
      <c r="V8" s="6">
        <v>2</v>
      </c>
      <c r="W8" s="6">
        <v>4</v>
      </c>
      <c r="X8" s="6">
        <v>3</v>
      </c>
      <c r="Y8" s="6">
        <v>8</v>
      </c>
      <c r="Z8" s="6">
        <v>4</v>
      </c>
      <c r="AA8" s="6"/>
      <c r="AB8" s="6">
        <v>4</v>
      </c>
      <c r="AC8" s="6">
        <v>3</v>
      </c>
      <c r="AD8" s="6">
        <v>3</v>
      </c>
      <c r="AE8" s="6"/>
      <c r="AF8" s="6">
        <v>1</v>
      </c>
      <c r="AG8" s="6">
        <v>74</v>
      </c>
      <c r="AI8">
        <f t="shared" si="0"/>
        <v>21</v>
      </c>
      <c r="AJ8" s="11">
        <f t="shared" si="1"/>
        <v>0.66477696628372129</v>
      </c>
      <c r="AK8" s="8" t="str">
        <f t="shared" si="2"/>
        <v>Z</v>
      </c>
    </row>
    <row r="9" spans="1:37" x14ac:dyDescent="0.2">
      <c r="A9" s="4" t="s">
        <v>124</v>
      </c>
      <c r="B9" s="6">
        <v>1</v>
      </c>
      <c r="C9" s="6"/>
      <c r="D9" s="6">
        <v>7</v>
      </c>
      <c r="E9" s="6">
        <v>3</v>
      </c>
      <c r="F9" s="6">
        <v>1</v>
      </c>
      <c r="G9" s="6">
        <v>3</v>
      </c>
      <c r="H9" s="6">
        <v>2</v>
      </c>
      <c r="I9" s="6">
        <v>2</v>
      </c>
      <c r="J9" s="6">
        <v>5</v>
      </c>
      <c r="K9" s="6"/>
      <c r="L9" s="6">
        <v>3</v>
      </c>
      <c r="M9" s="6">
        <v>3</v>
      </c>
      <c r="N9" s="6">
        <v>3</v>
      </c>
      <c r="O9" s="6">
        <v>3</v>
      </c>
      <c r="P9" s="6">
        <v>7</v>
      </c>
      <c r="Q9" s="6">
        <v>2</v>
      </c>
      <c r="R9" s="6"/>
      <c r="S9" s="6"/>
      <c r="T9" s="6">
        <v>9</v>
      </c>
      <c r="U9" s="6"/>
      <c r="V9" s="6">
        <v>2</v>
      </c>
      <c r="W9" s="6">
        <v>3</v>
      </c>
      <c r="X9" s="6">
        <v>2</v>
      </c>
      <c r="Y9" s="6">
        <v>2</v>
      </c>
      <c r="Z9" s="6">
        <v>1</v>
      </c>
      <c r="AA9" s="6"/>
      <c r="AB9" s="6">
        <v>3</v>
      </c>
      <c r="AC9" s="6">
        <v>2</v>
      </c>
      <c r="AD9" s="6"/>
      <c r="AE9" s="6"/>
      <c r="AF9" s="6">
        <v>4</v>
      </c>
      <c r="AG9" s="6">
        <v>73</v>
      </c>
      <c r="AI9">
        <f t="shared" si="0"/>
        <v>23</v>
      </c>
      <c r="AJ9" s="11">
        <f t="shared" si="1"/>
        <v>0.62775009519943015</v>
      </c>
      <c r="AK9" s="8" t="str">
        <f t="shared" si="2"/>
        <v>Z</v>
      </c>
    </row>
    <row r="10" spans="1:37" x14ac:dyDescent="0.2">
      <c r="A10" s="4" t="s">
        <v>40</v>
      </c>
      <c r="B10" s="6">
        <v>2</v>
      </c>
      <c r="C10" s="6">
        <v>2</v>
      </c>
      <c r="D10" s="6">
        <v>4</v>
      </c>
      <c r="E10" s="6">
        <v>6</v>
      </c>
      <c r="F10" s="6">
        <v>2</v>
      </c>
      <c r="G10" s="6">
        <v>6</v>
      </c>
      <c r="H10" s="6">
        <v>3</v>
      </c>
      <c r="I10" s="6"/>
      <c r="J10" s="6">
        <v>1</v>
      </c>
      <c r="K10" s="6">
        <v>8</v>
      </c>
      <c r="L10" s="6">
        <v>7</v>
      </c>
      <c r="M10" s="6">
        <v>2</v>
      </c>
      <c r="N10" s="6">
        <v>4</v>
      </c>
      <c r="O10" s="6">
        <v>3</v>
      </c>
      <c r="P10" s="6">
        <v>3</v>
      </c>
      <c r="Q10" s="6">
        <v>1</v>
      </c>
      <c r="R10" s="6"/>
      <c r="S10" s="6"/>
      <c r="T10" s="6">
        <v>1</v>
      </c>
      <c r="U10" s="6">
        <v>5</v>
      </c>
      <c r="V10" s="6"/>
      <c r="W10" s="6">
        <v>1</v>
      </c>
      <c r="X10" s="6">
        <v>3</v>
      </c>
      <c r="Y10" s="6">
        <v>5</v>
      </c>
      <c r="Z10" s="6">
        <v>4</v>
      </c>
      <c r="AA10" s="6">
        <v>7</v>
      </c>
      <c r="AB10" s="6">
        <v>1</v>
      </c>
      <c r="AC10" s="6"/>
      <c r="AD10" s="6"/>
      <c r="AE10" s="6">
        <v>9</v>
      </c>
      <c r="AF10" s="6">
        <v>2</v>
      </c>
      <c r="AG10" s="6">
        <v>92</v>
      </c>
      <c r="AI10">
        <f t="shared" si="0"/>
        <v>25</v>
      </c>
      <c r="AJ10" s="11">
        <f t="shared" si="1"/>
        <v>0.63249289243374596</v>
      </c>
      <c r="AK10" s="8" t="str">
        <f t="shared" si="2"/>
        <v>Z</v>
      </c>
    </row>
    <row r="11" spans="1:37" x14ac:dyDescent="0.2">
      <c r="A11" s="4" t="s">
        <v>107</v>
      </c>
      <c r="B11" s="6">
        <v>8</v>
      </c>
      <c r="C11" s="6">
        <v>5</v>
      </c>
      <c r="D11" s="6">
        <v>2</v>
      </c>
      <c r="E11" s="6"/>
      <c r="F11" s="6"/>
      <c r="G11" s="6">
        <v>3</v>
      </c>
      <c r="H11" s="6"/>
      <c r="I11" s="6">
        <v>3</v>
      </c>
      <c r="J11" s="6">
        <v>4</v>
      </c>
      <c r="K11" s="6">
        <v>8</v>
      </c>
      <c r="L11" s="6">
        <v>3</v>
      </c>
      <c r="M11" s="6"/>
      <c r="N11" s="6">
        <v>2</v>
      </c>
      <c r="O11" s="6">
        <v>1</v>
      </c>
      <c r="P11" s="6">
        <v>4</v>
      </c>
      <c r="Q11" s="6"/>
      <c r="R11" s="6">
        <v>3</v>
      </c>
      <c r="S11" s="6">
        <v>4</v>
      </c>
      <c r="T11" s="6">
        <v>1</v>
      </c>
      <c r="U11" s="6">
        <v>3</v>
      </c>
      <c r="V11" s="6">
        <v>2</v>
      </c>
      <c r="W11" s="6">
        <v>1</v>
      </c>
      <c r="X11" s="6">
        <v>5</v>
      </c>
      <c r="Y11" s="6">
        <v>3</v>
      </c>
      <c r="Z11" s="6">
        <v>1</v>
      </c>
      <c r="AA11" s="6">
        <v>1</v>
      </c>
      <c r="AB11" s="6"/>
      <c r="AC11" s="6">
        <v>5</v>
      </c>
      <c r="AD11" s="6"/>
      <c r="AE11" s="6">
        <v>1</v>
      </c>
      <c r="AF11" s="6">
        <v>7</v>
      </c>
      <c r="AG11" s="6">
        <v>80</v>
      </c>
      <c r="AI11">
        <f t="shared" si="0"/>
        <v>24</v>
      </c>
      <c r="AJ11" s="11">
        <f t="shared" si="1"/>
        <v>0.62849025449882678</v>
      </c>
      <c r="AK11" s="8" t="str">
        <f t="shared" si="2"/>
        <v>Z</v>
      </c>
    </row>
    <row r="12" spans="1:37" x14ac:dyDescent="0.2">
      <c r="A12" s="4" t="s">
        <v>62</v>
      </c>
      <c r="B12" s="6">
        <v>1</v>
      </c>
      <c r="C12" s="6">
        <v>3</v>
      </c>
      <c r="D12" s="6">
        <v>1</v>
      </c>
      <c r="E12" s="6">
        <v>7</v>
      </c>
      <c r="F12" s="6">
        <v>4</v>
      </c>
      <c r="G12" s="6">
        <v>6</v>
      </c>
      <c r="H12" s="6">
        <v>1</v>
      </c>
      <c r="I12" s="6">
        <v>1</v>
      </c>
      <c r="J12" s="6">
        <v>8</v>
      </c>
      <c r="K12" s="6"/>
      <c r="L12" s="6">
        <v>4</v>
      </c>
      <c r="M12" s="6">
        <v>5</v>
      </c>
      <c r="N12" s="6">
        <v>3</v>
      </c>
      <c r="O12" s="6">
        <v>2</v>
      </c>
      <c r="P12" s="6">
        <v>9</v>
      </c>
      <c r="Q12" s="6">
        <v>3</v>
      </c>
      <c r="R12" s="6">
        <v>2</v>
      </c>
      <c r="S12" s="6">
        <v>1</v>
      </c>
      <c r="T12" s="6">
        <v>2</v>
      </c>
      <c r="U12" s="6"/>
      <c r="V12" s="6">
        <v>2</v>
      </c>
      <c r="W12" s="6">
        <v>3</v>
      </c>
      <c r="X12" s="6">
        <v>2</v>
      </c>
      <c r="Y12" s="6">
        <v>5</v>
      </c>
      <c r="Z12" s="6">
        <v>4</v>
      </c>
      <c r="AA12" s="6">
        <v>7</v>
      </c>
      <c r="AB12" s="6"/>
      <c r="AC12" s="6">
        <v>1</v>
      </c>
      <c r="AD12" s="6">
        <v>4</v>
      </c>
      <c r="AE12" s="6">
        <v>1</v>
      </c>
      <c r="AF12" s="6">
        <v>3</v>
      </c>
      <c r="AG12" s="6">
        <v>95</v>
      </c>
      <c r="AI12">
        <f t="shared" si="0"/>
        <v>28</v>
      </c>
      <c r="AJ12" s="11">
        <f t="shared" si="1"/>
        <v>0.66532644602359925</v>
      </c>
      <c r="AK12" s="8" t="str">
        <f t="shared" si="2"/>
        <v>Z</v>
      </c>
    </row>
    <row r="13" spans="1:37" x14ac:dyDescent="0.2">
      <c r="A13" s="4" t="s">
        <v>31</v>
      </c>
      <c r="B13" s="6"/>
      <c r="C13" s="6">
        <v>5</v>
      </c>
      <c r="D13" s="6">
        <v>12</v>
      </c>
      <c r="E13" s="6">
        <v>7</v>
      </c>
      <c r="F13" s="6">
        <v>4</v>
      </c>
      <c r="G13" s="6">
        <v>8</v>
      </c>
      <c r="H13" s="6">
        <v>2</v>
      </c>
      <c r="I13" s="6"/>
      <c r="J13" s="6">
        <v>3</v>
      </c>
      <c r="K13" s="6">
        <v>5</v>
      </c>
      <c r="L13" s="6">
        <v>2</v>
      </c>
      <c r="M13" s="6">
        <v>1</v>
      </c>
      <c r="N13" s="6"/>
      <c r="O13" s="6">
        <v>4</v>
      </c>
      <c r="P13" s="6">
        <v>3</v>
      </c>
      <c r="Q13" s="6">
        <v>5</v>
      </c>
      <c r="R13" s="6"/>
      <c r="S13" s="6">
        <v>7</v>
      </c>
      <c r="T13" s="6">
        <v>9</v>
      </c>
      <c r="U13" s="6">
        <v>3</v>
      </c>
      <c r="V13" s="6">
        <v>9</v>
      </c>
      <c r="W13" s="6">
        <v>2</v>
      </c>
      <c r="X13" s="6"/>
      <c r="Y13" s="6">
        <v>2</v>
      </c>
      <c r="Z13" s="6">
        <v>5</v>
      </c>
      <c r="AA13" s="6">
        <v>8</v>
      </c>
      <c r="AB13" s="6">
        <v>7</v>
      </c>
      <c r="AC13" s="6">
        <v>3</v>
      </c>
      <c r="AD13" s="6">
        <v>10</v>
      </c>
      <c r="AE13" s="6"/>
      <c r="AF13" s="6"/>
      <c r="AG13" s="6">
        <v>126</v>
      </c>
      <c r="AI13">
        <f t="shared" si="0"/>
        <v>24</v>
      </c>
      <c r="AJ13" s="11">
        <f t="shared" si="1"/>
        <v>0.55600888533768233</v>
      </c>
      <c r="AK13" s="8" t="str">
        <f t="shared" si="2"/>
        <v>Y</v>
      </c>
    </row>
    <row r="14" spans="1:37" x14ac:dyDescent="0.2">
      <c r="A14" s="4" t="s">
        <v>70</v>
      </c>
      <c r="B14" s="6">
        <v>5</v>
      </c>
      <c r="C14" s="6">
        <v>3</v>
      </c>
      <c r="D14" s="6"/>
      <c r="E14" s="6">
        <v>3</v>
      </c>
      <c r="F14" s="6">
        <v>5</v>
      </c>
      <c r="G14" s="6"/>
      <c r="H14" s="6">
        <v>1</v>
      </c>
      <c r="I14" s="6">
        <v>3</v>
      </c>
      <c r="J14" s="6"/>
      <c r="K14" s="6">
        <v>2</v>
      </c>
      <c r="L14" s="6">
        <v>9</v>
      </c>
      <c r="M14" s="6">
        <v>9</v>
      </c>
      <c r="N14" s="6">
        <v>4</v>
      </c>
      <c r="O14" s="6"/>
      <c r="P14" s="6">
        <v>3</v>
      </c>
      <c r="Q14" s="6">
        <v>2</v>
      </c>
      <c r="R14" s="6">
        <v>4</v>
      </c>
      <c r="S14" s="6">
        <v>6</v>
      </c>
      <c r="T14" s="6">
        <v>2</v>
      </c>
      <c r="U14" s="6">
        <v>3</v>
      </c>
      <c r="V14" s="6">
        <v>9</v>
      </c>
      <c r="W14" s="6"/>
      <c r="X14" s="6">
        <v>4</v>
      </c>
      <c r="Y14" s="6"/>
      <c r="Z14" s="6">
        <v>2</v>
      </c>
      <c r="AA14" s="6"/>
      <c r="AB14" s="6"/>
      <c r="AC14" s="6">
        <v>5</v>
      </c>
      <c r="AD14" s="6">
        <v>2</v>
      </c>
      <c r="AE14" s="6">
        <v>3</v>
      </c>
      <c r="AF14" s="6">
        <v>10</v>
      </c>
      <c r="AG14" s="6">
        <v>99</v>
      </c>
      <c r="AI14">
        <f t="shared" si="0"/>
        <v>23</v>
      </c>
      <c r="AJ14" s="11">
        <f t="shared" si="1"/>
        <v>0.59501723131406636</v>
      </c>
      <c r="AK14" s="8" t="str">
        <f t="shared" si="2"/>
        <v>Y</v>
      </c>
    </row>
    <row r="15" spans="1:37" x14ac:dyDescent="0.2">
      <c r="A15" s="4" t="s">
        <v>102</v>
      </c>
      <c r="B15" s="6"/>
      <c r="C15" s="6">
        <v>2</v>
      </c>
      <c r="D15" s="6"/>
      <c r="E15" s="6">
        <v>3</v>
      </c>
      <c r="F15" s="6">
        <v>2</v>
      </c>
      <c r="G15" s="6"/>
      <c r="H15" s="6">
        <v>5</v>
      </c>
      <c r="I15" s="6">
        <v>2</v>
      </c>
      <c r="J15" s="6">
        <v>2</v>
      </c>
      <c r="K15" s="6">
        <v>2</v>
      </c>
      <c r="L15" s="6">
        <v>3</v>
      </c>
      <c r="M15" s="6">
        <v>4</v>
      </c>
      <c r="N15" s="6">
        <v>6</v>
      </c>
      <c r="O15" s="6">
        <v>5</v>
      </c>
      <c r="P15" s="6">
        <v>9</v>
      </c>
      <c r="Q15" s="6"/>
      <c r="R15" s="6">
        <v>1</v>
      </c>
      <c r="S15" s="6">
        <v>2</v>
      </c>
      <c r="T15" s="6">
        <v>1</v>
      </c>
      <c r="U15" s="6">
        <v>5</v>
      </c>
      <c r="V15" s="6">
        <v>4</v>
      </c>
      <c r="W15" s="6">
        <v>4</v>
      </c>
      <c r="X15" s="6">
        <v>3</v>
      </c>
      <c r="Y15" s="6"/>
      <c r="Z15" s="6">
        <v>2</v>
      </c>
      <c r="AA15" s="6">
        <v>1</v>
      </c>
      <c r="AB15" s="6">
        <v>1</v>
      </c>
      <c r="AC15" s="6">
        <v>5</v>
      </c>
      <c r="AD15" s="6">
        <v>1</v>
      </c>
      <c r="AE15" s="6">
        <v>5</v>
      </c>
      <c r="AF15" s="6">
        <v>3</v>
      </c>
      <c r="AG15" s="6">
        <v>83</v>
      </c>
      <c r="AI15">
        <f t="shared" si="0"/>
        <v>26</v>
      </c>
      <c r="AJ15" s="11">
        <f t="shared" si="1"/>
        <v>0.59574628024463205</v>
      </c>
      <c r="AK15" s="8" t="str">
        <f t="shared" si="2"/>
        <v>Y</v>
      </c>
    </row>
    <row r="16" spans="1:37" x14ac:dyDescent="0.2">
      <c r="A16" s="4" t="s">
        <v>89</v>
      </c>
      <c r="B16" s="6">
        <v>3</v>
      </c>
      <c r="C16" s="6"/>
      <c r="D16" s="6">
        <v>4</v>
      </c>
      <c r="E16" s="6">
        <v>3</v>
      </c>
      <c r="F16" s="6">
        <v>1</v>
      </c>
      <c r="G16" s="6">
        <v>3</v>
      </c>
      <c r="H16" s="6">
        <v>1</v>
      </c>
      <c r="I16" s="6">
        <v>2</v>
      </c>
      <c r="J16" s="6"/>
      <c r="K16" s="6">
        <v>9</v>
      </c>
      <c r="L16" s="6"/>
      <c r="M16" s="6"/>
      <c r="N16" s="6"/>
      <c r="O16" s="6">
        <v>3</v>
      </c>
      <c r="P16" s="6">
        <v>3</v>
      </c>
      <c r="Q16" s="6"/>
      <c r="R16" s="6">
        <v>3</v>
      </c>
      <c r="S16" s="6"/>
      <c r="T16" s="6"/>
      <c r="U16" s="6"/>
      <c r="V16" s="6">
        <v>2</v>
      </c>
      <c r="W16" s="6">
        <v>6</v>
      </c>
      <c r="X16" s="6">
        <v>3</v>
      </c>
      <c r="Y16" s="6">
        <v>4</v>
      </c>
      <c r="Z16" s="6">
        <v>6</v>
      </c>
      <c r="AA16" s="6">
        <v>3</v>
      </c>
      <c r="AB16" s="6">
        <v>6</v>
      </c>
      <c r="AC16" s="6"/>
      <c r="AD16" s="6">
        <v>6</v>
      </c>
      <c r="AE16" s="6">
        <v>3</v>
      </c>
      <c r="AF16" s="6">
        <v>1</v>
      </c>
      <c r="AG16" s="6">
        <v>75</v>
      </c>
      <c r="AI16">
        <f t="shared" si="0"/>
        <v>21</v>
      </c>
      <c r="AJ16" s="11">
        <f t="shared" si="1"/>
        <v>0.55039379841467451</v>
      </c>
      <c r="AK16" s="8" t="str">
        <f t="shared" si="2"/>
        <v>Y</v>
      </c>
    </row>
    <row r="17" spans="1:37" x14ac:dyDescent="0.2">
      <c r="A17" s="4" t="s">
        <v>55</v>
      </c>
      <c r="B17" s="6">
        <v>2</v>
      </c>
      <c r="C17" s="6">
        <v>4</v>
      </c>
      <c r="D17" s="6"/>
      <c r="E17" s="6">
        <v>2</v>
      </c>
      <c r="F17" s="6">
        <v>6</v>
      </c>
      <c r="G17" s="6">
        <v>6</v>
      </c>
      <c r="H17" s="6">
        <v>1</v>
      </c>
      <c r="I17" s="6">
        <v>8</v>
      </c>
      <c r="J17" s="6">
        <v>5</v>
      </c>
      <c r="K17" s="6">
        <v>3</v>
      </c>
      <c r="L17" s="6">
        <v>5</v>
      </c>
      <c r="M17" s="6">
        <v>3</v>
      </c>
      <c r="N17" s="6">
        <v>5</v>
      </c>
      <c r="O17" s="6">
        <v>3</v>
      </c>
      <c r="P17" s="6"/>
      <c r="Q17" s="6">
        <v>3</v>
      </c>
      <c r="R17" s="6">
        <v>3</v>
      </c>
      <c r="S17" s="6"/>
      <c r="T17" s="6">
        <v>5</v>
      </c>
      <c r="U17" s="6">
        <v>4</v>
      </c>
      <c r="V17" s="6">
        <v>8</v>
      </c>
      <c r="W17" s="6">
        <v>1</v>
      </c>
      <c r="X17" s="6">
        <v>5</v>
      </c>
      <c r="Y17" s="6"/>
      <c r="Z17" s="6"/>
      <c r="AA17" s="6">
        <v>7</v>
      </c>
      <c r="AB17" s="6">
        <v>3</v>
      </c>
      <c r="AC17" s="6">
        <v>1</v>
      </c>
      <c r="AD17" s="6">
        <v>3</v>
      </c>
      <c r="AE17" s="6">
        <v>2</v>
      </c>
      <c r="AF17" s="6">
        <v>5</v>
      </c>
      <c r="AG17" s="6">
        <v>103</v>
      </c>
      <c r="AI17">
        <f t="shared" si="0"/>
        <v>26</v>
      </c>
      <c r="AJ17" s="11">
        <f t="shared" si="1"/>
        <v>0.49742479446405818</v>
      </c>
      <c r="AK17" s="8" t="str">
        <f t="shared" si="2"/>
        <v>Y</v>
      </c>
    </row>
    <row r="18" spans="1:37" x14ac:dyDescent="0.2">
      <c r="A18" s="4" t="s">
        <v>96</v>
      </c>
      <c r="B18" s="6">
        <v>1</v>
      </c>
      <c r="C18" s="6">
        <v>2</v>
      </c>
      <c r="D18" s="6"/>
      <c r="E18" s="6">
        <v>3</v>
      </c>
      <c r="F18" s="6">
        <v>1</v>
      </c>
      <c r="G18" s="6">
        <v>1</v>
      </c>
      <c r="H18" s="6"/>
      <c r="I18" s="6">
        <v>6</v>
      </c>
      <c r="J18" s="6">
        <v>8</v>
      </c>
      <c r="K18" s="6">
        <v>5</v>
      </c>
      <c r="L18" s="6">
        <v>5</v>
      </c>
      <c r="M18" s="6">
        <v>6</v>
      </c>
      <c r="N18" s="6">
        <v>2</v>
      </c>
      <c r="O18" s="6">
        <v>2</v>
      </c>
      <c r="P18" s="6">
        <v>2</v>
      </c>
      <c r="Q18" s="6">
        <v>3</v>
      </c>
      <c r="R18" s="6">
        <v>9</v>
      </c>
      <c r="S18" s="6"/>
      <c r="T18" s="6">
        <v>4</v>
      </c>
      <c r="U18" s="6">
        <v>6</v>
      </c>
      <c r="V18" s="6">
        <v>4</v>
      </c>
      <c r="W18" s="6">
        <v>11</v>
      </c>
      <c r="X18" s="6">
        <v>6</v>
      </c>
      <c r="Y18" s="6"/>
      <c r="Z18" s="6"/>
      <c r="AA18" s="6"/>
      <c r="AB18" s="6"/>
      <c r="AC18" s="6">
        <v>3</v>
      </c>
      <c r="AD18" s="6">
        <v>2</v>
      </c>
      <c r="AE18" s="6"/>
      <c r="AF18" s="6">
        <v>5</v>
      </c>
      <c r="AG18" s="6">
        <v>97</v>
      </c>
      <c r="AI18">
        <f t="shared" si="0"/>
        <v>23</v>
      </c>
      <c r="AJ18" s="11">
        <f t="shared" si="1"/>
        <v>0.62129975972450979</v>
      </c>
      <c r="AK18" s="8" t="str">
        <f t="shared" si="2"/>
        <v>Z</v>
      </c>
    </row>
    <row r="19" spans="1:37" x14ac:dyDescent="0.2">
      <c r="A19" s="4" t="s">
        <v>100</v>
      </c>
      <c r="B19" s="6">
        <v>7</v>
      </c>
      <c r="C19" s="6">
        <v>5</v>
      </c>
      <c r="D19" s="6"/>
      <c r="E19" s="6">
        <v>7</v>
      </c>
      <c r="F19" s="6">
        <v>3</v>
      </c>
      <c r="G19" s="6">
        <v>3</v>
      </c>
      <c r="H19" s="6">
        <v>3</v>
      </c>
      <c r="I19" s="6">
        <v>3</v>
      </c>
      <c r="J19" s="6">
        <v>4</v>
      </c>
      <c r="K19" s="6"/>
      <c r="L19" s="6">
        <v>2</v>
      </c>
      <c r="M19" s="6">
        <v>1</v>
      </c>
      <c r="N19" s="6">
        <v>8</v>
      </c>
      <c r="O19" s="6">
        <v>3</v>
      </c>
      <c r="P19" s="6">
        <v>5</v>
      </c>
      <c r="Q19" s="6">
        <v>6</v>
      </c>
      <c r="R19" s="6">
        <v>2</v>
      </c>
      <c r="S19" s="6"/>
      <c r="T19" s="6">
        <v>1</v>
      </c>
      <c r="U19" s="6">
        <v>3</v>
      </c>
      <c r="V19" s="6">
        <v>7</v>
      </c>
      <c r="W19" s="6">
        <v>4</v>
      </c>
      <c r="X19" s="6">
        <v>6</v>
      </c>
      <c r="Y19" s="6">
        <v>4</v>
      </c>
      <c r="Z19" s="6">
        <v>6</v>
      </c>
      <c r="AA19" s="6"/>
      <c r="AB19" s="6"/>
      <c r="AC19" s="6">
        <v>1</v>
      </c>
      <c r="AD19" s="6"/>
      <c r="AE19" s="6">
        <v>10</v>
      </c>
      <c r="AF19" s="6">
        <v>4</v>
      </c>
      <c r="AG19" s="6">
        <v>108</v>
      </c>
      <c r="AI19">
        <f t="shared" si="0"/>
        <v>25</v>
      </c>
      <c r="AJ19" s="11">
        <f t="shared" si="1"/>
        <v>0.53077446844320419</v>
      </c>
      <c r="AK19" s="8" t="str">
        <f t="shared" si="2"/>
        <v>Y</v>
      </c>
    </row>
    <row r="20" spans="1:37" x14ac:dyDescent="0.2">
      <c r="A20" s="4" t="s">
        <v>104</v>
      </c>
      <c r="B20" s="6">
        <v>1</v>
      </c>
      <c r="C20" s="6">
        <v>6</v>
      </c>
      <c r="D20" s="6"/>
      <c r="E20" s="6">
        <v>3</v>
      </c>
      <c r="F20" s="6"/>
      <c r="G20" s="6">
        <v>6</v>
      </c>
      <c r="H20" s="6">
        <v>3</v>
      </c>
      <c r="I20" s="6">
        <v>2</v>
      </c>
      <c r="J20" s="6"/>
      <c r="K20" s="6"/>
      <c r="L20" s="6">
        <v>4</v>
      </c>
      <c r="M20" s="6">
        <v>11</v>
      </c>
      <c r="N20" s="6">
        <v>5</v>
      </c>
      <c r="O20" s="6">
        <v>8</v>
      </c>
      <c r="P20" s="6">
        <v>3</v>
      </c>
      <c r="Q20" s="6">
        <v>4</v>
      </c>
      <c r="R20" s="6"/>
      <c r="S20" s="6">
        <v>3</v>
      </c>
      <c r="T20" s="6">
        <v>6</v>
      </c>
      <c r="U20" s="6">
        <v>3</v>
      </c>
      <c r="V20" s="6"/>
      <c r="W20" s="6">
        <v>1</v>
      </c>
      <c r="X20" s="6">
        <v>3</v>
      </c>
      <c r="Y20" s="6"/>
      <c r="Z20" s="6">
        <v>4</v>
      </c>
      <c r="AA20" s="6">
        <v>1</v>
      </c>
      <c r="AB20" s="6"/>
      <c r="AC20" s="6"/>
      <c r="AD20" s="6"/>
      <c r="AE20" s="6"/>
      <c r="AF20" s="6">
        <v>3</v>
      </c>
      <c r="AG20" s="6">
        <v>80</v>
      </c>
      <c r="AI20">
        <f t="shared" si="0"/>
        <v>20</v>
      </c>
      <c r="AJ20" s="11">
        <f t="shared" si="1"/>
        <v>0.60207972893961481</v>
      </c>
      <c r="AK20" s="8" t="str">
        <f t="shared" si="2"/>
        <v>Z</v>
      </c>
    </row>
    <row r="21" spans="1:37" x14ac:dyDescent="0.2">
      <c r="A21" s="4" t="s">
        <v>122</v>
      </c>
      <c r="B21" s="6">
        <v>4</v>
      </c>
      <c r="C21" s="6">
        <v>4</v>
      </c>
      <c r="D21" s="6">
        <v>10</v>
      </c>
      <c r="E21" s="6"/>
      <c r="F21" s="6">
        <v>1</v>
      </c>
      <c r="G21" s="6">
        <v>9</v>
      </c>
      <c r="H21" s="6"/>
      <c r="I21" s="6">
        <v>2</v>
      </c>
      <c r="J21" s="6">
        <v>2</v>
      </c>
      <c r="K21" s="6">
        <v>1</v>
      </c>
      <c r="L21" s="6">
        <v>2</v>
      </c>
      <c r="M21" s="6">
        <v>1</v>
      </c>
      <c r="N21" s="6">
        <v>7</v>
      </c>
      <c r="O21" s="6"/>
      <c r="P21" s="6">
        <v>1</v>
      </c>
      <c r="Q21" s="6">
        <v>3</v>
      </c>
      <c r="R21" s="6"/>
      <c r="S21" s="6">
        <v>3</v>
      </c>
      <c r="T21" s="6">
        <v>4</v>
      </c>
      <c r="U21" s="6"/>
      <c r="V21" s="6">
        <v>2</v>
      </c>
      <c r="W21" s="6">
        <v>4</v>
      </c>
      <c r="X21" s="6">
        <v>2</v>
      </c>
      <c r="Y21" s="6"/>
      <c r="Z21" s="6">
        <v>2</v>
      </c>
      <c r="AA21" s="6">
        <v>3</v>
      </c>
      <c r="AB21" s="6"/>
      <c r="AC21" s="6">
        <v>3</v>
      </c>
      <c r="AD21" s="6"/>
      <c r="AE21" s="6"/>
      <c r="AF21" s="6">
        <v>3</v>
      </c>
      <c r="AG21" s="6">
        <v>73</v>
      </c>
      <c r="AI21">
        <f t="shared" si="0"/>
        <v>22</v>
      </c>
      <c r="AJ21" s="11">
        <f t="shared" si="1"/>
        <v>0.71770887109204029</v>
      </c>
      <c r="AK21" s="8" t="str">
        <f t="shared" si="2"/>
        <v>Z</v>
      </c>
    </row>
    <row r="22" spans="1:37" x14ac:dyDescent="0.2">
      <c r="A22" s="4" t="s">
        <v>127</v>
      </c>
      <c r="B22" s="6">
        <v>5</v>
      </c>
      <c r="C22" s="6">
        <v>3</v>
      </c>
      <c r="D22" s="6"/>
      <c r="E22" s="6">
        <v>5</v>
      </c>
      <c r="F22" s="6">
        <v>3</v>
      </c>
      <c r="G22" s="6"/>
      <c r="H22" s="6"/>
      <c r="I22" s="6">
        <v>1</v>
      </c>
      <c r="J22" s="6">
        <v>3</v>
      </c>
      <c r="K22" s="6">
        <v>1</v>
      </c>
      <c r="L22" s="6">
        <v>2</v>
      </c>
      <c r="M22" s="6">
        <v>7</v>
      </c>
      <c r="N22" s="6">
        <v>1</v>
      </c>
      <c r="O22" s="6">
        <v>1</v>
      </c>
      <c r="P22" s="6">
        <v>3</v>
      </c>
      <c r="Q22" s="6">
        <v>1</v>
      </c>
      <c r="R22" s="6">
        <v>2</v>
      </c>
      <c r="S22" s="6">
        <v>3</v>
      </c>
      <c r="T22" s="6"/>
      <c r="U22" s="6">
        <v>3</v>
      </c>
      <c r="V22" s="6"/>
      <c r="W22" s="6">
        <v>12</v>
      </c>
      <c r="X22" s="6">
        <v>1</v>
      </c>
      <c r="Y22" s="6"/>
      <c r="Z22" s="6">
        <v>1</v>
      </c>
      <c r="AA22" s="6">
        <v>4</v>
      </c>
      <c r="AB22" s="6">
        <v>5</v>
      </c>
      <c r="AC22" s="6"/>
      <c r="AD22" s="6">
        <v>2</v>
      </c>
      <c r="AE22" s="6"/>
      <c r="AF22" s="6">
        <v>6</v>
      </c>
      <c r="AG22" s="6">
        <v>75</v>
      </c>
      <c r="AI22">
        <f t="shared" si="0"/>
        <v>23</v>
      </c>
      <c r="AJ22" s="11">
        <f t="shared" si="1"/>
        <v>0.77905926175954887</v>
      </c>
      <c r="AK22" s="8" t="str">
        <f t="shared" si="2"/>
        <v>Z</v>
      </c>
    </row>
    <row r="23" spans="1:37" x14ac:dyDescent="0.2">
      <c r="A23" s="4" t="s">
        <v>53</v>
      </c>
      <c r="B23" s="6">
        <v>11</v>
      </c>
      <c r="C23" s="6">
        <v>6</v>
      </c>
      <c r="D23" s="6">
        <v>1</v>
      </c>
      <c r="E23" s="6">
        <v>8</v>
      </c>
      <c r="F23" s="6"/>
      <c r="G23" s="6">
        <v>9</v>
      </c>
      <c r="H23" s="6">
        <v>3</v>
      </c>
      <c r="I23" s="6">
        <v>8</v>
      </c>
      <c r="J23" s="6">
        <v>5</v>
      </c>
      <c r="K23" s="6">
        <v>5</v>
      </c>
      <c r="L23" s="6">
        <v>3</v>
      </c>
      <c r="M23" s="6">
        <v>2</v>
      </c>
      <c r="N23" s="6">
        <v>5</v>
      </c>
      <c r="O23" s="6">
        <v>6</v>
      </c>
      <c r="P23" s="6"/>
      <c r="Q23" s="6"/>
      <c r="R23" s="6"/>
      <c r="S23" s="6">
        <v>2</v>
      </c>
      <c r="T23" s="6">
        <v>1</v>
      </c>
      <c r="U23" s="6">
        <v>6</v>
      </c>
      <c r="V23" s="6"/>
      <c r="W23" s="6">
        <v>4</v>
      </c>
      <c r="X23" s="6">
        <v>1</v>
      </c>
      <c r="Y23" s="6"/>
      <c r="Z23" s="6">
        <v>8</v>
      </c>
      <c r="AA23" s="6"/>
      <c r="AB23" s="6">
        <v>1</v>
      </c>
      <c r="AC23" s="6">
        <v>6</v>
      </c>
      <c r="AD23" s="6">
        <v>5</v>
      </c>
      <c r="AE23" s="6">
        <v>1</v>
      </c>
      <c r="AF23" s="6"/>
      <c r="AG23" s="6">
        <v>107</v>
      </c>
      <c r="AI23">
        <f t="shared" si="0"/>
        <v>23</v>
      </c>
      <c r="AJ23" s="11">
        <f t="shared" si="1"/>
        <v>0.6132721389354362</v>
      </c>
      <c r="AK23" s="8" t="str">
        <f t="shared" si="2"/>
        <v>Z</v>
      </c>
    </row>
    <row r="24" spans="1:37" x14ac:dyDescent="0.2">
      <c r="A24" s="4" t="s">
        <v>119</v>
      </c>
      <c r="B24" s="6">
        <v>1</v>
      </c>
      <c r="C24" s="6">
        <v>3</v>
      </c>
      <c r="D24" s="6">
        <v>4</v>
      </c>
      <c r="E24" s="6">
        <v>2</v>
      </c>
      <c r="F24" s="6">
        <v>5</v>
      </c>
      <c r="G24" s="6">
        <v>1</v>
      </c>
      <c r="H24" s="6"/>
      <c r="I24" s="6">
        <v>6</v>
      </c>
      <c r="J24" s="6"/>
      <c r="K24" s="6">
        <v>6</v>
      </c>
      <c r="L24" s="6"/>
      <c r="M24" s="6"/>
      <c r="N24" s="6">
        <v>1</v>
      </c>
      <c r="O24" s="6">
        <v>2</v>
      </c>
      <c r="P24" s="6">
        <v>2</v>
      </c>
      <c r="Q24" s="6">
        <v>3</v>
      </c>
      <c r="R24" s="6"/>
      <c r="S24" s="6">
        <v>3</v>
      </c>
      <c r="T24" s="6">
        <v>8</v>
      </c>
      <c r="U24" s="6">
        <v>6</v>
      </c>
      <c r="V24" s="6"/>
      <c r="W24" s="6">
        <v>3</v>
      </c>
      <c r="X24" s="6">
        <v>2</v>
      </c>
      <c r="Y24" s="6">
        <v>6</v>
      </c>
      <c r="Z24" s="6">
        <v>3</v>
      </c>
      <c r="AA24" s="6">
        <v>3</v>
      </c>
      <c r="AB24" s="6">
        <v>1</v>
      </c>
      <c r="AC24" s="6">
        <v>9</v>
      </c>
      <c r="AD24" s="6"/>
      <c r="AE24" s="6">
        <v>2</v>
      </c>
      <c r="AF24" s="6"/>
      <c r="AG24" s="6">
        <v>82</v>
      </c>
      <c r="AI24">
        <f t="shared" si="0"/>
        <v>23</v>
      </c>
      <c r="AJ24" s="11">
        <f t="shared" si="1"/>
        <v>0.62896570527939644</v>
      </c>
      <c r="AK24" s="8" t="str">
        <f t="shared" si="2"/>
        <v>Z</v>
      </c>
    </row>
    <row r="25" spans="1:37" x14ac:dyDescent="0.2">
      <c r="A25" s="4" t="s">
        <v>111</v>
      </c>
      <c r="B25" s="6">
        <v>2</v>
      </c>
      <c r="C25" s="6">
        <v>1</v>
      </c>
      <c r="D25" s="6">
        <v>5</v>
      </c>
      <c r="E25" s="6">
        <v>4</v>
      </c>
      <c r="F25" s="6">
        <v>3</v>
      </c>
      <c r="G25" s="6"/>
      <c r="H25" s="6">
        <v>3</v>
      </c>
      <c r="I25" s="6">
        <v>2</v>
      </c>
      <c r="J25" s="6"/>
      <c r="K25" s="6">
        <v>2</v>
      </c>
      <c r="L25" s="6"/>
      <c r="M25" s="6">
        <v>7</v>
      </c>
      <c r="N25" s="6"/>
      <c r="O25" s="6">
        <v>1</v>
      </c>
      <c r="P25" s="6">
        <v>5</v>
      </c>
      <c r="Q25" s="6">
        <v>1</v>
      </c>
      <c r="R25" s="6">
        <v>5</v>
      </c>
      <c r="S25" s="6">
        <v>1</v>
      </c>
      <c r="T25" s="6">
        <v>2</v>
      </c>
      <c r="U25" s="6">
        <v>5</v>
      </c>
      <c r="V25" s="6">
        <v>4</v>
      </c>
      <c r="W25" s="6">
        <v>8</v>
      </c>
      <c r="X25" s="6">
        <v>3</v>
      </c>
      <c r="Y25" s="6">
        <v>2</v>
      </c>
      <c r="Z25" s="6">
        <v>3</v>
      </c>
      <c r="AA25" s="6"/>
      <c r="AB25" s="6">
        <v>3</v>
      </c>
      <c r="AC25" s="6">
        <v>2</v>
      </c>
      <c r="AD25" s="6">
        <v>3</v>
      </c>
      <c r="AE25" s="6">
        <v>5</v>
      </c>
      <c r="AF25" s="6">
        <v>2</v>
      </c>
      <c r="AG25" s="6">
        <v>84</v>
      </c>
      <c r="AI25">
        <f t="shared" si="0"/>
        <v>26</v>
      </c>
      <c r="AJ25" s="11">
        <f t="shared" si="1"/>
        <v>0.55838282855040833</v>
      </c>
      <c r="AK25" s="8" t="str">
        <f t="shared" si="2"/>
        <v>Y</v>
      </c>
    </row>
    <row r="26" spans="1:37" x14ac:dyDescent="0.2">
      <c r="A26" s="4" t="s">
        <v>91</v>
      </c>
      <c r="B26" s="6">
        <v>9</v>
      </c>
      <c r="C26" s="6"/>
      <c r="D26" s="6">
        <v>3</v>
      </c>
      <c r="E26" s="6"/>
      <c r="F26" s="6"/>
      <c r="G26" s="6">
        <v>1</v>
      </c>
      <c r="H26" s="6"/>
      <c r="I26" s="6">
        <v>3</v>
      </c>
      <c r="J26" s="6">
        <v>6</v>
      </c>
      <c r="K26" s="6"/>
      <c r="L26" s="6">
        <v>1</v>
      </c>
      <c r="M26" s="6"/>
      <c r="N26" s="6">
        <v>3</v>
      </c>
      <c r="O26" s="6">
        <v>8</v>
      </c>
      <c r="P26" s="6"/>
      <c r="Q26" s="6">
        <v>3</v>
      </c>
      <c r="R26" s="6"/>
      <c r="S26" s="6">
        <v>3</v>
      </c>
      <c r="T26" s="6">
        <v>5</v>
      </c>
      <c r="U26" s="6">
        <v>5</v>
      </c>
      <c r="V26" s="6">
        <v>7</v>
      </c>
      <c r="W26" s="6">
        <v>10</v>
      </c>
      <c r="X26" s="6">
        <v>1</v>
      </c>
      <c r="Y26" s="6">
        <v>3</v>
      </c>
      <c r="Z26" s="6">
        <v>3</v>
      </c>
      <c r="AA26" s="6"/>
      <c r="AB26" s="6"/>
      <c r="AC26" s="6">
        <v>2</v>
      </c>
      <c r="AD26" s="6">
        <v>6</v>
      </c>
      <c r="AE26" s="6">
        <v>6</v>
      </c>
      <c r="AF26" s="6">
        <v>3</v>
      </c>
      <c r="AG26" s="6">
        <v>91</v>
      </c>
      <c r="AI26">
        <f t="shared" si="0"/>
        <v>21</v>
      </c>
      <c r="AJ26" s="11">
        <f t="shared" si="1"/>
        <v>0.58870748290017028</v>
      </c>
      <c r="AK26" s="8" t="str">
        <f t="shared" si="2"/>
        <v>Y</v>
      </c>
    </row>
    <row r="27" spans="1:37" x14ac:dyDescent="0.2">
      <c r="A27" s="4" t="s">
        <v>59</v>
      </c>
      <c r="B27" s="6"/>
      <c r="C27" s="6">
        <v>9</v>
      </c>
      <c r="D27" s="6">
        <v>5</v>
      </c>
      <c r="E27" s="6"/>
      <c r="F27" s="6">
        <v>9</v>
      </c>
      <c r="G27" s="6">
        <v>3</v>
      </c>
      <c r="H27" s="6">
        <v>2</v>
      </c>
      <c r="I27" s="6">
        <v>4</v>
      </c>
      <c r="J27" s="6">
        <v>3</v>
      </c>
      <c r="K27" s="6">
        <v>8</v>
      </c>
      <c r="L27" s="6">
        <v>3</v>
      </c>
      <c r="M27" s="6">
        <v>5</v>
      </c>
      <c r="N27" s="6">
        <v>2</v>
      </c>
      <c r="O27" s="6"/>
      <c r="P27" s="6">
        <v>5</v>
      </c>
      <c r="Q27" s="6">
        <v>7</v>
      </c>
      <c r="R27" s="6">
        <v>1</v>
      </c>
      <c r="S27" s="6">
        <v>1</v>
      </c>
      <c r="T27" s="6"/>
      <c r="U27" s="6">
        <v>1</v>
      </c>
      <c r="V27" s="6">
        <v>3</v>
      </c>
      <c r="W27" s="6">
        <v>3</v>
      </c>
      <c r="X27" s="6">
        <v>8</v>
      </c>
      <c r="Y27" s="6"/>
      <c r="Z27" s="6">
        <v>3</v>
      </c>
      <c r="AA27" s="6">
        <v>7</v>
      </c>
      <c r="AB27" s="6">
        <v>6</v>
      </c>
      <c r="AC27" s="6">
        <v>7</v>
      </c>
      <c r="AD27" s="6">
        <v>2</v>
      </c>
      <c r="AE27" s="6">
        <v>4</v>
      </c>
      <c r="AF27" s="6">
        <v>1</v>
      </c>
      <c r="AG27" s="6">
        <v>112</v>
      </c>
      <c r="AI27">
        <f t="shared" si="0"/>
        <v>26</v>
      </c>
      <c r="AJ27" s="11">
        <f t="shared" si="1"/>
        <v>0.5892857142857143</v>
      </c>
      <c r="AK27" s="8" t="str">
        <f t="shared" si="2"/>
        <v>Y</v>
      </c>
    </row>
    <row r="28" spans="1:37" x14ac:dyDescent="0.2">
      <c r="A28" s="4" t="s">
        <v>116</v>
      </c>
      <c r="B28" s="6">
        <v>4</v>
      </c>
      <c r="C28" s="6">
        <v>2</v>
      </c>
      <c r="D28" s="6">
        <v>3</v>
      </c>
      <c r="E28" s="6">
        <v>5</v>
      </c>
      <c r="F28" s="6"/>
      <c r="G28" s="6">
        <v>1</v>
      </c>
      <c r="H28" s="6">
        <v>6</v>
      </c>
      <c r="I28" s="6"/>
      <c r="J28" s="6">
        <v>3</v>
      </c>
      <c r="K28" s="6">
        <v>2</v>
      </c>
      <c r="L28" s="6">
        <v>3</v>
      </c>
      <c r="M28" s="6"/>
      <c r="N28" s="6">
        <v>4</v>
      </c>
      <c r="O28" s="6"/>
      <c r="P28" s="6">
        <v>4</v>
      </c>
      <c r="Q28" s="6">
        <v>4</v>
      </c>
      <c r="R28" s="6">
        <v>2</v>
      </c>
      <c r="S28" s="6">
        <v>1</v>
      </c>
      <c r="T28" s="6">
        <v>2</v>
      </c>
      <c r="U28" s="6">
        <v>4</v>
      </c>
      <c r="V28" s="6">
        <v>1</v>
      </c>
      <c r="W28" s="6"/>
      <c r="X28" s="6"/>
      <c r="Y28" s="6"/>
      <c r="Z28" s="6">
        <v>3</v>
      </c>
      <c r="AA28" s="6">
        <v>3</v>
      </c>
      <c r="AB28" s="6">
        <v>3</v>
      </c>
      <c r="AC28" s="6">
        <v>7</v>
      </c>
      <c r="AD28" s="6">
        <v>2</v>
      </c>
      <c r="AE28" s="6"/>
      <c r="AF28" s="6">
        <v>3</v>
      </c>
      <c r="AG28" s="6">
        <v>72</v>
      </c>
      <c r="AI28">
        <f t="shared" si="0"/>
        <v>23</v>
      </c>
      <c r="AJ28" s="11">
        <f t="shared" si="1"/>
        <v>0.4738533919231106</v>
      </c>
      <c r="AK28" s="8" t="str">
        <f t="shared" si="2"/>
        <v>Y</v>
      </c>
    </row>
    <row r="29" spans="1:37" x14ac:dyDescent="0.2">
      <c r="A29" s="4" t="s">
        <v>42</v>
      </c>
      <c r="B29" s="6">
        <v>2</v>
      </c>
      <c r="C29" s="6"/>
      <c r="D29" s="6">
        <v>4</v>
      </c>
      <c r="E29" s="6">
        <v>2</v>
      </c>
      <c r="F29" s="6">
        <v>4</v>
      </c>
      <c r="G29" s="6">
        <v>4</v>
      </c>
      <c r="H29" s="6">
        <v>7</v>
      </c>
      <c r="I29" s="6"/>
      <c r="J29" s="6">
        <v>4</v>
      </c>
      <c r="K29" s="6">
        <v>4</v>
      </c>
      <c r="L29" s="6"/>
      <c r="M29" s="6">
        <v>5</v>
      </c>
      <c r="N29" s="6"/>
      <c r="O29" s="6">
        <v>1</v>
      </c>
      <c r="P29" s="6"/>
      <c r="Q29" s="6">
        <v>2</v>
      </c>
      <c r="R29" s="6">
        <v>2</v>
      </c>
      <c r="S29" s="6">
        <v>4</v>
      </c>
      <c r="T29" s="6"/>
      <c r="U29" s="6">
        <v>2</v>
      </c>
      <c r="V29" s="6">
        <v>2</v>
      </c>
      <c r="W29" s="6">
        <v>2</v>
      </c>
      <c r="X29" s="6">
        <v>3</v>
      </c>
      <c r="Y29" s="6">
        <v>3</v>
      </c>
      <c r="Z29" s="6">
        <v>4</v>
      </c>
      <c r="AA29" s="6">
        <v>5</v>
      </c>
      <c r="AB29" s="6">
        <v>6</v>
      </c>
      <c r="AC29" s="6">
        <v>2</v>
      </c>
      <c r="AD29" s="6">
        <v>2</v>
      </c>
      <c r="AE29" s="6">
        <v>3</v>
      </c>
      <c r="AF29" s="6">
        <v>2</v>
      </c>
      <c r="AG29" s="6">
        <v>81</v>
      </c>
      <c r="AI29">
        <f t="shared" si="0"/>
        <v>25</v>
      </c>
      <c r="AJ29" s="11">
        <f t="shared" si="1"/>
        <v>0.44752022124424334</v>
      </c>
      <c r="AK29" s="8" t="str">
        <f t="shared" si="2"/>
        <v>Y</v>
      </c>
    </row>
    <row r="30" spans="1:37" x14ac:dyDescent="0.2">
      <c r="A30" s="4" t="s">
        <v>73</v>
      </c>
      <c r="B30" s="6">
        <v>9</v>
      </c>
      <c r="C30" s="6"/>
      <c r="D30" s="6">
        <v>3</v>
      </c>
      <c r="E30" s="6"/>
      <c r="F30" s="6"/>
      <c r="G30" s="6">
        <v>6</v>
      </c>
      <c r="H30" s="6"/>
      <c r="I30" s="6">
        <v>3</v>
      </c>
      <c r="J30" s="6">
        <v>2</v>
      </c>
      <c r="K30" s="6">
        <v>4</v>
      </c>
      <c r="L30" s="6">
        <v>10</v>
      </c>
      <c r="M30" s="6">
        <v>2</v>
      </c>
      <c r="N30" s="6"/>
      <c r="O30" s="6">
        <v>4</v>
      </c>
      <c r="P30" s="6">
        <v>5</v>
      </c>
      <c r="Q30" s="6">
        <v>7</v>
      </c>
      <c r="R30" s="6">
        <v>3</v>
      </c>
      <c r="S30" s="6">
        <v>4</v>
      </c>
      <c r="T30" s="6">
        <v>2</v>
      </c>
      <c r="U30" s="6">
        <v>4</v>
      </c>
      <c r="V30" s="6">
        <v>3</v>
      </c>
      <c r="W30" s="6">
        <v>3</v>
      </c>
      <c r="X30" s="6">
        <v>2</v>
      </c>
      <c r="Y30" s="6">
        <v>5</v>
      </c>
      <c r="Z30" s="6">
        <v>4</v>
      </c>
      <c r="AA30" s="6">
        <v>1</v>
      </c>
      <c r="AB30" s="6">
        <v>3</v>
      </c>
      <c r="AC30" s="6">
        <v>3</v>
      </c>
      <c r="AD30" s="6">
        <v>3</v>
      </c>
      <c r="AE30" s="6">
        <v>3</v>
      </c>
      <c r="AF30" s="6">
        <v>2</v>
      </c>
      <c r="AG30" s="6">
        <v>100</v>
      </c>
      <c r="AI30">
        <f t="shared" si="0"/>
        <v>26</v>
      </c>
      <c r="AJ30" s="11">
        <f t="shared" si="1"/>
        <v>0.54295487841992907</v>
      </c>
      <c r="AK30" s="8" t="str">
        <f t="shared" si="2"/>
        <v>Y</v>
      </c>
    </row>
    <row r="31" spans="1:37" x14ac:dyDescent="0.2">
      <c r="A31" s="4" t="s">
        <v>75</v>
      </c>
      <c r="B31" s="6">
        <v>6</v>
      </c>
      <c r="C31" s="6">
        <v>4</v>
      </c>
      <c r="D31" s="6">
        <v>6</v>
      </c>
      <c r="E31" s="6">
        <v>3</v>
      </c>
      <c r="F31" s="6">
        <v>5</v>
      </c>
      <c r="G31" s="6">
        <v>2</v>
      </c>
      <c r="H31" s="6">
        <v>6</v>
      </c>
      <c r="I31" s="6">
        <v>6</v>
      </c>
      <c r="J31" s="6">
        <v>2</v>
      </c>
      <c r="K31" s="6">
        <v>7</v>
      </c>
      <c r="L31" s="6"/>
      <c r="M31" s="6">
        <v>5</v>
      </c>
      <c r="N31" s="6"/>
      <c r="O31" s="6">
        <v>10</v>
      </c>
      <c r="P31" s="6"/>
      <c r="Q31" s="6">
        <v>2</v>
      </c>
      <c r="R31" s="6">
        <v>10</v>
      </c>
      <c r="S31" s="6">
        <v>7</v>
      </c>
      <c r="T31" s="6">
        <v>3</v>
      </c>
      <c r="U31" s="6">
        <v>5</v>
      </c>
      <c r="V31" s="6">
        <v>3</v>
      </c>
      <c r="W31" s="6">
        <v>7</v>
      </c>
      <c r="X31" s="6"/>
      <c r="Y31" s="6"/>
      <c r="Z31" s="6">
        <v>4</v>
      </c>
      <c r="AA31" s="6">
        <v>1</v>
      </c>
      <c r="AB31" s="6"/>
      <c r="AC31" s="6">
        <v>2</v>
      </c>
      <c r="AD31" s="6"/>
      <c r="AE31" s="6">
        <v>1</v>
      </c>
      <c r="AF31" s="6"/>
      <c r="AG31" s="6">
        <v>107</v>
      </c>
      <c r="AI31">
        <f t="shared" si="0"/>
        <v>23</v>
      </c>
      <c r="AJ31" s="11">
        <f t="shared" si="1"/>
        <v>0.54011900100186505</v>
      </c>
      <c r="AK31" s="8" t="str">
        <f t="shared" si="2"/>
        <v>Y</v>
      </c>
    </row>
    <row r="32" spans="1:37" x14ac:dyDescent="0.2">
      <c r="A32" s="4" t="s">
        <v>63</v>
      </c>
      <c r="B32" s="6"/>
      <c r="C32" s="6">
        <v>6</v>
      </c>
      <c r="D32" s="6">
        <v>4</v>
      </c>
      <c r="E32" s="6">
        <v>4</v>
      </c>
      <c r="F32" s="6">
        <v>3</v>
      </c>
      <c r="G32" s="6">
        <v>4</v>
      </c>
      <c r="H32" s="6">
        <v>6</v>
      </c>
      <c r="I32" s="6">
        <v>5</v>
      </c>
      <c r="J32" s="6">
        <v>4</v>
      </c>
      <c r="K32" s="6">
        <v>3</v>
      </c>
      <c r="L32" s="6"/>
      <c r="M32" s="6">
        <v>1</v>
      </c>
      <c r="N32" s="6">
        <v>4</v>
      </c>
      <c r="O32" s="6">
        <v>3</v>
      </c>
      <c r="P32" s="6">
        <v>3</v>
      </c>
      <c r="Q32" s="6">
        <v>2</v>
      </c>
      <c r="R32" s="6"/>
      <c r="S32" s="6"/>
      <c r="T32" s="6">
        <v>6</v>
      </c>
      <c r="U32" s="6"/>
      <c r="V32" s="6">
        <v>8</v>
      </c>
      <c r="W32" s="6">
        <v>1</v>
      </c>
      <c r="X32" s="6">
        <v>4</v>
      </c>
      <c r="Y32" s="6">
        <v>4</v>
      </c>
      <c r="Z32" s="6">
        <v>3</v>
      </c>
      <c r="AA32" s="6">
        <v>1</v>
      </c>
      <c r="AB32" s="6">
        <v>2</v>
      </c>
      <c r="AC32" s="6">
        <v>4</v>
      </c>
      <c r="AD32" s="6"/>
      <c r="AE32" s="6">
        <v>2</v>
      </c>
      <c r="AF32" s="6">
        <v>2</v>
      </c>
      <c r="AG32" s="6">
        <v>89</v>
      </c>
      <c r="AI32">
        <f t="shared" si="0"/>
        <v>25</v>
      </c>
      <c r="AJ32" s="11">
        <f t="shared" si="1"/>
        <v>0.47723057486731013</v>
      </c>
      <c r="AK32" s="8" t="str">
        <f t="shared" si="2"/>
        <v>Y</v>
      </c>
    </row>
    <row r="33" spans="1:37" x14ac:dyDescent="0.2">
      <c r="A33" s="4" t="s">
        <v>86</v>
      </c>
      <c r="B33" s="6">
        <v>1</v>
      </c>
      <c r="C33" s="6">
        <v>4</v>
      </c>
      <c r="D33" s="6">
        <v>2</v>
      </c>
      <c r="E33" s="6">
        <v>2</v>
      </c>
      <c r="F33" s="6">
        <v>1</v>
      </c>
      <c r="G33" s="6">
        <v>3</v>
      </c>
      <c r="H33" s="6"/>
      <c r="I33" s="6">
        <v>2</v>
      </c>
      <c r="J33" s="6">
        <v>2</v>
      </c>
      <c r="K33" s="6">
        <v>9</v>
      </c>
      <c r="L33" s="6"/>
      <c r="M33" s="6">
        <v>9</v>
      </c>
      <c r="N33" s="6">
        <v>4</v>
      </c>
      <c r="O33" s="6"/>
      <c r="P33" s="6"/>
      <c r="Q33" s="6"/>
      <c r="R33" s="6">
        <v>3</v>
      </c>
      <c r="S33" s="6">
        <v>1</v>
      </c>
      <c r="T33" s="6">
        <v>2</v>
      </c>
      <c r="U33" s="6">
        <v>2</v>
      </c>
      <c r="V33" s="6">
        <v>1</v>
      </c>
      <c r="W33" s="6">
        <v>3</v>
      </c>
      <c r="X33" s="6">
        <v>3</v>
      </c>
      <c r="Y33" s="6">
        <v>6</v>
      </c>
      <c r="Z33" s="6"/>
      <c r="AA33" s="6">
        <v>3</v>
      </c>
      <c r="AB33" s="6">
        <v>8</v>
      </c>
      <c r="AC33" s="6">
        <v>8</v>
      </c>
      <c r="AD33" s="6">
        <v>2</v>
      </c>
      <c r="AE33" s="6"/>
      <c r="AF33" s="6">
        <v>3</v>
      </c>
      <c r="AG33" s="6">
        <v>84</v>
      </c>
      <c r="AI33">
        <f t="shared" si="0"/>
        <v>24</v>
      </c>
      <c r="AJ33" s="11">
        <f t="shared" si="1"/>
        <v>0.7142857142857143</v>
      </c>
      <c r="AK33" s="8" t="str">
        <f t="shared" si="2"/>
        <v>Z</v>
      </c>
    </row>
    <row r="34" spans="1:37" x14ac:dyDescent="0.2">
      <c r="A34" s="4" t="s">
        <v>57</v>
      </c>
      <c r="B34" s="6">
        <v>1</v>
      </c>
      <c r="C34" s="6"/>
      <c r="D34" s="6">
        <v>5</v>
      </c>
      <c r="E34" s="6">
        <v>3</v>
      </c>
      <c r="F34" s="6"/>
      <c r="G34" s="6">
        <v>8</v>
      </c>
      <c r="H34" s="6">
        <v>2</v>
      </c>
      <c r="I34" s="6">
        <v>3</v>
      </c>
      <c r="J34" s="6">
        <v>10</v>
      </c>
      <c r="K34" s="6"/>
      <c r="L34" s="6"/>
      <c r="M34" s="6"/>
      <c r="N34" s="6">
        <v>2</v>
      </c>
      <c r="O34" s="6">
        <v>2</v>
      </c>
      <c r="P34" s="6"/>
      <c r="Q34" s="6">
        <v>11</v>
      </c>
      <c r="R34" s="6">
        <v>1</v>
      </c>
      <c r="S34" s="6">
        <v>2</v>
      </c>
      <c r="T34" s="6">
        <v>6</v>
      </c>
      <c r="U34" s="6">
        <v>2</v>
      </c>
      <c r="V34" s="6"/>
      <c r="W34" s="6"/>
      <c r="X34" s="6">
        <v>3</v>
      </c>
      <c r="Y34" s="6"/>
      <c r="Z34" s="6">
        <v>5</v>
      </c>
      <c r="AA34" s="6">
        <v>12</v>
      </c>
      <c r="AB34" s="6">
        <v>3</v>
      </c>
      <c r="AC34" s="6">
        <v>8</v>
      </c>
      <c r="AD34" s="6">
        <v>1</v>
      </c>
      <c r="AE34" s="6">
        <v>2</v>
      </c>
      <c r="AF34" s="6">
        <v>1</v>
      </c>
      <c r="AG34" s="6">
        <v>93</v>
      </c>
      <c r="AI34">
        <f t="shared" si="0"/>
        <v>22</v>
      </c>
      <c r="AJ34" s="11">
        <f t="shared" si="1"/>
        <v>0.79722318404559056</v>
      </c>
      <c r="AK34" s="8" t="str">
        <f t="shared" si="2"/>
        <v>Z</v>
      </c>
    </row>
    <row r="35" spans="1:37" x14ac:dyDescent="0.2">
      <c r="A35" s="4" t="s">
        <v>81</v>
      </c>
      <c r="B35" s="6">
        <v>2</v>
      </c>
      <c r="C35" s="6">
        <v>3</v>
      </c>
      <c r="D35" s="6">
        <v>1</v>
      </c>
      <c r="E35" s="6"/>
      <c r="F35" s="6">
        <v>1</v>
      </c>
      <c r="G35" s="6">
        <v>1</v>
      </c>
      <c r="H35" s="6">
        <v>2</v>
      </c>
      <c r="I35" s="6">
        <v>1</v>
      </c>
      <c r="J35" s="6">
        <v>3</v>
      </c>
      <c r="K35" s="6"/>
      <c r="L35" s="6">
        <v>2</v>
      </c>
      <c r="M35" s="6"/>
      <c r="N35" s="6">
        <v>2</v>
      </c>
      <c r="O35" s="6">
        <v>4</v>
      </c>
      <c r="P35" s="6">
        <v>3</v>
      </c>
      <c r="Q35" s="6">
        <v>6</v>
      </c>
      <c r="R35" s="6">
        <v>2</v>
      </c>
      <c r="S35" s="6">
        <v>2</v>
      </c>
      <c r="T35" s="6">
        <v>6</v>
      </c>
      <c r="U35" s="6">
        <v>3</v>
      </c>
      <c r="V35" s="6"/>
      <c r="W35" s="6"/>
      <c r="X35" s="6">
        <v>1</v>
      </c>
      <c r="Y35" s="6">
        <v>5</v>
      </c>
      <c r="Z35" s="6">
        <v>3</v>
      </c>
      <c r="AA35" s="6">
        <v>4</v>
      </c>
      <c r="AB35" s="6">
        <v>2</v>
      </c>
      <c r="AC35" s="6">
        <v>4</v>
      </c>
      <c r="AD35" s="6">
        <v>1</v>
      </c>
      <c r="AE35" s="6">
        <v>4</v>
      </c>
      <c r="AF35" s="6">
        <v>1</v>
      </c>
      <c r="AG35" s="6">
        <v>69</v>
      </c>
      <c r="AI35">
        <f t="shared" si="0"/>
        <v>26</v>
      </c>
      <c r="AJ35" s="11">
        <f t="shared" si="1"/>
        <v>0.56223665916727028</v>
      </c>
      <c r="AK35" s="8" t="str">
        <f t="shared" si="2"/>
        <v>Y</v>
      </c>
    </row>
    <row r="36" spans="1:37" x14ac:dyDescent="0.2">
      <c r="A36" s="4" t="s">
        <v>101</v>
      </c>
      <c r="B36" s="6">
        <v>3</v>
      </c>
      <c r="C36" s="6">
        <v>2</v>
      </c>
      <c r="D36" s="6"/>
      <c r="E36" s="6">
        <v>4</v>
      </c>
      <c r="F36" s="6"/>
      <c r="G36" s="6">
        <v>5</v>
      </c>
      <c r="H36" s="6">
        <v>5</v>
      </c>
      <c r="I36" s="6">
        <v>1</v>
      </c>
      <c r="J36" s="6"/>
      <c r="K36" s="6">
        <v>5</v>
      </c>
      <c r="L36" s="6"/>
      <c r="M36" s="6">
        <v>6</v>
      </c>
      <c r="N36" s="6"/>
      <c r="O36" s="6">
        <v>4</v>
      </c>
      <c r="P36" s="6">
        <v>10</v>
      </c>
      <c r="Q36" s="6">
        <v>8</v>
      </c>
      <c r="R36" s="6">
        <v>2</v>
      </c>
      <c r="S36" s="6">
        <v>13</v>
      </c>
      <c r="T36" s="6">
        <v>10</v>
      </c>
      <c r="U36" s="6">
        <v>7</v>
      </c>
      <c r="V36" s="6">
        <v>2</v>
      </c>
      <c r="W36" s="6">
        <v>1</v>
      </c>
      <c r="X36" s="6">
        <v>8</v>
      </c>
      <c r="Y36" s="6">
        <v>3</v>
      </c>
      <c r="Z36" s="6">
        <v>5</v>
      </c>
      <c r="AA36" s="6">
        <v>1</v>
      </c>
      <c r="AB36" s="6">
        <v>4</v>
      </c>
      <c r="AC36" s="6">
        <v>4</v>
      </c>
      <c r="AD36" s="6">
        <v>9</v>
      </c>
      <c r="AE36" s="6">
        <v>4</v>
      </c>
      <c r="AF36" s="6"/>
      <c r="AG36" s="6">
        <v>126</v>
      </c>
      <c r="AI36">
        <f t="shared" si="0"/>
        <v>25</v>
      </c>
      <c r="AJ36" s="11">
        <f t="shared" si="1"/>
        <v>0.61598755275975414</v>
      </c>
      <c r="AK36" s="8" t="str">
        <f t="shared" si="2"/>
        <v>Z</v>
      </c>
    </row>
    <row r="37" spans="1:37" x14ac:dyDescent="0.2">
      <c r="A37" s="4" t="s">
        <v>52</v>
      </c>
      <c r="B37" s="6">
        <v>4</v>
      </c>
      <c r="C37" s="6">
        <v>4</v>
      </c>
      <c r="D37" s="6">
        <v>5</v>
      </c>
      <c r="E37" s="6">
        <v>1</v>
      </c>
      <c r="F37" s="6">
        <v>3</v>
      </c>
      <c r="G37" s="6"/>
      <c r="H37" s="6"/>
      <c r="I37" s="6"/>
      <c r="J37" s="6"/>
      <c r="K37" s="6"/>
      <c r="L37" s="6">
        <v>6</v>
      </c>
      <c r="M37" s="6"/>
      <c r="N37" s="6"/>
      <c r="O37" s="6">
        <v>9</v>
      </c>
      <c r="P37" s="6">
        <v>5</v>
      </c>
      <c r="Q37" s="6">
        <v>5</v>
      </c>
      <c r="R37" s="6">
        <v>2</v>
      </c>
      <c r="S37" s="6">
        <v>11</v>
      </c>
      <c r="T37" s="6">
        <v>3</v>
      </c>
      <c r="U37" s="6">
        <v>2</v>
      </c>
      <c r="V37" s="6">
        <v>1</v>
      </c>
      <c r="W37" s="6">
        <v>3</v>
      </c>
      <c r="X37" s="6">
        <v>3</v>
      </c>
      <c r="Y37" s="6">
        <v>7</v>
      </c>
      <c r="Z37" s="6">
        <v>3</v>
      </c>
      <c r="AA37" s="6">
        <v>5</v>
      </c>
      <c r="AB37" s="6"/>
      <c r="AC37" s="6">
        <v>4</v>
      </c>
      <c r="AD37" s="6">
        <v>3</v>
      </c>
      <c r="AE37" s="6">
        <v>3</v>
      </c>
      <c r="AF37" s="6">
        <v>3</v>
      </c>
      <c r="AG37" s="6">
        <v>95</v>
      </c>
      <c r="AI37">
        <f t="shared" si="0"/>
        <v>23</v>
      </c>
      <c r="AJ37" s="11">
        <f t="shared" si="1"/>
        <v>0.5635266869189125</v>
      </c>
      <c r="AK37" s="8" t="str">
        <f t="shared" si="2"/>
        <v>Y</v>
      </c>
    </row>
    <row r="38" spans="1:37" x14ac:dyDescent="0.2">
      <c r="A38" s="4" t="s">
        <v>50</v>
      </c>
      <c r="B38" s="6">
        <v>5</v>
      </c>
      <c r="C38" s="6">
        <v>4</v>
      </c>
      <c r="D38" s="6">
        <v>8</v>
      </c>
      <c r="E38" s="6"/>
      <c r="F38" s="6">
        <v>3</v>
      </c>
      <c r="G38" s="6"/>
      <c r="H38" s="6">
        <v>4</v>
      </c>
      <c r="I38" s="6">
        <v>3</v>
      </c>
      <c r="J38" s="6">
        <v>4</v>
      </c>
      <c r="K38" s="6">
        <v>2</v>
      </c>
      <c r="L38" s="6">
        <v>1</v>
      </c>
      <c r="M38" s="6">
        <v>4</v>
      </c>
      <c r="N38" s="6">
        <v>5</v>
      </c>
      <c r="O38" s="6">
        <v>5</v>
      </c>
      <c r="P38" s="6">
        <v>3</v>
      </c>
      <c r="Q38" s="6"/>
      <c r="R38" s="6">
        <v>3</v>
      </c>
      <c r="S38" s="6"/>
      <c r="T38" s="6"/>
      <c r="U38" s="6">
        <v>6</v>
      </c>
      <c r="V38" s="6"/>
      <c r="W38" s="6">
        <v>6</v>
      </c>
      <c r="X38" s="6">
        <v>8</v>
      </c>
      <c r="Y38" s="6">
        <v>1</v>
      </c>
      <c r="Z38" s="6">
        <v>11</v>
      </c>
      <c r="AA38" s="6">
        <v>2</v>
      </c>
      <c r="AB38" s="6">
        <v>3</v>
      </c>
      <c r="AC38" s="6">
        <v>4</v>
      </c>
      <c r="AD38" s="6">
        <v>5</v>
      </c>
      <c r="AE38" s="6">
        <v>6</v>
      </c>
      <c r="AF38" s="6"/>
      <c r="AG38" s="6">
        <v>106</v>
      </c>
      <c r="AI38">
        <f t="shared" si="0"/>
        <v>24</v>
      </c>
      <c r="AJ38" s="11">
        <f t="shared" si="1"/>
        <v>0.51430238379015125</v>
      </c>
      <c r="AK38" s="8" t="str">
        <f t="shared" si="2"/>
        <v>Y</v>
      </c>
    </row>
    <row r="39" spans="1:37" x14ac:dyDescent="0.2">
      <c r="A39" s="4" t="s">
        <v>117</v>
      </c>
      <c r="B39" s="6">
        <v>3</v>
      </c>
      <c r="C39" s="6">
        <v>3</v>
      </c>
      <c r="D39" s="6">
        <v>9</v>
      </c>
      <c r="E39" s="6">
        <v>7</v>
      </c>
      <c r="F39" s="6"/>
      <c r="G39" s="6">
        <v>3</v>
      </c>
      <c r="H39" s="6">
        <v>4</v>
      </c>
      <c r="I39" s="6">
        <v>4</v>
      </c>
      <c r="J39" s="6">
        <v>1</v>
      </c>
      <c r="K39" s="6">
        <v>3</v>
      </c>
      <c r="L39" s="6"/>
      <c r="M39" s="6">
        <v>11</v>
      </c>
      <c r="N39" s="6"/>
      <c r="O39" s="6">
        <v>4</v>
      </c>
      <c r="P39" s="6">
        <v>2</v>
      </c>
      <c r="Q39" s="6">
        <v>3</v>
      </c>
      <c r="R39" s="6">
        <v>1</v>
      </c>
      <c r="S39" s="6"/>
      <c r="T39" s="6">
        <v>2</v>
      </c>
      <c r="U39" s="6"/>
      <c r="V39" s="6">
        <v>7</v>
      </c>
      <c r="W39" s="6">
        <v>2</v>
      </c>
      <c r="X39" s="6">
        <v>2</v>
      </c>
      <c r="Y39" s="6"/>
      <c r="Z39" s="6">
        <v>3</v>
      </c>
      <c r="AA39" s="6">
        <v>5</v>
      </c>
      <c r="AB39" s="6"/>
      <c r="AC39" s="6">
        <v>2</v>
      </c>
      <c r="AD39" s="6">
        <v>3</v>
      </c>
      <c r="AE39" s="6">
        <v>1</v>
      </c>
      <c r="AF39" s="6">
        <v>5</v>
      </c>
      <c r="AG39" s="6">
        <v>90</v>
      </c>
      <c r="AI39">
        <f t="shared" si="0"/>
        <v>24</v>
      </c>
      <c r="AJ39" s="11">
        <f t="shared" si="1"/>
        <v>0.65884298134993757</v>
      </c>
      <c r="AK39" s="8" t="str">
        <f t="shared" si="2"/>
        <v>Z</v>
      </c>
    </row>
    <row r="40" spans="1:37" x14ac:dyDescent="0.2">
      <c r="A40" s="4" t="s">
        <v>85</v>
      </c>
      <c r="B40" s="6">
        <v>5</v>
      </c>
      <c r="C40" s="6">
        <v>2</v>
      </c>
      <c r="D40" s="6">
        <v>3</v>
      </c>
      <c r="E40" s="6">
        <v>5</v>
      </c>
      <c r="F40" s="6">
        <v>3</v>
      </c>
      <c r="G40" s="6">
        <v>3</v>
      </c>
      <c r="H40" s="6">
        <v>2</v>
      </c>
      <c r="I40" s="6">
        <v>2</v>
      </c>
      <c r="J40" s="6">
        <v>1</v>
      </c>
      <c r="K40" s="6"/>
      <c r="L40" s="6">
        <v>1</v>
      </c>
      <c r="M40" s="6"/>
      <c r="N40" s="6">
        <v>5</v>
      </c>
      <c r="O40" s="6">
        <v>4</v>
      </c>
      <c r="P40" s="6">
        <v>11</v>
      </c>
      <c r="Q40" s="6"/>
      <c r="R40" s="6">
        <v>4</v>
      </c>
      <c r="S40" s="6">
        <v>4</v>
      </c>
      <c r="T40" s="6">
        <v>2</v>
      </c>
      <c r="U40" s="6">
        <v>1</v>
      </c>
      <c r="V40" s="6">
        <v>3</v>
      </c>
      <c r="W40" s="6">
        <v>5</v>
      </c>
      <c r="X40" s="6">
        <v>1</v>
      </c>
      <c r="Y40" s="6">
        <v>6</v>
      </c>
      <c r="Z40" s="6">
        <v>3</v>
      </c>
      <c r="AA40" s="6">
        <v>7</v>
      </c>
      <c r="AB40" s="6">
        <v>2</v>
      </c>
      <c r="AC40" s="6">
        <v>6</v>
      </c>
      <c r="AD40" s="6">
        <v>4</v>
      </c>
      <c r="AE40" s="6">
        <v>3</v>
      </c>
      <c r="AF40" s="6">
        <v>7</v>
      </c>
      <c r="AG40" s="6">
        <v>105</v>
      </c>
      <c r="AI40">
        <f t="shared" si="0"/>
        <v>28</v>
      </c>
      <c r="AJ40" s="11">
        <f t="shared" si="1"/>
        <v>0.59468545774282533</v>
      </c>
      <c r="AK40" s="8" t="str">
        <f t="shared" si="2"/>
        <v>Y</v>
      </c>
    </row>
    <row r="41" spans="1:37" x14ac:dyDescent="0.2">
      <c r="A41" s="4" t="s">
        <v>74</v>
      </c>
      <c r="B41" s="6">
        <v>6</v>
      </c>
      <c r="C41" s="6">
        <v>8</v>
      </c>
      <c r="D41" s="6">
        <v>8</v>
      </c>
      <c r="E41" s="6"/>
      <c r="F41" s="6"/>
      <c r="G41" s="6">
        <v>3</v>
      </c>
      <c r="H41" s="6">
        <v>9</v>
      </c>
      <c r="I41" s="6">
        <v>1</v>
      </c>
      <c r="J41" s="6"/>
      <c r="K41" s="6">
        <v>2</v>
      </c>
      <c r="L41" s="6"/>
      <c r="M41" s="6">
        <v>6</v>
      </c>
      <c r="N41" s="6">
        <v>4</v>
      </c>
      <c r="O41" s="6">
        <v>2</v>
      </c>
      <c r="P41" s="6">
        <v>7</v>
      </c>
      <c r="Q41" s="6">
        <v>3</v>
      </c>
      <c r="R41" s="6">
        <v>6</v>
      </c>
      <c r="S41" s="6">
        <v>3</v>
      </c>
      <c r="T41" s="6"/>
      <c r="U41" s="6">
        <v>2</v>
      </c>
      <c r="V41" s="6">
        <v>1</v>
      </c>
      <c r="W41" s="6">
        <v>5</v>
      </c>
      <c r="X41" s="6">
        <v>3</v>
      </c>
      <c r="Y41" s="6">
        <v>4</v>
      </c>
      <c r="Z41" s="6"/>
      <c r="AA41" s="6">
        <v>7</v>
      </c>
      <c r="AB41" s="6">
        <v>4</v>
      </c>
      <c r="AC41" s="6"/>
      <c r="AD41" s="6">
        <v>1</v>
      </c>
      <c r="AE41" s="6">
        <v>4</v>
      </c>
      <c r="AF41" s="6"/>
      <c r="AG41" s="6">
        <v>99</v>
      </c>
      <c r="AI41">
        <f t="shared" si="0"/>
        <v>23</v>
      </c>
      <c r="AJ41" s="11">
        <f t="shared" si="1"/>
        <v>0.54992555914408892</v>
      </c>
      <c r="AK41" s="8" t="str">
        <f t="shared" si="2"/>
        <v>Y</v>
      </c>
    </row>
    <row r="42" spans="1:37" x14ac:dyDescent="0.2">
      <c r="A42" s="4" t="s">
        <v>115</v>
      </c>
      <c r="B42" s="6">
        <v>2</v>
      </c>
      <c r="C42" s="6"/>
      <c r="D42" s="6"/>
      <c r="E42" s="6">
        <v>8</v>
      </c>
      <c r="F42" s="6">
        <v>4</v>
      </c>
      <c r="G42" s="6">
        <v>5</v>
      </c>
      <c r="H42" s="6">
        <v>5</v>
      </c>
      <c r="I42" s="6">
        <v>1</v>
      </c>
      <c r="J42" s="6">
        <v>1</v>
      </c>
      <c r="K42" s="6">
        <v>3</v>
      </c>
      <c r="L42" s="6">
        <v>3</v>
      </c>
      <c r="M42" s="6">
        <v>2</v>
      </c>
      <c r="N42" s="6">
        <v>4</v>
      </c>
      <c r="O42" s="6">
        <v>1</v>
      </c>
      <c r="P42" s="6"/>
      <c r="Q42" s="6">
        <v>7</v>
      </c>
      <c r="R42" s="6">
        <v>3</v>
      </c>
      <c r="S42" s="6">
        <v>2</v>
      </c>
      <c r="T42" s="6">
        <v>3</v>
      </c>
      <c r="U42" s="6">
        <v>4</v>
      </c>
      <c r="V42" s="6">
        <v>2</v>
      </c>
      <c r="W42" s="6">
        <v>4</v>
      </c>
      <c r="X42" s="6">
        <v>2</v>
      </c>
      <c r="Y42" s="6"/>
      <c r="Z42" s="6">
        <v>5</v>
      </c>
      <c r="AA42" s="6">
        <v>4</v>
      </c>
      <c r="AB42" s="6">
        <v>5</v>
      </c>
      <c r="AC42" s="6"/>
      <c r="AD42" s="6">
        <v>3</v>
      </c>
      <c r="AE42" s="6"/>
      <c r="AF42" s="6">
        <v>5</v>
      </c>
      <c r="AG42" s="6">
        <v>88</v>
      </c>
      <c r="AI42">
        <f t="shared" si="0"/>
        <v>25</v>
      </c>
      <c r="AJ42" s="11">
        <f t="shared" si="1"/>
        <v>0.49611090802143348</v>
      </c>
      <c r="AK42" s="8" t="str">
        <f t="shared" si="2"/>
        <v>Y</v>
      </c>
    </row>
    <row r="43" spans="1:37" x14ac:dyDescent="0.2">
      <c r="A43" s="4" t="s">
        <v>94</v>
      </c>
      <c r="B43" s="6">
        <v>4</v>
      </c>
      <c r="C43" s="6">
        <v>4</v>
      </c>
      <c r="D43" s="6">
        <v>7</v>
      </c>
      <c r="E43" s="6">
        <v>13</v>
      </c>
      <c r="F43" s="6">
        <v>3</v>
      </c>
      <c r="G43" s="6">
        <v>3</v>
      </c>
      <c r="H43" s="6">
        <v>3</v>
      </c>
      <c r="I43" s="6">
        <v>4</v>
      </c>
      <c r="J43" s="6"/>
      <c r="K43" s="6"/>
      <c r="L43" s="6"/>
      <c r="M43" s="6"/>
      <c r="N43" s="6">
        <v>3</v>
      </c>
      <c r="O43" s="6">
        <v>6</v>
      </c>
      <c r="P43" s="6">
        <v>1</v>
      </c>
      <c r="Q43" s="6">
        <v>9</v>
      </c>
      <c r="R43" s="6">
        <v>3</v>
      </c>
      <c r="S43" s="6">
        <v>5</v>
      </c>
      <c r="T43" s="6">
        <v>9</v>
      </c>
      <c r="U43" s="6">
        <v>2</v>
      </c>
      <c r="V43" s="6">
        <v>2</v>
      </c>
      <c r="W43" s="6">
        <v>4</v>
      </c>
      <c r="X43" s="6">
        <v>5</v>
      </c>
      <c r="Y43" s="6">
        <v>13</v>
      </c>
      <c r="Z43" s="6">
        <v>4</v>
      </c>
      <c r="AA43" s="6">
        <v>6</v>
      </c>
      <c r="AB43" s="6">
        <v>4</v>
      </c>
      <c r="AC43" s="6">
        <v>3</v>
      </c>
      <c r="AD43" s="6">
        <v>3</v>
      </c>
      <c r="AE43" s="6">
        <v>1</v>
      </c>
      <c r="AF43" s="6">
        <v>3</v>
      </c>
      <c r="AG43" s="6">
        <v>127</v>
      </c>
      <c r="AI43">
        <f t="shared" si="0"/>
        <v>27</v>
      </c>
      <c r="AJ43" s="11">
        <f t="shared" si="1"/>
        <v>0.64902144992109856</v>
      </c>
      <c r="AK43" s="8" t="str">
        <f t="shared" si="2"/>
        <v>Z</v>
      </c>
    </row>
    <row r="44" spans="1:37" x14ac:dyDescent="0.2">
      <c r="A44" s="4" t="s">
        <v>48</v>
      </c>
      <c r="B44" s="6"/>
      <c r="C44" s="6">
        <v>2</v>
      </c>
      <c r="D44" s="6">
        <v>3</v>
      </c>
      <c r="E44" s="6">
        <v>5</v>
      </c>
      <c r="F44" s="6">
        <v>4</v>
      </c>
      <c r="G44" s="6">
        <v>4</v>
      </c>
      <c r="H44" s="6">
        <v>6</v>
      </c>
      <c r="I44" s="6">
        <v>1</v>
      </c>
      <c r="J44" s="6">
        <v>6</v>
      </c>
      <c r="K44" s="6">
        <v>3</v>
      </c>
      <c r="L44" s="6">
        <v>2</v>
      </c>
      <c r="M44" s="6"/>
      <c r="N44" s="6">
        <v>8</v>
      </c>
      <c r="O44" s="6"/>
      <c r="P44" s="6">
        <v>5</v>
      </c>
      <c r="Q44" s="6">
        <v>2</v>
      </c>
      <c r="R44" s="6">
        <v>4</v>
      </c>
      <c r="S44" s="6">
        <v>12</v>
      </c>
      <c r="T44" s="6"/>
      <c r="U44" s="6">
        <v>2</v>
      </c>
      <c r="V44" s="6">
        <v>3</v>
      </c>
      <c r="W44" s="6">
        <v>3</v>
      </c>
      <c r="X44" s="6">
        <v>5</v>
      </c>
      <c r="Y44" s="6">
        <v>5</v>
      </c>
      <c r="Z44" s="6">
        <v>5</v>
      </c>
      <c r="AA44" s="6">
        <v>3</v>
      </c>
      <c r="AB44" s="6">
        <v>3</v>
      </c>
      <c r="AC44" s="6">
        <v>2</v>
      </c>
      <c r="AD44" s="6"/>
      <c r="AE44" s="6">
        <v>8</v>
      </c>
      <c r="AF44" s="6">
        <v>8</v>
      </c>
      <c r="AG44" s="6">
        <v>114</v>
      </c>
      <c r="AI44">
        <f t="shared" si="0"/>
        <v>26</v>
      </c>
      <c r="AJ44" s="11">
        <f t="shared" si="1"/>
        <v>0.55893095866926279</v>
      </c>
      <c r="AK44" s="8" t="str">
        <f t="shared" si="2"/>
        <v>Y</v>
      </c>
    </row>
    <row r="45" spans="1:37" x14ac:dyDescent="0.2">
      <c r="A45" s="4" t="s">
        <v>87</v>
      </c>
      <c r="B45" s="6">
        <v>3</v>
      </c>
      <c r="C45" s="6">
        <v>5</v>
      </c>
      <c r="D45" s="6">
        <v>1</v>
      </c>
      <c r="E45" s="6">
        <v>8</v>
      </c>
      <c r="F45" s="6"/>
      <c r="G45" s="6">
        <v>3</v>
      </c>
      <c r="H45" s="6"/>
      <c r="I45" s="6"/>
      <c r="J45" s="6">
        <v>10</v>
      </c>
      <c r="K45" s="6">
        <v>3</v>
      </c>
      <c r="L45" s="6"/>
      <c r="M45" s="6"/>
      <c r="N45" s="6">
        <v>2</v>
      </c>
      <c r="O45" s="6">
        <v>2</v>
      </c>
      <c r="P45" s="6">
        <v>4</v>
      </c>
      <c r="Q45" s="6">
        <v>6</v>
      </c>
      <c r="R45" s="6"/>
      <c r="S45" s="6"/>
      <c r="T45" s="6"/>
      <c r="U45" s="6"/>
      <c r="V45" s="6">
        <v>5</v>
      </c>
      <c r="W45" s="6">
        <v>4</v>
      </c>
      <c r="X45" s="6">
        <v>3</v>
      </c>
      <c r="Y45" s="6">
        <v>2</v>
      </c>
      <c r="Z45" s="6"/>
      <c r="AA45" s="6">
        <v>3</v>
      </c>
      <c r="AB45" s="6">
        <v>3</v>
      </c>
      <c r="AC45" s="6"/>
      <c r="AD45" s="6">
        <v>6</v>
      </c>
      <c r="AE45" s="6">
        <v>3</v>
      </c>
      <c r="AF45" s="6">
        <v>2</v>
      </c>
      <c r="AG45" s="6">
        <v>78</v>
      </c>
      <c r="AI45">
        <f t="shared" si="0"/>
        <v>20</v>
      </c>
      <c r="AJ45" s="11">
        <f t="shared" si="1"/>
        <v>0.5552925084027619</v>
      </c>
      <c r="AK45" s="8" t="str">
        <f t="shared" si="2"/>
        <v>Y</v>
      </c>
    </row>
    <row r="46" spans="1:37" x14ac:dyDescent="0.2">
      <c r="A46" s="4" t="s">
        <v>97</v>
      </c>
      <c r="B46" s="6">
        <v>4</v>
      </c>
      <c r="C46" s="6">
        <v>2</v>
      </c>
      <c r="D46" s="6">
        <v>2</v>
      </c>
      <c r="E46" s="6">
        <v>4</v>
      </c>
      <c r="F46" s="6">
        <v>6</v>
      </c>
      <c r="G46" s="6">
        <v>8</v>
      </c>
      <c r="H46" s="6">
        <v>3</v>
      </c>
      <c r="I46" s="6">
        <v>3</v>
      </c>
      <c r="J46" s="6">
        <v>2</v>
      </c>
      <c r="K46" s="6">
        <v>2</v>
      </c>
      <c r="L46" s="6">
        <v>11</v>
      </c>
      <c r="M46" s="6">
        <v>2</v>
      </c>
      <c r="N46" s="6"/>
      <c r="O46" s="6"/>
      <c r="P46" s="6"/>
      <c r="Q46" s="6">
        <v>3</v>
      </c>
      <c r="R46" s="6">
        <v>1</v>
      </c>
      <c r="S46" s="6">
        <v>3</v>
      </c>
      <c r="T46" s="6">
        <v>2</v>
      </c>
      <c r="U46" s="6"/>
      <c r="V46" s="6"/>
      <c r="W46" s="6">
        <v>3</v>
      </c>
      <c r="X46" s="6"/>
      <c r="Y46" s="6">
        <v>5</v>
      </c>
      <c r="Z46" s="6">
        <v>1</v>
      </c>
      <c r="AA46" s="6"/>
      <c r="AB46" s="6">
        <v>2</v>
      </c>
      <c r="AC46" s="6"/>
      <c r="AD46" s="6">
        <v>6</v>
      </c>
      <c r="AE46" s="6">
        <v>7</v>
      </c>
      <c r="AF46" s="6">
        <v>1</v>
      </c>
      <c r="AG46" s="6">
        <v>83</v>
      </c>
      <c r="AI46">
        <f t="shared" si="0"/>
        <v>23</v>
      </c>
      <c r="AJ46" s="11">
        <f t="shared" si="1"/>
        <v>0.68240010884367686</v>
      </c>
      <c r="AK46" s="8" t="str">
        <f t="shared" si="2"/>
        <v>Z</v>
      </c>
    </row>
    <row r="47" spans="1:37" x14ac:dyDescent="0.2">
      <c r="A47" s="4" t="s">
        <v>33</v>
      </c>
      <c r="B47" s="6">
        <v>3</v>
      </c>
      <c r="C47" s="6">
        <v>2</v>
      </c>
      <c r="D47" s="6"/>
      <c r="E47" s="6">
        <v>5</v>
      </c>
      <c r="F47" s="6"/>
      <c r="G47" s="6"/>
      <c r="H47" s="6">
        <v>4</v>
      </c>
      <c r="I47" s="6">
        <v>1</v>
      </c>
      <c r="J47" s="6">
        <v>4</v>
      </c>
      <c r="K47" s="6">
        <v>4</v>
      </c>
      <c r="L47" s="6">
        <v>8</v>
      </c>
      <c r="M47" s="6">
        <v>6</v>
      </c>
      <c r="N47" s="6"/>
      <c r="O47" s="6">
        <v>4</v>
      </c>
      <c r="P47" s="6">
        <v>9</v>
      </c>
      <c r="Q47" s="6"/>
      <c r="R47" s="6">
        <v>5</v>
      </c>
      <c r="S47" s="6"/>
      <c r="T47" s="6">
        <v>4</v>
      </c>
      <c r="U47" s="6">
        <v>5</v>
      </c>
      <c r="V47" s="6">
        <v>4</v>
      </c>
      <c r="W47" s="6"/>
      <c r="X47" s="6">
        <v>3</v>
      </c>
      <c r="Y47" s="6">
        <v>2</v>
      </c>
      <c r="Z47" s="6"/>
      <c r="AA47" s="6">
        <v>1</v>
      </c>
      <c r="AB47" s="6">
        <v>4</v>
      </c>
      <c r="AC47" s="6">
        <v>5</v>
      </c>
      <c r="AD47" s="6">
        <v>4</v>
      </c>
      <c r="AE47" s="6">
        <v>10</v>
      </c>
      <c r="AF47" s="6">
        <v>7</v>
      </c>
      <c r="AG47" s="6">
        <v>104</v>
      </c>
      <c r="AI47">
        <f t="shared" si="0"/>
        <v>23</v>
      </c>
      <c r="AJ47" s="11">
        <f t="shared" si="1"/>
        <v>0.49610166690440122</v>
      </c>
      <c r="AK47" s="8" t="str">
        <f t="shared" si="2"/>
        <v>Y</v>
      </c>
    </row>
    <row r="48" spans="1:37" x14ac:dyDescent="0.2">
      <c r="A48" s="4" t="s">
        <v>54</v>
      </c>
      <c r="B48" s="6">
        <v>6</v>
      </c>
      <c r="C48" s="6">
        <v>8</v>
      </c>
      <c r="D48" s="6">
        <v>4</v>
      </c>
      <c r="E48" s="6"/>
      <c r="F48" s="6">
        <v>7</v>
      </c>
      <c r="G48" s="6">
        <v>3</v>
      </c>
      <c r="H48" s="6">
        <v>3</v>
      </c>
      <c r="I48" s="6">
        <v>4</v>
      </c>
      <c r="J48" s="6">
        <v>2</v>
      </c>
      <c r="K48" s="6">
        <v>7</v>
      </c>
      <c r="L48" s="6">
        <v>5</v>
      </c>
      <c r="M48" s="6">
        <v>7</v>
      </c>
      <c r="N48" s="6">
        <v>3</v>
      </c>
      <c r="O48" s="6">
        <v>6</v>
      </c>
      <c r="P48" s="6">
        <v>6</v>
      </c>
      <c r="Q48" s="6">
        <v>1</v>
      </c>
      <c r="R48" s="6"/>
      <c r="S48" s="6">
        <v>3</v>
      </c>
      <c r="T48" s="6">
        <v>3</v>
      </c>
      <c r="U48" s="6">
        <v>4</v>
      </c>
      <c r="V48" s="6">
        <v>6</v>
      </c>
      <c r="W48" s="6"/>
      <c r="X48" s="6">
        <v>5</v>
      </c>
      <c r="Y48" s="6"/>
      <c r="Z48" s="6">
        <v>6</v>
      </c>
      <c r="AA48" s="6">
        <v>1</v>
      </c>
      <c r="AB48" s="6">
        <v>1</v>
      </c>
      <c r="AC48" s="6"/>
      <c r="AD48" s="6"/>
      <c r="AE48" s="6">
        <v>4</v>
      </c>
      <c r="AF48" s="6">
        <v>5</v>
      </c>
      <c r="AG48" s="6">
        <v>110</v>
      </c>
      <c r="AI48">
        <f t="shared" si="0"/>
        <v>25</v>
      </c>
      <c r="AJ48" s="11">
        <f t="shared" si="1"/>
        <v>0.44997704257325749</v>
      </c>
      <c r="AK48" s="8" t="str">
        <f t="shared" si="2"/>
        <v>Y</v>
      </c>
    </row>
    <row r="49" spans="1:37" x14ac:dyDescent="0.2">
      <c r="A49" s="4" t="s">
        <v>35</v>
      </c>
      <c r="B49" s="6"/>
      <c r="C49" s="6"/>
      <c r="D49" s="6"/>
      <c r="E49" s="6">
        <v>5</v>
      </c>
      <c r="F49" s="6">
        <v>5</v>
      </c>
      <c r="G49" s="6"/>
      <c r="H49" s="6"/>
      <c r="I49" s="6"/>
      <c r="J49" s="6"/>
      <c r="K49" s="6">
        <v>7</v>
      </c>
      <c r="L49" s="6">
        <v>4</v>
      </c>
      <c r="M49" s="6">
        <v>5</v>
      </c>
      <c r="N49" s="6"/>
      <c r="O49" s="6">
        <v>7</v>
      </c>
      <c r="P49" s="6">
        <v>8</v>
      </c>
      <c r="Q49" s="6">
        <v>3</v>
      </c>
      <c r="R49" s="6">
        <v>6</v>
      </c>
      <c r="S49" s="6">
        <v>3</v>
      </c>
      <c r="T49" s="6">
        <v>3</v>
      </c>
      <c r="U49" s="6">
        <v>3</v>
      </c>
      <c r="V49" s="6">
        <v>3</v>
      </c>
      <c r="W49" s="6">
        <v>1</v>
      </c>
      <c r="X49" s="6">
        <v>6</v>
      </c>
      <c r="Y49" s="6">
        <v>5</v>
      </c>
      <c r="Z49" s="6">
        <v>13</v>
      </c>
      <c r="AA49" s="6"/>
      <c r="AB49" s="6">
        <v>6</v>
      </c>
      <c r="AC49" s="6">
        <v>2</v>
      </c>
      <c r="AD49" s="6">
        <v>5</v>
      </c>
      <c r="AE49" s="6">
        <v>7</v>
      </c>
      <c r="AF49" s="6"/>
      <c r="AG49" s="6">
        <v>107</v>
      </c>
      <c r="AI49">
        <f t="shared" si="0"/>
        <v>21</v>
      </c>
      <c r="AJ49" s="11">
        <f t="shared" si="1"/>
        <v>0.49541526282985321</v>
      </c>
      <c r="AK49" s="8" t="str">
        <f t="shared" si="2"/>
        <v>Y</v>
      </c>
    </row>
    <row r="50" spans="1:37" x14ac:dyDescent="0.2">
      <c r="A50" s="4" t="s">
        <v>56</v>
      </c>
      <c r="B50" s="6"/>
      <c r="C50" s="6">
        <v>3</v>
      </c>
      <c r="D50" s="6"/>
      <c r="E50" s="6">
        <v>9</v>
      </c>
      <c r="F50" s="6">
        <v>5</v>
      </c>
      <c r="G50" s="6"/>
      <c r="H50" s="6">
        <v>5</v>
      </c>
      <c r="I50" s="6"/>
      <c r="J50" s="6"/>
      <c r="K50" s="6">
        <v>1</v>
      </c>
      <c r="L50" s="6">
        <v>7</v>
      </c>
      <c r="M50" s="6"/>
      <c r="N50" s="6">
        <v>6</v>
      </c>
      <c r="O50" s="6">
        <v>5</v>
      </c>
      <c r="P50" s="6"/>
      <c r="Q50" s="6">
        <v>2</v>
      </c>
      <c r="R50" s="6">
        <v>1</v>
      </c>
      <c r="S50" s="6"/>
      <c r="T50" s="6">
        <v>6</v>
      </c>
      <c r="U50" s="6">
        <v>8</v>
      </c>
      <c r="V50" s="6"/>
      <c r="W50" s="6">
        <v>5</v>
      </c>
      <c r="X50" s="6">
        <v>3</v>
      </c>
      <c r="Y50" s="6">
        <v>3</v>
      </c>
      <c r="Z50" s="6">
        <v>3</v>
      </c>
      <c r="AA50" s="6">
        <v>5</v>
      </c>
      <c r="AB50" s="6">
        <v>2</v>
      </c>
      <c r="AC50" s="6"/>
      <c r="AD50" s="6"/>
      <c r="AE50" s="6">
        <v>8</v>
      </c>
      <c r="AF50" s="6">
        <v>3</v>
      </c>
      <c r="AG50" s="6">
        <v>90</v>
      </c>
      <c r="AI50">
        <f t="shared" si="0"/>
        <v>20</v>
      </c>
      <c r="AJ50" s="11">
        <f t="shared" si="1"/>
        <v>0.50917507721731559</v>
      </c>
      <c r="AK50" s="8" t="str">
        <f t="shared" si="2"/>
        <v>Y</v>
      </c>
    </row>
    <row r="51" spans="1:37" x14ac:dyDescent="0.2">
      <c r="A51" s="4" t="s">
        <v>95</v>
      </c>
      <c r="B51" s="6"/>
      <c r="C51" s="6">
        <v>4</v>
      </c>
      <c r="D51" s="6">
        <v>6</v>
      </c>
      <c r="E51" s="6"/>
      <c r="F51" s="6">
        <v>1</v>
      </c>
      <c r="G51" s="6">
        <v>3</v>
      </c>
      <c r="H51" s="6"/>
      <c r="I51" s="6">
        <v>3</v>
      </c>
      <c r="J51" s="6"/>
      <c r="K51" s="6">
        <v>2</v>
      </c>
      <c r="L51" s="6"/>
      <c r="M51" s="6"/>
      <c r="N51" s="6"/>
      <c r="O51" s="6"/>
      <c r="P51" s="6"/>
      <c r="Q51" s="6">
        <v>6</v>
      </c>
      <c r="R51" s="6"/>
      <c r="S51" s="6">
        <v>2</v>
      </c>
      <c r="T51" s="6"/>
      <c r="U51" s="6">
        <v>1</v>
      </c>
      <c r="V51" s="6"/>
      <c r="W51" s="6">
        <v>3</v>
      </c>
      <c r="X51" s="6">
        <v>6</v>
      </c>
      <c r="Y51" s="6"/>
      <c r="Z51" s="6"/>
      <c r="AA51" s="6">
        <v>4</v>
      </c>
      <c r="AB51" s="6">
        <v>3</v>
      </c>
      <c r="AC51" s="6">
        <v>2</v>
      </c>
      <c r="AD51" s="6"/>
      <c r="AE51" s="6"/>
      <c r="AF51" s="6">
        <v>10</v>
      </c>
      <c r="AG51" s="6">
        <v>56</v>
      </c>
      <c r="AI51" t="str">
        <f t="shared" si="0"/>
        <v/>
      </c>
      <c r="AJ51" s="11">
        <f t="shared" si="1"/>
        <v>0.6221875496494409</v>
      </c>
      <c r="AK51" s="8" t="str">
        <f t="shared" si="2"/>
        <v>Z</v>
      </c>
    </row>
    <row r="52" spans="1:37" x14ac:dyDescent="0.2">
      <c r="A52" s="4" t="s">
        <v>120</v>
      </c>
      <c r="B52" s="6">
        <v>2</v>
      </c>
      <c r="C52" s="6"/>
      <c r="D52" s="6">
        <v>5</v>
      </c>
      <c r="E52" s="6"/>
      <c r="F52" s="6">
        <v>5</v>
      </c>
      <c r="G52" s="6">
        <v>4</v>
      </c>
      <c r="H52" s="6">
        <v>2</v>
      </c>
      <c r="I52" s="6">
        <v>2</v>
      </c>
      <c r="J52" s="6">
        <v>1</v>
      </c>
      <c r="K52" s="6">
        <v>1</v>
      </c>
      <c r="L52" s="6">
        <v>4</v>
      </c>
      <c r="M52" s="6">
        <v>2</v>
      </c>
      <c r="N52" s="6">
        <v>4</v>
      </c>
      <c r="O52" s="6"/>
      <c r="P52" s="6">
        <v>2</v>
      </c>
      <c r="Q52" s="6">
        <v>6</v>
      </c>
      <c r="R52" s="6">
        <v>2</v>
      </c>
      <c r="S52" s="6">
        <v>6</v>
      </c>
      <c r="T52" s="6">
        <v>2</v>
      </c>
      <c r="U52" s="6"/>
      <c r="V52" s="6">
        <v>3</v>
      </c>
      <c r="W52" s="6">
        <v>6</v>
      </c>
      <c r="X52" s="6">
        <v>3</v>
      </c>
      <c r="Y52" s="6">
        <v>3</v>
      </c>
      <c r="Z52" s="6">
        <v>2</v>
      </c>
      <c r="AA52" s="6">
        <v>8</v>
      </c>
      <c r="AB52" s="6">
        <v>6</v>
      </c>
      <c r="AC52" s="6">
        <v>4</v>
      </c>
      <c r="AD52" s="6">
        <v>2</v>
      </c>
      <c r="AE52" s="6"/>
      <c r="AF52" s="6">
        <v>3</v>
      </c>
      <c r="AG52" s="6">
        <v>90</v>
      </c>
      <c r="AI52">
        <f t="shared" si="0"/>
        <v>26</v>
      </c>
      <c r="AJ52" s="11">
        <f t="shared" si="1"/>
        <v>0.52068331172711024</v>
      </c>
      <c r="AK52" s="8" t="str">
        <f t="shared" si="2"/>
        <v>Y</v>
      </c>
    </row>
    <row r="53" spans="1:37" x14ac:dyDescent="0.2">
      <c r="A53" s="4" t="s">
        <v>58</v>
      </c>
      <c r="B53" s="6">
        <v>7</v>
      </c>
      <c r="C53" s="6">
        <v>2</v>
      </c>
      <c r="D53" s="6">
        <v>1</v>
      </c>
      <c r="E53" s="6">
        <v>6</v>
      </c>
      <c r="F53" s="6"/>
      <c r="G53" s="6">
        <v>9</v>
      </c>
      <c r="H53" s="6">
        <v>3</v>
      </c>
      <c r="I53" s="6"/>
      <c r="J53" s="6">
        <v>5</v>
      </c>
      <c r="K53" s="6">
        <v>1</v>
      </c>
      <c r="L53" s="6">
        <v>7</v>
      </c>
      <c r="M53" s="6"/>
      <c r="N53" s="6">
        <v>6</v>
      </c>
      <c r="O53" s="6">
        <v>1</v>
      </c>
      <c r="P53" s="6">
        <v>6</v>
      </c>
      <c r="Q53" s="6">
        <v>3</v>
      </c>
      <c r="R53" s="6">
        <v>5</v>
      </c>
      <c r="S53" s="6">
        <v>7</v>
      </c>
      <c r="T53" s="6">
        <v>1</v>
      </c>
      <c r="U53" s="6">
        <v>4</v>
      </c>
      <c r="V53" s="6">
        <v>1</v>
      </c>
      <c r="W53" s="6">
        <v>2</v>
      </c>
      <c r="X53" s="6">
        <v>1</v>
      </c>
      <c r="Y53" s="6">
        <v>2</v>
      </c>
      <c r="Z53" s="6"/>
      <c r="AA53" s="6">
        <v>3</v>
      </c>
      <c r="AB53" s="6">
        <v>5</v>
      </c>
      <c r="AC53" s="6">
        <v>3</v>
      </c>
      <c r="AD53" s="6">
        <v>1</v>
      </c>
      <c r="AE53" s="6">
        <v>1</v>
      </c>
      <c r="AF53" s="6">
        <v>2</v>
      </c>
      <c r="AG53" s="6">
        <v>95</v>
      </c>
      <c r="AI53">
        <f t="shared" si="0"/>
        <v>27</v>
      </c>
      <c r="AJ53" s="11">
        <f t="shared" si="1"/>
        <v>0.67598292033693985</v>
      </c>
      <c r="AK53" s="8" t="str">
        <f t="shared" si="2"/>
        <v>Z</v>
      </c>
    </row>
    <row r="54" spans="1:37" x14ac:dyDescent="0.2">
      <c r="A54" s="4" t="s">
        <v>27</v>
      </c>
      <c r="B54" s="6">
        <v>1</v>
      </c>
      <c r="C54" s="6">
        <v>5</v>
      </c>
      <c r="D54" s="6">
        <v>3</v>
      </c>
      <c r="E54" s="6">
        <v>7</v>
      </c>
      <c r="F54" s="6">
        <v>8</v>
      </c>
      <c r="G54" s="6">
        <v>2</v>
      </c>
      <c r="H54" s="6">
        <v>5</v>
      </c>
      <c r="I54" s="6"/>
      <c r="J54" s="6">
        <v>6</v>
      </c>
      <c r="K54" s="6">
        <v>6</v>
      </c>
      <c r="L54" s="6">
        <v>4</v>
      </c>
      <c r="M54" s="6">
        <v>8</v>
      </c>
      <c r="N54" s="6">
        <v>1</v>
      </c>
      <c r="O54" s="6">
        <v>1</v>
      </c>
      <c r="P54" s="6"/>
      <c r="Q54" s="6">
        <v>9</v>
      </c>
      <c r="R54" s="6"/>
      <c r="S54" s="6">
        <v>5</v>
      </c>
      <c r="T54" s="6">
        <v>2</v>
      </c>
      <c r="U54" s="6">
        <v>4</v>
      </c>
      <c r="V54" s="6">
        <v>2</v>
      </c>
      <c r="W54" s="6">
        <v>4</v>
      </c>
      <c r="X54" s="6">
        <v>2</v>
      </c>
      <c r="Y54" s="6">
        <v>3</v>
      </c>
      <c r="Z54" s="6">
        <v>3</v>
      </c>
      <c r="AA54" s="6">
        <v>3</v>
      </c>
      <c r="AB54" s="6">
        <v>3</v>
      </c>
      <c r="AC54" s="6">
        <v>5</v>
      </c>
      <c r="AD54" s="6">
        <v>4</v>
      </c>
      <c r="AE54" s="6">
        <v>3</v>
      </c>
      <c r="AF54" s="6">
        <v>5</v>
      </c>
      <c r="AG54" s="6">
        <v>114</v>
      </c>
      <c r="AI54">
        <f t="shared" si="0"/>
        <v>28</v>
      </c>
      <c r="AJ54" s="11">
        <f t="shared" si="1"/>
        <v>0.52485176497023123</v>
      </c>
      <c r="AK54" s="8" t="str">
        <f t="shared" si="2"/>
        <v>Y</v>
      </c>
    </row>
    <row r="55" spans="1:37" x14ac:dyDescent="0.2">
      <c r="A55" s="4" t="s">
        <v>99</v>
      </c>
      <c r="B55" s="6"/>
      <c r="C55" s="6"/>
      <c r="D55" s="6">
        <v>3</v>
      </c>
      <c r="E55" s="6"/>
      <c r="F55" s="6">
        <v>2</v>
      </c>
      <c r="G55" s="6">
        <v>3</v>
      </c>
      <c r="H55" s="6">
        <v>3</v>
      </c>
      <c r="I55" s="6">
        <v>1</v>
      </c>
      <c r="J55" s="6"/>
      <c r="K55" s="6">
        <v>3</v>
      </c>
      <c r="L55" s="6">
        <v>1</v>
      </c>
      <c r="M55" s="6"/>
      <c r="N55" s="6">
        <v>2</v>
      </c>
      <c r="O55" s="6">
        <v>3</v>
      </c>
      <c r="P55" s="6">
        <v>3</v>
      </c>
      <c r="Q55" s="6">
        <v>5</v>
      </c>
      <c r="R55" s="6">
        <v>2</v>
      </c>
      <c r="S55" s="6">
        <v>4</v>
      </c>
      <c r="T55" s="6">
        <v>8</v>
      </c>
      <c r="U55" s="6">
        <v>2</v>
      </c>
      <c r="V55" s="6">
        <v>6</v>
      </c>
      <c r="W55" s="6">
        <v>2</v>
      </c>
      <c r="X55" s="6"/>
      <c r="Y55" s="6"/>
      <c r="Z55" s="6">
        <v>6</v>
      </c>
      <c r="AA55" s="6"/>
      <c r="AB55" s="6">
        <v>3</v>
      </c>
      <c r="AC55" s="6">
        <v>4</v>
      </c>
      <c r="AD55" s="6">
        <v>3</v>
      </c>
      <c r="AE55" s="6">
        <v>1</v>
      </c>
      <c r="AF55" s="6">
        <v>4</v>
      </c>
      <c r="AG55" s="6">
        <v>74</v>
      </c>
      <c r="AI55">
        <f t="shared" si="0"/>
        <v>23</v>
      </c>
      <c r="AJ55" s="11">
        <f t="shared" si="1"/>
        <v>0.52616006307923735</v>
      </c>
      <c r="AK55" s="8" t="str">
        <f t="shared" si="2"/>
        <v>Y</v>
      </c>
    </row>
    <row r="56" spans="1:37" x14ac:dyDescent="0.2">
      <c r="A56" s="4" t="s">
        <v>78</v>
      </c>
      <c r="B56" s="6"/>
      <c r="C56" s="6">
        <v>2</v>
      </c>
      <c r="D56" s="6"/>
      <c r="E56" s="6">
        <v>3</v>
      </c>
      <c r="F56" s="6">
        <v>2</v>
      </c>
      <c r="G56" s="6">
        <v>4</v>
      </c>
      <c r="H56" s="6">
        <v>3</v>
      </c>
      <c r="I56" s="6">
        <v>1</v>
      </c>
      <c r="J56" s="6">
        <v>1</v>
      </c>
      <c r="K56" s="6">
        <v>9</v>
      </c>
      <c r="L56" s="6">
        <v>6</v>
      </c>
      <c r="M56" s="6"/>
      <c r="N56" s="6">
        <v>7</v>
      </c>
      <c r="O56" s="6">
        <v>3</v>
      </c>
      <c r="P56" s="6">
        <v>3</v>
      </c>
      <c r="Q56" s="6">
        <v>2</v>
      </c>
      <c r="R56" s="6">
        <v>3</v>
      </c>
      <c r="S56" s="6"/>
      <c r="T56" s="6">
        <v>5</v>
      </c>
      <c r="U56" s="6">
        <v>5</v>
      </c>
      <c r="V56" s="6">
        <v>7</v>
      </c>
      <c r="W56" s="6">
        <v>4</v>
      </c>
      <c r="X56" s="6"/>
      <c r="Y56" s="6">
        <v>3</v>
      </c>
      <c r="Z56" s="6">
        <v>5</v>
      </c>
      <c r="AA56" s="6"/>
      <c r="AB56" s="6">
        <v>8</v>
      </c>
      <c r="AC56" s="6"/>
      <c r="AD56" s="6">
        <v>5</v>
      </c>
      <c r="AE56" s="6"/>
      <c r="AF56" s="6">
        <v>6</v>
      </c>
      <c r="AG56" s="6">
        <v>97</v>
      </c>
      <c r="AI56">
        <f t="shared" si="0"/>
        <v>23</v>
      </c>
      <c r="AJ56" s="11">
        <f t="shared" si="1"/>
        <v>0.50882320326816766</v>
      </c>
      <c r="AK56" s="8" t="str">
        <f t="shared" si="2"/>
        <v>Y</v>
      </c>
    </row>
    <row r="57" spans="1:37" x14ac:dyDescent="0.2">
      <c r="A57" s="4" t="s">
        <v>76</v>
      </c>
      <c r="B57" s="6">
        <v>3</v>
      </c>
      <c r="C57" s="6"/>
      <c r="D57" s="6">
        <v>2</v>
      </c>
      <c r="E57" s="6">
        <v>3</v>
      </c>
      <c r="F57" s="6"/>
      <c r="G57" s="6">
        <v>2</v>
      </c>
      <c r="H57" s="6">
        <v>4</v>
      </c>
      <c r="I57" s="6"/>
      <c r="J57" s="6">
        <v>6</v>
      </c>
      <c r="K57" s="6">
        <v>2</v>
      </c>
      <c r="L57" s="6">
        <v>3</v>
      </c>
      <c r="M57" s="6">
        <v>2</v>
      </c>
      <c r="N57" s="6"/>
      <c r="O57" s="6">
        <v>1</v>
      </c>
      <c r="P57" s="6"/>
      <c r="Q57" s="6">
        <v>7</v>
      </c>
      <c r="R57" s="6">
        <v>5</v>
      </c>
      <c r="S57" s="6">
        <v>7</v>
      </c>
      <c r="T57" s="6"/>
      <c r="U57" s="6">
        <v>6</v>
      </c>
      <c r="V57" s="6">
        <v>2</v>
      </c>
      <c r="W57" s="6">
        <v>1</v>
      </c>
      <c r="X57" s="6">
        <v>6</v>
      </c>
      <c r="Y57" s="6">
        <v>6</v>
      </c>
      <c r="Z57" s="6"/>
      <c r="AA57" s="6">
        <v>4</v>
      </c>
      <c r="AB57" s="6"/>
      <c r="AC57" s="6">
        <v>3</v>
      </c>
      <c r="AD57" s="6">
        <v>3</v>
      </c>
      <c r="AE57" s="6">
        <v>5</v>
      </c>
      <c r="AF57" s="6">
        <v>2</v>
      </c>
      <c r="AG57" s="6">
        <v>85</v>
      </c>
      <c r="AI57">
        <f t="shared" si="0"/>
        <v>23</v>
      </c>
      <c r="AJ57" s="11">
        <f t="shared" si="1"/>
        <v>0.50738490947877235</v>
      </c>
      <c r="AK57" s="8" t="str">
        <f t="shared" si="2"/>
        <v>Y</v>
      </c>
    </row>
    <row r="58" spans="1:37" x14ac:dyDescent="0.2">
      <c r="A58" s="4" t="s">
        <v>108</v>
      </c>
      <c r="B58" s="6"/>
      <c r="C58" s="6">
        <v>5</v>
      </c>
      <c r="D58" s="6">
        <v>6</v>
      </c>
      <c r="E58" s="6">
        <v>6</v>
      </c>
      <c r="F58" s="6"/>
      <c r="G58" s="6">
        <v>8</v>
      </c>
      <c r="H58" s="6">
        <v>3</v>
      </c>
      <c r="I58" s="6">
        <v>4</v>
      </c>
      <c r="J58" s="6">
        <v>1</v>
      </c>
      <c r="K58" s="6">
        <v>4</v>
      </c>
      <c r="L58" s="6">
        <v>3</v>
      </c>
      <c r="M58" s="6"/>
      <c r="N58" s="6">
        <v>4</v>
      </c>
      <c r="O58" s="6">
        <v>3</v>
      </c>
      <c r="P58" s="6">
        <v>6</v>
      </c>
      <c r="Q58" s="6">
        <v>10</v>
      </c>
      <c r="R58" s="6">
        <v>1</v>
      </c>
      <c r="S58" s="6">
        <v>3</v>
      </c>
      <c r="T58" s="6"/>
      <c r="U58" s="6">
        <v>4</v>
      </c>
      <c r="V58" s="6">
        <v>3</v>
      </c>
      <c r="W58" s="6">
        <v>8</v>
      </c>
      <c r="X58" s="6"/>
      <c r="Y58" s="6"/>
      <c r="Z58" s="6"/>
      <c r="AA58" s="6">
        <v>5</v>
      </c>
      <c r="AB58" s="6"/>
      <c r="AC58" s="6">
        <v>6</v>
      </c>
      <c r="AD58" s="6">
        <v>6</v>
      </c>
      <c r="AE58" s="6"/>
      <c r="AF58" s="6">
        <v>2</v>
      </c>
      <c r="AG58" s="6">
        <v>101</v>
      </c>
      <c r="AI58">
        <f t="shared" si="0"/>
        <v>22</v>
      </c>
      <c r="AJ58" s="11">
        <f t="shared" si="1"/>
        <v>0.4855524687223457</v>
      </c>
      <c r="AK58" s="8" t="str">
        <f t="shared" si="2"/>
        <v>Y</v>
      </c>
    </row>
    <row r="59" spans="1:37" x14ac:dyDescent="0.2">
      <c r="A59" s="4" t="s">
        <v>126</v>
      </c>
      <c r="B59" s="6">
        <v>4</v>
      </c>
      <c r="C59" s="6"/>
      <c r="D59" s="6"/>
      <c r="E59" s="6">
        <v>3</v>
      </c>
      <c r="F59" s="6">
        <v>2</v>
      </c>
      <c r="G59" s="6">
        <v>2</v>
      </c>
      <c r="H59" s="6">
        <v>3</v>
      </c>
      <c r="I59" s="6">
        <v>8</v>
      </c>
      <c r="J59" s="6">
        <v>3</v>
      </c>
      <c r="K59" s="6">
        <v>7</v>
      </c>
      <c r="L59" s="6">
        <v>2</v>
      </c>
      <c r="M59" s="6">
        <v>3</v>
      </c>
      <c r="N59" s="6">
        <v>3</v>
      </c>
      <c r="O59" s="6">
        <v>1</v>
      </c>
      <c r="P59" s="6">
        <v>6</v>
      </c>
      <c r="Q59" s="6">
        <v>1</v>
      </c>
      <c r="R59" s="6">
        <v>7</v>
      </c>
      <c r="S59" s="6">
        <v>2</v>
      </c>
      <c r="T59" s="6">
        <v>2</v>
      </c>
      <c r="U59" s="6">
        <v>3</v>
      </c>
      <c r="V59" s="6">
        <v>3</v>
      </c>
      <c r="W59" s="6"/>
      <c r="X59" s="6">
        <v>8</v>
      </c>
      <c r="Y59" s="6">
        <v>7</v>
      </c>
      <c r="Z59" s="6">
        <v>3</v>
      </c>
      <c r="AA59" s="6">
        <v>3</v>
      </c>
      <c r="AB59" s="6">
        <v>2</v>
      </c>
      <c r="AC59" s="6">
        <v>3</v>
      </c>
      <c r="AD59" s="6">
        <v>1</v>
      </c>
      <c r="AE59" s="6">
        <v>3</v>
      </c>
      <c r="AF59" s="6"/>
      <c r="AG59" s="6">
        <v>95</v>
      </c>
      <c r="AI59">
        <f t="shared" si="0"/>
        <v>27</v>
      </c>
      <c r="AJ59" s="11">
        <f t="shared" si="1"/>
        <v>0.59601632281650796</v>
      </c>
      <c r="AK59" s="8" t="str">
        <f t="shared" si="2"/>
        <v>Y</v>
      </c>
    </row>
    <row r="60" spans="1:37" x14ac:dyDescent="0.2">
      <c r="A60" s="4" t="s">
        <v>98</v>
      </c>
      <c r="B60" s="6">
        <v>5</v>
      </c>
      <c r="C60" s="6">
        <v>9</v>
      </c>
      <c r="D60" s="6"/>
      <c r="E60" s="6">
        <v>4</v>
      </c>
      <c r="F60" s="6">
        <v>5</v>
      </c>
      <c r="G60" s="6">
        <v>5</v>
      </c>
      <c r="H60" s="6">
        <v>4</v>
      </c>
      <c r="I60" s="6">
        <v>3</v>
      </c>
      <c r="J60" s="6">
        <v>6</v>
      </c>
      <c r="K60" s="6"/>
      <c r="L60" s="6">
        <v>2</v>
      </c>
      <c r="M60" s="6">
        <v>6</v>
      </c>
      <c r="N60" s="6"/>
      <c r="O60" s="6">
        <v>5</v>
      </c>
      <c r="P60" s="6"/>
      <c r="Q60" s="6"/>
      <c r="R60" s="6">
        <v>2</v>
      </c>
      <c r="S60" s="6">
        <v>7</v>
      </c>
      <c r="T60" s="6">
        <v>3</v>
      </c>
      <c r="U60" s="6">
        <v>6</v>
      </c>
      <c r="V60" s="6">
        <v>4</v>
      </c>
      <c r="W60" s="6">
        <v>4</v>
      </c>
      <c r="X60" s="6">
        <v>6</v>
      </c>
      <c r="Y60" s="6">
        <v>4</v>
      </c>
      <c r="Z60" s="6">
        <v>2</v>
      </c>
      <c r="AA60" s="6">
        <v>2</v>
      </c>
      <c r="AB60" s="6">
        <v>5</v>
      </c>
      <c r="AC60" s="6">
        <v>6</v>
      </c>
      <c r="AD60" s="6">
        <v>3</v>
      </c>
      <c r="AE60" s="6">
        <v>6</v>
      </c>
      <c r="AF60" s="6">
        <v>6</v>
      </c>
      <c r="AG60" s="6">
        <v>120</v>
      </c>
      <c r="AI60">
        <f t="shared" si="0"/>
        <v>26</v>
      </c>
      <c r="AJ60" s="11">
        <f t="shared" si="1"/>
        <v>0.37080992435478316</v>
      </c>
      <c r="AK60" s="8" t="str">
        <f t="shared" si="2"/>
        <v>Y</v>
      </c>
    </row>
    <row r="61" spans="1:37" x14ac:dyDescent="0.2">
      <c r="A61" s="4" t="s">
        <v>69</v>
      </c>
      <c r="B61" s="6">
        <v>2</v>
      </c>
      <c r="C61" s="6">
        <v>1</v>
      </c>
      <c r="D61" s="6">
        <v>1</v>
      </c>
      <c r="E61" s="6">
        <v>2</v>
      </c>
      <c r="F61" s="6">
        <v>4</v>
      </c>
      <c r="G61" s="6">
        <v>1</v>
      </c>
      <c r="H61" s="6">
        <v>4</v>
      </c>
      <c r="I61" s="6">
        <v>2</v>
      </c>
      <c r="J61" s="6">
        <v>5</v>
      </c>
      <c r="K61" s="6">
        <v>1</v>
      </c>
      <c r="L61" s="6">
        <v>2</v>
      </c>
      <c r="M61" s="6">
        <v>5</v>
      </c>
      <c r="N61" s="6">
        <v>4</v>
      </c>
      <c r="O61" s="6">
        <v>2</v>
      </c>
      <c r="P61" s="6"/>
      <c r="Q61" s="6">
        <v>2</v>
      </c>
      <c r="R61" s="6"/>
      <c r="S61" s="6">
        <v>4</v>
      </c>
      <c r="T61" s="6">
        <v>6</v>
      </c>
      <c r="U61" s="6"/>
      <c r="V61" s="6">
        <v>10</v>
      </c>
      <c r="W61" s="6">
        <v>9</v>
      </c>
      <c r="X61" s="6">
        <v>3</v>
      </c>
      <c r="Y61" s="6">
        <v>4</v>
      </c>
      <c r="Z61" s="6"/>
      <c r="AA61" s="6">
        <v>8</v>
      </c>
      <c r="AB61" s="6"/>
      <c r="AC61" s="6">
        <v>8</v>
      </c>
      <c r="AD61" s="6">
        <v>3</v>
      </c>
      <c r="AE61" s="6">
        <v>5</v>
      </c>
      <c r="AF61" s="6">
        <v>9</v>
      </c>
      <c r="AG61" s="6">
        <v>107</v>
      </c>
      <c r="AI61">
        <f t="shared" si="0"/>
        <v>26</v>
      </c>
      <c r="AJ61" s="11">
        <f t="shared" si="1"/>
        <v>0.65106053085023485</v>
      </c>
      <c r="AK61" s="8" t="str">
        <f t="shared" si="2"/>
        <v>Z</v>
      </c>
    </row>
    <row r="62" spans="1:37" x14ac:dyDescent="0.2">
      <c r="A62" s="4" t="s">
        <v>118</v>
      </c>
      <c r="B62" s="6">
        <v>4</v>
      </c>
      <c r="C62" s="6"/>
      <c r="D62" s="6">
        <v>2</v>
      </c>
      <c r="E62" s="6">
        <v>2</v>
      </c>
      <c r="F62" s="6">
        <v>2</v>
      </c>
      <c r="G62" s="6"/>
      <c r="H62" s="6"/>
      <c r="I62" s="6">
        <v>3</v>
      </c>
      <c r="J62" s="6">
        <v>3</v>
      </c>
      <c r="K62" s="6"/>
      <c r="L62" s="6">
        <v>5</v>
      </c>
      <c r="M62" s="6">
        <v>2</v>
      </c>
      <c r="N62" s="6"/>
      <c r="O62" s="6">
        <v>10</v>
      </c>
      <c r="P62" s="6">
        <v>6</v>
      </c>
      <c r="Q62" s="6">
        <v>2</v>
      </c>
      <c r="R62" s="6">
        <v>5</v>
      </c>
      <c r="S62" s="6"/>
      <c r="T62" s="6"/>
      <c r="U62" s="6"/>
      <c r="V62" s="6">
        <v>3</v>
      </c>
      <c r="W62" s="6">
        <v>6</v>
      </c>
      <c r="X62" s="6">
        <v>1</v>
      </c>
      <c r="Y62" s="6">
        <v>3</v>
      </c>
      <c r="Z62" s="6"/>
      <c r="AA62" s="6">
        <v>2</v>
      </c>
      <c r="AB62" s="6">
        <v>1</v>
      </c>
      <c r="AC62" s="6">
        <v>1</v>
      </c>
      <c r="AD62" s="6">
        <v>1</v>
      </c>
      <c r="AE62" s="6"/>
      <c r="AF62" s="6">
        <v>3</v>
      </c>
      <c r="AG62" s="6">
        <v>67</v>
      </c>
      <c r="AI62">
        <f t="shared" si="0"/>
        <v>21</v>
      </c>
      <c r="AJ62" s="11">
        <f t="shared" si="1"/>
        <v>0.67445513598179119</v>
      </c>
      <c r="AK62" s="8" t="str">
        <f t="shared" si="2"/>
        <v>Z</v>
      </c>
    </row>
    <row r="63" spans="1:37" x14ac:dyDescent="0.2">
      <c r="A63" s="4" t="s">
        <v>46</v>
      </c>
      <c r="B63" s="6">
        <v>3</v>
      </c>
      <c r="C63" s="6">
        <v>4</v>
      </c>
      <c r="D63" s="6">
        <v>6</v>
      </c>
      <c r="E63" s="6">
        <v>5</v>
      </c>
      <c r="F63" s="6"/>
      <c r="G63" s="6"/>
      <c r="H63" s="6">
        <v>4</v>
      </c>
      <c r="I63" s="6">
        <v>1</v>
      </c>
      <c r="J63" s="6">
        <v>3</v>
      </c>
      <c r="K63" s="6">
        <v>2</v>
      </c>
      <c r="L63" s="6">
        <v>4</v>
      </c>
      <c r="M63" s="6">
        <v>5</v>
      </c>
      <c r="N63" s="6">
        <v>3</v>
      </c>
      <c r="O63" s="6">
        <v>2</v>
      </c>
      <c r="P63" s="6">
        <v>10</v>
      </c>
      <c r="Q63" s="6">
        <v>3</v>
      </c>
      <c r="R63" s="6"/>
      <c r="S63" s="6">
        <v>6</v>
      </c>
      <c r="T63" s="6">
        <v>7</v>
      </c>
      <c r="U63" s="6">
        <v>6</v>
      </c>
      <c r="V63" s="6">
        <v>4</v>
      </c>
      <c r="W63" s="6"/>
      <c r="X63" s="6">
        <v>1</v>
      </c>
      <c r="Y63" s="6"/>
      <c r="Z63" s="6">
        <v>5</v>
      </c>
      <c r="AA63" s="6">
        <v>1</v>
      </c>
      <c r="AB63" s="6">
        <v>2</v>
      </c>
      <c r="AC63" s="6"/>
      <c r="AD63" s="6">
        <v>2</v>
      </c>
      <c r="AE63" s="6"/>
      <c r="AF63" s="6">
        <v>3</v>
      </c>
      <c r="AG63" s="6">
        <v>92</v>
      </c>
      <c r="AI63">
        <f t="shared" si="0"/>
        <v>24</v>
      </c>
      <c r="AJ63" s="11">
        <f t="shared" si="1"/>
        <v>0.5516772843673704</v>
      </c>
      <c r="AK63" s="8" t="str">
        <f t="shared" si="2"/>
        <v>Y</v>
      </c>
    </row>
    <row r="64" spans="1:37" x14ac:dyDescent="0.2">
      <c r="A64" s="4" t="s">
        <v>110</v>
      </c>
      <c r="B64" s="6"/>
      <c r="C64" s="6">
        <v>4</v>
      </c>
      <c r="D64" s="6">
        <v>5</v>
      </c>
      <c r="E64" s="6">
        <v>5</v>
      </c>
      <c r="F64" s="6">
        <v>5</v>
      </c>
      <c r="G64" s="6">
        <v>3</v>
      </c>
      <c r="H64" s="6"/>
      <c r="I64" s="6">
        <v>5</v>
      </c>
      <c r="J64" s="6"/>
      <c r="K64" s="6"/>
      <c r="L64" s="6">
        <v>1</v>
      </c>
      <c r="M64" s="6">
        <v>3</v>
      </c>
      <c r="N64" s="6">
        <v>2</v>
      </c>
      <c r="O64" s="6"/>
      <c r="P64" s="6">
        <v>3</v>
      </c>
      <c r="Q64" s="6">
        <v>2</v>
      </c>
      <c r="R64" s="6"/>
      <c r="S64" s="6">
        <v>5</v>
      </c>
      <c r="T64" s="6">
        <v>3</v>
      </c>
      <c r="U64" s="6">
        <v>2</v>
      </c>
      <c r="V64" s="6">
        <v>7</v>
      </c>
      <c r="W64" s="6">
        <v>3</v>
      </c>
      <c r="X64" s="6">
        <v>1</v>
      </c>
      <c r="Y64" s="6">
        <v>4</v>
      </c>
      <c r="Z64" s="6"/>
      <c r="AA64" s="6">
        <v>2</v>
      </c>
      <c r="AB64" s="6"/>
      <c r="AC64" s="6">
        <v>3</v>
      </c>
      <c r="AD64" s="6">
        <v>7</v>
      </c>
      <c r="AE64" s="6">
        <v>7</v>
      </c>
      <c r="AF64" s="6">
        <v>1</v>
      </c>
      <c r="AG64" s="6">
        <v>83</v>
      </c>
      <c r="AI64">
        <f t="shared" si="0"/>
        <v>23</v>
      </c>
      <c r="AJ64" s="11">
        <f t="shared" si="1"/>
        <v>0.50859929925796221</v>
      </c>
      <c r="AK64" s="8" t="str">
        <f t="shared" si="2"/>
        <v>Y</v>
      </c>
    </row>
    <row r="65" spans="1:37" x14ac:dyDescent="0.2">
      <c r="A65" s="4" t="s">
        <v>105</v>
      </c>
      <c r="B65" s="6">
        <v>11</v>
      </c>
      <c r="C65" s="6">
        <v>3</v>
      </c>
      <c r="D65" s="6">
        <v>3</v>
      </c>
      <c r="E65" s="6">
        <v>2</v>
      </c>
      <c r="F65" s="6"/>
      <c r="G65" s="6"/>
      <c r="H65" s="6">
        <v>5</v>
      </c>
      <c r="I65" s="6">
        <v>1</v>
      </c>
      <c r="J65" s="6">
        <v>1</v>
      </c>
      <c r="K65" s="6">
        <v>7</v>
      </c>
      <c r="L65" s="6">
        <v>2</v>
      </c>
      <c r="M65" s="6">
        <v>6</v>
      </c>
      <c r="N65" s="6">
        <v>3</v>
      </c>
      <c r="O65" s="6">
        <v>2</v>
      </c>
      <c r="P65" s="6"/>
      <c r="Q65" s="6"/>
      <c r="R65" s="6">
        <v>2</v>
      </c>
      <c r="S65" s="6">
        <v>3</v>
      </c>
      <c r="T65" s="6">
        <v>1</v>
      </c>
      <c r="U65" s="6">
        <v>1</v>
      </c>
      <c r="V65" s="6">
        <v>1</v>
      </c>
      <c r="W65" s="6"/>
      <c r="X65" s="6">
        <v>2</v>
      </c>
      <c r="Y65" s="6"/>
      <c r="Z65" s="6">
        <v>3</v>
      </c>
      <c r="AA65" s="6">
        <v>10</v>
      </c>
      <c r="AB65" s="6">
        <v>4</v>
      </c>
      <c r="AC65" s="6">
        <v>6</v>
      </c>
      <c r="AD65" s="6"/>
      <c r="AE65" s="6">
        <v>4</v>
      </c>
      <c r="AF65" s="6"/>
      <c r="AG65" s="6">
        <v>83</v>
      </c>
      <c r="AI65">
        <f t="shared" si="0"/>
        <v>23</v>
      </c>
      <c r="AJ65" s="11">
        <f t="shared" si="1"/>
        <v>0.7522164471705044</v>
      </c>
      <c r="AK65" s="8" t="str">
        <f t="shared" si="2"/>
        <v>Z</v>
      </c>
    </row>
    <row r="66" spans="1:37" x14ac:dyDescent="0.2">
      <c r="A66" s="4" t="s">
        <v>109</v>
      </c>
      <c r="B66" s="6">
        <v>2</v>
      </c>
      <c r="C66" s="6">
        <v>3</v>
      </c>
      <c r="D66" s="6"/>
      <c r="E66" s="6">
        <v>3</v>
      </c>
      <c r="F66" s="6">
        <v>5</v>
      </c>
      <c r="G66" s="6">
        <v>9</v>
      </c>
      <c r="H66" s="6">
        <v>10</v>
      </c>
      <c r="I66" s="6">
        <v>4</v>
      </c>
      <c r="J66" s="6"/>
      <c r="K66" s="6"/>
      <c r="L66" s="6">
        <v>5</v>
      </c>
      <c r="M66" s="6">
        <v>3</v>
      </c>
      <c r="N66" s="6">
        <v>3</v>
      </c>
      <c r="O66" s="6"/>
      <c r="P66" s="6">
        <v>1</v>
      </c>
      <c r="Q66" s="6">
        <v>5</v>
      </c>
      <c r="R66" s="6">
        <v>3</v>
      </c>
      <c r="S66" s="6">
        <v>5</v>
      </c>
      <c r="T66" s="6">
        <v>3</v>
      </c>
      <c r="U66" s="6">
        <v>3</v>
      </c>
      <c r="V66" s="6">
        <v>5</v>
      </c>
      <c r="W66" s="6"/>
      <c r="X66" s="6">
        <v>3</v>
      </c>
      <c r="Y66" s="6"/>
      <c r="Z66" s="6">
        <v>1</v>
      </c>
      <c r="AA66" s="6">
        <v>6</v>
      </c>
      <c r="AB66" s="6">
        <v>3</v>
      </c>
      <c r="AC66" s="6">
        <v>2</v>
      </c>
      <c r="AD66" s="6">
        <v>8</v>
      </c>
      <c r="AE66" s="6">
        <v>3</v>
      </c>
      <c r="AF66" s="6">
        <v>6</v>
      </c>
      <c r="AG66" s="6">
        <v>104</v>
      </c>
      <c r="AI66">
        <f t="shared" si="0"/>
        <v>25</v>
      </c>
      <c r="AJ66" s="11">
        <f t="shared" si="1"/>
        <v>0.53828980777993862</v>
      </c>
      <c r="AK66" s="8" t="str">
        <f t="shared" si="2"/>
        <v>Y</v>
      </c>
    </row>
    <row r="67" spans="1:37" x14ac:dyDescent="0.2">
      <c r="A67" s="4" t="s">
        <v>125</v>
      </c>
      <c r="B67" s="6"/>
      <c r="C67" s="6"/>
      <c r="D67" s="6">
        <v>12</v>
      </c>
      <c r="E67" s="6">
        <v>4</v>
      </c>
      <c r="F67" s="6">
        <v>3</v>
      </c>
      <c r="G67" s="6"/>
      <c r="H67" s="6">
        <v>2</v>
      </c>
      <c r="I67" s="6">
        <v>5</v>
      </c>
      <c r="J67" s="6">
        <v>3</v>
      </c>
      <c r="K67" s="6"/>
      <c r="L67" s="6"/>
      <c r="M67" s="6"/>
      <c r="N67" s="6">
        <v>3</v>
      </c>
      <c r="O67" s="6">
        <v>2</v>
      </c>
      <c r="P67" s="6">
        <v>5</v>
      </c>
      <c r="Q67" s="6">
        <v>2</v>
      </c>
      <c r="R67" s="6">
        <v>1</v>
      </c>
      <c r="S67" s="6"/>
      <c r="T67" s="6"/>
      <c r="U67" s="6">
        <v>4</v>
      </c>
      <c r="V67" s="6">
        <v>5</v>
      </c>
      <c r="W67" s="6">
        <v>2</v>
      </c>
      <c r="X67" s="6">
        <v>4</v>
      </c>
      <c r="Y67" s="6">
        <v>8</v>
      </c>
      <c r="Z67" s="6">
        <v>3</v>
      </c>
      <c r="AA67" s="6">
        <v>4</v>
      </c>
      <c r="AB67" s="6">
        <v>3</v>
      </c>
      <c r="AC67" s="6"/>
      <c r="AD67" s="6"/>
      <c r="AE67" s="6">
        <v>2</v>
      </c>
      <c r="AF67" s="6">
        <v>1</v>
      </c>
      <c r="AG67" s="6">
        <v>78</v>
      </c>
      <c r="AI67">
        <f t="shared" si="0"/>
        <v>21</v>
      </c>
      <c r="AJ67" s="11">
        <f t="shared" si="1"/>
        <v>0.65497639868947688</v>
      </c>
      <c r="AK67" s="8" t="str">
        <f t="shared" si="2"/>
        <v>Z</v>
      </c>
    </row>
    <row r="68" spans="1:37" x14ac:dyDescent="0.2">
      <c r="A68" s="4" t="s">
        <v>88</v>
      </c>
      <c r="B68" s="6">
        <v>1</v>
      </c>
      <c r="C68" s="6">
        <v>3</v>
      </c>
      <c r="D68" s="6">
        <v>2</v>
      </c>
      <c r="E68" s="6">
        <v>3</v>
      </c>
      <c r="F68" s="6">
        <v>3</v>
      </c>
      <c r="G68" s="6">
        <v>3</v>
      </c>
      <c r="H68" s="6">
        <v>3</v>
      </c>
      <c r="I68" s="6">
        <v>5</v>
      </c>
      <c r="J68" s="6">
        <v>6</v>
      </c>
      <c r="K68" s="6">
        <v>2</v>
      </c>
      <c r="L68" s="6"/>
      <c r="M68" s="6">
        <v>2</v>
      </c>
      <c r="N68" s="6">
        <v>8</v>
      </c>
      <c r="O68" s="6"/>
      <c r="P68" s="6"/>
      <c r="Q68" s="6">
        <v>1</v>
      </c>
      <c r="R68" s="6">
        <v>4</v>
      </c>
      <c r="S68" s="6">
        <v>2</v>
      </c>
      <c r="T68" s="6">
        <v>6</v>
      </c>
      <c r="U68" s="6">
        <v>3</v>
      </c>
      <c r="V68" s="6"/>
      <c r="W68" s="6">
        <v>4</v>
      </c>
      <c r="X68" s="6">
        <v>3</v>
      </c>
      <c r="Y68" s="6">
        <v>9</v>
      </c>
      <c r="Z68" s="6">
        <v>3</v>
      </c>
      <c r="AA68" s="6"/>
      <c r="AB68" s="6">
        <v>5</v>
      </c>
      <c r="AC68" s="6">
        <v>1</v>
      </c>
      <c r="AD68" s="6">
        <v>6</v>
      </c>
      <c r="AE68" s="6">
        <v>1</v>
      </c>
      <c r="AF68" s="6"/>
      <c r="AG68" s="6">
        <v>89</v>
      </c>
      <c r="AI68">
        <f t="shared" si="0"/>
        <v>25</v>
      </c>
      <c r="AJ68" s="11">
        <f t="shared" si="1"/>
        <v>0.58964682082705289</v>
      </c>
      <c r="AK68" s="8" t="str">
        <f t="shared" si="2"/>
        <v>Y</v>
      </c>
    </row>
    <row r="69" spans="1:37" x14ac:dyDescent="0.2">
      <c r="A69" s="4" t="s">
        <v>79</v>
      </c>
      <c r="B69" s="6">
        <v>1</v>
      </c>
      <c r="C69" s="6">
        <v>1</v>
      </c>
      <c r="D69" s="6"/>
      <c r="E69" s="6">
        <v>2</v>
      </c>
      <c r="F69" s="6">
        <v>3</v>
      </c>
      <c r="G69" s="6">
        <v>4</v>
      </c>
      <c r="H69" s="6">
        <v>2</v>
      </c>
      <c r="I69" s="6"/>
      <c r="J69" s="6">
        <v>8</v>
      </c>
      <c r="K69" s="6">
        <v>5</v>
      </c>
      <c r="L69" s="6">
        <v>5</v>
      </c>
      <c r="M69" s="6">
        <v>4</v>
      </c>
      <c r="N69" s="6">
        <v>1</v>
      </c>
      <c r="O69" s="6">
        <v>2</v>
      </c>
      <c r="P69" s="6">
        <v>5</v>
      </c>
      <c r="Q69" s="6">
        <v>3</v>
      </c>
      <c r="R69" s="6">
        <v>4</v>
      </c>
      <c r="S69" s="6">
        <v>2</v>
      </c>
      <c r="T69" s="6"/>
      <c r="U69" s="6"/>
      <c r="V69" s="6">
        <v>11</v>
      </c>
      <c r="W69" s="6"/>
      <c r="X69" s="6">
        <v>2</v>
      </c>
      <c r="Y69" s="6"/>
      <c r="Z69" s="6">
        <v>3</v>
      </c>
      <c r="AA69" s="6">
        <v>6</v>
      </c>
      <c r="AB69" s="6">
        <v>3</v>
      </c>
      <c r="AC69" s="6">
        <v>3</v>
      </c>
      <c r="AD69" s="6">
        <v>9</v>
      </c>
      <c r="AE69" s="6">
        <v>6</v>
      </c>
      <c r="AF69" s="6">
        <v>5</v>
      </c>
      <c r="AG69" s="6">
        <v>100</v>
      </c>
      <c r="AI69">
        <f t="shared" si="0"/>
        <v>25</v>
      </c>
      <c r="AJ69" s="11">
        <f t="shared" si="1"/>
        <v>0.62048368229954287</v>
      </c>
      <c r="AK69" s="8" t="str">
        <f t="shared" si="2"/>
        <v>Z</v>
      </c>
    </row>
    <row r="70" spans="1:37" x14ac:dyDescent="0.2">
      <c r="A70" s="4" t="s">
        <v>90</v>
      </c>
      <c r="B70" s="6">
        <v>1</v>
      </c>
      <c r="C70" s="6">
        <v>6</v>
      </c>
      <c r="D70" s="6"/>
      <c r="E70" s="6">
        <v>1</v>
      </c>
      <c r="F70" s="6"/>
      <c r="G70" s="6">
        <v>7</v>
      </c>
      <c r="H70" s="6"/>
      <c r="I70" s="6">
        <v>1</v>
      </c>
      <c r="J70" s="6">
        <v>1</v>
      </c>
      <c r="K70" s="6"/>
      <c r="L70" s="6">
        <v>3</v>
      </c>
      <c r="M70" s="6">
        <v>4</v>
      </c>
      <c r="N70" s="6">
        <v>4</v>
      </c>
      <c r="O70" s="6">
        <v>6</v>
      </c>
      <c r="P70" s="6">
        <v>7</v>
      </c>
      <c r="Q70" s="6">
        <v>6</v>
      </c>
      <c r="R70" s="6">
        <v>3</v>
      </c>
      <c r="S70" s="6">
        <v>2</v>
      </c>
      <c r="T70" s="6">
        <v>8</v>
      </c>
      <c r="U70" s="6">
        <v>3</v>
      </c>
      <c r="V70" s="6">
        <v>2</v>
      </c>
      <c r="W70" s="6">
        <v>1</v>
      </c>
      <c r="X70" s="6">
        <v>4</v>
      </c>
      <c r="Y70" s="6">
        <v>2</v>
      </c>
      <c r="Z70" s="6">
        <v>3</v>
      </c>
      <c r="AA70" s="6">
        <v>3</v>
      </c>
      <c r="AB70" s="6">
        <v>3</v>
      </c>
      <c r="AC70" s="6">
        <v>3</v>
      </c>
      <c r="AD70" s="6">
        <v>9</v>
      </c>
      <c r="AE70" s="6">
        <v>8</v>
      </c>
      <c r="AF70" s="6">
        <v>1</v>
      </c>
      <c r="AG70" s="6">
        <v>102</v>
      </c>
      <c r="AI70">
        <f t="shared" ref="AI70:AI94" si="3">IF(COUNT(B70:AF70)&gt;=20,COUNT(B70:AF70),"")</f>
        <v>27</v>
      </c>
      <c r="AJ70" s="11">
        <f t="shared" ref="AJ70:AJ94" si="4">IF(AVERAGE(B70:AF70)&gt;0,_xlfn.STDEV.P(B70:AF70)/AVERAGE(B70:AF70),"")</f>
        <v>0.64168894791974795</v>
      </c>
      <c r="AK70" s="8" t="str">
        <f t="shared" ref="AK70:AK94" si="5">IF(AJ70&lt;&gt;"",IF(AJ70&lt;=0.3,"X",IF(AJ70&lt;=0.6,"Y","Z")),"")</f>
        <v>Z</v>
      </c>
    </row>
    <row r="71" spans="1:37" x14ac:dyDescent="0.2">
      <c r="A71" s="4" t="s">
        <v>103</v>
      </c>
      <c r="B71" s="6">
        <v>1</v>
      </c>
      <c r="C71" s="6"/>
      <c r="D71" s="6">
        <v>4</v>
      </c>
      <c r="E71" s="6">
        <v>4</v>
      </c>
      <c r="F71" s="6">
        <v>6</v>
      </c>
      <c r="G71" s="6"/>
      <c r="H71" s="6">
        <v>2</v>
      </c>
      <c r="I71" s="6">
        <v>1</v>
      </c>
      <c r="J71" s="6">
        <v>3</v>
      </c>
      <c r="K71" s="6"/>
      <c r="L71" s="6">
        <v>3</v>
      </c>
      <c r="M71" s="6">
        <v>6</v>
      </c>
      <c r="N71" s="6">
        <v>1</v>
      </c>
      <c r="O71" s="6">
        <v>3</v>
      </c>
      <c r="P71" s="6">
        <v>3</v>
      </c>
      <c r="Q71" s="6">
        <v>5</v>
      </c>
      <c r="R71" s="6"/>
      <c r="S71" s="6">
        <v>1</v>
      </c>
      <c r="T71" s="6">
        <v>1</v>
      </c>
      <c r="U71" s="6">
        <v>4</v>
      </c>
      <c r="V71" s="6">
        <v>1</v>
      </c>
      <c r="W71" s="6">
        <v>2</v>
      </c>
      <c r="X71" s="6">
        <v>6</v>
      </c>
      <c r="Y71" s="6">
        <v>2</v>
      </c>
      <c r="Z71" s="6">
        <v>8</v>
      </c>
      <c r="AA71" s="6">
        <v>4</v>
      </c>
      <c r="AB71" s="6">
        <v>7</v>
      </c>
      <c r="AC71" s="6">
        <v>3</v>
      </c>
      <c r="AD71" s="6">
        <v>3</v>
      </c>
      <c r="AE71" s="6"/>
      <c r="AF71" s="6">
        <v>1</v>
      </c>
      <c r="AG71" s="6">
        <v>85</v>
      </c>
      <c r="AI71">
        <f t="shared" si="3"/>
        <v>26</v>
      </c>
      <c r="AJ71" s="11">
        <f t="shared" si="4"/>
        <v>0.61503649988742259</v>
      </c>
      <c r="AK71" s="8" t="str">
        <f t="shared" si="5"/>
        <v>Z</v>
      </c>
    </row>
    <row r="72" spans="1:37" x14ac:dyDescent="0.2">
      <c r="A72" s="4" t="s">
        <v>93</v>
      </c>
      <c r="B72" s="6"/>
      <c r="C72" s="6">
        <v>1</v>
      </c>
      <c r="D72" s="6">
        <v>2</v>
      </c>
      <c r="E72" s="6"/>
      <c r="F72" s="6"/>
      <c r="G72" s="6"/>
      <c r="H72" s="6">
        <v>3</v>
      </c>
      <c r="I72" s="6">
        <v>5</v>
      </c>
      <c r="J72" s="6">
        <v>3</v>
      </c>
      <c r="K72" s="6">
        <v>4</v>
      </c>
      <c r="L72" s="6">
        <v>4</v>
      </c>
      <c r="M72" s="6">
        <v>5</v>
      </c>
      <c r="N72" s="6">
        <v>2</v>
      </c>
      <c r="O72" s="6">
        <v>7</v>
      </c>
      <c r="P72" s="6">
        <v>2</v>
      </c>
      <c r="Q72" s="6">
        <v>1</v>
      </c>
      <c r="R72" s="6"/>
      <c r="S72" s="6">
        <v>4</v>
      </c>
      <c r="T72" s="6">
        <v>4</v>
      </c>
      <c r="U72" s="6">
        <v>6</v>
      </c>
      <c r="V72" s="6"/>
      <c r="W72" s="6">
        <v>4</v>
      </c>
      <c r="X72" s="6">
        <v>5</v>
      </c>
      <c r="Y72" s="6">
        <v>6</v>
      </c>
      <c r="Z72" s="6">
        <v>6</v>
      </c>
      <c r="AA72" s="6">
        <v>3</v>
      </c>
      <c r="AB72" s="6">
        <v>3</v>
      </c>
      <c r="AC72" s="6">
        <v>1</v>
      </c>
      <c r="AD72" s="6">
        <v>4</v>
      </c>
      <c r="AE72" s="6">
        <v>4</v>
      </c>
      <c r="AF72" s="6">
        <v>8</v>
      </c>
      <c r="AG72" s="6">
        <v>97</v>
      </c>
      <c r="AI72">
        <f t="shared" si="3"/>
        <v>25</v>
      </c>
      <c r="AJ72" s="11">
        <f t="shared" si="4"/>
        <v>0.46859044030364999</v>
      </c>
      <c r="AK72" s="8" t="str">
        <f t="shared" si="5"/>
        <v>Y</v>
      </c>
    </row>
    <row r="73" spans="1:37" x14ac:dyDescent="0.2">
      <c r="A73" s="4" t="s">
        <v>66</v>
      </c>
      <c r="B73" s="6"/>
      <c r="C73" s="6">
        <v>11</v>
      </c>
      <c r="D73" s="6">
        <v>7</v>
      </c>
      <c r="E73" s="6"/>
      <c r="F73" s="6">
        <v>2</v>
      </c>
      <c r="G73" s="6">
        <v>3</v>
      </c>
      <c r="H73" s="6">
        <v>9</v>
      </c>
      <c r="I73" s="6"/>
      <c r="J73" s="6">
        <v>6</v>
      </c>
      <c r="K73" s="6"/>
      <c r="L73" s="6">
        <v>4</v>
      </c>
      <c r="M73" s="6">
        <v>2</v>
      </c>
      <c r="N73" s="6">
        <v>4</v>
      </c>
      <c r="O73" s="6">
        <v>1</v>
      </c>
      <c r="P73" s="6">
        <v>5</v>
      </c>
      <c r="Q73" s="6">
        <v>3</v>
      </c>
      <c r="R73" s="6">
        <v>1</v>
      </c>
      <c r="S73" s="6">
        <v>8</v>
      </c>
      <c r="T73" s="6">
        <v>5</v>
      </c>
      <c r="U73" s="6">
        <v>4</v>
      </c>
      <c r="V73" s="6">
        <v>7</v>
      </c>
      <c r="W73" s="6">
        <v>1</v>
      </c>
      <c r="X73" s="6">
        <v>6</v>
      </c>
      <c r="Y73" s="6">
        <v>5</v>
      </c>
      <c r="Z73" s="6">
        <v>2</v>
      </c>
      <c r="AA73" s="6">
        <v>16</v>
      </c>
      <c r="AB73" s="6">
        <v>3</v>
      </c>
      <c r="AC73" s="6">
        <v>4</v>
      </c>
      <c r="AD73" s="6">
        <v>10</v>
      </c>
      <c r="AE73" s="6">
        <v>1</v>
      </c>
      <c r="AF73" s="6"/>
      <c r="AG73" s="6">
        <v>130</v>
      </c>
      <c r="AI73">
        <f t="shared" si="3"/>
        <v>26</v>
      </c>
      <c r="AJ73" s="11">
        <f t="shared" si="4"/>
        <v>0.70601808649746256</v>
      </c>
      <c r="AK73" s="8" t="str">
        <f t="shared" si="5"/>
        <v>Z</v>
      </c>
    </row>
    <row r="74" spans="1:37" x14ac:dyDescent="0.2">
      <c r="A74" s="4" t="s">
        <v>123</v>
      </c>
      <c r="B74" s="6">
        <v>5</v>
      </c>
      <c r="C74" s="6">
        <v>6</v>
      </c>
      <c r="D74" s="6">
        <v>6</v>
      </c>
      <c r="E74" s="6"/>
      <c r="F74" s="6">
        <v>8</v>
      </c>
      <c r="G74" s="6">
        <v>6</v>
      </c>
      <c r="H74" s="6">
        <v>7</v>
      </c>
      <c r="I74" s="6">
        <v>7</v>
      </c>
      <c r="J74" s="6">
        <v>1</v>
      </c>
      <c r="K74" s="6">
        <v>5</v>
      </c>
      <c r="L74" s="6">
        <v>1</v>
      </c>
      <c r="M74" s="6">
        <v>3</v>
      </c>
      <c r="N74" s="6">
        <v>2</v>
      </c>
      <c r="O74" s="6"/>
      <c r="P74" s="6">
        <v>6</v>
      </c>
      <c r="Q74" s="6">
        <v>6</v>
      </c>
      <c r="R74" s="6"/>
      <c r="S74" s="6">
        <v>5</v>
      </c>
      <c r="T74" s="6"/>
      <c r="U74" s="6">
        <v>3</v>
      </c>
      <c r="V74" s="6">
        <v>2</v>
      </c>
      <c r="W74" s="6"/>
      <c r="X74" s="6">
        <v>5</v>
      </c>
      <c r="Y74" s="6">
        <v>1</v>
      </c>
      <c r="Z74" s="6">
        <v>5</v>
      </c>
      <c r="AA74" s="6">
        <v>2</v>
      </c>
      <c r="AB74" s="6"/>
      <c r="AC74" s="6">
        <v>4</v>
      </c>
      <c r="AD74" s="6">
        <v>6</v>
      </c>
      <c r="AE74" s="6">
        <v>2</v>
      </c>
      <c r="AF74" s="6">
        <v>2</v>
      </c>
      <c r="AG74" s="6">
        <v>106</v>
      </c>
      <c r="AI74">
        <f t="shared" si="3"/>
        <v>25</v>
      </c>
      <c r="AJ74" s="11">
        <f t="shared" si="4"/>
        <v>0.49597884634320438</v>
      </c>
      <c r="AK74" s="8" t="str">
        <f t="shared" si="5"/>
        <v>Y</v>
      </c>
    </row>
    <row r="75" spans="1:37" x14ac:dyDescent="0.2">
      <c r="A75" s="4" t="s">
        <v>114</v>
      </c>
      <c r="B75" s="6">
        <v>1</v>
      </c>
      <c r="C75" s="6">
        <v>11</v>
      </c>
      <c r="D75" s="6">
        <v>6</v>
      </c>
      <c r="E75" s="6"/>
      <c r="F75" s="6"/>
      <c r="G75" s="6">
        <v>1</v>
      </c>
      <c r="H75" s="6">
        <v>2</v>
      </c>
      <c r="I75" s="6"/>
      <c r="J75" s="6"/>
      <c r="K75" s="6"/>
      <c r="L75" s="6">
        <v>4</v>
      </c>
      <c r="M75" s="6"/>
      <c r="N75" s="6"/>
      <c r="O75" s="6"/>
      <c r="P75" s="6">
        <v>8</v>
      </c>
      <c r="Q75" s="6"/>
      <c r="R75" s="6"/>
      <c r="S75" s="6">
        <v>3</v>
      </c>
      <c r="T75" s="6">
        <v>2</v>
      </c>
      <c r="U75" s="6">
        <v>5</v>
      </c>
      <c r="V75" s="6">
        <v>1</v>
      </c>
      <c r="W75" s="6">
        <v>9</v>
      </c>
      <c r="X75" s="6">
        <v>8</v>
      </c>
      <c r="Y75" s="6">
        <v>3</v>
      </c>
      <c r="Z75" s="6">
        <v>5</v>
      </c>
      <c r="AA75" s="6">
        <v>1</v>
      </c>
      <c r="AB75" s="6">
        <v>3</v>
      </c>
      <c r="AC75" s="6"/>
      <c r="AD75" s="6">
        <v>1</v>
      </c>
      <c r="AE75" s="6">
        <v>5</v>
      </c>
      <c r="AF75" s="6">
        <v>1</v>
      </c>
      <c r="AG75" s="6">
        <v>80</v>
      </c>
      <c r="AI75">
        <f t="shared" si="3"/>
        <v>20</v>
      </c>
      <c r="AJ75" s="11">
        <f t="shared" si="4"/>
        <v>0.74582169450881486</v>
      </c>
      <c r="AK75" s="8" t="str">
        <f t="shared" si="5"/>
        <v>Z</v>
      </c>
    </row>
    <row r="76" spans="1:37" x14ac:dyDescent="0.2">
      <c r="A76" s="4" t="s">
        <v>82</v>
      </c>
      <c r="B76" s="6"/>
      <c r="C76" s="6">
        <v>4</v>
      </c>
      <c r="D76" s="6">
        <v>3</v>
      </c>
      <c r="E76" s="6">
        <v>9</v>
      </c>
      <c r="F76" s="6"/>
      <c r="G76" s="6"/>
      <c r="H76" s="6">
        <v>1</v>
      </c>
      <c r="I76" s="6">
        <v>3</v>
      </c>
      <c r="J76" s="6">
        <v>2</v>
      </c>
      <c r="K76" s="6">
        <v>1</v>
      </c>
      <c r="L76" s="6">
        <v>3</v>
      </c>
      <c r="M76" s="6">
        <v>8</v>
      </c>
      <c r="N76" s="6">
        <v>6</v>
      </c>
      <c r="O76" s="6">
        <v>1</v>
      </c>
      <c r="P76" s="6">
        <v>4</v>
      </c>
      <c r="Q76" s="6"/>
      <c r="R76" s="6">
        <v>3</v>
      </c>
      <c r="S76" s="6">
        <v>3</v>
      </c>
      <c r="T76" s="6">
        <v>3</v>
      </c>
      <c r="U76" s="6"/>
      <c r="V76" s="6">
        <v>5</v>
      </c>
      <c r="W76" s="6">
        <v>1</v>
      </c>
      <c r="X76" s="6">
        <v>5</v>
      </c>
      <c r="Y76" s="6"/>
      <c r="Z76" s="6"/>
      <c r="AA76" s="6">
        <v>2</v>
      </c>
      <c r="AB76" s="6">
        <v>5</v>
      </c>
      <c r="AC76" s="6"/>
      <c r="AD76" s="6">
        <v>2</v>
      </c>
      <c r="AE76" s="6">
        <v>8</v>
      </c>
      <c r="AF76" s="6">
        <v>1</v>
      </c>
      <c r="AG76" s="6">
        <v>83</v>
      </c>
      <c r="AI76">
        <f t="shared" si="3"/>
        <v>23</v>
      </c>
      <c r="AJ76" s="11">
        <f t="shared" si="4"/>
        <v>0.64206807684213152</v>
      </c>
      <c r="AK76" s="8" t="str">
        <f t="shared" si="5"/>
        <v>Z</v>
      </c>
    </row>
    <row r="77" spans="1:37" x14ac:dyDescent="0.2">
      <c r="A77" s="4" t="s">
        <v>112</v>
      </c>
      <c r="B77" s="6">
        <v>4</v>
      </c>
      <c r="C77" s="6">
        <v>1</v>
      </c>
      <c r="D77" s="6">
        <v>2</v>
      </c>
      <c r="E77" s="6">
        <v>6</v>
      </c>
      <c r="F77" s="6">
        <v>1</v>
      </c>
      <c r="G77" s="6">
        <v>5</v>
      </c>
      <c r="H77" s="6">
        <v>3</v>
      </c>
      <c r="I77" s="6">
        <v>4</v>
      </c>
      <c r="J77" s="6">
        <v>8</v>
      </c>
      <c r="K77" s="6">
        <v>1</v>
      </c>
      <c r="L77" s="6">
        <v>3</v>
      </c>
      <c r="M77" s="6">
        <v>3</v>
      </c>
      <c r="N77" s="6">
        <v>1</v>
      </c>
      <c r="O77" s="6">
        <v>1</v>
      </c>
      <c r="P77" s="6">
        <v>11</v>
      </c>
      <c r="Q77" s="6">
        <v>7</v>
      </c>
      <c r="R77" s="6"/>
      <c r="S77" s="6"/>
      <c r="T77" s="6">
        <v>5</v>
      </c>
      <c r="U77" s="6"/>
      <c r="V77" s="6"/>
      <c r="W77" s="6"/>
      <c r="X77" s="6">
        <v>3</v>
      </c>
      <c r="Y77" s="6"/>
      <c r="Z77" s="6">
        <v>3</v>
      </c>
      <c r="AA77" s="6"/>
      <c r="AB77" s="6">
        <v>4</v>
      </c>
      <c r="AC77" s="6">
        <v>4</v>
      </c>
      <c r="AD77" s="6"/>
      <c r="AE77" s="6"/>
      <c r="AF77" s="6">
        <v>3</v>
      </c>
      <c r="AG77" s="6">
        <v>83</v>
      </c>
      <c r="AI77">
        <f t="shared" si="3"/>
        <v>22</v>
      </c>
      <c r="AJ77" s="11">
        <f t="shared" si="4"/>
        <v>0.65382956873325959</v>
      </c>
      <c r="AK77" s="8" t="str">
        <f t="shared" si="5"/>
        <v>Z</v>
      </c>
    </row>
    <row r="78" spans="1:37" x14ac:dyDescent="0.2">
      <c r="A78" s="4" t="s">
        <v>37</v>
      </c>
      <c r="B78" s="6"/>
      <c r="C78" s="6">
        <v>1</v>
      </c>
      <c r="D78" s="6">
        <v>6</v>
      </c>
      <c r="E78" s="6">
        <v>1</v>
      </c>
      <c r="F78" s="6">
        <v>2</v>
      </c>
      <c r="G78" s="6">
        <v>5</v>
      </c>
      <c r="H78" s="6">
        <v>8</v>
      </c>
      <c r="I78" s="6">
        <v>2</v>
      </c>
      <c r="J78" s="6">
        <v>2</v>
      </c>
      <c r="K78" s="6">
        <v>7</v>
      </c>
      <c r="L78" s="6"/>
      <c r="M78" s="6">
        <v>1</v>
      </c>
      <c r="N78" s="6">
        <v>4</v>
      </c>
      <c r="O78" s="6">
        <v>4</v>
      </c>
      <c r="P78" s="6"/>
      <c r="Q78" s="6">
        <v>5</v>
      </c>
      <c r="R78" s="6">
        <v>4</v>
      </c>
      <c r="S78" s="6">
        <v>3</v>
      </c>
      <c r="T78" s="6">
        <v>4</v>
      </c>
      <c r="U78" s="6">
        <v>4</v>
      </c>
      <c r="V78" s="6">
        <v>5</v>
      </c>
      <c r="W78" s="6"/>
      <c r="X78" s="6"/>
      <c r="Y78" s="6"/>
      <c r="Z78" s="6">
        <v>3</v>
      </c>
      <c r="AA78" s="6">
        <v>4</v>
      </c>
      <c r="AB78" s="6"/>
      <c r="AC78" s="6">
        <v>5</v>
      </c>
      <c r="AD78" s="6"/>
      <c r="AE78" s="6">
        <v>6</v>
      </c>
      <c r="AF78" s="6">
        <v>2</v>
      </c>
      <c r="AG78" s="6">
        <v>88</v>
      </c>
      <c r="AI78">
        <f t="shared" si="3"/>
        <v>23</v>
      </c>
      <c r="AJ78" s="11">
        <f t="shared" si="4"/>
        <v>0.49140337069181028</v>
      </c>
      <c r="AK78" s="8" t="str">
        <f t="shared" si="5"/>
        <v>Y</v>
      </c>
    </row>
    <row r="79" spans="1:37" x14ac:dyDescent="0.2">
      <c r="A79" s="4" t="s">
        <v>72</v>
      </c>
      <c r="B79" s="6">
        <v>1</v>
      </c>
      <c r="C79" s="6">
        <v>8</v>
      </c>
      <c r="D79" s="6">
        <v>9</v>
      </c>
      <c r="E79" s="6">
        <v>6</v>
      </c>
      <c r="F79" s="6"/>
      <c r="G79" s="6"/>
      <c r="H79" s="6">
        <v>6</v>
      </c>
      <c r="I79" s="6">
        <v>2</v>
      </c>
      <c r="J79" s="6">
        <v>4</v>
      </c>
      <c r="K79" s="6">
        <v>3</v>
      </c>
      <c r="L79" s="6">
        <v>7</v>
      </c>
      <c r="M79" s="6"/>
      <c r="N79" s="6"/>
      <c r="O79" s="6">
        <v>3</v>
      </c>
      <c r="P79" s="6">
        <v>5</v>
      </c>
      <c r="Q79" s="6"/>
      <c r="R79" s="6"/>
      <c r="S79" s="6">
        <v>2</v>
      </c>
      <c r="T79" s="6">
        <v>6</v>
      </c>
      <c r="U79" s="6">
        <v>2</v>
      </c>
      <c r="V79" s="6">
        <v>2</v>
      </c>
      <c r="W79" s="6">
        <v>7</v>
      </c>
      <c r="X79" s="6">
        <v>3</v>
      </c>
      <c r="Y79" s="6">
        <v>1</v>
      </c>
      <c r="Z79" s="6"/>
      <c r="AA79" s="6">
        <v>3</v>
      </c>
      <c r="AB79" s="6">
        <v>3</v>
      </c>
      <c r="AC79" s="6">
        <v>2</v>
      </c>
      <c r="AD79" s="6">
        <v>6</v>
      </c>
      <c r="AE79" s="6">
        <v>5</v>
      </c>
      <c r="AF79" s="6">
        <v>6</v>
      </c>
      <c r="AG79" s="6">
        <v>102</v>
      </c>
      <c r="AI79">
        <f t="shared" si="3"/>
        <v>24</v>
      </c>
      <c r="AJ79" s="11">
        <f t="shared" si="4"/>
        <v>0.53158594947944937</v>
      </c>
      <c r="AK79" s="8" t="str">
        <f t="shared" si="5"/>
        <v>Y</v>
      </c>
    </row>
    <row r="80" spans="1:37" x14ac:dyDescent="0.2">
      <c r="A80" s="4" t="s">
        <v>80</v>
      </c>
      <c r="B80" s="6">
        <v>1</v>
      </c>
      <c r="C80" s="6">
        <v>7</v>
      </c>
      <c r="D80" s="6">
        <v>8</v>
      </c>
      <c r="E80" s="6">
        <v>6</v>
      </c>
      <c r="F80" s="6"/>
      <c r="G80" s="6"/>
      <c r="H80" s="6">
        <v>7</v>
      </c>
      <c r="I80" s="6"/>
      <c r="J80" s="6">
        <v>2</v>
      </c>
      <c r="K80" s="6"/>
      <c r="L80" s="6">
        <v>3</v>
      </c>
      <c r="M80" s="6">
        <v>1</v>
      </c>
      <c r="N80" s="6"/>
      <c r="O80" s="6">
        <v>2</v>
      </c>
      <c r="P80" s="6">
        <v>10</v>
      </c>
      <c r="Q80" s="6">
        <v>3</v>
      </c>
      <c r="R80" s="6">
        <v>3</v>
      </c>
      <c r="S80" s="6"/>
      <c r="T80" s="6"/>
      <c r="U80" s="6">
        <v>6</v>
      </c>
      <c r="V80" s="6"/>
      <c r="W80" s="6">
        <v>4</v>
      </c>
      <c r="X80" s="6">
        <v>6</v>
      </c>
      <c r="Y80" s="6">
        <v>1</v>
      </c>
      <c r="Z80" s="6">
        <v>3</v>
      </c>
      <c r="AA80" s="6"/>
      <c r="AB80" s="6">
        <v>4</v>
      </c>
      <c r="AC80" s="6"/>
      <c r="AD80" s="6">
        <v>7</v>
      </c>
      <c r="AE80" s="6">
        <v>4</v>
      </c>
      <c r="AF80" s="6">
        <v>3</v>
      </c>
      <c r="AG80" s="6">
        <v>91</v>
      </c>
      <c r="AI80">
        <f t="shared" si="3"/>
        <v>21</v>
      </c>
      <c r="AJ80" s="11">
        <f t="shared" si="4"/>
        <v>0.57121720520294628</v>
      </c>
      <c r="AK80" s="8" t="str">
        <f t="shared" si="5"/>
        <v>Y</v>
      </c>
    </row>
    <row r="81" spans="1:37" x14ac:dyDescent="0.2">
      <c r="A81" s="4" t="s">
        <v>92</v>
      </c>
      <c r="B81" s="6"/>
      <c r="C81" s="6">
        <v>5</v>
      </c>
      <c r="D81" s="6">
        <v>2</v>
      </c>
      <c r="E81" s="6">
        <v>2</v>
      </c>
      <c r="F81" s="6">
        <v>4</v>
      </c>
      <c r="G81" s="6">
        <v>2</v>
      </c>
      <c r="H81" s="6">
        <v>11</v>
      </c>
      <c r="I81" s="6"/>
      <c r="J81" s="6">
        <v>6</v>
      </c>
      <c r="K81" s="6">
        <v>6</v>
      </c>
      <c r="L81" s="6">
        <v>5</v>
      </c>
      <c r="M81" s="6"/>
      <c r="N81" s="6">
        <v>8</v>
      </c>
      <c r="O81" s="6"/>
      <c r="P81" s="6">
        <v>5</v>
      </c>
      <c r="Q81" s="6">
        <v>3</v>
      </c>
      <c r="R81" s="6">
        <v>2</v>
      </c>
      <c r="S81" s="6"/>
      <c r="T81" s="6">
        <v>3</v>
      </c>
      <c r="U81" s="6">
        <v>1</v>
      </c>
      <c r="V81" s="6"/>
      <c r="W81" s="6">
        <v>1</v>
      </c>
      <c r="X81" s="6">
        <v>1</v>
      </c>
      <c r="Y81" s="6">
        <v>3</v>
      </c>
      <c r="Z81" s="6">
        <v>3</v>
      </c>
      <c r="AA81" s="6">
        <v>1</v>
      </c>
      <c r="AB81" s="6">
        <v>1</v>
      </c>
      <c r="AC81" s="6"/>
      <c r="AD81" s="6">
        <v>3</v>
      </c>
      <c r="AE81" s="6">
        <v>9</v>
      </c>
      <c r="AF81" s="6">
        <v>4</v>
      </c>
      <c r="AG81" s="6">
        <v>91</v>
      </c>
      <c r="AI81">
        <f t="shared" si="3"/>
        <v>24</v>
      </c>
      <c r="AJ81" s="11">
        <f t="shared" si="4"/>
        <v>0.69352761870284219</v>
      </c>
      <c r="AK81" s="8" t="str">
        <f t="shared" si="5"/>
        <v>Z</v>
      </c>
    </row>
    <row r="82" spans="1:37" x14ac:dyDescent="0.2">
      <c r="A82" s="4" t="s">
        <v>128</v>
      </c>
      <c r="B82" s="6">
        <v>3</v>
      </c>
      <c r="C82" s="6">
        <v>1</v>
      </c>
      <c r="D82" s="6">
        <v>4</v>
      </c>
      <c r="E82" s="6"/>
      <c r="F82" s="6">
        <v>6</v>
      </c>
      <c r="G82" s="6">
        <v>3</v>
      </c>
      <c r="H82" s="6">
        <v>5</v>
      </c>
      <c r="I82" s="6">
        <v>2</v>
      </c>
      <c r="J82" s="6">
        <v>3</v>
      </c>
      <c r="K82" s="6"/>
      <c r="L82" s="6">
        <v>3</v>
      </c>
      <c r="M82" s="6"/>
      <c r="N82" s="6">
        <v>9</v>
      </c>
      <c r="O82" s="6"/>
      <c r="P82" s="6">
        <v>3</v>
      </c>
      <c r="Q82" s="6">
        <v>1</v>
      </c>
      <c r="R82" s="6">
        <v>3</v>
      </c>
      <c r="S82" s="6">
        <v>2</v>
      </c>
      <c r="T82" s="6">
        <v>1</v>
      </c>
      <c r="U82" s="6">
        <v>1</v>
      </c>
      <c r="V82" s="6">
        <v>2</v>
      </c>
      <c r="W82" s="6">
        <v>7</v>
      </c>
      <c r="X82" s="6">
        <v>5</v>
      </c>
      <c r="Y82" s="6"/>
      <c r="Z82" s="6"/>
      <c r="AA82" s="6">
        <v>1</v>
      </c>
      <c r="AB82" s="6">
        <v>11</v>
      </c>
      <c r="AC82" s="6"/>
      <c r="AD82" s="6">
        <v>1</v>
      </c>
      <c r="AE82" s="6">
        <v>3</v>
      </c>
      <c r="AF82" s="6">
        <v>1</v>
      </c>
      <c r="AG82" s="6">
        <v>81</v>
      </c>
      <c r="AI82">
        <f t="shared" si="3"/>
        <v>24</v>
      </c>
      <c r="AJ82" s="11">
        <f t="shared" si="4"/>
        <v>0.76890887007506281</v>
      </c>
      <c r="AK82" s="8" t="str">
        <f t="shared" si="5"/>
        <v>Z</v>
      </c>
    </row>
    <row r="83" spans="1:37" x14ac:dyDescent="0.2">
      <c r="A83" s="4" t="s">
        <v>41</v>
      </c>
      <c r="B83" s="6">
        <v>3</v>
      </c>
      <c r="C83" s="6">
        <v>2</v>
      </c>
      <c r="D83" s="6">
        <v>3</v>
      </c>
      <c r="E83" s="6"/>
      <c r="F83" s="6"/>
      <c r="G83" s="6">
        <v>10</v>
      </c>
      <c r="H83" s="6"/>
      <c r="I83" s="6"/>
      <c r="J83" s="6">
        <v>4</v>
      </c>
      <c r="K83" s="6">
        <v>2</v>
      </c>
      <c r="L83" s="6">
        <v>6</v>
      </c>
      <c r="M83" s="6">
        <v>11</v>
      </c>
      <c r="N83" s="6">
        <v>4</v>
      </c>
      <c r="O83" s="6">
        <v>3</v>
      </c>
      <c r="P83" s="6">
        <v>6</v>
      </c>
      <c r="Q83" s="6">
        <v>3</v>
      </c>
      <c r="R83" s="6">
        <v>6</v>
      </c>
      <c r="S83" s="6">
        <v>1</v>
      </c>
      <c r="T83" s="6">
        <v>2</v>
      </c>
      <c r="U83" s="6">
        <v>3</v>
      </c>
      <c r="V83" s="6">
        <v>5</v>
      </c>
      <c r="W83" s="6">
        <v>5</v>
      </c>
      <c r="X83" s="6"/>
      <c r="Y83" s="6">
        <v>5</v>
      </c>
      <c r="Z83" s="6">
        <v>2</v>
      </c>
      <c r="AA83" s="6">
        <v>2</v>
      </c>
      <c r="AB83" s="6">
        <v>1</v>
      </c>
      <c r="AC83" s="6">
        <v>1</v>
      </c>
      <c r="AD83" s="6"/>
      <c r="AE83" s="6">
        <v>10</v>
      </c>
      <c r="AF83" s="6">
        <v>16</v>
      </c>
      <c r="AG83" s="6">
        <v>116</v>
      </c>
      <c r="AI83">
        <f t="shared" si="3"/>
        <v>25</v>
      </c>
      <c r="AJ83" s="11">
        <f t="shared" si="4"/>
        <v>0.7731754249923678</v>
      </c>
      <c r="AK83" s="8" t="str">
        <f t="shared" si="5"/>
        <v>Z</v>
      </c>
    </row>
    <row r="84" spans="1:37" x14ac:dyDescent="0.2">
      <c r="A84" s="4" t="s">
        <v>64</v>
      </c>
      <c r="B84" s="6">
        <v>8</v>
      </c>
      <c r="C84" s="6">
        <v>1</v>
      </c>
      <c r="D84" s="6">
        <v>3</v>
      </c>
      <c r="E84" s="6"/>
      <c r="F84" s="6">
        <v>1</v>
      </c>
      <c r="G84" s="6">
        <v>4</v>
      </c>
      <c r="H84" s="6">
        <v>6</v>
      </c>
      <c r="I84" s="6">
        <v>8</v>
      </c>
      <c r="J84" s="6">
        <v>3</v>
      </c>
      <c r="K84" s="6"/>
      <c r="L84" s="6">
        <v>2</v>
      </c>
      <c r="M84" s="6">
        <v>3</v>
      </c>
      <c r="N84" s="6">
        <v>6</v>
      </c>
      <c r="O84" s="6"/>
      <c r="P84" s="6">
        <v>3</v>
      </c>
      <c r="Q84" s="6">
        <v>8</v>
      </c>
      <c r="R84" s="6">
        <v>8</v>
      </c>
      <c r="S84" s="6"/>
      <c r="T84" s="6"/>
      <c r="U84" s="6"/>
      <c r="V84" s="6">
        <v>2</v>
      </c>
      <c r="W84" s="6">
        <v>3</v>
      </c>
      <c r="X84" s="6">
        <v>5</v>
      </c>
      <c r="Y84" s="6"/>
      <c r="Z84" s="6">
        <v>5</v>
      </c>
      <c r="AA84" s="6"/>
      <c r="AB84" s="6">
        <v>1</v>
      </c>
      <c r="AC84" s="6"/>
      <c r="AD84" s="6"/>
      <c r="AE84" s="6">
        <v>4</v>
      </c>
      <c r="AF84" s="6"/>
      <c r="AG84" s="6">
        <v>84</v>
      </c>
      <c r="AI84">
        <f t="shared" si="3"/>
        <v>20</v>
      </c>
      <c r="AJ84" s="11">
        <f t="shared" si="4"/>
        <v>0.566446535874777</v>
      </c>
      <c r="AK84" s="8" t="str">
        <f t="shared" si="5"/>
        <v>Y</v>
      </c>
    </row>
    <row r="85" spans="1:37" x14ac:dyDescent="0.2">
      <c r="A85" s="4" t="s">
        <v>83</v>
      </c>
      <c r="B85" s="6">
        <v>1</v>
      </c>
      <c r="C85" s="6">
        <v>1</v>
      </c>
      <c r="D85" s="6">
        <v>2</v>
      </c>
      <c r="E85" s="6">
        <v>5</v>
      </c>
      <c r="F85" s="6">
        <v>8</v>
      </c>
      <c r="G85" s="6">
        <v>5</v>
      </c>
      <c r="H85" s="6">
        <v>2</v>
      </c>
      <c r="I85" s="6">
        <v>2</v>
      </c>
      <c r="J85" s="6"/>
      <c r="K85" s="6">
        <v>5</v>
      </c>
      <c r="L85" s="6"/>
      <c r="M85" s="6">
        <v>9</v>
      </c>
      <c r="N85" s="6"/>
      <c r="O85" s="6">
        <v>5</v>
      </c>
      <c r="P85" s="6">
        <v>7</v>
      </c>
      <c r="Q85" s="6">
        <v>7</v>
      </c>
      <c r="R85" s="6">
        <v>2</v>
      </c>
      <c r="S85" s="6">
        <v>4</v>
      </c>
      <c r="T85" s="6">
        <v>3</v>
      </c>
      <c r="U85" s="6">
        <v>2</v>
      </c>
      <c r="V85" s="6">
        <v>7</v>
      </c>
      <c r="W85" s="6">
        <v>9</v>
      </c>
      <c r="X85" s="6"/>
      <c r="Y85" s="6"/>
      <c r="Z85" s="6">
        <v>6</v>
      </c>
      <c r="AA85" s="6">
        <v>1</v>
      </c>
      <c r="AB85" s="6">
        <v>4</v>
      </c>
      <c r="AC85" s="6">
        <v>4</v>
      </c>
      <c r="AD85" s="6">
        <v>8</v>
      </c>
      <c r="AE85" s="6">
        <v>5</v>
      </c>
      <c r="AF85" s="6">
        <v>2</v>
      </c>
      <c r="AG85" s="6">
        <v>116</v>
      </c>
      <c r="AI85">
        <f t="shared" si="3"/>
        <v>26</v>
      </c>
      <c r="AJ85" s="11">
        <f t="shared" si="4"/>
        <v>0.56371664566454538</v>
      </c>
      <c r="AK85" s="8" t="str">
        <f t="shared" si="5"/>
        <v>Y</v>
      </c>
    </row>
    <row r="86" spans="1:37" x14ac:dyDescent="0.2">
      <c r="A86" s="4" t="s">
        <v>84</v>
      </c>
      <c r="B86" s="6">
        <v>2</v>
      </c>
      <c r="C86" s="6">
        <v>3</v>
      </c>
      <c r="D86" s="6">
        <v>3</v>
      </c>
      <c r="E86" s="6">
        <v>9</v>
      </c>
      <c r="F86" s="6">
        <v>3</v>
      </c>
      <c r="G86" s="6">
        <v>3</v>
      </c>
      <c r="H86" s="6">
        <v>8</v>
      </c>
      <c r="I86" s="6"/>
      <c r="J86" s="6">
        <v>3</v>
      </c>
      <c r="K86" s="6">
        <v>2</v>
      </c>
      <c r="L86" s="6">
        <v>5</v>
      </c>
      <c r="M86" s="6">
        <v>3</v>
      </c>
      <c r="N86" s="6">
        <v>5</v>
      </c>
      <c r="O86" s="6">
        <v>3</v>
      </c>
      <c r="P86" s="6">
        <v>3</v>
      </c>
      <c r="Q86" s="6">
        <v>6</v>
      </c>
      <c r="R86" s="6">
        <v>1</v>
      </c>
      <c r="S86" s="6">
        <v>1</v>
      </c>
      <c r="T86" s="6">
        <v>10</v>
      </c>
      <c r="U86" s="6">
        <v>2</v>
      </c>
      <c r="V86" s="6">
        <v>3</v>
      </c>
      <c r="W86" s="6">
        <v>3</v>
      </c>
      <c r="X86" s="6">
        <v>7</v>
      </c>
      <c r="Y86" s="6"/>
      <c r="Z86" s="6">
        <v>3</v>
      </c>
      <c r="AA86" s="6">
        <v>1</v>
      </c>
      <c r="AB86" s="6"/>
      <c r="AC86" s="6"/>
      <c r="AD86" s="6">
        <v>5</v>
      </c>
      <c r="AE86" s="6">
        <v>3</v>
      </c>
      <c r="AF86" s="6">
        <v>2</v>
      </c>
      <c r="AG86" s="6">
        <v>102</v>
      </c>
      <c r="AI86">
        <f t="shared" si="3"/>
        <v>27</v>
      </c>
      <c r="AJ86" s="11">
        <f t="shared" si="4"/>
        <v>0.61694638127655976</v>
      </c>
      <c r="AK86" s="8" t="str">
        <f t="shared" si="5"/>
        <v>Z</v>
      </c>
    </row>
    <row r="87" spans="1:37" x14ac:dyDescent="0.2">
      <c r="A87" s="4" t="s">
        <v>106</v>
      </c>
      <c r="B87" s="6">
        <v>5</v>
      </c>
      <c r="C87" s="6">
        <v>8</v>
      </c>
      <c r="D87" s="6">
        <v>8</v>
      </c>
      <c r="E87" s="6">
        <v>4</v>
      </c>
      <c r="F87" s="6">
        <v>7</v>
      </c>
      <c r="G87" s="6"/>
      <c r="H87" s="6">
        <v>8</v>
      </c>
      <c r="I87" s="6">
        <v>8</v>
      </c>
      <c r="J87" s="6">
        <v>2</v>
      </c>
      <c r="K87" s="6"/>
      <c r="L87" s="6">
        <v>4</v>
      </c>
      <c r="M87" s="6"/>
      <c r="N87" s="6"/>
      <c r="O87" s="6"/>
      <c r="P87" s="6">
        <v>3</v>
      </c>
      <c r="Q87" s="6"/>
      <c r="R87" s="6"/>
      <c r="S87" s="6">
        <v>2</v>
      </c>
      <c r="T87" s="6">
        <v>2</v>
      </c>
      <c r="U87" s="6">
        <v>4</v>
      </c>
      <c r="V87" s="6">
        <v>1</v>
      </c>
      <c r="W87" s="6">
        <v>6</v>
      </c>
      <c r="X87" s="6">
        <v>6</v>
      </c>
      <c r="Y87" s="6">
        <v>1</v>
      </c>
      <c r="Z87" s="6"/>
      <c r="AA87" s="6">
        <v>10</v>
      </c>
      <c r="AB87" s="6">
        <v>2</v>
      </c>
      <c r="AC87" s="6">
        <v>2</v>
      </c>
      <c r="AD87" s="6"/>
      <c r="AE87" s="6">
        <v>1</v>
      </c>
      <c r="AF87" s="6"/>
      <c r="AG87" s="6">
        <v>94</v>
      </c>
      <c r="AI87">
        <f t="shared" si="3"/>
        <v>21</v>
      </c>
      <c r="AJ87" s="11">
        <f t="shared" si="4"/>
        <v>0.61903559685004916</v>
      </c>
      <c r="AK87" s="8" t="str">
        <f t="shared" si="5"/>
        <v>Z</v>
      </c>
    </row>
    <row r="88" spans="1:37" x14ac:dyDescent="0.2">
      <c r="A88" s="4" t="s">
        <v>61</v>
      </c>
      <c r="B88" s="6">
        <v>10</v>
      </c>
      <c r="C88" s="6">
        <v>4</v>
      </c>
      <c r="D88" s="6"/>
      <c r="E88" s="6"/>
      <c r="F88" s="6">
        <v>2</v>
      </c>
      <c r="G88" s="6">
        <v>1</v>
      </c>
      <c r="H88" s="6">
        <v>2</v>
      </c>
      <c r="I88" s="6">
        <v>7</v>
      </c>
      <c r="J88" s="6"/>
      <c r="K88" s="6">
        <v>2</v>
      </c>
      <c r="L88" s="6">
        <v>3</v>
      </c>
      <c r="M88" s="6">
        <v>5</v>
      </c>
      <c r="N88" s="6">
        <v>2</v>
      </c>
      <c r="O88" s="6">
        <v>3</v>
      </c>
      <c r="P88" s="6"/>
      <c r="Q88" s="6"/>
      <c r="R88" s="6">
        <v>2</v>
      </c>
      <c r="S88" s="6">
        <v>6</v>
      </c>
      <c r="T88" s="6"/>
      <c r="U88" s="6">
        <v>6</v>
      </c>
      <c r="V88" s="6">
        <v>3</v>
      </c>
      <c r="W88" s="6">
        <v>2</v>
      </c>
      <c r="X88" s="6">
        <v>4</v>
      </c>
      <c r="Y88" s="6">
        <v>6</v>
      </c>
      <c r="Z88" s="6">
        <v>1</v>
      </c>
      <c r="AA88" s="6">
        <v>5</v>
      </c>
      <c r="AB88" s="6">
        <v>10</v>
      </c>
      <c r="AC88" s="6">
        <v>5</v>
      </c>
      <c r="AD88" s="6">
        <v>1</v>
      </c>
      <c r="AE88" s="6"/>
      <c r="AF88" s="6">
        <v>2</v>
      </c>
      <c r="AG88" s="6">
        <v>94</v>
      </c>
      <c r="AI88">
        <f t="shared" si="3"/>
        <v>24</v>
      </c>
      <c r="AJ88" s="11">
        <f t="shared" si="4"/>
        <v>0.64640244812609837</v>
      </c>
      <c r="AK88" s="8" t="str">
        <f t="shared" si="5"/>
        <v>Z</v>
      </c>
    </row>
    <row r="89" spans="1:37" x14ac:dyDescent="0.2">
      <c r="A89" s="4" t="s">
        <v>24</v>
      </c>
      <c r="B89" s="6">
        <v>6</v>
      </c>
      <c r="C89" s="6">
        <v>5</v>
      </c>
      <c r="D89" s="6">
        <v>3</v>
      </c>
      <c r="E89" s="6">
        <v>8</v>
      </c>
      <c r="F89" s="6">
        <v>3</v>
      </c>
      <c r="G89" s="6">
        <v>5</v>
      </c>
      <c r="H89" s="6"/>
      <c r="I89" s="6"/>
      <c r="J89" s="6">
        <v>3</v>
      </c>
      <c r="K89" s="6">
        <v>3</v>
      </c>
      <c r="L89" s="6"/>
      <c r="M89" s="6"/>
      <c r="N89" s="6">
        <v>2</v>
      </c>
      <c r="O89" s="6">
        <v>5</v>
      </c>
      <c r="P89" s="6">
        <v>6</v>
      </c>
      <c r="Q89" s="6">
        <v>3</v>
      </c>
      <c r="R89" s="6">
        <v>9</v>
      </c>
      <c r="S89" s="6"/>
      <c r="T89" s="6">
        <v>6</v>
      </c>
      <c r="U89" s="6">
        <v>3</v>
      </c>
      <c r="V89" s="6">
        <v>3</v>
      </c>
      <c r="W89" s="6"/>
      <c r="X89" s="6">
        <v>5</v>
      </c>
      <c r="Y89" s="6">
        <v>2</v>
      </c>
      <c r="Z89" s="6"/>
      <c r="AA89" s="6">
        <v>4</v>
      </c>
      <c r="AB89" s="6"/>
      <c r="AC89" s="6"/>
      <c r="AD89" s="6">
        <v>1</v>
      </c>
      <c r="AE89" s="6">
        <v>7</v>
      </c>
      <c r="AF89" s="6">
        <v>6</v>
      </c>
      <c r="AG89" s="6">
        <v>98</v>
      </c>
      <c r="AI89">
        <f t="shared" si="3"/>
        <v>22</v>
      </c>
      <c r="AJ89" s="11">
        <f t="shared" si="4"/>
        <v>0.4526749594452823</v>
      </c>
      <c r="AK89" s="8" t="str">
        <f t="shared" si="5"/>
        <v>Y</v>
      </c>
    </row>
    <row r="90" spans="1:37" x14ac:dyDescent="0.2">
      <c r="A90" s="4" t="s">
        <v>65</v>
      </c>
      <c r="B90" s="6">
        <v>1</v>
      </c>
      <c r="C90" s="6">
        <v>2</v>
      </c>
      <c r="D90" s="6">
        <v>1</v>
      </c>
      <c r="E90" s="6">
        <v>7</v>
      </c>
      <c r="F90" s="6">
        <v>6</v>
      </c>
      <c r="G90" s="6">
        <v>1</v>
      </c>
      <c r="H90" s="6">
        <v>7</v>
      </c>
      <c r="I90" s="6"/>
      <c r="J90" s="6"/>
      <c r="K90" s="6"/>
      <c r="L90" s="6">
        <v>6</v>
      </c>
      <c r="M90" s="6">
        <v>3</v>
      </c>
      <c r="N90" s="6">
        <v>2</v>
      </c>
      <c r="O90" s="6">
        <v>1</v>
      </c>
      <c r="P90" s="6"/>
      <c r="Q90" s="6"/>
      <c r="R90" s="6">
        <v>3</v>
      </c>
      <c r="S90" s="6">
        <v>3</v>
      </c>
      <c r="T90" s="6">
        <v>5</v>
      </c>
      <c r="U90" s="6">
        <v>3</v>
      </c>
      <c r="V90" s="6">
        <v>2</v>
      </c>
      <c r="W90" s="6">
        <v>3</v>
      </c>
      <c r="X90" s="6">
        <v>4</v>
      </c>
      <c r="Y90" s="6">
        <v>5</v>
      </c>
      <c r="Z90" s="6">
        <v>3</v>
      </c>
      <c r="AA90" s="6">
        <v>6</v>
      </c>
      <c r="AB90" s="6">
        <v>1</v>
      </c>
      <c r="AC90" s="6">
        <v>10</v>
      </c>
      <c r="AD90" s="6">
        <v>6</v>
      </c>
      <c r="AE90" s="6">
        <v>3</v>
      </c>
      <c r="AF90" s="6"/>
      <c r="AG90" s="6">
        <v>94</v>
      </c>
      <c r="AI90">
        <f t="shared" si="3"/>
        <v>25</v>
      </c>
      <c r="AJ90" s="11">
        <f t="shared" si="4"/>
        <v>0.61702127659574468</v>
      </c>
      <c r="AK90" s="8" t="str">
        <f t="shared" si="5"/>
        <v>Z</v>
      </c>
    </row>
    <row r="91" spans="1:37" x14ac:dyDescent="0.2">
      <c r="A91" s="4" t="s">
        <v>71</v>
      </c>
      <c r="B91" s="6">
        <v>3</v>
      </c>
      <c r="C91" s="6"/>
      <c r="D91" s="6">
        <v>4</v>
      </c>
      <c r="E91" s="6"/>
      <c r="F91" s="6">
        <v>1</v>
      </c>
      <c r="G91" s="6">
        <v>3</v>
      </c>
      <c r="H91" s="6"/>
      <c r="I91" s="6">
        <v>2</v>
      </c>
      <c r="J91" s="6"/>
      <c r="K91" s="6">
        <v>2</v>
      </c>
      <c r="L91" s="6">
        <v>1</v>
      </c>
      <c r="M91" s="6">
        <v>3</v>
      </c>
      <c r="N91" s="6"/>
      <c r="O91" s="6">
        <v>3</v>
      </c>
      <c r="P91" s="6"/>
      <c r="Q91" s="6">
        <v>4</v>
      </c>
      <c r="R91" s="6">
        <v>5</v>
      </c>
      <c r="S91" s="6">
        <v>2</v>
      </c>
      <c r="T91" s="6">
        <v>5</v>
      </c>
      <c r="U91" s="6"/>
      <c r="V91" s="6">
        <v>5</v>
      </c>
      <c r="W91" s="6">
        <v>5</v>
      </c>
      <c r="X91" s="6">
        <v>4</v>
      </c>
      <c r="Y91" s="6">
        <v>3</v>
      </c>
      <c r="Z91" s="6"/>
      <c r="AA91" s="6">
        <v>6</v>
      </c>
      <c r="AB91" s="6">
        <v>3</v>
      </c>
      <c r="AC91" s="6">
        <v>3</v>
      </c>
      <c r="AD91" s="6">
        <v>1</v>
      </c>
      <c r="AE91" s="6">
        <v>2</v>
      </c>
      <c r="AF91" s="6">
        <v>3</v>
      </c>
      <c r="AG91" s="6">
        <v>73</v>
      </c>
      <c r="AI91">
        <f t="shared" si="3"/>
        <v>23</v>
      </c>
      <c r="AJ91" s="11">
        <f t="shared" si="4"/>
        <v>0.43232147501532875</v>
      </c>
      <c r="AK91" s="8" t="str">
        <f t="shared" si="5"/>
        <v>Y</v>
      </c>
    </row>
    <row r="92" spans="1:37" x14ac:dyDescent="0.2">
      <c r="A92" s="4" t="s">
        <v>43</v>
      </c>
      <c r="B92" s="6">
        <v>3</v>
      </c>
      <c r="C92" s="6"/>
      <c r="D92" s="6">
        <v>5</v>
      </c>
      <c r="E92" s="6">
        <v>1</v>
      </c>
      <c r="F92" s="6">
        <v>7</v>
      </c>
      <c r="G92" s="6"/>
      <c r="H92" s="6"/>
      <c r="I92" s="6">
        <v>3</v>
      </c>
      <c r="J92" s="6">
        <v>6</v>
      </c>
      <c r="K92" s="6">
        <v>4</v>
      </c>
      <c r="L92" s="6">
        <v>3</v>
      </c>
      <c r="M92" s="6"/>
      <c r="N92" s="6">
        <v>2</v>
      </c>
      <c r="O92" s="6">
        <v>8</v>
      </c>
      <c r="P92" s="6">
        <v>3</v>
      </c>
      <c r="Q92" s="6">
        <v>8</v>
      </c>
      <c r="R92" s="6">
        <v>6</v>
      </c>
      <c r="S92" s="6">
        <v>6</v>
      </c>
      <c r="T92" s="6">
        <v>5</v>
      </c>
      <c r="U92" s="6"/>
      <c r="V92" s="6">
        <v>4</v>
      </c>
      <c r="W92" s="6"/>
      <c r="X92" s="6">
        <v>4</v>
      </c>
      <c r="Y92" s="6">
        <v>1</v>
      </c>
      <c r="Z92" s="6">
        <v>1</v>
      </c>
      <c r="AA92" s="6">
        <v>6</v>
      </c>
      <c r="AB92" s="6">
        <v>4</v>
      </c>
      <c r="AC92" s="6">
        <v>7</v>
      </c>
      <c r="AD92" s="6"/>
      <c r="AE92" s="6">
        <v>7</v>
      </c>
      <c r="AF92" s="6">
        <v>2</v>
      </c>
      <c r="AG92" s="6">
        <v>106</v>
      </c>
      <c r="AI92">
        <f t="shared" si="3"/>
        <v>24</v>
      </c>
      <c r="AJ92" s="11">
        <f t="shared" si="4"/>
        <v>0.48874844705617421</v>
      </c>
      <c r="AK92" s="8" t="str">
        <f t="shared" si="5"/>
        <v>Y</v>
      </c>
    </row>
    <row r="93" spans="1:37" x14ac:dyDescent="0.2">
      <c r="A93" s="4" t="s">
        <v>113</v>
      </c>
      <c r="B93" s="6"/>
      <c r="C93" s="6">
        <v>1</v>
      </c>
      <c r="D93" s="6"/>
      <c r="E93" s="6">
        <v>7</v>
      </c>
      <c r="F93" s="6">
        <v>1</v>
      </c>
      <c r="G93" s="6">
        <v>8</v>
      </c>
      <c r="H93" s="6">
        <v>5</v>
      </c>
      <c r="I93" s="6"/>
      <c r="J93" s="6"/>
      <c r="K93" s="6">
        <v>3</v>
      </c>
      <c r="L93" s="6">
        <v>5</v>
      </c>
      <c r="M93" s="6">
        <v>5</v>
      </c>
      <c r="N93" s="6">
        <v>3</v>
      </c>
      <c r="O93" s="6">
        <v>8</v>
      </c>
      <c r="P93" s="6"/>
      <c r="Q93" s="6">
        <v>3</v>
      </c>
      <c r="R93" s="6">
        <v>3</v>
      </c>
      <c r="S93" s="6">
        <v>4</v>
      </c>
      <c r="T93" s="6">
        <v>4</v>
      </c>
      <c r="U93" s="6">
        <v>8</v>
      </c>
      <c r="V93" s="6">
        <v>5</v>
      </c>
      <c r="W93" s="6">
        <v>4</v>
      </c>
      <c r="X93" s="6">
        <v>3</v>
      </c>
      <c r="Y93" s="6">
        <v>8</v>
      </c>
      <c r="Z93" s="6">
        <v>2</v>
      </c>
      <c r="AA93" s="6">
        <v>3</v>
      </c>
      <c r="AB93" s="6">
        <v>4</v>
      </c>
      <c r="AC93" s="6"/>
      <c r="AD93" s="6">
        <v>6</v>
      </c>
      <c r="AE93" s="6"/>
      <c r="AF93" s="6"/>
      <c r="AG93" s="6">
        <v>103</v>
      </c>
      <c r="AI93">
        <f t="shared" si="3"/>
        <v>23</v>
      </c>
      <c r="AJ93" s="11">
        <f t="shared" si="4"/>
        <v>0.47423979579882763</v>
      </c>
      <c r="AK93" s="8" t="str">
        <f t="shared" si="5"/>
        <v>Y</v>
      </c>
    </row>
    <row r="94" spans="1:37" x14ac:dyDescent="0.2">
      <c r="A94" s="4" t="s">
        <v>68</v>
      </c>
      <c r="B94" s="6"/>
      <c r="C94" s="6">
        <v>5</v>
      </c>
      <c r="D94" s="6"/>
      <c r="E94" s="6">
        <v>2</v>
      </c>
      <c r="F94" s="6">
        <v>3</v>
      </c>
      <c r="G94" s="6"/>
      <c r="H94" s="6">
        <v>2</v>
      </c>
      <c r="I94" s="6">
        <v>3</v>
      </c>
      <c r="J94" s="6">
        <v>3</v>
      </c>
      <c r="K94" s="6">
        <v>8</v>
      </c>
      <c r="L94" s="6">
        <v>8</v>
      </c>
      <c r="M94" s="6">
        <v>3</v>
      </c>
      <c r="N94" s="6">
        <v>6</v>
      </c>
      <c r="O94" s="6">
        <v>6</v>
      </c>
      <c r="P94" s="6">
        <v>2</v>
      </c>
      <c r="Q94" s="6">
        <v>8</v>
      </c>
      <c r="R94" s="6">
        <v>6</v>
      </c>
      <c r="S94" s="6"/>
      <c r="T94" s="6">
        <v>8</v>
      </c>
      <c r="U94" s="6">
        <v>1</v>
      </c>
      <c r="V94" s="6"/>
      <c r="W94" s="6">
        <v>8</v>
      </c>
      <c r="X94" s="6">
        <v>4</v>
      </c>
      <c r="Y94" s="6">
        <v>3</v>
      </c>
      <c r="Z94" s="6">
        <v>1</v>
      </c>
      <c r="AA94" s="6">
        <v>8</v>
      </c>
      <c r="AB94" s="6">
        <v>1</v>
      </c>
      <c r="AC94" s="6">
        <v>3</v>
      </c>
      <c r="AD94" s="6">
        <v>3</v>
      </c>
      <c r="AE94" s="6">
        <v>3</v>
      </c>
      <c r="AF94" s="6">
        <v>3</v>
      </c>
      <c r="AG94" s="6">
        <v>111</v>
      </c>
      <c r="AI94">
        <f t="shared" si="3"/>
        <v>26</v>
      </c>
      <c r="AJ94" s="11">
        <f t="shared" si="4"/>
        <v>0.57212527240747491</v>
      </c>
      <c r="AK94" s="8" t="str">
        <f t="shared" si="5"/>
        <v>Y</v>
      </c>
    </row>
    <row r="95" spans="1:37" x14ac:dyDescent="0.2">
      <c r="A95" s="4" t="s">
        <v>130</v>
      </c>
      <c r="B95" s="6">
        <v>251</v>
      </c>
      <c r="C95" s="6">
        <v>277</v>
      </c>
      <c r="D95" s="6">
        <v>302</v>
      </c>
      <c r="E95" s="6">
        <v>311</v>
      </c>
      <c r="F95" s="6">
        <v>245</v>
      </c>
      <c r="G95" s="6">
        <v>292</v>
      </c>
      <c r="H95" s="6">
        <v>287</v>
      </c>
      <c r="I95" s="6">
        <v>222</v>
      </c>
      <c r="J95" s="6">
        <v>246</v>
      </c>
      <c r="K95" s="6">
        <v>252</v>
      </c>
      <c r="L95" s="6">
        <v>272</v>
      </c>
      <c r="M95" s="6">
        <v>273</v>
      </c>
      <c r="N95" s="6">
        <v>254</v>
      </c>
      <c r="O95" s="6">
        <v>264</v>
      </c>
      <c r="P95" s="6">
        <v>326</v>
      </c>
      <c r="Q95" s="6">
        <v>301</v>
      </c>
      <c r="R95" s="6">
        <v>223</v>
      </c>
      <c r="S95" s="6">
        <v>265</v>
      </c>
      <c r="T95" s="6">
        <v>293</v>
      </c>
      <c r="U95" s="6">
        <v>255</v>
      </c>
      <c r="V95" s="6">
        <v>276</v>
      </c>
      <c r="W95" s="6">
        <v>298</v>
      </c>
      <c r="X95" s="6">
        <v>300</v>
      </c>
      <c r="Y95" s="6">
        <v>244</v>
      </c>
      <c r="Z95" s="6">
        <v>258</v>
      </c>
      <c r="AA95" s="6">
        <v>307</v>
      </c>
      <c r="AB95" s="6">
        <v>246</v>
      </c>
      <c r="AC95" s="6">
        <v>258</v>
      </c>
      <c r="AD95" s="6">
        <v>274</v>
      </c>
      <c r="AE95" s="6">
        <v>297</v>
      </c>
      <c r="AF95" s="6">
        <v>272</v>
      </c>
      <c r="AG95" s="6">
        <v>8441</v>
      </c>
    </row>
  </sheetData>
  <mergeCells count="1">
    <mergeCell ref="C2:AG2"/>
  </mergeCells>
  <conditionalFormatting sqref="AK1:AK1048576">
    <cfRule type="containsText" dxfId="2" priority="1" operator="containsText" text="X">
      <formula>NOT(ISERROR(SEARCH("X",AK1)))</formula>
    </cfRule>
    <cfRule type="containsText" dxfId="1" priority="2" operator="containsText" text="Y">
      <formula>NOT(ISERROR(SEARCH("Y",AK1)))</formula>
    </cfRule>
    <cfRule type="containsText" dxfId="0" priority="3" operator="containsText" text="Z">
      <formula>NOT(ISERROR(SEARCH("Z",AK1)))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EA3C-8F66-D44C-9565-AE4C7514D4F3}">
  <dimension ref="A2:D92"/>
  <sheetViews>
    <sheetView tabSelected="1" topLeftCell="A2" workbookViewId="0">
      <selection activeCell="D2" activeCellId="2" sqref="A1:A1048576 B1:B1048576 D1:D1048576"/>
    </sheetView>
  </sheetViews>
  <sheetFormatPr baseColWidth="10" defaultRowHeight="15" x14ac:dyDescent="0.2"/>
  <cols>
    <col min="2" max="2" width="14.83203125" customWidth="1"/>
  </cols>
  <sheetData>
    <row r="2" spans="1:4" x14ac:dyDescent="0.2">
      <c r="A2" s="17" t="s">
        <v>129</v>
      </c>
      <c r="B2" s="14" t="s">
        <v>131</v>
      </c>
      <c r="C2" t="s">
        <v>157</v>
      </c>
    </row>
    <row r="3" spans="1:4" x14ac:dyDescent="0.2">
      <c r="A3" t="s">
        <v>94</v>
      </c>
      <c r="B3" s="8">
        <v>29716.960000000006</v>
      </c>
      <c r="C3">
        <f>B3</f>
        <v>29716.960000000006</v>
      </c>
      <c r="D3" s="12">
        <f>C3/SUM(B3:B92)</f>
        <v>1.6896511827366682E-2</v>
      </c>
    </row>
    <row r="4" spans="1:4" x14ac:dyDescent="0.2">
      <c r="A4" t="s">
        <v>31</v>
      </c>
      <c r="B4" s="8">
        <v>28943.97</v>
      </c>
      <c r="C4">
        <f>C3+B4</f>
        <v>58660.930000000008</v>
      </c>
      <c r="D4" s="12">
        <f t="shared" ref="D4:D67" si="0">C4/SUM(B4:B93)</f>
        <v>3.3926759787571897E-2</v>
      </c>
    </row>
    <row r="5" spans="1:4" x14ac:dyDescent="0.2">
      <c r="A5" t="s">
        <v>83</v>
      </c>
      <c r="B5" s="8">
        <v>25306.870000000003</v>
      </c>
      <c r="C5">
        <f t="shared" ref="C5:C68" si="1">C4+B5</f>
        <v>83967.800000000017</v>
      </c>
      <c r="D5" s="12">
        <f t="shared" si="0"/>
        <v>4.9389857813714376E-2</v>
      </c>
    </row>
    <row r="6" spans="1:4" x14ac:dyDescent="0.2">
      <c r="A6" t="s">
        <v>43</v>
      </c>
      <c r="B6" s="8">
        <v>25243.32</v>
      </c>
      <c r="C6">
        <f t="shared" si="1"/>
        <v>109211.12000000002</v>
      </c>
      <c r="D6" s="12">
        <f t="shared" si="0"/>
        <v>6.5208641240381893E-2</v>
      </c>
    </row>
    <row r="7" spans="1:4" x14ac:dyDescent="0.2">
      <c r="A7" t="s">
        <v>123</v>
      </c>
      <c r="B7" s="8">
        <v>25040.800000000007</v>
      </c>
      <c r="C7">
        <f t="shared" si="1"/>
        <v>134251.92000000004</v>
      </c>
      <c r="D7" s="12">
        <f t="shared" si="0"/>
        <v>8.1386903203148134E-2</v>
      </c>
    </row>
    <row r="8" spans="1:4" x14ac:dyDescent="0.2">
      <c r="A8" t="s">
        <v>55</v>
      </c>
      <c r="B8" s="8">
        <v>24630.389999999996</v>
      </c>
      <c r="C8">
        <f t="shared" si="1"/>
        <v>158882.31000000003</v>
      </c>
      <c r="D8" s="12">
        <f t="shared" si="0"/>
        <v>9.7803155040326675E-2</v>
      </c>
    </row>
    <row r="9" spans="1:4" x14ac:dyDescent="0.2">
      <c r="A9" t="s">
        <v>66</v>
      </c>
      <c r="B9" s="8">
        <v>24515.810000000009</v>
      </c>
      <c r="C9">
        <f t="shared" si="1"/>
        <v>183398.12000000002</v>
      </c>
      <c r="D9" s="12">
        <f t="shared" si="0"/>
        <v>0.11463237227625789</v>
      </c>
    </row>
    <row r="10" spans="1:4" x14ac:dyDescent="0.2">
      <c r="A10" t="s">
        <v>68</v>
      </c>
      <c r="B10" s="8">
        <v>24092.659999999996</v>
      </c>
      <c r="C10">
        <f t="shared" si="1"/>
        <v>207490.78000000003</v>
      </c>
      <c r="D10" s="12">
        <f t="shared" si="0"/>
        <v>0.13170966378462332</v>
      </c>
    </row>
    <row r="11" spans="1:4" x14ac:dyDescent="0.2">
      <c r="A11" t="s">
        <v>90</v>
      </c>
      <c r="B11" s="8">
        <v>23914.410000000007</v>
      </c>
      <c r="C11">
        <f t="shared" si="1"/>
        <v>231405.19000000003</v>
      </c>
      <c r="D11" s="12">
        <f t="shared" si="0"/>
        <v>0.1491712321827614</v>
      </c>
    </row>
    <row r="12" spans="1:4" x14ac:dyDescent="0.2">
      <c r="A12" t="s">
        <v>59</v>
      </c>
      <c r="B12" s="8">
        <v>23589.23</v>
      </c>
      <c r="C12">
        <f t="shared" si="1"/>
        <v>254994.42000000004</v>
      </c>
      <c r="D12" s="12">
        <f t="shared" si="0"/>
        <v>0.166951330369985</v>
      </c>
    </row>
    <row r="13" spans="1:4" x14ac:dyDescent="0.2">
      <c r="A13" t="s">
        <v>52</v>
      </c>
      <c r="B13" s="8">
        <v>23493.719999999998</v>
      </c>
      <c r="C13">
        <f t="shared" si="1"/>
        <v>278488.14</v>
      </c>
      <c r="D13" s="12">
        <f t="shared" si="0"/>
        <v>0.18519348113262563</v>
      </c>
    </row>
    <row r="14" spans="1:4" x14ac:dyDescent="0.2">
      <c r="A14" t="s">
        <v>98</v>
      </c>
      <c r="B14" s="8">
        <v>23490.75</v>
      </c>
      <c r="C14">
        <f t="shared" si="1"/>
        <v>301978.89</v>
      </c>
      <c r="D14" s="12">
        <f t="shared" si="0"/>
        <v>0.20400190270067889</v>
      </c>
    </row>
    <row r="15" spans="1:4" x14ac:dyDescent="0.2">
      <c r="A15" t="s">
        <v>86</v>
      </c>
      <c r="B15" s="8">
        <v>23308.930000000004</v>
      </c>
      <c r="C15">
        <f t="shared" si="1"/>
        <v>325287.82</v>
      </c>
      <c r="D15" s="12">
        <f t="shared" si="0"/>
        <v>0.22329171188384458</v>
      </c>
    </row>
    <row r="16" spans="1:4" x14ac:dyDescent="0.2">
      <c r="A16" t="s">
        <v>41</v>
      </c>
      <c r="B16" s="8">
        <v>23165.39</v>
      </c>
      <c r="C16">
        <f t="shared" si="1"/>
        <v>348453.21</v>
      </c>
      <c r="D16" s="12">
        <f t="shared" si="0"/>
        <v>0.24308283284623855</v>
      </c>
    </row>
    <row r="17" spans="1:4" x14ac:dyDescent="0.2">
      <c r="A17" t="s">
        <v>35</v>
      </c>
      <c r="B17" s="8">
        <v>22917.249999999993</v>
      </c>
      <c r="C17">
        <f t="shared" si="1"/>
        <v>371370.46</v>
      </c>
      <c r="D17" s="12">
        <f t="shared" si="0"/>
        <v>0.26332544806821884</v>
      </c>
    </row>
    <row r="18" spans="1:4" x14ac:dyDescent="0.2">
      <c r="A18" t="s">
        <v>101</v>
      </c>
      <c r="B18" s="8">
        <v>22879.349999999995</v>
      </c>
      <c r="C18">
        <f t="shared" si="1"/>
        <v>394249.81</v>
      </c>
      <c r="D18" s="12">
        <f t="shared" si="0"/>
        <v>0.28416601343289616</v>
      </c>
    </row>
    <row r="19" spans="1:4" x14ac:dyDescent="0.2">
      <c r="A19" t="s">
        <v>80</v>
      </c>
      <c r="B19" s="8">
        <v>22688.61</v>
      </c>
      <c r="C19">
        <f t="shared" si="1"/>
        <v>416938.42</v>
      </c>
      <c r="D19" s="12">
        <f t="shared" si="0"/>
        <v>0.30555836323166391</v>
      </c>
    </row>
    <row r="20" spans="1:4" x14ac:dyDescent="0.2">
      <c r="A20" t="s">
        <v>50</v>
      </c>
      <c r="B20" s="8">
        <v>22535.97</v>
      </c>
      <c r="C20">
        <f t="shared" si="1"/>
        <v>439474.39</v>
      </c>
      <c r="D20" s="12">
        <f t="shared" si="0"/>
        <v>0.32752000021105604</v>
      </c>
    </row>
    <row r="21" spans="1:4" x14ac:dyDescent="0.2">
      <c r="A21" t="s">
        <v>69</v>
      </c>
      <c r="B21" s="8">
        <v>22429.639999999996</v>
      </c>
      <c r="C21">
        <f t="shared" si="1"/>
        <v>461904.03</v>
      </c>
      <c r="D21" s="12">
        <f t="shared" si="0"/>
        <v>0.35011598144460621</v>
      </c>
    </row>
    <row r="22" spans="1:4" x14ac:dyDescent="0.2">
      <c r="A22" t="s">
        <v>27</v>
      </c>
      <c r="B22" s="8">
        <v>22358.98</v>
      </c>
      <c r="C22">
        <f t="shared" si="1"/>
        <v>484263.01</v>
      </c>
      <c r="D22" s="12">
        <f t="shared" si="0"/>
        <v>0.37341223484453195</v>
      </c>
    </row>
    <row r="23" spans="1:4" x14ac:dyDescent="0.2">
      <c r="A23" t="s">
        <v>113</v>
      </c>
      <c r="B23" s="8">
        <v>22323.890000000007</v>
      </c>
      <c r="C23">
        <f t="shared" si="1"/>
        <v>506586.9</v>
      </c>
      <c r="D23" s="12">
        <f t="shared" si="0"/>
        <v>0.39747893291486874</v>
      </c>
    </row>
    <row r="24" spans="1:4" x14ac:dyDescent="0.2">
      <c r="A24" t="s">
        <v>46</v>
      </c>
      <c r="B24" s="8">
        <v>22246.080000000002</v>
      </c>
      <c r="C24">
        <f t="shared" si="1"/>
        <v>528832.98</v>
      </c>
      <c r="D24" s="12">
        <f t="shared" si="0"/>
        <v>0.4223311527641268</v>
      </c>
    </row>
    <row r="25" spans="1:4" x14ac:dyDescent="0.2">
      <c r="A25" t="s">
        <v>54</v>
      </c>
      <c r="B25" s="8">
        <v>22232.570000000003</v>
      </c>
      <c r="C25">
        <f t="shared" si="1"/>
        <v>551065.54999999993</v>
      </c>
      <c r="D25" s="12">
        <f t="shared" si="0"/>
        <v>0.44804625999740816</v>
      </c>
    </row>
    <row r="26" spans="1:4" x14ac:dyDescent="0.2">
      <c r="A26" t="s">
        <v>93</v>
      </c>
      <c r="B26" s="8">
        <v>21707.420000000002</v>
      </c>
      <c r="C26">
        <f t="shared" si="1"/>
        <v>572772.97</v>
      </c>
      <c r="D26" s="12">
        <f t="shared" si="0"/>
        <v>0.47426858875732025</v>
      </c>
    </row>
    <row r="27" spans="1:4" x14ac:dyDescent="0.2">
      <c r="A27" t="s">
        <v>96</v>
      </c>
      <c r="B27" s="8">
        <v>21662.290000000012</v>
      </c>
      <c r="C27">
        <f t="shared" si="1"/>
        <v>594435.26</v>
      </c>
      <c r="D27" s="12">
        <f t="shared" si="0"/>
        <v>0.50121437782057621</v>
      </c>
    </row>
    <row r="28" spans="1:4" x14ac:dyDescent="0.2">
      <c r="A28" t="s">
        <v>79</v>
      </c>
      <c r="B28" s="8">
        <v>21642.219999999998</v>
      </c>
      <c r="C28">
        <f t="shared" si="1"/>
        <v>616077.48</v>
      </c>
      <c r="D28" s="12">
        <f t="shared" si="0"/>
        <v>0.52912719807631503</v>
      </c>
    </row>
    <row r="29" spans="1:4" x14ac:dyDescent="0.2">
      <c r="A29" t="s">
        <v>57</v>
      </c>
      <c r="B29" s="8">
        <v>21596.090000000007</v>
      </c>
      <c r="C29">
        <f t="shared" si="1"/>
        <v>637673.56999999995</v>
      </c>
      <c r="D29" s="12">
        <f t="shared" si="0"/>
        <v>0.55804817096091197</v>
      </c>
    </row>
    <row r="30" spans="1:4" x14ac:dyDescent="0.2">
      <c r="A30" t="s">
        <v>58</v>
      </c>
      <c r="B30" s="8">
        <v>21529.660000000007</v>
      </c>
      <c r="C30">
        <f t="shared" si="1"/>
        <v>659203.23</v>
      </c>
      <c r="D30" s="12">
        <f t="shared" si="0"/>
        <v>0.58800235421002656</v>
      </c>
    </row>
    <row r="31" spans="1:4" x14ac:dyDescent="0.2">
      <c r="A31" t="s">
        <v>109</v>
      </c>
      <c r="B31" s="8">
        <v>21127.46</v>
      </c>
      <c r="C31">
        <f t="shared" si="1"/>
        <v>680330.69</v>
      </c>
      <c r="D31" s="12">
        <f t="shared" si="0"/>
        <v>0.61873006122504792</v>
      </c>
    </row>
    <row r="32" spans="1:4" x14ac:dyDescent="0.2">
      <c r="A32" t="s">
        <v>84</v>
      </c>
      <c r="B32" s="8">
        <v>21107.850000000002</v>
      </c>
      <c r="C32">
        <f t="shared" si="1"/>
        <v>701438.53999999992</v>
      </c>
      <c r="D32" s="12">
        <f t="shared" si="0"/>
        <v>0.65042425657272607</v>
      </c>
    </row>
    <row r="33" spans="1:4" x14ac:dyDescent="0.2">
      <c r="A33" t="s">
        <v>126</v>
      </c>
      <c r="B33" s="8">
        <v>20953.199999999997</v>
      </c>
      <c r="C33">
        <f t="shared" si="1"/>
        <v>722391.73999999987</v>
      </c>
      <c r="D33" s="12">
        <f t="shared" si="0"/>
        <v>0.68322616235298139</v>
      </c>
    </row>
    <row r="34" spans="1:4" x14ac:dyDescent="0.2">
      <c r="A34" t="s">
        <v>48</v>
      </c>
      <c r="B34" s="8">
        <v>20870.329999999998</v>
      </c>
      <c r="C34">
        <f t="shared" si="1"/>
        <v>743262.06999999983</v>
      </c>
      <c r="D34" s="12">
        <f t="shared" si="0"/>
        <v>0.71717741654494138</v>
      </c>
    </row>
    <row r="35" spans="1:4" x14ac:dyDescent="0.2">
      <c r="A35" t="s">
        <v>73</v>
      </c>
      <c r="B35" s="8">
        <v>20797.279999999995</v>
      </c>
      <c r="C35">
        <f t="shared" si="1"/>
        <v>764059.34999999986</v>
      </c>
      <c r="D35" s="12">
        <f t="shared" si="0"/>
        <v>0.75239649704312439</v>
      </c>
    </row>
    <row r="36" spans="1:4" x14ac:dyDescent="0.2">
      <c r="A36" t="s">
        <v>40</v>
      </c>
      <c r="B36" s="8">
        <v>20776.27</v>
      </c>
      <c r="C36">
        <f t="shared" si="1"/>
        <v>784835.61999999988</v>
      </c>
      <c r="D36" s="12">
        <f t="shared" si="0"/>
        <v>0.78901450910515392</v>
      </c>
    </row>
    <row r="37" spans="1:4" x14ac:dyDescent="0.2">
      <c r="A37" t="s">
        <v>67</v>
      </c>
      <c r="B37" s="8">
        <v>20659.180000000008</v>
      </c>
      <c r="C37">
        <f t="shared" si="1"/>
        <v>805494.79999999993</v>
      </c>
      <c r="D37" s="12">
        <f t="shared" si="0"/>
        <v>0.827058370337033</v>
      </c>
    </row>
    <row r="38" spans="1:4" x14ac:dyDescent="0.2">
      <c r="A38" t="s">
        <v>100</v>
      </c>
      <c r="B38" s="8">
        <v>20288.82</v>
      </c>
      <c r="C38">
        <f t="shared" si="1"/>
        <v>825783.61999999988</v>
      </c>
      <c r="D38" s="12">
        <f t="shared" si="0"/>
        <v>0.86626577005017291</v>
      </c>
    </row>
    <row r="39" spans="1:4" x14ac:dyDescent="0.2">
      <c r="A39" t="s">
        <v>112</v>
      </c>
      <c r="B39" s="8">
        <v>20258.300000000003</v>
      </c>
      <c r="C39">
        <f t="shared" si="1"/>
        <v>846041.91999999993</v>
      </c>
      <c r="D39" s="12">
        <f t="shared" si="0"/>
        <v>0.90681737353276359</v>
      </c>
    </row>
    <row r="40" spans="1:4" x14ac:dyDescent="0.2">
      <c r="A40" t="s">
        <v>62</v>
      </c>
      <c r="B40" s="8">
        <v>20246.990000000005</v>
      </c>
      <c r="C40">
        <f t="shared" si="1"/>
        <v>866288.90999999992</v>
      </c>
      <c r="D40" s="12">
        <f t="shared" si="0"/>
        <v>0.9491277450376433</v>
      </c>
    </row>
    <row r="41" spans="1:4" x14ac:dyDescent="0.2">
      <c r="A41" t="s">
        <v>65</v>
      </c>
      <c r="B41" s="8">
        <v>20160.850000000002</v>
      </c>
      <c r="C41">
        <f t="shared" si="1"/>
        <v>886449.75999999989</v>
      </c>
      <c r="D41" s="12">
        <f t="shared" si="0"/>
        <v>0.99324984332878652</v>
      </c>
    </row>
    <row r="42" spans="1:4" x14ac:dyDescent="0.2">
      <c r="A42" t="s">
        <v>24</v>
      </c>
      <c r="B42" s="8">
        <v>20065.200000000012</v>
      </c>
      <c r="C42">
        <f t="shared" si="1"/>
        <v>906514.96</v>
      </c>
      <c r="D42" s="12">
        <f t="shared" si="0"/>
        <v>1.0392080597193725</v>
      </c>
    </row>
    <row r="43" spans="1:4" x14ac:dyDescent="0.2">
      <c r="A43" t="s">
        <v>33</v>
      </c>
      <c r="B43" s="8">
        <v>20029.220000000005</v>
      </c>
      <c r="C43">
        <f t="shared" si="1"/>
        <v>926544.17999999993</v>
      </c>
      <c r="D43" s="12">
        <f t="shared" si="0"/>
        <v>1.0871766500375097</v>
      </c>
    </row>
    <row r="44" spans="1:4" x14ac:dyDescent="0.2">
      <c r="A44" t="s">
        <v>61</v>
      </c>
      <c r="B44" s="8">
        <v>20015.420000000002</v>
      </c>
      <c r="C44">
        <f t="shared" si="1"/>
        <v>946559.6</v>
      </c>
      <c r="D44" s="12">
        <f t="shared" si="0"/>
        <v>1.1373926735111246</v>
      </c>
    </row>
    <row r="45" spans="1:4" x14ac:dyDescent="0.2">
      <c r="A45" t="s">
        <v>37</v>
      </c>
      <c r="B45" s="8">
        <v>19212.279999999995</v>
      </c>
      <c r="C45">
        <f t="shared" si="1"/>
        <v>965771.88</v>
      </c>
      <c r="D45" s="12">
        <f t="shared" si="0"/>
        <v>1.189076366965758</v>
      </c>
    </row>
    <row r="46" spans="1:4" x14ac:dyDescent="0.2">
      <c r="A46" t="s">
        <v>106</v>
      </c>
      <c r="B46" s="8">
        <v>19186.239999999994</v>
      </c>
      <c r="C46">
        <f t="shared" si="1"/>
        <v>984958.12</v>
      </c>
      <c r="D46" s="12">
        <f t="shared" si="0"/>
        <v>1.2420796182171672</v>
      </c>
    </row>
    <row r="47" spans="1:4" x14ac:dyDescent="0.2">
      <c r="A47" t="s">
        <v>70</v>
      </c>
      <c r="B47" s="8">
        <v>19132.980000000007</v>
      </c>
      <c r="C47">
        <f t="shared" si="1"/>
        <v>1004091.1</v>
      </c>
      <c r="D47" s="12">
        <f t="shared" si="0"/>
        <v>1.2976024227502621</v>
      </c>
    </row>
    <row r="48" spans="1:4" x14ac:dyDescent="0.2">
      <c r="A48" t="s">
        <v>42</v>
      </c>
      <c r="B48" s="8">
        <v>19099.099999999999</v>
      </c>
      <c r="C48">
        <f t="shared" si="1"/>
        <v>1023190.2</v>
      </c>
      <c r="D48" s="12">
        <f t="shared" si="0"/>
        <v>1.3558079828358789</v>
      </c>
    </row>
    <row r="49" spans="1:4" x14ac:dyDescent="0.2">
      <c r="A49" t="s">
        <v>75</v>
      </c>
      <c r="B49" s="8">
        <v>19049.400000000001</v>
      </c>
      <c r="C49">
        <f t="shared" si="1"/>
        <v>1042239.6</v>
      </c>
      <c r="D49" s="12">
        <f t="shared" si="0"/>
        <v>1.4169088169531441</v>
      </c>
    </row>
    <row r="50" spans="1:4" x14ac:dyDescent="0.2">
      <c r="A50" t="s">
        <v>102</v>
      </c>
      <c r="B50" s="8">
        <v>19045.539999999994</v>
      </c>
      <c r="C50">
        <f t="shared" si="1"/>
        <v>1061285.1399999999</v>
      </c>
      <c r="D50" s="12">
        <f t="shared" si="0"/>
        <v>1.4811590594088193</v>
      </c>
    </row>
    <row r="51" spans="1:4" x14ac:dyDescent="0.2">
      <c r="A51" t="s">
        <v>53</v>
      </c>
      <c r="B51" s="8">
        <v>18987.909999999996</v>
      </c>
      <c r="C51">
        <f t="shared" si="1"/>
        <v>1080273.0499999998</v>
      </c>
      <c r="D51" s="12">
        <f t="shared" si="0"/>
        <v>1.5488277068919758</v>
      </c>
    </row>
    <row r="52" spans="1:4" x14ac:dyDescent="0.2">
      <c r="A52" t="s">
        <v>105</v>
      </c>
      <c r="B52" s="8">
        <v>18922.950000000004</v>
      </c>
      <c r="C52">
        <f t="shared" si="1"/>
        <v>1099195.9999999998</v>
      </c>
      <c r="D52" s="12">
        <f t="shared" si="0"/>
        <v>1.6200622924471859</v>
      </c>
    </row>
    <row r="53" spans="1:4" x14ac:dyDescent="0.2">
      <c r="A53" t="s">
        <v>128</v>
      </c>
      <c r="B53" s="8">
        <v>18869.150000000001</v>
      </c>
      <c r="C53">
        <f t="shared" si="1"/>
        <v>1118065.1499999997</v>
      </c>
      <c r="D53" s="12">
        <f t="shared" si="0"/>
        <v>1.6951502016451663</v>
      </c>
    </row>
    <row r="54" spans="1:4" x14ac:dyDescent="0.2">
      <c r="A54" t="s">
        <v>85</v>
      </c>
      <c r="B54" s="8">
        <v>18859.640000000003</v>
      </c>
      <c r="C54">
        <f t="shared" si="1"/>
        <v>1136924.7899999996</v>
      </c>
      <c r="D54" s="12">
        <f t="shared" si="0"/>
        <v>1.7745100475284863</v>
      </c>
    </row>
    <row r="55" spans="1:4" x14ac:dyDescent="0.2">
      <c r="A55" t="s">
        <v>77</v>
      </c>
      <c r="B55" s="8">
        <v>18652.000000000007</v>
      </c>
      <c r="C55">
        <f t="shared" si="1"/>
        <v>1155576.7899999996</v>
      </c>
      <c r="D55" s="12">
        <f t="shared" si="0"/>
        <v>1.8583238418506978</v>
      </c>
    </row>
    <row r="56" spans="1:4" x14ac:dyDescent="0.2">
      <c r="A56" t="s">
        <v>111</v>
      </c>
      <c r="B56" s="8">
        <v>18629.450000000004</v>
      </c>
      <c r="C56">
        <f t="shared" si="1"/>
        <v>1174206.2399999995</v>
      </c>
      <c r="D56" s="12">
        <f t="shared" si="0"/>
        <v>1.9466728533685653</v>
      </c>
    </row>
    <row r="57" spans="1:4" x14ac:dyDescent="0.2">
      <c r="A57" t="s">
        <v>110</v>
      </c>
      <c r="B57" s="8">
        <v>18584.399999999998</v>
      </c>
      <c r="C57">
        <f t="shared" si="1"/>
        <v>1192790.6399999994</v>
      </c>
      <c r="D57" s="12">
        <f t="shared" si="0"/>
        <v>2.0405043636736928</v>
      </c>
    </row>
    <row r="58" spans="1:4" x14ac:dyDescent="0.2">
      <c r="A58" t="s">
        <v>108</v>
      </c>
      <c r="B58" s="8">
        <v>18514.159999999996</v>
      </c>
      <c r="C58">
        <f t="shared" si="1"/>
        <v>1211304.7999999993</v>
      </c>
      <c r="D58" s="12">
        <f t="shared" si="0"/>
        <v>2.1402189651060159</v>
      </c>
    </row>
    <row r="59" spans="1:4" x14ac:dyDescent="0.2">
      <c r="A59" t="s">
        <v>72</v>
      </c>
      <c r="B59" s="8">
        <v>18084.099999999999</v>
      </c>
      <c r="C59">
        <f t="shared" si="1"/>
        <v>1229388.8999999994</v>
      </c>
      <c r="D59" s="12">
        <f t="shared" si="0"/>
        <v>2.2456305842961042</v>
      </c>
    </row>
    <row r="60" spans="1:4" x14ac:dyDescent="0.2">
      <c r="A60" t="s">
        <v>76</v>
      </c>
      <c r="B60" s="8">
        <v>18080.979999999992</v>
      </c>
      <c r="C60">
        <f t="shared" si="1"/>
        <v>1247469.8799999994</v>
      </c>
      <c r="D60" s="12">
        <f t="shared" si="0"/>
        <v>2.3564996028989769</v>
      </c>
    </row>
    <row r="61" spans="1:4" x14ac:dyDescent="0.2">
      <c r="A61" t="s">
        <v>114</v>
      </c>
      <c r="B61" s="8">
        <v>17858.890000000003</v>
      </c>
      <c r="C61">
        <f t="shared" si="1"/>
        <v>1265328.7699999993</v>
      </c>
      <c r="D61" s="12">
        <f t="shared" si="0"/>
        <v>2.4747619237520349</v>
      </c>
    </row>
    <row r="62" spans="1:4" x14ac:dyDescent="0.2">
      <c r="A62" t="s">
        <v>82</v>
      </c>
      <c r="B62" s="8">
        <v>17761.640000000003</v>
      </c>
      <c r="C62">
        <f t="shared" si="1"/>
        <v>1283090.4099999992</v>
      </c>
      <c r="D62" s="12">
        <f t="shared" si="0"/>
        <v>2.6003270668853449</v>
      </c>
    </row>
    <row r="63" spans="1:4" x14ac:dyDescent="0.2">
      <c r="A63" t="s">
        <v>63</v>
      </c>
      <c r="B63" s="8">
        <v>17727.769999999997</v>
      </c>
      <c r="C63">
        <f t="shared" si="1"/>
        <v>1300818.1799999992</v>
      </c>
      <c r="D63" s="12">
        <f t="shared" si="0"/>
        <v>2.7346922652261227</v>
      </c>
    </row>
    <row r="64" spans="1:4" x14ac:dyDescent="0.2">
      <c r="A64" t="s">
        <v>64</v>
      </c>
      <c r="B64" s="8">
        <v>17659.86</v>
      </c>
      <c r="C64">
        <f t="shared" si="1"/>
        <v>1318478.0399999993</v>
      </c>
      <c r="D64" s="12">
        <f t="shared" si="0"/>
        <v>2.8791198276001926</v>
      </c>
    </row>
    <row r="65" spans="1:4" x14ac:dyDescent="0.2">
      <c r="A65" t="s">
        <v>92</v>
      </c>
      <c r="B65" s="8">
        <v>17512.950000000004</v>
      </c>
      <c r="C65">
        <f t="shared" si="1"/>
        <v>1335990.9899999993</v>
      </c>
      <c r="D65" s="12">
        <f t="shared" si="0"/>
        <v>3.0343779166479368</v>
      </c>
    </row>
    <row r="66" spans="1:4" x14ac:dyDescent="0.2">
      <c r="A66" t="s">
        <v>88</v>
      </c>
      <c r="B66" s="8">
        <v>17463.07</v>
      </c>
      <c r="C66">
        <f t="shared" si="1"/>
        <v>1353454.0599999994</v>
      </c>
      <c r="D66" s="12">
        <f t="shared" si="0"/>
        <v>3.2013804035565068</v>
      </c>
    </row>
    <row r="67" spans="1:4" x14ac:dyDescent="0.2">
      <c r="A67" t="s">
        <v>121</v>
      </c>
      <c r="B67" s="8">
        <v>17389.25</v>
      </c>
      <c r="C67">
        <f t="shared" si="1"/>
        <v>1370843.3099999994</v>
      </c>
      <c r="D67" s="12">
        <f t="shared" si="0"/>
        <v>3.3822182066297803</v>
      </c>
    </row>
    <row r="68" spans="1:4" x14ac:dyDescent="0.2">
      <c r="A68" t="s">
        <v>103</v>
      </c>
      <c r="B68" s="8">
        <v>17282.439999999999</v>
      </c>
      <c r="C68">
        <f t="shared" si="1"/>
        <v>1388125.7499999993</v>
      </c>
      <c r="D68" s="12">
        <f t="shared" ref="D68:D92" si="2">C68/SUM(B68:B157)</f>
        <v>3.5783842635473255</v>
      </c>
    </row>
    <row r="69" spans="1:4" x14ac:dyDescent="0.2">
      <c r="A69" t="s">
        <v>115</v>
      </c>
      <c r="B69" s="8">
        <v>16857.740000000005</v>
      </c>
      <c r="C69">
        <f t="shared" ref="C69:C92" si="3">C68+B69</f>
        <v>1404983.4899999993</v>
      </c>
      <c r="D69" s="12">
        <f t="shared" si="2"/>
        <v>3.7907238198339779</v>
      </c>
    </row>
    <row r="70" spans="1:4" x14ac:dyDescent="0.2">
      <c r="A70" t="s">
        <v>56</v>
      </c>
      <c r="B70" s="8">
        <v>16847.670000000002</v>
      </c>
      <c r="C70">
        <f t="shared" si="3"/>
        <v>1421831.1599999992</v>
      </c>
      <c r="D70" s="12">
        <f t="shared" si="2"/>
        <v>4.0189753211265575</v>
      </c>
    </row>
    <row r="71" spans="1:4" x14ac:dyDescent="0.2">
      <c r="A71" t="s">
        <v>87</v>
      </c>
      <c r="B71" s="8">
        <v>16725.77</v>
      </c>
      <c r="C71">
        <f t="shared" si="3"/>
        <v>1438556.9299999992</v>
      </c>
      <c r="D71" s="12">
        <f t="shared" si="2"/>
        <v>4.2695783435136789</v>
      </c>
    </row>
    <row r="72" spans="1:4" x14ac:dyDescent="0.2">
      <c r="A72" t="s">
        <v>97</v>
      </c>
      <c r="B72" s="8">
        <v>16567.329999999998</v>
      </c>
      <c r="C72">
        <f t="shared" si="3"/>
        <v>1455124.2599999993</v>
      </c>
      <c r="D72" s="12">
        <f t="shared" si="2"/>
        <v>4.5443367596267983</v>
      </c>
    </row>
    <row r="73" spans="1:4" x14ac:dyDescent="0.2">
      <c r="A73" t="s">
        <v>107</v>
      </c>
      <c r="B73" s="8">
        <v>16526.520000000004</v>
      </c>
      <c r="C73">
        <f t="shared" si="3"/>
        <v>1471650.7799999993</v>
      </c>
      <c r="D73" s="12">
        <f t="shared" si="2"/>
        <v>4.8467159741633745</v>
      </c>
    </row>
    <row r="74" spans="1:4" x14ac:dyDescent="0.2">
      <c r="A74" t="s">
        <v>78</v>
      </c>
      <c r="B74" s="8">
        <v>16514.29</v>
      </c>
      <c r="C74">
        <f t="shared" si="3"/>
        <v>1488165.0699999994</v>
      </c>
      <c r="D74" s="12">
        <f t="shared" si="2"/>
        <v>5.1832172736076032</v>
      </c>
    </row>
    <row r="75" spans="1:4" x14ac:dyDescent="0.2">
      <c r="A75" t="s">
        <v>117</v>
      </c>
      <c r="B75" s="8">
        <v>16354.699999999995</v>
      </c>
      <c r="C75">
        <f t="shared" si="3"/>
        <v>1504519.7699999993</v>
      </c>
      <c r="D75" s="12">
        <f t="shared" si="2"/>
        <v>5.5599823487200206</v>
      </c>
    </row>
    <row r="76" spans="1:4" x14ac:dyDescent="0.2">
      <c r="A76" t="s">
        <v>122</v>
      </c>
      <c r="B76" s="8">
        <v>16224.899999999998</v>
      </c>
      <c r="C76">
        <f t="shared" si="3"/>
        <v>1520744.6699999992</v>
      </c>
      <c r="D76" s="12">
        <f t="shared" si="2"/>
        <v>5.9814556721350751</v>
      </c>
    </row>
    <row r="77" spans="1:4" x14ac:dyDescent="0.2">
      <c r="A77" t="s">
        <v>104</v>
      </c>
      <c r="B77" s="8">
        <v>16151.149999999998</v>
      </c>
      <c r="C77">
        <f t="shared" si="3"/>
        <v>1536895.8199999991</v>
      </c>
      <c r="D77" s="12">
        <f t="shared" si="2"/>
        <v>6.4570478896710188</v>
      </c>
    </row>
    <row r="78" spans="1:4" x14ac:dyDescent="0.2">
      <c r="A78" t="s">
        <v>119</v>
      </c>
      <c r="B78" s="8">
        <v>16134.539999999997</v>
      </c>
      <c r="C78">
        <f t="shared" si="3"/>
        <v>1553030.3599999992</v>
      </c>
      <c r="D78" s="12">
        <f t="shared" si="2"/>
        <v>6.9998198471797437</v>
      </c>
    </row>
    <row r="79" spans="1:4" x14ac:dyDescent="0.2">
      <c r="A79" t="s">
        <v>120</v>
      </c>
      <c r="B79" s="8">
        <v>15778.340000000006</v>
      </c>
      <c r="C79">
        <f t="shared" si="3"/>
        <v>1568808.6999999993</v>
      </c>
      <c r="D79" s="12">
        <f t="shared" si="2"/>
        <v>7.6254726704779205</v>
      </c>
    </row>
    <row r="80" spans="1:4" x14ac:dyDescent="0.2">
      <c r="A80" t="s">
        <v>127</v>
      </c>
      <c r="B80" s="8">
        <v>15729.200000000003</v>
      </c>
      <c r="C80">
        <f t="shared" si="3"/>
        <v>1584537.8999999992</v>
      </c>
      <c r="D80" s="12">
        <f t="shared" si="2"/>
        <v>8.3416791122033445</v>
      </c>
    </row>
    <row r="81" spans="1:4" x14ac:dyDescent="0.2">
      <c r="A81" t="s">
        <v>99</v>
      </c>
      <c r="B81" s="8">
        <v>15574.890000000001</v>
      </c>
      <c r="C81">
        <f t="shared" si="3"/>
        <v>1600112.7899999991</v>
      </c>
      <c r="D81" s="12">
        <f t="shared" si="2"/>
        <v>9.1841686310314241</v>
      </c>
    </row>
    <row r="82" spans="1:4" x14ac:dyDescent="0.2">
      <c r="A82" t="s">
        <v>91</v>
      </c>
      <c r="B82" s="8">
        <v>15537.609999999995</v>
      </c>
      <c r="C82">
        <f t="shared" si="3"/>
        <v>1615650.3999999992</v>
      </c>
      <c r="D82" s="12">
        <f t="shared" si="2"/>
        <v>10.183726187079975</v>
      </c>
    </row>
    <row r="83" spans="1:4" x14ac:dyDescent="0.2">
      <c r="A83" t="s">
        <v>124</v>
      </c>
      <c r="B83" s="8">
        <v>15270.32</v>
      </c>
      <c r="C83">
        <f t="shared" si="3"/>
        <v>1630920.7199999993</v>
      </c>
      <c r="D83" s="12">
        <f t="shared" si="2"/>
        <v>11.396065797416448</v>
      </c>
    </row>
    <row r="84" spans="1:4" x14ac:dyDescent="0.2">
      <c r="A84" t="s">
        <v>71</v>
      </c>
      <c r="B84" s="8">
        <v>15238.140000000001</v>
      </c>
      <c r="C84">
        <f t="shared" si="3"/>
        <v>1646158.8599999992</v>
      </c>
      <c r="D84" s="12">
        <f t="shared" si="2"/>
        <v>12.876481327110138</v>
      </c>
    </row>
    <row r="85" spans="1:4" x14ac:dyDescent="0.2">
      <c r="A85" t="s">
        <v>81</v>
      </c>
      <c r="B85" s="8">
        <v>15193.52</v>
      </c>
      <c r="C85">
        <f t="shared" si="3"/>
        <v>1661352.3799999992</v>
      </c>
      <c r="D85" s="12">
        <f t="shared" si="2"/>
        <v>14.753917861819472</v>
      </c>
    </row>
    <row r="86" spans="1:4" x14ac:dyDescent="0.2">
      <c r="A86" t="s">
        <v>125</v>
      </c>
      <c r="B86" s="8">
        <v>15168.570000000002</v>
      </c>
      <c r="C86">
        <f t="shared" si="3"/>
        <v>1676520.9499999993</v>
      </c>
      <c r="D86" s="12">
        <f t="shared" si="2"/>
        <v>17.210862407932268</v>
      </c>
    </row>
    <row r="87" spans="1:4" x14ac:dyDescent="0.2">
      <c r="A87" t="s">
        <v>74</v>
      </c>
      <c r="B87" s="8">
        <v>14949.66</v>
      </c>
      <c r="C87">
        <f t="shared" si="3"/>
        <v>1691470.6099999992</v>
      </c>
      <c r="D87" s="12">
        <f t="shared" si="2"/>
        <v>20.56697765109482</v>
      </c>
    </row>
    <row r="88" spans="1:4" x14ac:dyDescent="0.2">
      <c r="A88" t="s">
        <v>89</v>
      </c>
      <c r="B88" s="8">
        <v>14915.619999999995</v>
      </c>
      <c r="C88">
        <f t="shared" si="3"/>
        <v>1706386.2299999991</v>
      </c>
      <c r="D88" s="12">
        <f t="shared" si="2"/>
        <v>25.357785277386437</v>
      </c>
    </row>
    <row r="89" spans="1:4" x14ac:dyDescent="0.2">
      <c r="A89" t="s">
        <v>49</v>
      </c>
      <c r="B89" s="8">
        <v>14826.480000000003</v>
      </c>
      <c r="C89">
        <f t="shared" si="3"/>
        <v>1721212.709999999</v>
      </c>
      <c r="D89" s="12">
        <f t="shared" si="2"/>
        <v>32.862132990993317</v>
      </c>
    </row>
    <row r="90" spans="1:4" x14ac:dyDescent="0.2">
      <c r="A90" t="s">
        <v>116</v>
      </c>
      <c r="B90" s="8">
        <v>14062.990000000002</v>
      </c>
      <c r="C90">
        <f t="shared" si="3"/>
        <v>1735275.699999999</v>
      </c>
      <c r="D90" s="12">
        <f t="shared" si="2"/>
        <v>46.212032926501223</v>
      </c>
    </row>
    <row r="91" spans="1:4" x14ac:dyDescent="0.2">
      <c r="A91" t="s">
        <v>118</v>
      </c>
      <c r="B91" s="8">
        <v>12637.65</v>
      </c>
      <c r="C91">
        <f t="shared" si="3"/>
        <v>1747913.3499999989</v>
      </c>
      <c r="D91" s="12">
        <f t="shared" si="2"/>
        <v>74.419478007485694</v>
      </c>
    </row>
    <row r="92" spans="1:4" x14ac:dyDescent="0.2">
      <c r="A92" t="s">
        <v>95</v>
      </c>
      <c r="B92" s="8">
        <v>10849.660000000002</v>
      </c>
      <c r="C92">
        <f t="shared" si="3"/>
        <v>1758763.0099999988</v>
      </c>
      <c r="D92" s="12">
        <f t="shared" si="2"/>
        <v>162.10305299889569</v>
      </c>
    </row>
  </sheetData>
  <autoFilter ref="A2:B92" xr:uid="{0A25EA3C-8F66-D44C-9565-AE4C7514D4F3}">
    <sortState xmlns:xlrd2="http://schemas.microsoft.com/office/spreadsheetml/2017/richdata2" ref="A3:B92">
      <sortCondition descending="1" ref="B2:B9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Pharmacy_Receipts</vt:lpstr>
      <vt:lpstr>Pivot_table</vt:lpstr>
      <vt:lpstr>ABC</vt:lpstr>
      <vt:lpstr>XYZ</vt:lpstr>
      <vt:lpstr>Paretto_diagram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2025-12-14T11:23:29Z</dcterms:created>
  <dcterms:modified xsi:type="dcterms:W3CDTF">2025-12-21T12:05:26Z</dcterms:modified>
</cp:coreProperties>
</file>